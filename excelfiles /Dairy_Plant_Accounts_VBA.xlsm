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tables/table2.xml" ContentType="application/vnd.openxmlformats-officedocument.spreadsheetml.table+xml"/>
  <Override PartName="/xl/worksheets/sheet4.xml" ContentType="application/vnd.openxmlformats-officedocument.spreadsheetml.worksheet+xml"/>
  <Override PartName="/xl/tables/table3.xml" ContentType="application/vnd.openxmlformats-officedocument.spreadsheetml.table+xml"/>
  <Override PartName="/xl/worksheets/sheet5.xml" ContentType="application/vnd.openxmlformats-officedocument.spreadsheetml.worksheet+xml"/>
  <Override PartName="/xl/tables/table4.xml" ContentType="application/vnd.openxmlformats-officedocument.spreadsheetml.table+xml"/>
  <Override PartName="/xl/worksheets/sheet6.xml" ContentType="application/vnd.openxmlformats-officedocument.spreadsheetml.worksheet+xml"/>
  <Override PartName="/xl/tables/table5.xml" ContentType="application/vnd.openxmlformats-officedocument.spreadsheetml.table+xml"/>
  <Override PartName="/xl/worksheets/sheet7.xml" ContentType="application/vnd.openxmlformats-officedocument.spreadsheetml.worksheet+xml"/>
  <Override PartName="/xl/tables/table6.xml" ContentType="application/vnd.openxmlformats-officedocument.spreadsheetml.table+xml"/>
  <Override PartName="/xl/worksheets/sheet8.xml" ContentType="application/vnd.openxmlformats-officedocument.spreadsheetml.worksheet+xml"/>
  <Override PartName="/xl/tables/table7.xml" ContentType="application/vnd.openxmlformats-officedocument.spreadsheetml.table+xml"/>
  <Override PartName="/xl/worksheets/sheet9.xml" ContentType="application/vnd.openxmlformats-officedocument.spreadsheetml.worksheet+xml"/>
  <Override PartName="/xl/tables/table8.xml" ContentType="application/vnd.openxmlformats-officedocument.spreadsheetml.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" sheetId="1" state="visible" r:id="rId1"/>
    <sheet name="Daybook" sheetId="2" state="visible" r:id="rId2"/>
    <sheet name="Sales_Entry" sheetId="3" state="visible" r:id="rId3"/>
    <sheet name="Purchase_Entry" sheetId="4" state="visible" r:id="rId4"/>
    <sheet name="Cash_Collection" sheetId="5" state="visible" r:id="rId5"/>
    <sheet name="Stock_Master" sheetId="6" state="visible" r:id="rId6"/>
    <sheet name="Party_Master" sheetId="7" state="visible" r:id="rId7"/>
    <sheet name="Party_Ledger" sheetId="8" state="visible" r:id="rId8"/>
    <sheet name="Denomination_Count" sheetId="9" state="visible" r:id="rId9"/>
    <sheet name="Sales_Report" sheetId="10" state="visible" r:id="rId10"/>
    <sheet name="Purchase_Report" sheetId="11" state="visible" r:id="rId11"/>
    <sheet name="Stock_Report" sheetId="12" state="visible" r:id="rId12"/>
    <sheet name="Printable_Invoice" sheetId="13" state="visible" r:id="rId13"/>
    <sheet name="Printable_Ledger" sheetId="14" state="visible" r:id="rId14"/>
    <sheet name="Settings" sheetId="15" state="visible" r:id="rId15"/>
    <sheet name="README" sheetId="16" state="visible" r:id="rId16"/>
  </sheets>
  <definedNames>
    <definedName name="_xlnm._FilterDatabase" localSheetId="0" hidden="1">'Dashboard'!$A$21:$G$29</definedName>
    <definedName name="_xlnm._FilterDatabase" localSheetId="9" hidden="1">'Sales_Report'!$A$8:$K$28</definedName>
    <definedName name="_xlnm._FilterDatabase" localSheetId="10" hidden="1">'Purchase_Report'!$A$8:$K$28</definedName>
    <definedName name="_xlnm._FilterDatabase" localSheetId="11" hidden="1">'Stock_Report'!$A$8:$I$28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DD-MMM-YY"/>
    <numFmt numFmtId="165" formatCode="yyyy-mm-dd"/>
    <numFmt numFmtId="166" formatCode="DD-MMM-YYYY"/>
  </numFmts>
  <fonts count="19">
    <font>
      <name val="Calibri"/>
      <family val="2"/>
      <color theme="1"/>
      <sz val="11"/>
      <scheme val="minor"/>
    </font>
    <font>
      <name val="Calibri"/>
      <b val="1"/>
      <color rgb="001B3A5C"/>
      <sz val="18"/>
    </font>
    <font>
      <name val="Calibri"/>
      <i val="1"/>
      <color rgb="006C757D"/>
      <sz val="10"/>
    </font>
    <font>
      <name val="Calibri"/>
      <color rgb="001B3A5C"/>
      <sz val="9"/>
      <u val="single"/>
    </font>
    <font>
      <name val="Calibri"/>
      <b val="1"/>
      <color rgb="006C757D"/>
      <sz val="9"/>
    </font>
    <font>
      <name val="Calibri"/>
      <b val="1"/>
      <color rgb="002C5F8A"/>
      <sz val="18"/>
    </font>
    <font>
      <name val="Calibri"/>
      <b val="1"/>
      <color rgb="001B3A5C"/>
      <sz val="12"/>
    </font>
    <font>
      <name val="Calibri"/>
      <b val="1"/>
      <color rgb="00FFFFFF"/>
      <sz val="11"/>
    </font>
    <font>
      <name val="Calibri"/>
      <b val="1"/>
      <sz val="10"/>
    </font>
    <font>
      <name val="Calibri"/>
      <i val="1"/>
      <color rgb="006C757D"/>
      <sz val="9"/>
    </font>
    <font>
      <name val="Calibri"/>
      <sz val="10"/>
    </font>
    <font>
      <name val="Calibri"/>
      <color rgb="0027AE60"/>
      <sz val="10"/>
    </font>
    <font>
      <name val="Calibri"/>
      <i val="1"/>
      <color rgb="006C757D"/>
      <sz val="8"/>
    </font>
    <font>
      <name val="Calibri"/>
      <b val="1"/>
      <color rgb="00E74C3C"/>
      <sz val="10"/>
    </font>
    <font>
      <name val="Calibri"/>
      <b val="1"/>
      <color rgb="001B3A5C"/>
      <sz val="11"/>
    </font>
    <font>
      <name val="Calibri"/>
      <b val="1"/>
      <color rgb="001B3A5C"/>
      <sz val="20"/>
    </font>
    <font>
      <name val="Calibri"/>
      <color rgb="006C757D"/>
      <sz val="10"/>
    </font>
    <font>
      <name val="Calibri"/>
      <b val="1"/>
      <color rgb="00FFFFFF"/>
      <sz val="16"/>
    </font>
    <font>
      <name val="Calibri"/>
      <b val="1"/>
      <color rgb="001B3A5C"/>
      <sz val="16"/>
    </font>
  </fonts>
  <fills count="6">
    <fill>
      <patternFill/>
    </fill>
    <fill>
      <patternFill patternType="gray125"/>
    </fill>
    <fill>
      <patternFill patternType="solid">
        <fgColor rgb="00D6E8F7"/>
        <bgColor rgb="00D6E8F7"/>
      </patternFill>
    </fill>
    <fill>
      <patternFill patternType="solid">
        <fgColor rgb="00FFFFFF"/>
        <bgColor rgb="00FFFFFF"/>
      </patternFill>
    </fill>
    <fill>
      <patternFill patternType="solid">
        <fgColor rgb="001B3A5C"/>
        <bgColor rgb="001B3A5C"/>
      </patternFill>
    </fill>
    <fill>
      <patternFill patternType="solid">
        <fgColor rgb="00F2F7FB"/>
        <bgColor rgb="00F2F7FB"/>
      </patternFill>
    </fill>
  </fills>
  <borders count="7">
    <border>
      <left/>
      <right/>
      <top/>
      <bottom/>
      <diagonal/>
    </border>
    <border>
      <left style="thin">
        <color rgb="00DEE2E6"/>
      </left>
      <right style="thin">
        <color rgb="00DEE2E6"/>
      </right>
      <top style="thin">
        <color rgb="00DEE2E6"/>
      </top>
      <bottom style="thin">
        <color rgb="00DEE2E6"/>
      </bottom>
    </border>
    <border>
      <left style="thin">
        <color rgb="00DEE2E6"/>
      </left>
      <right style="thin">
        <color rgb="00DEE2E6"/>
      </right>
      <top style="medium">
        <color rgb="002C5F8A"/>
      </top>
      <bottom style="thin">
        <color rgb="00DEE2E6"/>
      </bottom>
    </border>
    <border>
      <left/>
      <right/>
      <top style="thin">
        <color rgb="00DEE2E6"/>
      </top>
      <bottom/>
      <diagonal/>
    </border>
    <border>
      <left/>
      <right style="thin">
        <color rgb="00DEE2E6"/>
      </right>
      <top style="thin">
        <color rgb="00DEE2E6"/>
      </top>
      <bottom/>
      <diagonal/>
    </border>
    <border>
      <left/>
      <right/>
      <top style="thin">
        <color rgb="00DEE2E6"/>
      </top>
      <bottom style="thin">
        <color rgb="00DEE2E6"/>
      </bottom>
      <diagonal/>
    </border>
    <border>
      <left/>
      <right style="thin">
        <color rgb="00DEE2E6"/>
      </right>
      <top style="thin">
        <color rgb="00DEE2E6"/>
      </top>
      <bottom style="thin">
        <color rgb="00DEE2E6"/>
      </bottom>
      <diagonal/>
    </border>
  </borders>
  <cellStyleXfs count="1">
    <xf numFmtId="0" fontId="0" fillId="0" borderId="0"/>
  </cellStyleXfs>
  <cellXfs count="64">
    <xf numFmtId="0" fontId="0" fillId="0" borderId="0" pivotButton="0" quotePrefix="0" xfId="0"/>
    <xf numFmtId="0" fontId="1" fillId="0" borderId="0" applyAlignment="1" pivotButton="0" quotePrefix="0" xfId="0">
      <alignment horizontal="left" vertical="center"/>
    </xf>
    <xf numFmtId="0" fontId="2" fillId="0" borderId="0" pivotButton="0" quotePrefix="0" xfId="0"/>
    <xf numFmtId="0" fontId="3" fillId="2" borderId="1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bottom"/>
    </xf>
    <xf numFmtId="0" fontId="0" fillId="0" borderId="1" pivotButton="0" quotePrefix="0" xfId="0"/>
    <xf numFmtId="4" fontId="5" fillId="3" borderId="2" applyAlignment="1" pivotButton="0" quotePrefix="0" xfId="0">
      <alignment horizontal="center" vertical="center"/>
    </xf>
    <xf numFmtId="0" fontId="0" fillId="0" borderId="2" pivotButton="0" quotePrefix="0" xfId="0"/>
    <xf numFmtId="3" fontId="5" fillId="3" borderId="2" applyAlignment="1" pivotButton="0" quotePrefix="0" xfId="0">
      <alignment horizontal="center" vertical="center"/>
    </xf>
    <xf numFmtId="0" fontId="6" fillId="0" borderId="0" applyAlignment="1" pivotButton="0" quotePrefix="0" xfId="0">
      <alignment horizontal="left" vertical="center"/>
    </xf>
    <xf numFmtId="0" fontId="7" fillId="4" borderId="1" applyAlignment="1" pivotButton="0" quotePrefix="0" xfId="0">
      <alignment horizontal="center" vertical="center" wrapText="1"/>
    </xf>
    <xf numFmtId="0" fontId="8" fillId="0" borderId="1" pivotButton="0" quotePrefix="0" xfId="0"/>
    <xf numFmtId="4" fontId="0" fillId="0" borderId="1" pivotButton="0" quotePrefix="0" xfId="0"/>
    <xf numFmtId="4" fontId="8" fillId="0" borderId="1" pivotButton="0" quotePrefix="0" xfId="0"/>
    <xf numFmtId="3" fontId="0" fillId="0" borderId="1" pivotButton="0" quotePrefix="0" xfId="0"/>
    <xf numFmtId="0" fontId="8" fillId="5" borderId="1" pivotButton="0" quotePrefix="0" xfId="0"/>
    <xf numFmtId="4" fontId="0" fillId="5" borderId="1" pivotButton="0" quotePrefix="0" xfId="0"/>
    <xf numFmtId="4" fontId="8" fillId="5" borderId="1" pivotButton="0" quotePrefix="0" xfId="0"/>
    <xf numFmtId="3" fontId="0" fillId="5" borderId="1" pivotButton="0" quotePrefix="0" xfId="0"/>
    <xf numFmtId="0" fontId="9" fillId="0" borderId="1" pivotButton="0" quotePrefix="0" xfId="0"/>
    <xf numFmtId="0" fontId="10" fillId="0" borderId="1" pivotButton="0" quotePrefix="0" xfId="0"/>
    <xf numFmtId="164" fontId="0" fillId="0" borderId="1" pivotButton="0" quotePrefix="0" xfId="0"/>
    <xf numFmtId="0" fontId="11" fillId="0" borderId="1" pivotButton="0" quotePrefix="0" xfId="0"/>
    <xf numFmtId="0" fontId="6" fillId="0" borderId="0" pivotButton="0" quotePrefix="0" xfId="0"/>
    <xf numFmtId="0" fontId="12" fillId="0" borderId="0" pivotButton="0" quotePrefix="0" xfId="0"/>
    <xf numFmtId="166" fontId="10" fillId="0" borderId="1" applyAlignment="1" pivotButton="0" quotePrefix="0" xfId="0">
      <alignment vertical="center"/>
    </xf>
    <xf numFmtId="0" fontId="10" fillId="0" borderId="1" applyAlignment="1" pivotButton="0" quotePrefix="0" xfId="0">
      <alignment vertical="center"/>
    </xf>
    <xf numFmtId="166" fontId="10" fillId="5" borderId="1" applyAlignment="1" pivotButton="0" quotePrefix="0" xfId="0">
      <alignment vertical="center"/>
    </xf>
    <xf numFmtId="0" fontId="10" fillId="5" borderId="1" applyAlignment="1" pivotButton="0" quotePrefix="0" xfId="0">
      <alignment vertical="center"/>
    </xf>
    <xf numFmtId="4" fontId="8" fillId="5" borderId="1" applyAlignment="1" pivotButton="0" quotePrefix="0" xfId="0">
      <alignment vertical="center"/>
    </xf>
    <xf numFmtId="4" fontId="8" fillId="0" borderId="1" applyAlignment="1" pivotButton="0" quotePrefix="0" xfId="0">
      <alignment vertical="center"/>
    </xf>
    <xf numFmtId="0" fontId="0" fillId="2" borderId="1" pivotButton="0" quotePrefix="0" xfId="0"/>
    <xf numFmtId="0" fontId="8" fillId="2" borderId="1" pivotButton="0" quotePrefix="0" xfId="0"/>
    <xf numFmtId="4" fontId="8" fillId="2" borderId="1" pivotButton="0" quotePrefix="0" xfId="0"/>
    <xf numFmtId="4" fontId="10" fillId="0" borderId="1" applyAlignment="1" pivotButton="0" quotePrefix="0" xfId="0">
      <alignment vertical="center"/>
    </xf>
    <xf numFmtId="4" fontId="10" fillId="5" borderId="1" applyAlignment="1" pivotButton="0" quotePrefix="0" xfId="0">
      <alignment vertical="center"/>
    </xf>
    <xf numFmtId="0" fontId="9" fillId="0" borderId="0" pivotButton="0" quotePrefix="0" xfId="0"/>
    <xf numFmtId="3" fontId="10" fillId="0" borderId="1" applyAlignment="1" pivotButton="0" quotePrefix="0" xfId="0">
      <alignment vertical="center"/>
    </xf>
    <xf numFmtId="3" fontId="8" fillId="0" borderId="1" applyAlignment="1" pivotButton="0" quotePrefix="0" xfId="0">
      <alignment vertical="center"/>
    </xf>
    <xf numFmtId="3" fontId="10" fillId="5" borderId="1" applyAlignment="1" pivotButton="0" quotePrefix="0" xfId="0">
      <alignment vertical="center"/>
    </xf>
    <xf numFmtId="3" fontId="8" fillId="5" borderId="1" applyAlignment="1" pivotButton="0" quotePrefix="0" xfId="0">
      <alignment vertical="center"/>
    </xf>
    <xf numFmtId="3" fontId="8" fillId="2" borderId="1" pivotButton="0" quotePrefix="0" xfId="0"/>
    <xf numFmtId="0" fontId="1" fillId="0" borderId="0" pivotButton="0" quotePrefix="0" xfId="0"/>
    <xf numFmtId="0" fontId="8" fillId="0" borderId="0" pivotButton="0" quotePrefix="0" xfId="0"/>
    <xf numFmtId="166" fontId="10" fillId="0" borderId="0" pivotButton="0" quotePrefix="0" xfId="0"/>
    <xf numFmtId="4" fontId="8" fillId="0" borderId="0" pivotButton="0" quotePrefix="0" xfId="0"/>
    <xf numFmtId="0" fontId="10" fillId="0" borderId="0" pivotButton="0" quotePrefix="0" xfId="0"/>
    <xf numFmtId="4" fontId="13" fillId="0" borderId="0" pivotButton="0" quotePrefix="0" xfId="0"/>
    <xf numFmtId="164" fontId="10" fillId="0" borderId="1" pivotButton="0" quotePrefix="0" xfId="0"/>
    <xf numFmtId="4" fontId="14" fillId="0" borderId="1" pivotButton="0" quotePrefix="0" xfId="0"/>
    <xf numFmtId="166" fontId="0" fillId="0" borderId="0" pivotButton="0" quotePrefix="0" xfId="0"/>
    <xf numFmtId="4" fontId="0" fillId="0" borderId="0" pivotButton="0" quotePrefix="0" xfId="0"/>
    <xf numFmtId="0" fontId="13" fillId="0" borderId="0" pivotButton="0" quotePrefix="0" xfId="0"/>
    <xf numFmtId="0" fontId="15" fillId="0" borderId="0" pivotButton="0" quotePrefix="0" xfId="0"/>
    <xf numFmtId="0" fontId="16" fillId="0" borderId="0" pivotButton="0" quotePrefix="0" xfId="0"/>
    <xf numFmtId="0" fontId="17" fillId="4" borderId="1" applyAlignment="1" pivotButton="0" quotePrefix="0" xfId="0">
      <alignment horizontal="center" vertical="center"/>
    </xf>
    <xf numFmtId="0" fontId="0" fillId="4" borderId="1" pivotButton="0" quotePrefix="0" xfId="0"/>
    <xf numFmtId="0" fontId="6" fillId="2" borderId="1" pivotButton="0" quotePrefix="0" xfId="0"/>
    <xf numFmtId="4" fontId="6" fillId="2" borderId="1" pivotButton="0" quotePrefix="0" xfId="0"/>
    <xf numFmtId="0" fontId="18" fillId="0" borderId="0" applyAlignment="1" pivotButton="0" quotePrefix="0" xfId="0">
      <alignment horizontal="center"/>
    </xf>
    <xf numFmtId="0" fontId="14" fillId="0" borderId="1" pivotButton="0" quotePrefix="0" xfId="0"/>
    <xf numFmtId="0" fontId="0" fillId="0" borderId="5" pivotButton="0" quotePrefix="0" xfId="0"/>
    <xf numFmtId="0" fontId="0" fillId="0" borderId="6" pivotButton="0" quotePrefix="0" xfId="0"/>
    <xf numFmtId="0" fontId="10" fillId="0" borderId="0" applyAlignment="1" pivotButton="0" quotePrefix="0" xfId="0">
      <alignment wrapText="1"/>
    </xf>
  </cellXfs>
  <cellStyles count="1">
    <cellStyle name="Normal" xfId="0" builtinId="0" hidden="0"/>
  </cellStyles>
  <dxfs count="5">
    <dxf>
      <font>
        <name val="Calibri"/>
        <b val="1"/>
        <color rgb="00E74C3C"/>
        <sz val="10"/>
      </font>
      <fill>
        <patternFill patternType="solid">
          <fgColor rgb="00F8D7DA"/>
          <bgColor rgb="00F8D7DA"/>
        </patternFill>
      </fill>
    </dxf>
    <dxf>
      <fill>
        <patternFill patternType="solid">
          <fgColor rgb="00F8D7DA"/>
          <bgColor rgb="00F8D7DA"/>
        </patternFill>
      </fill>
    </dxf>
    <dxf>
      <fill>
        <patternFill patternType="solid">
          <fgColor rgb="00D4EDDA"/>
          <bgColor rgb="00D4EDDA"/>
        </patternFill>
      </fill>
    </dxf>
    <dxf>
      <fill>
        <patternFill patternType="solid">
          <fgColor rgb="00FFF3CD"/>
          <bgColor rgb="00FFF3CD"/>
        </patternFill>
      </fill>
    </dxf>
    <dxf>
      <font>
        <name val="Calibri"/>
        <b val="1"/>
        <sz val="10"/>
      </font>
      <fill>
        <patternFill patternType="solid">
          <fgColor rgb="00F8D7DA"/>
          <bgColor rgb="00F8D7DA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styles" Target="styles.xml" Id="rId17" /><Relationship Type="http://schemas.openxmlformats.org/officeDocument/2006/relationships/theme" Target="theme/theme1.xml" Id="rId18" /></Relationships>
</file>

<file path=xl/tables/table1.xml><?xml version="1.0" encoding="utf-8"?>
<table xmlns="http://schemas.openxmlformats.org/spreadsheetml/2006/main" id="1" name="DaybookTable" displayName="DaybookTable" ref="A8:H19" headerRowCount="1">
  <autoFilter ref="A8:H19"/>
  <tableColumns count="8">
    <tableColumn id="1" name="Date"/>
    <tableColumn id="2" name="Particulars"/>
    <tableColumn id="3" name="Voucher Type"/>
    <tableColumn id="4" name="Reference No"/>
    <tableColumn id="5" name="Debit (Dr)"/>
    <tableColumn id="6" name="Credit (Cr)"/>
    <tableColumn id="7" name="Balance"/>
    <tableColumn id="8" name="Narratio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SalesTable" displayName="SalesTable" ref="A1:L11" headerRowCount="1">
  <autoFilter ref="A1:L11"/>
  <tableColumns count="12">
    <tableColumn id="1" name="Date"/>
    <tableColumn id="2" name="Invoice No"/>
    <tableColumn id="3" name="Party Name"/>
    <tableColumn id="4" name="Product"/>
    <tableColumn id="5" name="Quantity"/>
    <tableColumn id="6" name="Rate"/>
    <tableColumn id="7" name="Amount"/>
    <tableColumn id="8" name="Discount %"/>
    <tableColumn id="9" name="Net Amount"/>
    <tableColumn id="10" name="Payment Mode"/>
    <tableColumn id="11" name="Status"/>
    <tableColumn id="12" name="Remarks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PurchaseTable" displayName="PurchaseTable" ref="A1:Q9" headerRowCount="1">
  <autoFilter ref="A1:Q9"/>
  <tableColumns count="17">
    <tableColumn id="1" name="Date"/>
    <tableColumn id="2" name="Bill No"/>
    <tableColumn id="3" name="Supplier Name"/>
    <tableColumn id="4" name="Product"/>
    <tableColumn id="5" name="FAT %"/>
    <tableColumn id="6" name="SNF %"/>
    <tableColumn id="7" name="Extra Per Unit"/>
    <tableColumn id="8" name="Rate Type"/>
    <tableColumn id="9" name="Fixed Rate Per Unit"/>
    <tableColumn id="10" name="Rate Per Unit"/>
    <tableColumn id="11" name="Quantity"/>
    <tableColumn id="12" name="Amount"/>
    <tableColumn id="13" name="Transport"/>
    <tableColumn id="14" name="Net Amount"/>
    <tableColumn id="15" name="Payment Mode"/>
    <tableColumn id="16" name="Status"/>
    <tableColumn id="17" name="Remarks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CashCollectionTable" displayName="CashCollectionTable" ref="A1:I7" headerRowCount="1">
  <autoFilter ref="A1:I7"/>
  <tableColumns count="9">
    <tableColumn id="1" name="Date"/>
    <tableColumn id="2" name="Receipt No"/>
    <tableColumn id="3" name="Customer Name"/>
    <tableColumn id="4" name="Against Bill No"/>
    <tableColumn id="5" name="Opening Due"/>
    <tableColumn id="6" name="Collected Amount"/>
    <tableColumn id="7" name="Payment Mode"/>
    <tableColumn id="8" name="Closing Due"/>
    <tableColumn id="9" name="Remarks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StockMasterTable" displayName="StockMasterTable" ref="A1:J9" headerRowCount="1">
  <autoFilter ref="A1:J9"/>
  <tableColumns count="10">
    <tableColumn id="1" name="Product Name"/>
    <tableColumn id="2" name="Unit"/>
    <tableColumn id="3" name="Opening Stock"/>
    <tableColumn id="4" name="Purchases In"/>
    <tableColumn id="5" name="Sales Out"/>
    <tableColumn id="6" name="Current Stock"/>
    <tableColumn id="7" name="Reorder Level"/>
    <tableColumn id="8" name="Rate (Rs)"/>
    <tableColumn id="9" name="Stock Value"/>
    <tableColumn id="10" name="Status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6" name="PartyMasterTable" displayName="PartyMasterTable" ref="A1:I10" headerRowCount="1">
  <autoFilter ref="A1:I10"/>
  <tableColumns count="9">
    <tableColumn id="1" name="Party Name"/>
    <tableColumn id="2" name="Type"/>
    <tableColumn id="3" name="Phone"/>
    <tableColumn id="4" name="Address"/>
    <tableColumn id="5" name="Opening Balance"/>
    <tableColumn id="6" name="Total Debit"/>
    <tableColumn id="7" name="Total Credit"/>
    <tableColumn id="8" name="Running Balance"/>
    <tableColumn id="9" name="Status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PartyLedgerTable" displayName="PartyLedgerTable" ref="A1:I9" headerRowCount="1">
  <autoFilter ref="A1:I9"/>
  <tableColumns count="9">
    <tableColumn id="1" name="Date"/>
    <tableColumn id="2" name="Party Name"/>
    <tableColumn id="3" name="Transaction Type"/>
    <tableColumn id="4" name="Reference No"/>
    <tableColumn id="5" name="Description"/>
    <tableColumn id="6" name="Debit"/>
    <tableColumn id="7" name="Credit"/>
    <tableColumn id="8" name="Balance"/>
    <tableColumn id="9" name="Remarks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8" name="DenomTable" displayName="DenomTable" ref="A3:J13" headerRowCount="1">
  <autoFilter ref="A3:J13"/>
  <tableColumns count="10">
    <tableColumn id="1" name="Date"/>
    <tableColumn id="2" name="Count ₹5"/>
    <tableColumn id="3" name="Count ₹10"/>
    <tableColumn id="4" name="Count ₹20"/>
    <tableColumn id="5" name="Count ₹50"/>
    <tableColumn id="6" name="Count ₹100"/>
    <tableColumn id="7" name="Count ₹500"/>
    <tableColumn id="8" name="Count ₹1000"/>
    <tableColumn id="9" name="Other Amount"/>
    <tableColumn id="10" name="Grand Total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6.xml" Id="rId1" /></Relationships>
</file>

<file path=xl/worksheets/_rels/sheet8.xml.rels><Relationships xmlns="http://schemas.openxmlformats.org/package/2006/relationships"><Relationship Type="http://schemas.openxmlformats.org/officeDocument/2006/relationships/table" Target="/xl/tables/table7.xml" Id="rId1" /></Relationships>
</file>

<file path=xl/worksheets/_rels/sheet9.xml.rels><Relationships xmlns="http://schemas.openxmlformats.org/package/2006/relationships"><Relationship Type="http://schemas.openxmlformats.org/officeDocument/2006/relationships/table" Target="/xl/tables/table8.xml" Id="rId1" /></Relationships>
</file>

<file path=xl/worksheets/sheet1.xml><?xml version="1.0" encoding="utf-8"?>
<worksheet xmlns="http://schemas.openxmlformats.org/spreadsheetml/2006/main">
  <sheetPr>
    <tabColor rgb="001B3A5C"/>
    <outlinePr summaryBelow="1" summaryRight="1"/>
  </sheetPr>
  <dimension ref="A1:L48"/>
  <sheetViews>
    <sheetView workbookViewId="0">
      <pane ySplit="43" topLeftCell="A44" activePane="bottomLeft" state="frozen"/>
      <selection pane="bottomLeft" activeCell="A1" sqref="A1"/>
    </sheetView>
  </sheetViews>
  <sheetFormatPr baseColWidth="8" defaultRowHeight="15" outlineLevelCol="0"/>
  <cols>
    <col width="22" customWidth="1" min="1" max="1"/>
    <col width="18" customWidth="1" min="2" max="2"/>
    <col width="18" customWidth="1" min="3" max="3"/>
    <col width="18" customWidth="1" min="4" max="4"/>
    <col width="18" customWidth="1" min="5" max="5"/>
    <col width="18" customWidth="1" min="6" max="6"/>
    <col width="18" customWidth="1" min="7" max="7"/>
    <col width="16" customWidth="1" min="8" max="8"/>
    <col width="16" customWidth="1" min="9" max="9"/>
    <col width="16" customWidth="1" min="10" max="10"/>
    <col width="16" customWidth="1" min="11" max="11"/>
    <col width="16" customWidth="1" min="12" max="12"/>
  </cols>
  <sheetData>
    <row r="1" ht="36" customHeight="1">
      <c r="A1" s="1" t="inlineStr">
        <is>
          <t>🐄 [Your Dairy Plant Name]</t>
        </is>
      </c>
    </row>
    <row r="2" ht="18" customHeight="1">
      <c r="A2" s="2" t="inlineStr">
        <is>
          <t>📊 Accounts Dashboard — Generated 14-Jul-2026 | Version 1.0</t>
        </is>
      </c>
    </row>
    <row r="3" ht="22" customHeight="1">
      <c r="A3" s="3">
        <f>HYPERLINK("#'Daybook'!A1","▶ 📒 Daybook")</f>
        <v/>
      </c>
      <c r="B3" s="3">
        <f>HYPERLINK("#'Sales_Entry'!A1","▶ 📝 Sales")</f>
        <v/>
      </c>
      <c r="C3" s="3">
        <f>HYPERLINK("#'Purchase_Entry'!A1","▶ 📦 Purchases")</f>
        <v/>
      </c>
      <c r="D3" s="3">
        <f>HYPERLINK("#'Cash_Collection'!A1","▶ 💵 Collections")</f>
        <v/>
      </c>
      <c r="E3" s="3">
        <f>HYPERLINK("#'Stock_Master'!A1","▶ 📋 Stock")</f>
        <v/>
      </c>
      <c r="F3" s="3">
        <f>HYPERLINK("#'Party_Master'!A1","▶ 👥 Parties")</f>
        <v/>
      </c>
      <c r="G3" s="3">
        <f>HYPERLINK("#'Party_Ledger'!A1","▶ 📊 Ledger")</f>
        <v/>
      </c>
      <c r="H3" s="3">
        <f>HYPERLINK("#'Sales_Report'!A1","▶ 📈 Sales Rpt")</f>
        <v/>
      </c>
      <c r="I3" s="3">
        <f>HYPERLINK("#'Purchase_Report'!A1","▶ 📉 Purchase Rpt")</f>
        <v/>
      </c>
      <c r="J3" s="3">
        <f>HYPERLINK("#'Stock_Report'!A1","▶ 🗃️ Stock Rpt")</f>
        <v/>
      </c>
      <c r="K3" s="3">
        <f>HYPERLINK("#'Printable_Invoice'!A1","▶ 🧾 Invoice")</f>
        <v/>
      </c>
      <c r="L3" s="3">
        <f>HYPERLINK("#'Printable_Ledger'!A1","▶ 📜 Statement")</f>
        <v/>
      </c>
    </row>
    <row r="5" ht="22" customHeight="1">
      <c r="A5" s="4" t="inlineStr">
        <is>
          <t xml:space="preserve"> 💰 MONTHLY SALES</t>
        </is>
      </c>
      <c r="B5" s="5" t="n"/>
      <c r="C5" s="5" t="n"/>
      <c r="D5" s="4" t="inlineStr">
        <is>
          <t xml:space="preserve"> 📦 MONTHLY PURCHASES</t>
        </is>
      </c>
      <c r="E5" s="5" t="n"/>
      <c r="F5" s="5" t="n"/>
      <c r="G5" s="4" t="inlineStr">
        <is>
          <t xml:space="preserve"> 📋 STOCK VALUE</t>
        </is>
      </c>
      <c r="H5" s="5" t="n"/>
      <c r="I5" s="5" t="n"/>
      <c r="J5" s="4" t="inlineStr">
        <is>
          <t>⚠️ ⚠️ LOW STOCK ITEMS</t>
        </is>
      </c>
      <c r="K5" s="5" t="n"/>
      <c r="L5" s="5" t="n"/>
    </row>
    <row r="6" ht="50" customHeight="1">
      <c r="A6" s="6">
        <f>SUMIFS(Sales_Entry!J$2:J$5000,Sales_Entry!A$2:A$5000,"&gt;="&amp;DATE(YEAR(TODAY()),MONTH(TODAY()),1),Sales_Entry!A$2:A$5000,"&lt;="&amp;EOMONTH(TODAY(),0))</f>
        <v/>
      </c>
      <c r="B6" s="7" t="n"/>
      <c r="C6" s="7" t="n"/>
      <c r="D6" s="6">
        <f>SUMIFS(Purchase_Entry!N$2:N$5000,Purchase_Entry!A$2:A$5000,"&gt;="&amp;DATE(YEAR(TODAY()),MONTH(TODAY()),1),Purchase_Entry!A$2:A$5000,"&lt;="&amp;EOMONTH(TODAY(),0))</f>
        <v/>
      </c>
      <c r="E6" s="7" t="n"/>
      <c r="F6" s="7" t="n"/>
      <c r="G6" s="6">
        <f>SUMPRODUCT((Stock_Master!F$2:F$5000)*(Stock_Master!H$2:H$5000))</f>
        <v/>
      </c>
      <c r="H6" s="7" t="n"/>
      <c r="I6" s="7" t="n"/>
      <c r="J6" s="8">
        <f>COUNTIF(Stock_Master!J$2:J$5000,"Reorder")</f>
        <v/>
      </c>
      <c r="K6" s="7" t="n"/>
      <c r="L6" s="7" t="n"/>
    </row>
    <row r="7" ht="22" customHeight="1">
      <c r="A7" s="4" t="inlineStr">
        <is>
          <t xml:space="preserve"> 📤 OUTSTANDING RECEIVABLES</t>
        </is>
      </c>
      <c r="B7" s="5" t="n"/>
      <c r="C7" s="5" t="n"/>
      <c r="D7" s="4" t="inlineStr">
        <is>
          <t xml:space="preserve"> 📥 OUTSTANDING PAYABLES</t>
        </is>
      </c>
      <c r="E7" s="5" t="n"/>
      <c r="F7" s="5" t="n"/>
      <c r="G7" s="4" t="inlineStr">
        <is>
          <t xml:space="preserve"> 👥 TOTAL PARTIES</t>
        </is>
      </c>
      <c r="H7" s="5" t="n"/>
      <c r="I7" s="5" t="n"/>
      <c r="J7" s="4" t="inlineStr">
        <is>
          <t xml:space="preserve"> 💰 DAYBOOK BALANCE</t>
        </is>
      </c>
      <c r="K7" s="5" t="n"/>
      <c r="L7" s="5" t="n"/>
    </row>
    <row r="8" ht="50" customHeight="1">
      <c r="A8" s="6">
        <f>SUMIFS(Sales_Entry!J$2:J$5000,Sales_Entry!K$2:K$5000,"Unpaid")+SUMIFS(Sales_Entry!J$2:J$5000,Sales_Entry!K$2:K$5000,"Partial")</f>
        <v/>
      </c>
      <c r="B8" s="7" t="n"/>
      <c r="C8" s="7" t="n"/>
      <c r="D8" s="6">
        <f>SUMIFS(Purchase_Entry!N$2:N$5000,Purchase_Entry!P$2:P$5000,"Unpaid")+SUMIFS(Purchase_Entry!N$2:N$5000,Purchase_Entry!P$2:P$5000,"Partial")</f>
        <v/>
      </c>
      <c r="E8" s="7" t="n"/>
      <c r="F8" s="7" t="n"/>
      <c r="G8" s="8">
        <f>COUNTA(Party_Master!A$2:A$5000)</f>
        <v/>
      </c>
      <c r="H8" s="7" t="n"/>
      <c r="I8" s="7" t="n"/>
      <c r="J8" s="6">
        <f>IFERROR(INDEX(Daybook!G$2:G$5000,COUNTA(Daybook!A$2:A$5000)),0)</f>
        <v/>
      </c>
      <c r="K8" s="7" t="n"/>
      <c r="L8" s="7" t="n"/>
    </row>
    <row r="11" ht="28" customHeight="1">
      <c r="A11" s="9" t="inlineStr">
        <is>
          <t>📈 MONTHLY TREND (Sales vs Purchases)</t>
        </is>
      </c>
    </row>
    <row r="12" ht="22" customHeight="1">
      <c r="A12" s="10" t="inlineStr">
        <is>
          <t>Month</t>
        </is>
      </c>
      <c r="B12" s="10" t="inlineStr">
        <is>
          <t>Sales</t>
        </is>
      </c>
      <c r="C12" s="10" t="inlineStr">
        <is>
          <t>Purchases</t>
        </is>
      </c>
      <c r="D12" s="10" t="inlineStr">
        <is>
          <t>Net Profit/Loss</t>
        </is>
      </c>
      <c r="E12" s="10" t="inlineStr">
        <is>
          <t>Invoice Count</t>
        </is>
      </c>
      <c r="F12" s="10" t="inlineStr">
        <is>
          <t>Purchase Count</t>
        </is>
      </c>
    </row>
    <row r="13">
      <c r="A13" s="11" t="inlineStr">
        <is>
          <t>Jul 2026</t>
        </is>
      </c>
      <c r="B13" s="12">
        <f>SUMIFS(Sales_Entry!J$2:J$5000,Sales_Entry!A$2:A$5000,"&gt;="&amp;DATE(2026,7,1),Sales_Entry!A$2:A$5000,"&lt;="&amp;DATE(2026,7,31))</f>
        <v/>
      </c>
      <c r="C13" s="12">
        <f>SUMIFS(Purchase_Entry!N$2:N$5000,Purchase_Entry!A$2:A$5000,"&gt;="&amp;DATE(2026,7,1),Purchase_Entry!A$2:A$5000,"&lt;="&amp;DATE(2026,7,31))</f>
        <v/>
      </c>
      <c r="D13" s="13">
        <f>B13-C13</f>
        <v/>
      </c>
      <c r="E13" s="14">
        <f>COUNTIFS(Sales_Entry!A$2:A$5000,"&gt;="&amp;DATE(2026,7,1),Sales_Entry!A$2:A$5000,"&lt;="&amp;DATE(2026,7,31))</f>
        <v/>
      </c>
      <c r="F13" s="14">
        <f>COUNTIFS(Purchase_Entry!A$2:A$5000,"&gt;="&amp;DATE(2026,7,1),Purchase_Entry!A$2:A$5000,"&lt;="&amp;DATE(2026,7,31))</f>
        <v/>
      </c>
    </row>
    <row r="14">
      <c r="A14" s="15" t="inlineStr">
        <is>
          <t>Jun 2026</t>
        </is>
      </c>
      <c r="B14" s="16">
        <f>SUMIFS(Sales_Entry!J$2:J$5000,Sales_Entry!A$2:A$5000,"&gt;="&amp;DATE(2026,6,1),Sales_Entry!A$2:A$5000,"&lt;="&amp;DATE(2026,6,30))</f>
        <v/>
      </c>
      <c r="C14" s="16">
        <f>SUMIFS(Purchase_Entry!N$2:N$5000,Purchase_Entry!A$2:A$5000,"&gt;="&amp;DATE(2026,6,1),Purchase_Entry!A$2:A$5000,"&lt;="&amp;DATE(2026,6,30))</f>
        <v/>
      </c>
      <c r="D14" s="17">
        <f>B14-C14</f>
        <v/>
      </c>
      <c r="E14" s="18">
        <f>COUNTIFS(Sales_Entry!A$2:A$5000,"&gt;="&amp;DATE(2026,6,1),Sales_Entry!A$2:A$5000,"&lt;="&amp;DATE(2026,6,30))</f>
        <v/>
      </c>
      <c r="F14" s="18">
        <f>COUNTIFS(Purchase_Entry!A$2:A$5000,"&gt;="&amp;DATE(2026,6,1),Purchase_Entry!A$2:A$5000,"&lt;="&amp;DATE(2026,6,30))</f>
        <v/>
      </c>
    </row>
    <row r="15">
      <c r="A15" s="11" t="inlineStr">
        <is>
          <t>May 2026</t>
        </is>
      </c>
      <c r="B15" s="12">
        <f>SUMIFS(Sales_Entry!J$2:J$5000,Sales_Entry!A$2:A$5000,"&gt;="&amp;DATE(2026,5,1),Sales_Entry!A$2:A$5000,"&lt;="&amp;DATE(2026,5,31))</f>
        <v/>
      </c>
      <c r="C15" s="12">
        <f>SUMIFS(Purchase_Entry!N$2:N$5000,Purchase_Entry!A$2:A$5000,"&gt;="&amp;DATE(2026,5,1),Purchase_Entry!A$2:A$5000,"&lt;="&amp;DATE(2026,5,31))</f>
        <v/>
      </c>
      <c r="D15" s="13">
        <f>B15-C15</f>
        <v/>
      </c>
      <c r="E15" s="14">
        <f>COUNTIFS(Sales_Entry!A$2:A$5000,"&gt;="&amp;DATE(2026,5,1),Sales_Entry!A$2:A$5000,"&lt;="&amp;DATE(2026,5,31))</f>
        <v/>
      </c>
      <c r="F15" s="14">
        <f>COUNTIFS(Purchase_Entry!A$2:A$5000,"&gt;="&amp;DATE(2026,5,1),Purchase_Entry!A$2:A$5000,"&lt;="&amp;DATE(2026,5,31))</f>
        <v/>
      </c>
    </row>
    <row r="16">
      <c r="A16" s="15" t="inlineStr">
        <is>
          <t>Apr 2026</t>
        </is>
      </c>
      <c r="B16" s="16">
        <f>SUMIFS(Sales_Entry!J$2:J$5000,Sales_Entry!A$2:A$5000,"&gt;="&amp;DATE(2026,4,1),Sales_Entry!A$2:A$5000,"&lt;="&amp;DATE(2026,4,30))</f>
        <v/>
      </c>
      <c r="C16" s="16">
        <f>SUMIFS(Purchase_Entry!N$2:N$5000,Purchase_Entry!A$2:A$5000,"&gt;="&amp;DATE(2026,4,1),Purchase_Entry!A$2:A$5000,"&lt;="&amp;DATE(2026,4,30))</f>
        <v/>
      </c>
      <c r="D16" s="17">
        <f>B16-C16</f>
        <v/>
      </c>
      <c r="E16" s="18">
        <f>COUNTIFS(Sales_Entry!A$2:A$5000,"&gt;="&amp;DATE(2026,4,1),Sales_Entry!A$2:A$5000,"&lt;="&amp;DATE(2026,4,30))</f>
        <v/>
      </c>
      <c r="F16" s="18">
        <f>COUNTIFS(Purchase_Entry!A$2:A$5000,"&gt;="&amp;DATE(2026,4,1),Purchase_Entry!A$2:A$5000,"&lt;="&amp;DATE(2026,4,30))</f>
        <v/>
      </c>
    </row>
    <row r="17">
      <c r="A17" s="11" t="inlineStr">
        <is>
          <t>Mar 2026</t>
        </is>
      </c>
      <c r="B17" s="12">
        <f>SUMIFS(Sales_Entry!J$2:J$5000,Sales_Entry!A$2:A$5000,"&gt;="&amp;DATE(2026,3,1),Sales_Entry!A$2:A$5000,"&lt;="&amp;DATE(2026,3,31))</f>
        <v/>
      </c>
      <c r="C17" s="12">
        <f>SUMIFS(Purchase_Entry!N$2:N$5000,Purchase_Entry!A$2:A$5000,"&gt;="&amp;DATE(2026,3,1),Purchase_Entry!A$2:A$5000,"&lt;="&amp;DATE(2026,3,31))</f>
        <v/>
      </c>
      <c r="D17" s="13">
        <f>B17-C17</f>
        <v/>
      </c>
      <c r="E17" s="14">
        <f>COUNTIFS(Sales_Entry!A$2:A$5000,"&gt;="&amp;DATE(2026,3,1),Sales_Entry!A$2:A$5000,"&lt;="&amp;DATE(2026,3,31))</f>
        <v/>
      </c>
      <c r="F17" s="14">
        <f>COUNTIFS(Purchase_Entry!A$2:A$5000,"&gt;="&amp;DATE(2026,3,1),Purchase_Entry!A$2:A$5000,"&lt;="&amp;DATE(2026,3,31))</f>
        <v/>
      </c>
    </row>
    <row r="18">
      <c r="A18" s="15" t="inlineStr">
        <is>
          <t>Feb 2026</t>
        </is>
      </c>
      <c r="B18" s="16">
        <f>SUMIFS(Sales_Entry!J$2:J$5000,Sales_Entry!A$2:A$5000,"&gt;="&amp;DATE(2026,2,1),Sales_Entry!A$2:A$5000,"&lt;="&amp;DATE(2026,2,28))</f>
        <v/>
      </c>
      <c r="C18" s="16">
        <f>SUMIFS(Purchase_Entry!N$2:N$5000,Purchase_Entry!A$2:A$5000,"&gt;="&amp;DATE(2026,2,1),Purchase_Entry!A$2:A$5000,"&lt;="&amp;DATE(2026,2,28))</f>
        <v/>
      </c>
      <c r="D18" s="17">
        <f>B18-C18</f>
        <v/>
      </c>
      <c r="E18" s="18">
        <f>COUNTIFS(Sales_Entry!A$2:A$5000,"&gt;="&amp;DATE(2026,2,1),Sales_Entry!A$2:A$5000,"&lt;="&amp;DATE(2026,2,28))</f>
        <v/>
      </c>
      <c r="F18" s="18">
        <f>COUNTIFS(Purchase_Entry!A$2:A$5000,"&gt;="&amp;DATE(2026,2,1),Purchase_Entry!A$2:A$5000,"&lt;="&amp;DATE(2026,2,28))</f>
        <v/>
      </c>
    </row>
    <row r="20" ht="28" customHeight="1">
      <c r="A20" s="9" t="inlineStr">
        <is>
          <t>🏢 PARTY BALANCE SUMMARY</t>
        </is>
      </c>
    </row>
    <row r="21">
      <c r="A21" s="10" t="inlineStr">
        <is>
          <t>Party Name</t>
        </is>
      </c>
      <c r="B21" s="10" t="inlineStr">
        <is>
          <t>Type</t>
        </is>
      </c>
      <c r="C21" s="10" t="inlineStr">
        <is>
          <t>Opening Balance</t>
        </is>
      </c>
      <c r="D21" s="10" t="inlineStr">
        <is>
          <t>Total Debit</t>
        </is>
      </c>
      <c r="E21" s="10" t="inlineStr">
        <is>
          <t>Total Credit</t>
        </is>
      </c>
      <c r="F21" s="10" t="inlineStr">
        <is>
          <t>Current Balance</t>
        </is>
      </c>
      <c r="G21" s="10" t="inlineStr">
        <is>
          <t>Status</t>
        </is>
      </c>
    </row>
    <row r="22">
      <c r="A22" s="19" t="inlineStr">
        <is>
          <t>[Enter Party 1]</t>
        </is>
      </c>
      <c r="B22" s="5">
        <f>IFERROR(VLOOKUP(A22,Party_Master!B$2:I$5000,1,FALSE),"")</f>
        <v/>
      </c>
      <c r="C22" s="12">
        <f>IFERROR(VLOOKUP(A22,Party_Master!B$2:I$5000,4,FALSE),0)</f>
        <v/>
      </c>
      <c r="D22" s="12">
        <f>SUMIF(Party_Ledger!B$2:B$5000,A22,Party_Ledger!F$2:F$5000)</f>
        <v/>
      </c>
      <c r="E22" s="12">
        <f>SUMIF(Party_Ledger!B$2:B$5000,A22,Party_Ledger!G$2:G$5000)</f>
        <v/>
      </c>
      <c r="F22" s="13">
        <f>C22+D22-E22</f>
        <v/>
      </c>
      <c r="G22" s="11">
        <f>IF(F22&gt;0,"Receivable",IF(F22&lt;0,"Payable","Settled"))</f>
        <v/>
      </c>
    </row>
    <row r="23">
      <c r="A23" s="19" t="inlineStr">
        <is>
          <t>[Enter Party 2]</t>
        </is>
      </c>
      <c r="B23" s="5">
        <f>IFERROR(VLOOKUP(A23,Party_Master!B$2:I$5000,1,FALSE),"")</f>
        <v/>
      </c>
      <c r="C23" s="12">
        <f>IFERROR(VLOOKUP(A23,Party_Master!B$2:I$5000,4,FALSE),0)</f>
        <v/>
      </c>
      <c r="D23" s="12">
        <f>SUMIF(Party_Ledger!B$2:B$5000,A23,Party_Ledger!F$2:F$5000)</f>
        <v/>
      </c>
      <c r="E23" s="12">
        <f>SUMIF(Party_Ledger!B$2:B$5000,A23,Party_Ledger!G$2:G$5000)</f>
        <v/>
      </c>
      <c r="F23" s="13">
        <f>C23+D23-E23</f>
        <v/>
      </c>
      <c r="G23" s="11">
        <f>IF(F23&gt;0,"Receivable",IF(F23&lt;0,"Payable","Settled"))</f>
        <v/>
      </c>
    </row>
    <row r="24">
      <c r="A24" s="19" t="inlineStr">
        <is>
          <t>[Enter Party 3]</t>
        </is>
      </c>
      <c r="B24" s="5">
        <f>IFERROR(VLOOKUP(A24,Party_Master!B$2:I$5000,1,FALSE),"")</f>
        <v/>
      </c>
      <c r="C24" s="12">
        <f>IFERROR(VLOOKUP(A24,Party_Master!B$2:I$5000,4,FALSE),0)</f>
        <v/>
      </c>
      <c r="D24" s="12">
        <f>SUMIF(Party_Ledger!B$2:B$5000,A24,Party_Ledger!F$2:F$5000)</f>
        <v/>
      </c>
      <c r="E24" s="12">
        <f>SUMIF(Party_Ledger!B$2:B$5000,A24,Party_Ledger!G$2:G$5000)</f>
        <v/>
      </c>
      <c r="F24" s="13">
        <f>C24+D24-E24</f>
        <v/>
      </c>
      <c r="G24" s="11">
        <f>IF(F24&gt;0,"Receivable",IF(F24&lt;0,"Payable","Settled"))</f>
        <v/>
      </c>
    </row>
    <row r="25">
      <c r="A25" s="19" t="inlineStr">
        <is>
          <t>[Enter Party 4]</t>
        </is>
      </c>
      <c r="B25" s="5">
        <f>IFERROR(VLOOKUP(A25,Party_Master!B$2:I$5000,1,FALSE),"")</f>
        <v/>
      </c>
      <c r="C25" s="12">
        <f>IFERROR(VLOOKUP(A25,Party_Master!B$2:I$5000,4,FALSE),0)</f>
        <v/>
      </c>
      <c r="D25" s="12">
        <f>SUMIF(Party_Ledger!B$2:B$5000,A25,Party_Ledger!F$2:F$5000)</f>
        <v/>
      </c>
      <c r="E25" s="12">
        <f>SUMIF(Party_Ledger!B$2:B$5000,A25,Party_Ledger!G$2:G$5000)</f>
        <v/>
      </c>
      <c r="F25" s="13">
        <f>C25+D25-E25</f>
        <v/>
      </c>
      <c r="G25" s="11">
        <f>IF(F25&gt;0,"Receivable",IF(F25&lt;0,"Payable","Settled"))</f>
        <v/>
      </c>
    </row>
    <row r="26">
      <c r="A26" s="19" t="inlineStr">
        <is>
          <t>[Enter Party 5]</t>
        </is>
      </c>
      <c r="B26" s="5">
        <f>IFERROR(VLOOKUP(A26,Party_Master!B$2:I$5000,1,FALSE),"")</f>
        <v/>
      </c>
      <c r="C26" s="12">
        <f>IFERROR(VLOOKUP(A26,Party_Master!B$2:I$5000,4,FALSE),0)</f>
        <v/>
      </c>
      <c r="D26" s="12">
        <f>SUMIF(Party_Ledger!B$2:B$5000,A26,Party_Ledger!F$2:F$5000)</f>
        <v/>
      </c>
      <c r="E26" s="12">
        <f>SUMIF(Party_Ledger!B$2:B$5000,A26,Party_Ledger!G$2:G$5000)</f>
        <v/>
      </c>
      <c r="F26" s="13">
        <f>C26+D26-E26</f>
        <v/>
      </c>
      <c r="G26" s="11">
        <f>IF(F26&gt;0,"Receivable",IF(F26&lt;0,"Payable","Settled"))</f>
        <v/>
      </c>
    </row>
    <row r="27">
      <c r="A27" s="19" t="inlineStr">
        <is>
          <t>[Enter Party 6]</t>
        </is>
      </c>
      <c r="B27" s="5">
        <f>IFERROR(VLOOKUP(A27,Party_Master!B$2:I$5000,1,FALSE),"")</f>
        <v/>
      </c>
      <c r="C27" s="12">
        <f>IFERROR(VLOOKUP(A27,Party_Master!B$2:I$5000,4,FALSE),0)</f>
        <v/>
      </c>
      <c r="D27" s="12">
        <f>SUMIF(Party_Ledger!B$2:B$5000,A27,Party_Ledger!F$2:F$5000)</f>
        <v/>
      </c>
      <c r="E27" s="12">
        <f>SUMIF(Party_Ledger!B$2:B$5000,A27,Party_Ledger!G$2:G$5000)</f>
        <v/>
      </c>
      <c r="F27" s="13">
        <f>C27+D27-E27</f>
        <v/>
      </c>
      <c r="G27" s="11">
        <f>IF(F27&gt;0,"Receivable",IF(F27&lt;0,"Payable","Settled"))</f>
        <v/>
      </c>
    </row>
    <row r="28">
      <c r="A28" s="19" t="inlineStr">
        <is>
          <t>[Enter Party 7]</t>
        </is>
      </c>
      <c r="B28" s="5">
        <f>IFERROR(VLOOKUP(A28,Party_Master!B$2:I$5000,1,FALSE),"")</f>
        <v/>
      </c>
      <c r="C28" s="12">
        <f>IFERROR(VLOOKUP(A28,Party_Master!B$2:I$5000,4,FALSE),0)</f>
        <v/>
      </c>
      <c r="D28" s="12">
        <f>SUMIF(Party_Ledger!B$2:B$5000,A28,Party_Ledger!F$2:F$5000)</f>
        <v/>
      </c>
      <c r="E28" s="12">
        <f>SUMIF(Party_Ledger!B$2:B$5000,A28,Party_Ledger!G$2:G$5000)</f>
        <v/>
      </c>
      <c r="F28" s="13">
        <f>C28+D28-E28</f>
        <v/>
      </c>
      <c r="G28" s="11">
        <f>IF(F28&gt;0,"Receivable",IF(F28&lt;0,"Payable","Settled"))</f>
        <v/>
      </c>
    </row>
    <row r="29">
      <c r="A29" s="19" t="inlineStr">
        <is>
          <t>[Enter Party 8]</t>
        </is>
      </c>
      <c r="B29" s="5">
        <f>IFERROR(VLOOKUP(A29,Party_Master!B$2:I$5000,1,FALSE),"")</f>
        <v/>
      </c>
      <c r="C29" s="12">
        <f>IFERROR(VLOOKUP(A29,Party_Master!B$2:I$5000,4,FALSE),0)</f>
        <v/>
      </c>
      <c r="D29" s="12">
        <f>SUMIF(Party_Ledger!B$2:B$5000,A29,Party_Ledger!F$2:F$5000)</f>
        <v/>
      </c>
      <c r="E29" s="12">
        <f>SUMIF(Party_Ledger!B$2:B$5000,A29,Party_Ledger!G$2:G$5000)</f>
        <v/>
      </c>
      <c r="F29" s="13">
        <f>C29+D29-E29</f>
        <v/>
      </c>
      <c r="G29" s="11">
        <f>IF(F29&gt;0,"Receivable",IF(F29&lt;0,"Payable","Settled"))</f>
        <v/>
      </c>
    </row>
    <row r="31" ht="28" customHeight="1">
      <c r="A31" s="9" t="inlineStr">
        <is>
          <t>⚠️ LOW STOCK ALERTS</t>
        </is>
      </c>
    </row>
    <row r="32">
      <c r="A32" s="10" t="inlineStr">
        <is>
          <t>Product</t>
        </is>
      </c>
      <c r="B32" s="10" t="inlineStr">
        <is>
          <t>Current Stock</t>
        </is>
      </c>
      <c r="C32" s="10" t="inlineStr">
        <is>
          <t>Reorder Level</t>
        </is>
      </c>
      <c r="D32" s="10" t="inlineStr">
        <is>
          <t>Status</t>
        </is>
      </c>
    </row>
    <row r="33">
      <c r="A33" s="20">
        <f>IFERROR(INDEX(Stock_Master!A$2:A$5000,2),"")</f>
        <v/>
      </c>
      <c r="B33" s="14">
        <f>IF(A33="","",INDEX(Stock_Master!F$2:F$5000,2))</f>
        <v/>
      </c>
      <c r="C33" s="14">
        <f>IF(A33="","",INDEX(Stock_Master!G$2:G$5000,2))</f>
        <v/>
      </c>
      <c r="D33" s="11">
        <f>IF(A33="","",INDEX(Stock_Master!J$2:J$5000,2))</f>
        <v/>
      </c>
    </row>
    <row r="34">
      <c r="A34" s="20">
        <f>IFERROR(INDEX(Stock_Master!A$2:A$5000,3),"")</f>
        <v/>
      </c>
      <c r="B34" s="14">
        <f>IF(A34="","",INDEX(Stock_Master!F$2:F$5000,3))</f>
        <v/>
      </c>
      <c r="C34" s="14">
        <f>IF(A34="","",INDEX(Stock_Master!G$2:G$5000,3))</f>
        <v/>
      </c>
      <c r="D34" s="11">
        <f>IF(A34="","",INDEX(Stock_Master!J$2:J$5000,3))</f>
        <v/>
      </c>
    </row>
    <row r="35">
      <c r="A35" s="20">
        <f>IFERROR(INDEX(Stock_Master!A$2:A$5000,4),"")</f>
        <v/>
      </c>
      <c r="B35" s="14">
        <f>IF(A35="","",INDEX(Stock_Master!F$2:F$5000,4))</f>
        <v/>
      </c>
      <c r="C35" s="14">
        <f>IF(A35="","",INDEX(Stock_Master!G$2:G$5000,4))</f>
        <v/>
      </c>
      <c r="D35" s="11">
        <f>IF(A35="","",INDEX(Stock_Master!J$2:J$5000,4))</f>
        <v/>
      </c>
    </row>
    <row r="36">
      <c r="A36" s="20">
        <f>IFERROR(INDEX(Stock_Master!A$2:A$5000,5),"")</f>
        <v/>
      </c>
      <c r="B36" s="14">
        <f>IF(A36="","",INDEX(Stock_Master!F$2:F$5000,5))</f>
        <v/>
      </c>
      <c r="C36" s="14">
        <f>IF(A36="","",INDEX(Stock_Master!G$2:G$5000,5))</f>
        <v/>
      </c>
      <c r="D36" s="11">
        <f>IF(A36="","",INDEX(Stock_Master!J$2:J$5000,5))</f>
        <v/>
      </c>
    </row>
    <row r="37">
      <c r="A37" s="20">
        <f>IFERROR(INDEX(Stock_Master!A$2:A$5000,6),"")</f>
        <v/>
      </c>
      <c r="B37" s="14">
        <f>IF(A37="","",INDEX(Stock_Master!F$2:F$5000,6))</f>
        <v/>
      </c>
      <c r="C37" s="14">
        <f>IF(A37="","",INDEX(Stock_Master!G$2:G$5000,6))</f>
        <v/>
      </c>
      <c r="D37" s="11">
        <f>IF(A37="","",INDEX(Stock_Master!J$2:J$5000,6))</f>
        <v/>
      </c>
    </row>
    <row r="38">
      <c r="A38" s="20">
        <f>IFERROR(INDEX(Stock_Master!A$2:A$5000,7),"")</f>
        <v/>
      </c>
      <c r="B38" s="14">
        <f>IF(A38="","",INDEX(Stock_Master!F$2:F$5000,7))</f>
        <v/>
      </c>
      <c r="C38" s="14">
        <f>IF(A38="","",INDEX(Stock_Master!G$2:G$5000,7))</f>
        <v/>
      </c>
      <c r="D38" s="11">
        <f>IF(A38="","",INDEX(Stock_Master!J$2:J$5000,7))</f>
        <v/>
      </c>
    </row>
    <row r="39">
      <c r="A39" s="20">
        <f>IFERROR(INDEX(Stock_Master!A$2:A$5000,8),"")</f>
        <v/>
      </c>
      <c r="B39" s="14">
        <f>IF(A39="","",INDEX(Stock_Master!F$2:F$5000,8))</f>
        <v/>
      </c>
      <c r="C39" s="14">
        <f>IF(A39="","",INDEX(Stock_Master!G$2:G$5000,8))</f>
        <v/>
      </c>
      <c r="D39" s="11">
        <f>IF(A39="","",INDEX(Stock_Master!J$2:J$5000,8))</f>
        <v/>
      </c>
    </row>
    <row r="40">
      <c r="A40" s="20">
        <f>IFERROR(INDEX(Stock_Master!A$2:A$5000,9),"")</f>
        <v/>
      </c>
      <c r="B40" s="14">
        <f>IF(A40="","",INDEX(Stock_Master!F$2:F$5000,9))</f>
        <v/>
      </c>
      <c r="C40" s="14">
        <f>IF(A40="","",INDEX(Stock_Master!G$2:G$5000,9))</f>
        <v/>
      </c>
      <c r="D40" s="11">
        <f>IF(A40="","",INDEX(Stock_Master!J$2:J$5000,9))</f>
        <v/>
      </c>
    </row>
    <row r="42" ht="28" customHeight="1">
      <c r="A42" s="9" t="inlineStr">
        <is>
          <t>🕐 RECENT TRANSACTIONS</t>
        </is>
      </c>
    </row>
    <row r="43">
      <c r="A43" s="10" t="inlineStr">
        <is>
          <t>Date</t>
        </is>
      </c>
      <c r="B43" s="10" t="inlineStr">
        <is>
          <t>Type</t>
        </is>
      </c>
      <c r="C43" s="10" t="inlineStr">
        <is>
          <t>Party</t>
        </is>
      </c>
      <c r="D43" s="10" t="inlineStr">
        <is>
          <t>Invoice/Bill</t>
        </is>
      </c>
      <c r="E43" s="10" t="inlineStr">
        <is>
          <t>Amount</t>
        </is>
      </c>
      <c r="F43" s="10" t="inlineStr">
        <is>
          <t>Status</t>
        </is>
      </c>
    </row>
    <row r="44">
      <c r="A44" s="21">
        <f>IFERROR(INDEX(Sales_Entry!A$2:A$5000,2),"")</f>
        <v/>
      </c>
      <c r="B44" s="22" t="inlineStr">
        <is>
          <t>"Sale"</t>
        </is>
      </c>
      <c r="C44" s="5">
        <f>IFERROR(INDEX(Sales_Entry!C$2:C$5000,2),"")</f>
        <v/>
      </c>
      <c r="D44" s="5">
        <f>IFERROR(INDEX(Sales_Entry!B$2:B$5000,2),"")</f>
        <v/>
      </c>
      <c r="E44" s="12">
        <f>IFERROR(INDEX(Sales_Entry!J$2:J$5000,2),"")</f>
        <v/>
      </c>
      <c r="F44" s="5">
        <f>IFERROR(INDEX(Sales_Entry!K$2:K$5000,2),"")</f>
        <v/>
      </c>
    </row>
    <row r="45">
      <c r="A45" s="21">
        <f>IFERROR(INDEX(Sales_Entry!A$2:A$5000,3),"")</f>
        <v/>
      </c>
      <c r="B45" s="22" t="inlineStr">
        <is>
          <t>"Sale"</t>
        </is>
      </c>
      <c r="C45" s="5">
        <f>IFERROR(INDEX(Sales_Entry!C$2:C$5000,3),"")</f>
        <v/>
      </c>
      <c r="D45" s="5">
        <f>IFERROR(INDEX(Sales_Entry!B$2:B$5000,3),"")</f>
        <v/>
      </c>
      <c r="E45" s="12">
        <f>IFERROR(INDEX(Sales_Entry!J$2:J$5000,3),"")</f>
        <v/>
      </c>
      <c r="F45" s="5">
        <f>IFERROR(INDEX(Sales_Entry!K$2:K$5000,3),"")</f>
        <v/>
      </c>
    </row>
    <row r="46">
      <c r="A46" s="21">
        <f>IFERROR(INDEX(Sales_Entry!A$2:A$5000,4),"")</f>
        <v/>
      </c>
      <c r="B46" s="22" t="inlineStr">
        <is>
          <t>"Sale"</t>
        </is>
      </c>
      <c r="C46" s="5">
        <f>IFERROR(INDEX(Sales_Entry!C$2:C$5000,4),"")</f>
        <v/>
      </c>
      <c r="D46" s="5">
        <f>IFERROR(INDEX(Sales_Entry!B$2:B$5000,4),"")</f>
        <v/>
      </c>
      <c r="E46" s="12">
        <f>IFERROR(INDEX(Sales_Entry!J$2:J$5000,4),"")</f>
        <v/>
      </c>
      <c r="F46" s="5">
        <f>IFERROR(INDEX(Sales_Entry!K$2:K$5000,4),"")</f>
        <v/>
      </c>
    </row>
    <row r="47">
      <c r="A47" s="21">
        <f>IFERROR(INDEX(Sales_Entry!A$2:A$5000,5),"")</f>
        <v/>
      </c>
      <c r="B47" s="22" t="inlineStr">
        <is>
          <t>"Sale"</t>
        </is>
      </c>
      <c r="C47" s="5">
        <f>IFERROR(INDEX(Sales_Entry!C$2:C$5000,5),"")</f>
        <v/>
      </c>
      <c r="D47" s="5">
        <f>IFERROR(INDEX(Sales_Entry!B$2:B$5000,5),"")</f>
        <v/>
      </c>
      <c r="E47" s="12">
        <f>IFERROR(INDEX(Sales_Entry!J$2:J$5000,5),"")</f>
        <v/>
      </c>
      <c r="F47" s="5">
        <f>IFERROR(INDEX(Sales_Entry!K$2:K$5000,5),"")</f>
        <v/>
      </c>
    </row>
    <row r="48">
      <c r="A48" s="21">
        <f>IFERROR(INDEX(Sales_Entry!A$2:A$5000,6),"")</f>
        <v/>
      </c>
      <c r="B48" s="22" t="inlineStr">
        <is>
          <t>"Sale"</t>
        </is>
      </c>
      <c r="C48" s="5">
        <f>IFERROR(INDEX(Sales_Entry!C$2:C$5000,6),"")</f>
        <v/>
      </c>
      <c r="D48" s="5">
        <f>IFERROR(INDEX(Sales_Entry!B$2:B$5000,6),"")</f>
        <v/>
      </c>
      <c r="E48" s="12">
        <f>IFERROR(INDEX(Sales_Entry!J$2:J$5000,6),"")</f>
        <v/>
      </c>
      <c r="F48" s="5">
        <f>IFERROR(INDEX(Sales_Entry!K$2:K$5000,6),"")</f>
        <v/>
      </c>
    </row>
  </sheetData>
  <autoFilter ref="A21:G29"/>
  <mergeCells count="22">
    <mergeCell ref="J6:L6"/>
    <mergeCell ref="G6:I6"/>
    <mergeCell ref="D7:F7"/>
    <mergeCell ref="J7:L7"/>
    <mergeCell ref="A2:L2"/>
    <mergeCell ref="A42:L42"/>
    <mergeCell ref="A5:C5"/>
    <mergeCell ref="G5:I5"/>
    <mergeCell ref="A8:C8"/>
    <mergeCell ref="D8:F8"/>
    <mergeCell ref="A20:L20"/>
    <mergeCell ref="D5:F5"/>
    <mergeCell ref="A31:L31"/>
    <mergeCell ref="J8:L8"/>
    <mergeCell ref="J5:L5"/>
    <mergeCell ref="A11:L11"/>
    <mergeCell ref="A1:L1"/>
    <mergeCell ref="A6:C6"/>
    <mergeCell ref="D6:F6"/>
    <mergeCell ref="G8:I8"/>
    <mergeCell ref="A7:C7"/>
    <mergeCell ref="G7:I7"/>
  </mergeCells>
  <conditionalFormatting sqref="D44:D49">
    <cfRule type="cellIs" priority="1" operator="lessThan" dxfId="0">
      <formula>0</formula>
    </cfRule>
  </conditionalFormatting>
  <pageMargins left="0.5" right="0.5" top="0.5" bottom="0.5" header="0.5" footer="0.5"/>
  <pageSetup orientation="landscape"/>
</worksheet>
</file>

<file path=xl/worksheets/sheet2.xml><?xml version="1.0" encoding="utf-8"?>
<worksheet xmlns="http://schemas.openxmlformats.org/spreadsheetml/2006/main">
  <sheetPr>
    <tabColor rgb="002ECC71"/>
    <outlinePr summaryBelow="1" summaryRight="1"/>
    <pageSetUpPr/>
  </sheetPr>
  <dimension ref="A1:L20"/>
  <sheetViews>
    <sheetView workbookViewId="0">
      <pane ySplit="8" topLeftCell="A9" activePane="bottomLeft" state="frozen"/>
      <selection pane="bottomLeft" activeCell="A1" sqref="A1"/>
    </sheetView>
  </sheetViews>
  <sheetFormatPr baseColWidth="8" defaultRowHeight="15" outlineLevelCol="0"/>
  <cols>
    <col width="14" customWidth="1" min="1" max="1"/>
    <col width="26" customWidth="1" min="2" max="2"/>
    <col width="16" customWidth="1" min="3" max="3"/>
    <col width="14" customWidth="1" min="4" max="4"/>
    <col width="14" customWidth="1" min="5" max="5"/>
    <col width="14" customWidth="1" min="6" max="6"/>
    <col width="14" customWidth="1" min="7" max="7"/>
    <col width="36" customWidth="1" min="8" max="8"/>
  </cols>
  <sheetData>
    <row r="1">
      <c r="A1" s="1" t="inlineStr">
        <is>
          <t>🐄 [Your Dairy Plant Name]</t>
        </is>
      </c>
    </row>
    <row r="2">
      <c r="A2" s="2" t="inlineStr">
        <is>
          <t>📒 Daybook — Daily Debit/Credit Register</t>
        </is>
      </c>
    </row>
    <row r="4">
      <c r="A4" s="23" t="inlineStr">
        <is>
          <t>Instructions:</t>
        </is>
      </c>
    </row>
    <row r="5">
      <c r="A5" s="24" t="inlineStr">
        <is>
          <t>Record ALL daily transactions here. Debit = money outflow (expenses, purchases), Credit = money inflow (sales, receipts). Balance updates automatically.</t>
        </is>
      </c>
    </row>
    <row r="6">
      <c r="A6" s="24" t="inlineStr">
        <is>
          <t>💡 Sales &amp; Purchase entries can be manually posted here from their respective sheets for a complete audit trail.</t>
        </is>
      </c>
    </row>
    <row r="8">
      <c r="A8" s="10" t="inlineStr">
        <is>
          <t>Date</t>
        </is>
      </c>
      <c r="B8" s="10" t="inlineStr">
        <is>
          <t>Particulars</t>
        </is>
      </c>
      <c r="C8" s="10" t="inlineStr">
        <is>
          <t>Voucher Type</t>
        </is>
      </c>
      <c r="D8" s="10" t="inlineStr">
        <is>
          <t>Reference No</t>
        </is>
      </c>
      <c r="E8" s="10" t="inlineStr">
        <is>
          <t>Debit (Dr)</t>
        </is>
      </c>
      <c r="F8" s="10" t="inlineStr">
        <is>
          <t>Credit (Cr)</t>
        </is>
      </c>
      <c r="G8" s="10" t="inlineStr">
        <is>
          <t>Balance</t>
        </is>
      </c>
      <c r="H8" s="10" t="inlineStr">
        <is>
          <t>Narration</t>
        </is>
      </c>
    </row>
    <row r="9">
      <c r="A9" s="25" t="n">
        <v>46082</v>
      </c>
      <c r="B9" s="26" t="inlineStr">
        <is>
          <t>Opening Balance</t>
        </is>
      </c>
      <c r="C9" s="26" t="inlineStr">
        <is>
          <t>Opening</t>
        </is>
      </c>
      <c r="D9" s="26" t="inlineStr"/>
      <c r="E9" s="26" t="inlineStr"/>
      <c r="F9" s="26" t="n">
        <v>50000</v>
      </c>
      <c r="G9" s="26" t="n">
        <v>50000</v>
      </c>
      <c r="H9" s="26" t="inlineStr">
        <is>
          <t>Opening cash &amp; bank balance</t>
        </is>
      </c>
    </row>
    <row r="10">
      <c r="A10" s="27" t="n">
        <v>46207</v>
      </c>
      <c r="B10" s="28" t="inlineStr">
        <is>
          <t>Sharma Dairy Shop</t>
        </is>
      </c>
      <c r="C10" s="28" t="inlineStr">
        <is>
          <t>Sale</t>
        </is>
      </c>
      <c r="D10" s="28" t="inlineStr">
        <is>
          <t>INV-1001</t>
        </is>
      </c>
      <c r="E10" s="28" t="inlineStr"/>
      <c r="F10" s="28" t="n">
        <v>5800</v>
      </c>
      <c r="G10" s="29">
        <f>G9+IF(F10="",0,F10)-IF(E10="",0,E10)</f>
        <v/>
      </c>
      <c r="H10" s="28" t="inlineStr">
        <is>
          <t>Sale of milk &amp; products</t>
        </is>
      </c>
    </row>
    <row r="11">
      <c r="A11" s="25" t="n">
        <v>46208</v>
      </c>
      <c r="B11" s="26" t="inlineStr">
        <is>
          <t>Gurung Dairy Farm</t>
        </is>
      </c>
      <c r="C11" s="26" t="inlineStr">
        <is>
          <t>Purchase</t>
        </is>
      </c>
      <c r="D11" s="26" t="inlineStr">
        <is>
          <t>BILL-5001</t>
        </is>
      </c>
      <c r="E11" s="26" t="n">
        <v>15300</v>
      </c>
      <c r="F11" s="26" t="inlineStr"/>
      <c r="G11" s="30">
        <f>G10+IF(F11="",0,F11)-IF(E11="",0,E11)</f>
        <v/>
      </c>
      <c r="H11" s="26" t="inlineStr">
        <is>
          <t>Milk purchase with transport</t>
        </is>
      </c>
    </row>
    <row r="12">
      <c r="A12" s="27" t="n">
        <v>46209</v>
      </c>
      <c r="B12" s="28" t="inlineStr">
        <is>
          <t>Cash Sales</t>
        </is>
      </c>
      <c r="C12" s="28" t="inlineStr">
        <is>
          <t>Sale</t>
        </is>
      </c>
      <c r="D12" s="28" t="inlineStr">
        <is>
          <t>CS-001</t>
        </is>
      </c>
      <c r="E12" s="28" t="inlineStr"/>
      <c r="F12" s="28" t="n">
        <v>4200</v>
      </c>
      <c r="G12" s="29">
        <f>G11+IF(F12="",0,F12)-IF(E12="",0,E12)</f>
        <v/>
      </c>
      <c r="H12" s="28" t="inlineStr">
        <is>
          <t>Counter sales - daily collection</t>
        </is>
      </c>
    </row>
    <row r="13">
      <c r="A13" s="25" t="n">
        <v>46210</v>
      </c>
      <c r="B13" s="26" t="inlineStr">
        <is>
          <t>Salary</t>
        </is>
      </c>
      <c r="C13" s="26" t="inlineStr">
        <is>
          <t>Payment</t>
        </is>
      </c>
      <c r="D13" s="26" t="inlineStr">
        <is>
          <t>PAY-001</t>
        </is>
      </c>
      <c r="E13" s="26" t="n">
        <v>12000</v>
      </c>
      <c r="F13" s="26" t="inlineStr"/>
      <c r="G13" s="30">
        <f>G12+IF(F13="",0,F13)-IF(E13="",0,E13)</f>
        <v/>
      </c>
      <c r="H13" s="26" t="inlineStr">
        <is>
          <t>Monthly staff salary</t>
        </is>
      </c>
    </row>
    <row r="14">
      <c r="A14" s="27" t="n">
        <v>46211</v>
      </c>
      <c r="B14" s="28" t="inlineStr">
        <is>
          <t>Bhatbhateni Supermarket</t>
        </is>
      </c>
      <c r="C14" s="28" t="inlineStr">
        <is>
          <t>Sale</t>
        </is>
      </c>
      <c r="D14" s="28" t="inlineStr">
        <is>
          <t>INV-1002</t>
        </is>
      </c>
      <c r="E14" s="28" t="inlineStr"/>
      <c r="F14" s="28" t="n">
        <v>8500</v>
      </c>
      <c r="G14" s="29">
        <f>G13+IF(F14="",0,F14)-IF(E14="",0,E14)</f>
        <v/>
      </c>
      <c r="H14" s="28" t="inlineStr">
        <is>
          <t>Bulk ghee &amp; paneer supply</t>
        </is>
      </c>
    </row>
    <row r="15">
      <c r="A15" s="25" t="n">
        <v>46212</v>
      </c>
      <c r="B15" s="26" t="inlineStr">
        <is>
          <t>Transport</t>
        </is>
      </c>
      <c r="C15" s="26" t="inlineStr">
        <is>
          <t>Payment</t>
        </is>
      </c>
      <c r="D15" s="26" t="inlineStr">
        <is>
          <t>PAY-002</t>
        </is>
      </c>
      <c r="E15" s="26" t="n">
        <v>2500</v>
      </c>
      <c r="F15" s="26" t="inlineStr"/>
      <c r="G15" s="30">
        <f>G14+IF(F15="",0,F15)-IF(E15="",0,E15)</f>
        <v/>
      </c>
      <c r="H15" s="26" t="inlineStr">
        <is>
          <t>Milk transport charges</t>
        </is>
      </c>
    </row>
    <row r="16">
      <c r="A16" s="27" t="n">
        <v>46213</v>
      </c>
      <c r="B16" s="28" t="inlineStr">
        <is>
          <t>Sharma Dairy Shop</t>
        </is>
      </c>
      <c r="C16" s="28" t="inlineStr">
        <is>
          <t>Receipt</t>
        </is>
      </c>
      <c r="D16" s="28" t="inlineStr">
        <is>
          <t>PAY-101</t>
        </is>
      </c>
      <c r="E16" s="28" t="inlineStr"/>
      <c r="F16" s="28" t="n">
        <v>10000</v>
      </c>
      <c r="G16" s="29">
        <f>G15+IF(F16="",0,F16)-IF(E16="",0,E16)</f>
        <v/>
      </c>
      <c r="H16" s="28" t="inlineStr">
        <is>
          <t>Payment received - bank transfer</t>
        </is>
      </c>
    </row>
    <row r="17">
      <c r="A17" s="25" t="n">
        <v>46214</v>
      </c>
      <c r="B17" s="26" t="inlineStr">
        <is>
          <t>Electricity</t>
        </is>
      </c>
      <c r="C17" s="26" t="inlineStr">
        <is>
          <t>Payment</t>
        </is>
      </c>
      <c r="D17" s="26" t="inlineStr">
        <is>
          <t>PAY-003</t>
        </is>
      </c>
      <c r="E17" s="26" t="n">
        <v>3500</v>
      </c>
      <c r="F17" s="26" t="inlineStr"/>
      <c r="G17" s="30">
        <f>G16+IF(F17="",0,F17)-IF(E17="",0,E17)</f>
        <v/>
      </c>
      <c r="H17" s="26" t="inlineStr">
        <is>
          <t>Monthly electricity bill</t>
        </is>
      </c>
    </row>
    <row r="18">
      <c r="A18" s="27" t="n">
        <v>46215</v>
      </c>
      <c r="B18" s="28" t="inlineStr">
        <is>
          <t>Fresh Valley Suppliers</t>
        </is>
      </c>
      <c r="C18" s="28" t="inlineStr">
        <is>
          <t>Purchase</t>
        </is>
      </c>
      <c r="D18" s="28" t="inlineStr">
        <is>
          <t>BILL-5002</t>
        </is>
      </c>
      <c r="E18" s="28" t="n">
        <v>12500</v>
      </c>
      <c r="F18" s="28" t="inlineStr"/>
      <c r="G18" s="29">
        <f>G17+IF(F18="",0,F18)-IF(E18="",0,E18)</f>
        <v/>
      </c>
      <c r="H18" s="28" t="inlineStr">
        <is>
          <t>Milk purchase - Formula rate</t>
        </is>
      </c>
    </row>
    <row r="19">
      <c r="A19" s="25" t="n">
        <v>46216</v>
      </c>
      <c r="B19" s="26" t="inlineStr">
        <is>
          <t>Hotel Annapurna</t>
        </is>
      </c>
      <c r="C19" s="26" t="inlineStr">
        <is>
          <t>Sale</t>
        </is>
      </c>
      <c r="D19" s="26" t="inlineStr">
        <is>
          <t>INV-1003</t>
        </is>
      </c>
      <c r="E19" s="26" t="inlineStr"/>
      <c r="F19" s="26" t="n">
        <v>3200</v>
      </c>
      <c r="G19" s="30">
        <f>G18+IF(F19="",0,F19)-IF(E19="",0,E19)</f>
        <v/>
      </c>
      <c r="H19" s="26" t="inlineStr">
        <is>
          <t>Ghee &amp; butter supply</t>
        </is>
      </c>
    </row>
    <row r="20">
      <c r="A20" s="31" t="n"/>
      <c r="B20" s="31" t="n"/>
      <c r="C20" s="32" t="inlineStr">
        <is>
          <t>TOTALS</t>
        </is>
      </c>
      <c r="D20" s="31" t="n"/>
      <c r="E20" s="33">
        <f>SUM(E9:E19)</f>
        <v/>
      </c>
      <c r="F20" s="33">
        <f>SUM(F9:F19)</f>
        <v/>
      </c>
      <c r="G20" s="31" t="n"/>
      <c r="H20" s="31" t="n"/>
    </row>
  </sheetData>
  <mergeCells count="5">
    <mergeCell ref="A4:H4"/>
    <mergeCell ref="A2:L2"/>
    <mergeCell ref="A1:L1"/>
    <mergeCell ref="A5:H5"/>
    <mergeCell ref="A6:H6"/>
  </mergeCells>
  <conditionalFormatting sqref="A9:H5000">
    <cfRule type="expression" priority="1" dxfId="1">
      <formula>$E9&gt;0</formula>
    </cfRule>
    <cfRule type="expression" priority="2" dxfId="2">
      <formula>$F9&gt;0</formula>
    </cfRule>
  </conditionalFormatting>
  <conditionalFormatting sqref="G9:G5000">
    <cfRule type="cellIs" priority="3" operator="lessThan" dxfId="3">
      <formula>0</formula>
    </cfRule>
  </conditionalFormatting>
  <dataValidations count="1">
    <dataValidation sqref="C9:C5000" showDropDown="0" showInputMessage="1" showErrorMessage="1" allowBlank="1" errorTitle="Voucher Type" error="Select transaction type" promptTitle="Voucher Type" prompt="Select voucher type from the list" type="list">
      <formula1>"Sale,Purchase,Receipt,Payment,Opening,Expense,Income,Transfer,Adjustment"</formula1>
    </dataValidation>
  </dataValidations>
  <pageMargins left="0.75" right="0.75" top="1" bottom="1" header="0.5" footer="0.5"/>
  <pageSetup orientation="landscape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>
    <tabColor rgb="0027AE60"/>
    <outlinePr summaryBelow="1" summaryRight="1"/>
    <pageSetUpPr/>
  </sheetPr>
  <dimension ref="A1:L1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 outlineLevelCol="0"/>
  <cols>
    <col width="14" customWidth="1" min="1" max="1"/>
    <col width="14" customWidth="1" min="2" max="2"/>
    <col width="24" customWidth="1" min="3" max="3"/>
    <col width="20" customWidth="1" min="4" max="4"/>
    <col width="10" customWidth="1" min="5" max="5"/>
    <col width="10" customWidth="1" min="6" max="6"/>
    <col width="12" customWidth="1" min="7" max="7"/>
    <col width="10" customWidth="1" min="8" max="8"/>
    <col width="14" customWidth="1" min="9" max="9"/>
    <col width="14" customWidth="1" min="10" max="10"/>
    <col width="10" customWidth="1" min="11" max="11"/>
    <col width="22" customWidth="1" min="12" max="12"/>
  </cols>
  <sheetData>
    <row r="1">
      <c r="A1" s="10" t="inlineStr">
        <is>
          <t>Date</t>
        </is>
      </c>
      <c r="B1" s="10" t="inlineStr">
        <is>
          <t>Invoice No</t>
        </is>
      </c>
      <c r="C1" s="10" t="inlineStr">
        <is>
          <t>Party Name</t>
        </is>
      </c>
      <c r="D1" s="10" t="inlineStr">
        <is>
          <t>Product</t>
        </is>
      </c>
      <c r="E1" s="10" t="inlineStr">
        <is>
          <t>Quantity</t>
        </is>
      </c>
      <c r="F1" s="10" t="inlineStr">
        <is>
          <t>Rate</t>
        </is>
      </c>
      <c r="G1" s="10" t="inlineStr">
        <is>
          <t>Amount</t>
        </is>
      </c>
      <c r="H1" s="10" t="inlineStr">
        <is>
          <t>Discount %</t>
        </is>
      </c>
      <c r="I1" s="10" t="inlineStr">
        <is>
          <t>Net Amount</t>
        </is>
      </c>
      <c r="J1" s="10" t="inlineStr">
        <is>
          <t>Payment Mode</t>
        </is>
      </c>
      <c r="K1" s="10" t="inlineStr">
        <is>
          <t>Status</t>
        </is>
      </c>
      <c r="L1" s="10" t="inlineStr">
        <is>
          <t>Remarks</t>
        </is>
      </c>
    </row>
    <row r="2">
      <c r="A2" s="25" t="n">
        <v>46217</v>
      </c>
      <c r="B2" s="26" t="inlineStr">
        <is>
          <t>INV-1001</t>
        </is>
      </c>
      <c r="C2" s="26" t="inlineStr">
        <is>
          <t>Sharma Dairy Shop</t>
        </is>
      </c>
      <c r="D2" s="26" t="inlineStr">
        <is>
          <t>Raw Milk</t>
        </is>
      </c>
      <c r="E2" s="34" t="n">
        <v>5</v>
      </c>
      <c r="F2" s="26" t="n">
        <v>60</v>
      </c>
      <c r="G2" s="34">
        <f>E2*F2</f>
        <v/>
      </c>
      <c r="H2" s="26" t="n">
        <v>0</v>
      </c>
      <c r="I2" s="34">
        <f>G2-(G2*H2/100)</f>
        <v/>
      </c>
      <c r="J2" s="26" t="inlineStr">
        <is>
          <t>Cash</t>
        </is>
      </c>
      <c r="K2" s="26" t="inlineStr">
        <is>
          <t>Paid</t>
        </is>
      </c>
      <c r="L2" s="26" t="inlineStr"/>
    </row>
    <row r="3">
      <c r="A3" s="27" t="n">
        <v>46216</v>
      </c>
      <c r="B3" s="28" t="inlineStr">
        <is>
          <t>INV-1002</t>
        </is>
      </c>
      <c r="C3" s="28" t="inlineStr">
        <is>
          <t>Bhatbhateni Supermarket</t>
        </is>
      </c>
      <c r="D3" s="28" t="inlineStr">
        <is>
          <t>Cow Milk</t>
        </is>
      </c>
      <c r="E3" s="35" t="n">
        <v>7.8</v>
      </c>
      <c r="F3" s="28" t="n">
        <v>65</v>
      </c>
      <c r="G3" s="35">
        <f>E3*F3</f>
        <v/>
      </c>
      <c r="H3" s="35" t="n">
        <v>2.5</v>
      </c>
      <c r="I3" s="35">
        <f>G3-(G3*H3/100)</f>
        <v/>
      </c>
      <c r="J3" s="28" t="inlineStr">
        <is>
          <t>Credit</t>
        </is>
      </c>
      <c r="K3" s="28" t="inlineStr">
        <is>
          <t>Unpaid</t>
        </is>
      </c>
      <c r="L3" s="28" t="inlineStr"/>
    </row>
    <row r="4">
      <c r="A4" s="25" t="n">
        <v>46215</v>
      </c>
      <c r="B4" s="26" t="inlineStr">
        <is>
          <t>INV-1003</t>
        </is>
      </c>
      <c r="C4" s="26" t="inlineStr">
        <is>
          <t>Patan Co-op</t>
        </is>
      </c>
      <c r="D4" s="26" t="inlineStr">
        <is>
          <t>Curd (Dahi)</t>
        </is>
      </c>
      <c r="E4" s="34" t="n">
        <v>10.6</v>
      </c>
      <c r="F4" s="26" t="n">
        <v>100</v>
      </c>
      <c r="G4" s="34">
        <f>E4*F4</f>
        <v/>
      </c>
      <c r="H4" s="34" t="n">
        <v>2.5</v>
      </c>
      <c r="I4" s="34">
        <f>G4-(G4*H4/100)</f>
        <v/>
      </c>
      <c r="J4" s="26" t="inlineStr">
        <is>
          <t>Bank Transfer</t>
        </is>
      </c>
      <c r="K4" s="26" t="inlineStr">
        <is>
          <t>Partial</t>
        </is>
      </c>
      <c r="L4" s="26" t="inlineStr"/>
    </row>
    <row r="5">
      <c r="A5" s="27" t="n">
        <v>46214</v>
      </c>
      <c r="B5" s="28" t="inlineStr">
        <is>
          <t>INV-1004</t>
        </is>
      </c>
      <c r="C5" s="28" t="inlineStr">
        <is>
          <t>Hotel Annapurna</t>
        </is>
      </c>
      <c r="D5" s="28" t="inlineStr">
        <is>
          <t>Ghee</t>
        </is>
      </c>
      <c r="E5" s="35" t="n">
        <v>13.4</v>
      </c>
      <c r="F5" s="28" t="n">
        <v>650</v>
      </c>
      <c r="G5" s="35">
        <f>E5*F5</f>
        <v/>
      </c>
      <c r="H5" s="35" t="n">
        <v>2.5</v>
      </c>
      <c r="I5" s="35">
        <f>G5-(G5*H5/100)</f>
        <v/>
      </c>
      <c r="J5" s="28" t="inlineStr">
        <is>
          <t>UPI</t>
        </is>
      </c>
      <c r="K5" s="28" t="inlineStr">
        <is>
          <t>Paid</t>
        </is>
      </c>
      <c r="L5" s="28" t="inlineStr"/>
    </row>
    <row r="6">
      <c r="A6" s="25" t="n">
        <v>46213</v>
      </c>
      <c r="B6" s="26" t="inlineStr">
        <is>
          <t>INV-1005</t>
        </is>
      </c>
      <c r="C6" s="26" t="inlineStr">
        <is>
          <t>Khadgi Sweets</t>
        </is>
      </c>
      <c r="D6" s="26" t="inlineStr">
        <is>
          <t>Paneer</t>
        </is>
      </c>
      <c r="E6" s="34" t="n">
        <v>16.2</v>
      </c>
      <c r="F6" s="26" t="n">
        <v>350</v>
      </c>
      <c r="G6" s="34">
        <f>E6*F6</f>
        <v/>
      </c>
      <c r="H6" s="26" t="n">
        <v>0</v>
      </c>
      <c r="I6" s="34">
        <f>G6-(G6*H6/100)</f>
        <v/>
      </c>
      <c r="J6" s="26" t="inlineStr">
        <is>
          <t>Cheque</t>
        </is>
      </c>
      <c r="K6" s="26" t="inlineStr">
        <is>
          <t>Unpaid</t>
        </is>
      </c>
      <c r="L6" s="26" t="inlineStr"/>
    </row>
    <row r="7">
      <c r="A7" s="27" t="n">
        <v>46212</v>
      </c>
      <c r="B7" s="28" t="inlineStr">
        <is>
          <t>INV-1006</t>
        </is>
      </c>
      <c r="C7" s="28" t="inlineStr">
        <is>
          <t>Sharma Dairy Shop</t>
        </is>
      </c>
      <c r="D7" s="28" t="inlineStr">
        <is>
          <t>Raw Milk</t>
        </is>
      </c>
      <c r="E7" s="35" t="n">
        <v>19</v>
      </c>
      <c r="F7" s="28" t="n">
        <v>60</v>
      </c>
      <c r="G7" s="35">
        <f>E7*F7</f>
        <v/>
      </c>
      <c r="H7" s="35" t="n">
        <v>2.5</v>
      </c>
      <c r="I7" s="35">
        <f>G7-(G7*H7/100)</f>
        <v/>
      </c>
      <c r="J7" s="28" t="inlineStr">
        <is>
          <t>Cash</t>
        </is>
      </c>
      <c r="K7" s="28" t="inlineStr">
        <is>
          <t>Partial</t>
        </is>
      </c>
      <c r="L7" s="28" t="inlineStr"/>
    </row>
    <row r="8">
      <c r="A8" s="25" t="n">
        <v>46211</v>
      </c>
      <c r="B8" s="26" t="inlineStr">
        <is>
          <t>INV-1007</t>
        </is>
      </c>
      <c r="C8" s="26" t="inlineStr">
        <is>
          <t>Bhatbhateni Supermarket</t>
        </is>
      </c>
      <c r="D8" s="26" t="inlineStr">
        <is>
          <t>Cow Milk</t>
        </is>
      </c>
      <c r="E8" s="34" t="n">
        <v>21.8</v>
      </c>
      <c r="F8" s="26" t="n">
        <v>65</v>
      </c>
      <c r="G8" s="34">
        <f>E8*F8</f>
        <v/>
      </c>
      <c r="H8" s="34" t="n">
        <v>2.5</v>
      </c>
      <c r="I8" s="34">
        <f>G8-(G8*H8/100)</f>
        <v/>
      </c>
      <c r="J8" s="26" t="inlineStr">
        <is>
          <t>Credit</t>
        </is>
      </c>
      <c r="K8" s="26" t="inlineStr">
        <is>
          <t>Paid</t>
        </is>
      </c>
      <c r="L8" s="26" t="inlineStr"/>
    </row>
    <row r="9">
      <c r="A9" s="27" t="n">
        <v>46210</v>
      </c>
      <c r="B9" s="28" t="inlineStr">
        <is>
          <t>INV-1008</t>
        </is>
      </c>
      <c r="C9" s="28" t="inlineStr">
        <is>
          <t>Patan Co-op</t>
        </is>
      </c>
      <c r="D9" s="28" t="inlineStr">
        <is>
          <t>Curd (Dahi)</t>
        </is>
      </c>
      <c r="E9" s="35" t="n">
        <v>24.6</v>
      </c>
      <c r="F9" s="28" t="n">
        <v>100</v>
      </c>
      <c r="G9" s="35">
        <f>E9*F9</f>
        <v/>
      </c>
      <c r="H9" s="35" t="n">
        <v>2.5</v>
      </c>
      <c r="I9" s="35">
        <f>G9-(G9*H9/100)</f>
        <v/>
      </c>
      <c r="J9" s="28" t="inlineStr">
        <is>
          <t>Bank Transfer</t>
        </is>
      </c>
      <c r="K9" s="28" t="inlineStr">
        <is>
          <t>Unpaid</t>
        </is>
      </c>
      <c r="L9" s="28" t="inlineStr"/>
    </row>
    <row r="10">
      <c r="A10" s="25" t="n">
        <v>46209</v>
      </c>
      <c r="B10" s="26" t="inlineStr">
        <is>
          <t>INV-1009</t>
        </is>
      </c>
      <c r="C10" s="26" t="inlineStr">
        <is>
          <t>Hotel Annapurna</t>
        </is>
      </c>
      <c r="D10" s="26" t="inlineStr">
        <is>
          <t>Ghee</t>
        </is>
      </c>
      <c r="E10" s="34" t="n">
        <v>27.4</v>
      </c>
      <c r="F10" s="26" t="n">
        <v>650</v>
      </c>
      <c r="G10" s="34">
        <f>E10*F10</f>
        <v/>
      </c>
      <c r="H10" s="26" t="n">
        <v>0</v>
      </c>
      <c r="I10" s="34">
        <f>G10-(G10*H10/100)</f>
        <v/>
      </c>
      <c r="J10" s="26" t="inlineStr">
        <is>
          <t>UPI</t>
        </is>
      </c>
      <c r="K10" s="26" t="inlineStr">
        <is>
          <t>Partial</t>
        </is>
      </c>
      <c r="L10" s="26" t="inlineStr"/>
    </row>
    <row r="11">
      <c r="A11" s="27" t="n">
        <v>46208</v>
      </c>
      <c r="B11" s="28" t="inlineStr">
        <is>
          <t>INV-1010</t>
        </is>
      </c>
      <c r="C11" s="28" t="inlineStr">
        <is>
          <t>Khadgi Sweets</t>
        </is>
      </c>
      <c r="D11" s="28" t="inlineStr">
        <is>
          <t>Paneer</t>
        </is>
      </c>
      <c r="E11" s="35" t="n">
        <v>30.2</v>
      </c>
      <c r="F11" s="28" t="n">
        <v>350</v>
      </c>
      <c r="G11" s="35">
        <f>E11*F11</f>
        <v/>
      </c>
      <c r="H11" s="35" t="n">
        <v>2.5</v>
      </c>
      <c r="I11" s="35">
        <f>G11-(G11*H11/100)</f>
        <v/>
      </c>
      <c r="J11" s="28" t="inlineStr">
        <is>
          <t>Cheque</t>
        </is>
      </c>
      <c r="K11" s="28" t="inlineStr">
        <is>
          <t>Paid</t>
        </is>
      </c>
      <c r="L11" s="28" t="inlineStr"/>
    </row>
  </sheetData>
  <conditionalFormatting sqref="A2:L5000">
    <cfRule type="expression" priority="1" dxfId="1">
      <formula>$K2="Unpaid"</formula>
    </cfRule>
    <cfRule type="expression" priority="2" dxfId="3">
      <formula>$K2="Partial"</formula>
    </cfRule>
    <cfRule type="expression" priority="3" dxfId="2">
      <formula>$K2="Paid"</formula>
    </cfRule>
  </conditionalFormatting>
  <dataValidations count="4">
    <dataValidation sqref="C2:C5000" showDropDown="0" showInputMessage="1" showErrorMessage="1" allowBlank="1" errorTitle="Party Name" error="Select a customer/party" promptTitle="Party Name" prompt="Select party name from the list" type="list">
      <formula1>"Sharma Dairy Shop,Bhatbhateni Supermarket,Patan Co-op,Hotel Annapurna,Khadgi Sweets"</formula1>
    </dataValidation>
    <dataValidation sqref="D2:D5000" showDropDown="0" showInputMessage="1" showErrorMessage="1" allowBlank="1" errorTitle="Product" error="Select a product" promptTitle="Product" prompt="Select product from the list" type="list">
      <formula1>"Raw Milk,Cow Milk,Curd (Dahi),Ghee,Paneer"</formula1>
    </dataValidation>
    <dataValidation sqref="J2:J5000" showDropDown="0" showInputMessage="1" showErrorMessage="1" allowBlank="1" errorTitle="Payment Mode" error="Select payment mode" promptTitle="Payment Mode" prompt="Select payment mode from the list" type="list">
      <formula1>"Cash,Credit,Bank Transfer,UPI,Cheque"</formula1>
    </dataValidation>
    <dataValidation sqref="K2:K5000" showDropDown="0" showInputMessage="1" showErrorMessage="1" allowBlank="1" errorTitle="Status" error="Select payment status" promptTitle="Status" prompt="Select status from the list" type="list">
      <formula1>"Paid,Unpaid,Partial"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>
    <tabColor rgb="00E74C3C"/>
    <outlinePr summaryBelow="1" summaryRight="1"/>
    <pageSetUpPr/>
  </sheetPr>
  <dimension ref="A1:Q19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 outlineLevelCol="0"/>
  <cols>
    <col width="14" customWidth="1" min="1" max="1"/>
    <col width="14" customWidth="1" min="2" max="2"/>
    <col width="24" customWidth="1" min="3" max="3"/>
    <col width="18" customWidth="1" min="4" max="4"/>
    <col width="8" customWidth="1" min="5" max="5"/>
    <col width="8" customWidth="1" min="6" max="6"/>
    <col width="12" customWidth="1" min="7" max="7"/>
    <col width="12" customWidth="1" min="8" max="8"/>
    <col width="14" customWidth="1" min="9" max="9"/>
    <col width="14" customWidth="1" min="10" max="10"/>
    <col width="10" customWidth="1" min="11" max="11"/>
    <col width="14" customWidth="1" min="12" max="12"/>
    <col width="12" customWidth="1" min="13" max="13"/>
    <col width="14" customWidth="1" min="14" max="14"/>
    <col width="14" customWidth="1" min="15" max="15"/>
    <col width="10" customWidth="1" min="16" max="16"/>
    <col width="22" customWidth="1" min="17" max="17"/>
  </cols>
  <sheetData>
    <row r="1">
      <c r="A1" s="10" t="inlineStr">
        <is>
          <t>Date</t>
        </is>
      </c>
      <c r="B1" s="10" t="inlineStr">
        <is>
          <t>Bill No</t>
        </is>
      </c>
      <c r="C1" s="10" t="inlineStr">
        <is>
          <t>Supplier Name</t>
        </is>
      </c>
      <c r="D1" s="10" t="inlineStr">
        <is>
          <t>Product</t>
        </is>
      </c>
      <c r="E1" s="10" t="inlineStr">
        <is>
          <t>FAT %</t>
        </is>
      </c>
      <c r="F1" s="10" t="inlineStr">
        <is>
          <t>SNF %</t>
        </is>
      </c>
      <c r="G1" s="10" t="inlineStr">
        <is>
          <t>Extra Per Unit</t>
        </is>
      </c>
      <c r="H1" s="10" t="inlineStr">
        <is>
          <t>Rate Type</t>
        </is>
      </c>
      <c r="I1" s="10" t="inlineStr">
        <is>
          <t>Fixed Rate Per Unit</t>
        </is>
      </c>
      <c r="J1" s="10" t="inlineStr">
        <is>
          <t>Rate Per Unit</t>
        </is>
      </c>
      <c r="K1" s="10" t="inlineStr">
        <is>
          <t>Quantity</t>
        </is>
      </c>
      <c r="L1" s="10" t="inlineStr">
        <is>
          <t>Amount</t>
        </is>
      </c>
      <c r="M1" s="10" t="inlineStr">
        <is>
          <t>Transport</t>
        </is>
      </c>
      <c r="N1" s="10" t="inlineStr">
        <is>
          <t>Net Amount</t>
        </is>
      </c>
      <c r="O1" s="10" t="inlineStr">
        <is>
          <t>Payment Mode</t>
        </is>
      </c>
      <c r="P1" s="10" t="inlineStr">
        <is>
          <t>Status</t>
        </is>
      </c>
      <c r="Q1" s="10" t="inlineStr">
        <is>
          <t>Remarks</t>
        </is>
      </c>
    </row>
    <row r="2">
      <c r="A2" s="25" t="n">
        <v>46217</v>
      </c>
      <c r="B2" s="26" t="inlineStr">
        <is>
          <t>BILL-5001</t>
        </is>
      </c>
      <c r="C2" s="26" t="inlineStr">
        <is>
          <t>Gurung Dairy Farm</t>
        </is>
      </c>
      <c r="D2" s="26" t="inlineStr">
        <is>
          <t>Raw Milk</t>
        </is>
      </c>
      <c r="E2" s="34" t="n">
        <v>3.5</v>
      </c>
      <c r="F2" s="34" t="n">
        <v>8.5</v>
      </c>
      <c r="G2" s="34" t="n">
        <v>2</v>
      </c>
      <c r="H2" s="26" t="inlineStr">
        <is>
          <t>FORMULA</t>
        </is>
      </c>
      <c r="I2" s="34" t="n">
        <v>0</v>
      </c>
      <c r="J2" s="34">
        <f>IF(H2="FORMULA", IF(E2="",0,E2)*7.15 + IF(F2="",0,F2)*4.55 + IF(G2="",0,G2), IF(H2="FIXED", IF(I2="",0,I2), 0))</f>
        <v/>
      </c>
      <c r="K2" s="34" t="n">
        <v>50</v>
      </c>
      <c r="L2" s="34">
        <f>IF(K2="",0,K2)*J2</f>
        <v/>
      </c>
      <c r="M2" s="26" t="n">
        <v>300</v>
      </c>
      <c r="N2" s="34">
        <f>L2+IF(M2="",0,M2)</f>
        <v/>
      </c>
      <c r="O2" s="26" t="inlineStr">
        <is>
          <t>Cash</t>
        </is>
      </c>
      <c r="P2" s="26" t="inlineStr">
        <is>
          <t>Paid</t>
        </is>
      </c>
      <c r="Q2" s="26" t="inlineStr"/>
    </row>
    <row r="3">
      <c r="A3" s="27" t="n">
        <v>46216</v>
      </c>
      <c r="B3" s="28" t="inlineStr">
        <is>
          <t>BILL-5002</t>
        </is>
      </c>
      <c r="C3" s="28" t="inlineStr">
        <is>
          <t>Fresh Valley Suppliers</t>
        </is>
      </c>
      <c r="D3" s="28" t="inlineStr">
        <is>
          <t>Raw Milk</t>
        </is>
      </c>
      <c r="E3" s="35" t="n">
        <v>3.6</v>
      </c>
      <c r="F3" s="35" t="n">
        <v>8.550000000000001</v>
      </c>
      <c r="G3" s="35" t="n">
        <v>1</v>
      </c>
      <c r="H3" s="28" t="inlineStr">
        <is>
          <t>FORMULA</t>
        </is>
      </c>
      <c r="I3" s="35" t="n">
        <v>0</v>
      </c>
      <c r="J3" s="35">
        <f>IF(H3="FORMULA", IF(E3="",0,E3)*7.15 + IF(F3="",0,F3)*4.55 + IF(G3="",0,G3), IF(H3="FIXED", IF(I3="",0,I3), 0))</f>
        <v/>
      </c>
      <c r="K3" s="35" t="n">
        <v>62.5</v>
      </c>
      <c r="L3" s="35">
        <f>IF(K3="",0,K3)*J3</f>
        <v/>
      </c>
      <c r="M3" s="28" t="n">
        <v>340</v>
      </c>
      <c r="N3" s="35">
        <f>L3+IF(M3="",0,M3)</f>
        <v/>
      </c>
      <c r="O3" s="28" t="inlineStr">
        <is>
          <t>Credit</t>
        </is>
      </c>
      <c r="P3" s="28" t="inlineStr">
        <is>
          <t>Unpaid</t>
        </is>
      </c>
      <c r="Q3" s="28" t="inlineStr"/>
    </row>
    <row r="4">
      <c r="A4" s="25" t="n">
        <v>46215</v>
      </c>
      <c r="B4" s="26" t="inlineStr">
        <is>
          <t>BILL-5003</t>
        </is>
      </c>
      <c r="C4" s="26" t="inlineStr">
        <is>
          <t>Patan Co-op</t>
        </is>
      </c>
      <c r="D4" s="26" t="inlineStr">
        <is>
          <t>Raw Milk</t>
        </is>
      </c>
      <c r="E4" s="34" t="n">
        <v>3.7</v>
      </c>
      <c r="F4" s="34" t="n">
        <v>8.6</v>
      </c>
      <c r="G4" s="34" t="n">
        <v>0</v>
      </c>
      <c r="H4" s="26" t="inlineStr">
        <is>
          <t>FORMULA</t>
        </is>
      </c>
      <c r="I4" s="34" t="n">
        <v>0</v>
      </c>
      <c r="J4" s="34">
        <f>IF(H4="FORMULA", IF(E4="",0,E4)*7.15 + IF(F4="",0,F4)*4.55 + IF(G4="",0,G4), IF(H4="FIXED", IF(I4="",0,I4), 0))</f>
        <v/>
      </c>
      <c r="K4" s="34" t="n">
        <v>75</v>
      </c>
      <c r="L4" s="34">
        <f>IF(K4="",0,K4)*J4</f>
        <v/>
      </c>
      <c r="M4" s="26" t="n">
        <v>380</v>
      </c>
      <c r="N4" s="34">
        <f>L4+IF(M4="",0,M4)</f>
        <v/>
      </c>
      <c r="O4" s="26" t="inlineStr">
        <is>
          <t>Bank Transfer</t>
        </is>
      </c>
      <c r="P4" s="26" t="inlineStr">
        <is>
          <t>Partial</t>
        </is>
      </c>
      <c r="Q4" s="26" t="inlineStr"/>
    </row>
    <row r="5">
      <c r="A5" s="27" t="n">
        <v>46214</v>
      </c>
      <c r="B5" s="28" t="inlineStr">
        <is>
          <t>BILL-5004</t>
        </is>
      </c>
      <c r="C5" s="28" t="inlineStr">
        <is>
          <t>Pokhara Ghee House</t>
        </is>
      </c>
      <c r="D5" s="28" t="inlineStr">
        <is>
          <t>Raw Milk</t>
        </is>
      </c>
      <c r="E5" s="35" t="n">
        <v>3.8</v>
      </c>
      <c r="F5" s="35" t="n">
        <v>8.65</v>
      </c>
      <c r="G5" s="35" t="n">
        <v>2</v>
      </c>
      <c r="H5" s="28" t="inlineStr">
        <is>
          <t>FORMULA</t>
        </is>
      </c>
      <c r="I5" s="35" t="n">
        <v>0</v>
      </c>
      <c r="J5" s="35">
        <f>IF(H5="FORMULA", IF(E5="",0,E5)*7.15 + IF(F5="",0,F5)*4.55 + IF(G5="",0,G5), IF(H5="FIXED", IF(I5="",0,I5), 0))</f>
        <v/>
      </c>
      <c r="K5" s="35" t="n">
        <v>87.5</v>
      </c>
      <c r="L5" s="35">
        <f>IF(K5="",0,K5)*J5</f>
        <v/>
      </c>
      <c r="M5" s="28" t="n">
        <v>420</v>
      </c>
      <c r="N5" s="35">
        <f>L5+IF(M5="",0,M5)</f>
        <v/>
      </c>
      <c r="O5" s="28" t="inlineStr">
        <is>
          <t>Cheque</t>
        </is>
      </c>
      <c r="P5" s="28" t="inlineStr">
        <is>
          <t>Paid</t>
        </is>
      </c>
      <c r="Q5" s="28" t="inlineStr"/>
    </row>
    <row r="6">
      <c r="A6" s="25" t="n">
        <v>46213</v>
      </c>
      <c r="B6" s="26" t="inlineStr">
        <is>
          <t>BILL-5005</t>
        </is>
      </c>
      <c r="C6" s="26" t="inlineStr">
        <is>
          <t>Dairy Cooperative</t>
        </is>
      </c>
      <c r="D6" s="26" t="inlineStr">
        <is>
          <t>Ghee</t>
        </is>
      </c>
      <c r="E6" s="26" t="n">
        <v>0</v>
      </c>
      <c r="F6" s="26" t="n">
        <v>0</v>
      </c>
      <c r="G6" s="34" t="n">
        <v>1</v>
      </c>
      <c r="H6" s="26" t="inlineStr">
        <is>
          <t>FORMULA</t>
        </is>
      </c>
      <c r="I6" s="34" t="n">
        <v>0</v>
      </c>
      <c r="J6" s="34">
        <f>IF(H6="FORMULA", IF(E6="",0,E6)*7.15 + IF(F6="",0,F6)*4.55 + IF(G6="",0,G6), IF(H6="FIXED", IF(I6="",0,I6), 0))</f>
        <v/>
      </c>
      <c r="K6" s="34" t="n">
        <v>100</v>
      </c>
      <c r="L6" s="34">
        <f>IF(K6="",0,K6)*J6</f>
        <v/>
      </c>
      <c r="M6" s="26" t="n">
        <v>460</v>
      </c>
      <c r="N6" s="34">
        <f>L6+IF(M6="",0,M6)</f>
        <v/>
      </c>
      <c r="O6" s="26" t="inlineStr">
        <is>
          <t>UPI</t>
        </is>
      </c>
      <c r="P6" s="26" t="inlineStr">
        <is>
          <t>Unpaid</t>
        </is>
      </c>
      <c r="Q6" s="26" t="inlineStr"/>
    </row>
    <row r="7">
      <c r="A7" s="27" t="n">
        <v>46212</v>
      </c>
      <c r="B7" s="28" t="inlineStr">
        <is>
          <t>BILL-5006</t>
        </is>
      </c>
      <c r="C7" s="28" t="inlineStr">
        <is>
          <t>Gurung Dairy Farm</t>
        </is>
      </c>
      <c r="D7" s="28" t="inlineStr">
        <is>
          <t>Raw Milk</t>
        </is>
      </c>
      <c r="E7" s="35" t="n">
        <v>4</v>
      </c>
      <c r="F7" s="35" t="n">
        <v>8.75</v>
      </c>
      <c r="G7" s="35" t="n">
        <v>0</v>
      </c>
      <c r="H7" s="28" t="inlineStr">
        <is>
          <t>FORMULA</t>
        </is>
      </c>
      <c r="I7" s="35" t="n">
        <v>0</v>
      </c>
      <c r="J7" s="35">
        <f>IF(H7="FORMULA", IF(E7="",0,E7)*7.15 + IF(F7="",0,F7)*4.55 + IF(G7="",0,G7), IF(H7="FIXED", IF(I7="",0,I7), 0))</f>
        <v/>
      </c>
      <c r="K7" s="35" t="n">
        <v>112.5</v>
      </c>
      <c r="L7" s="35">
        <f>IF(K7="",0,K7)*J7</f>
        <v/>
      </c>
      <c r="M7" s="28" t="n">
        <v>500</v>
      </c>
      <c r="N7" s="35">
        <f>L7+IF(M7="",0,M7)</f>
        <v/>
      </c>
      <c r="O7" s="28" t="inlineStr">
        <is>
          <t>Cash</t>
        </is>
      </c>
      <c r="P7" s="28" t="inlineStr">
        <is>
          <t>Partial</t>
        </is>
      </c>
      <c r="Q7" s="28" t="inlineStr"/>
    </row>
    <row r="8">
      <c r="A8" s="25" t="n">
        <v>46211</v>
      </c>
      <c r="B8" s="26" t="inlineStr">
        <is>
          <t>BILL-5007</t>
        </is>
      </c>
      <c r="C8" s="26" t="inlineStr">
        <is>
          <t>Fresh Valley Suppliers</t>
        </is>
      </c>
      <c r="D8" s="26" t="inlineStr">
        <is>
          <t>Cow Milk</t>
        </is>
      </c>
      <c r="E8" s="34" t="n">
        <v>4.1</v>
      </c>
      <c r="F8" s="34" t="n">
        <v>8.800000000000001</v>
      </c>
      <c r="G8" s="34" t="n">
        <v>2</v>
      </c>
      <c r="H8" s="26" t="inlineStr">
        <is>
          <t>FIXED</t>
        </is>
      </c>
      <c r="I8" s="34" t="n">
        <v>62</v>
      </c>
      <c r="J8" s="34">
        <f>IF(H8="FORMULA", IF(E8="",0,E8)*7.15 + IF(F8="",0,F8)*4.55 + IF(G8="",0,G8), IF(H8="FIXED", IF(I8="",0,I8), 0))</f>
        <v/>
      </c>
      <c r="K8" s="34" t="n">
        <v>125</v>
      </c>
      <c r="L8" s="34">
        <f>IF(K8="",0,K8)*J8</f>
        <v/>
      </c>
      <c r="M8" s="26" t="n">
        <v>540</v>
      </c>
      <c r="N8" s="34">
        <f>L8+IF(M8="",0,M8)</f>
        <v/>
      </c>
      <c r="O8" s="26" t="inlineStr">
        <is>
          <t>Credit</t>
        </is>
      </c>
      <c r="P8" s="26" t="inlineStr">
        <is>
          <t>Paid</t>
        </is>
      </c>
      <c r="Q8" s="26" t="inlineStr"/>
    </row>
    <row r="9">
      <c r="A9" s="27" t="n">
        <v>46210</v>
      </c>
      <c r="B9" s="28" t="inlineStr">
        <is>
          <t>BILL-5008</t>
        </is>
      </c>
      <c r="C9" s="28" t="inlineStr">
        <is>
          <t>Patan Co-op</t>
        </is>
      </c>
      <c r="D9" s="28" t="inlineStr">
        <is>
          <t>Buffalo Milk</t>
        </is>
      </c>
      <c r="E9" s="35" t="n">
        <v>4.2</v>
      </c>
      <c r="F9" s="35" t="n">
        <v>8.85</v>
      </c>
      <c r="G9" s="35" t="n">
        <v>1</v>
      </c>
      <c r="H9" s="28" t="inlineStr">
        <is>
          <t>FIXED</t>
        </is>
      </c>
      <c r="I9" s="35" t="n">
        <v>64</v>
      </c>
      <c r="J9" s="35">
        <f>IF(H9="FORMULA", IF(E9="",0,E9)*7.15 + IF(F9="",0,F9)*4.55 + IF(G9="",0,G9), IF(H9="FIXED", IF(I9="",0,I9), 0))</f>
        <v/>
      </c>
      <c r="K9" s="35" t="n">
        <v>137.5</v>
      </c>
      <c r="L9" s="35">
        <f>IF(K9="",0,K9)*J9</f>
        <v/>
      </c>
      <c r="M9" s="28" t="n">
        <v>580</v>
      </c>
      <c r="N9" s="35">
        <f>L9+IF(M9="",0,M9)</f>
        <v/>
      </c>
      <c r="O9" s="28" t="inlineStr">
        <is>
          <t>Bank Transfer</t>
        </is>
      </c>
      <c r="P9" s="28" t="inlineStr">
        <is>
          <t>Unpaid</t>
        </is>
      </c>
      <c r="Q9" s="28" t="inlineStr"/>
    </row>
    <row r="12">
      <c r="A12" s="23" t="inlineStr">
        <is>
          <t>📌 MILK PURCHASE PRICING RULES</t>
        </is>
      </c>
    </row>
    <row r="13">
      <c r="A13" s="36" t="inlineStr">
        <is>
          <t>Rate Per Unit = (FAT % × 7.15) + (SNF % × 4.55) + Extra Per Unit   when Rate Type = "FORMULA"</t>
        </is>
      </c>
    </row>
    <row r="14">
      <c r="A14" s="36" t="inlineStr">
        <is>
          <t>Rate Per Unit = Fixed Rate Per Unit                                 when Rate Type = "FIXED"</t>
        </is>
      </c>
    </row>
    <row r="15">
      <c r="A15" s="36" t="inlineStr">
        <is>
          <t>Amount = Quantity × Rate Per Unit</t>
        </is>
      </c>
    </row>
    <row r="16">
      <c r="A16" s="36" t="inlineStr">
        <is>
          <t>Net Amount = Amount + Transport Charges</t>
        </is>
      </c>
    </row>
    <row r="17">
      <c r="A17" s="36" t="inlineStr">
        <is>
          <t>FAT Rate Multiplier: 7.15 per unit | SNF Rate Multiplier: 4.55 per unit</t>
        </is>
      </c>
    </row>
    <row r="18">
      <c r="A18" s="36" t="inlineStr">
        <is>
          <t>Extra Per Unit is any additional contract amount (e.g., +2 per liter)</t>
        </is>
      </c>
    </row>
    <row r="19">
      <c r="A19" s="36" t="inlineStr">
        <is>
          <t>💡 Select Rate Type = FIXED for simple flat-rate purchases (e.g., Rs. 50/liter)</t>
        </is>
      </c>
    </row>
  </sheetData>
  <mergeCells count="8">
    <mergeCell ref="A14:Q14"/>
    <mergeCell ref="A17:Q17"/>
    <mergeCell ref="A18:Q18"/>
    <mergeCell ref="A12:Q12"/>
    <mergeCell ref="A16:Q16"/>
    <mergeCell ref="A15:Q15"/>
    <mergeCell ref="A19:Q19"/>
    <mergeCell ref="A13:Q13"/>
  </mergeCells>
  <conditionalFormatting sqref="A2:Q5000">
    <cfRule type="expression" priority="1" dxfId="1">
      <formula>$P2="Unpaid"</formula>
    </cfRule>
    <cfRule type="expression" priority="2" dxfId="3">
      <formula>$P2="Partial"</formula>
    </cfRule>
    <cfRule type="expression" priority="3" dxfId="2">
      <formula>$P2="Paid"</formula>
    </cfRule>
  </conditionalFormatting>
  <dataValidations count="5">
    <dataValidation sqref="C2:C5000" showDropDown="0" showInputMessage="1" showErrorMessage="1" allowBlank="1" errorTitle="Supplier" error="Select a supplier" promptTitle="Supplier" prompt="Select supplier from the list" type="list">
      <formula1>"Gurung Dairy Farm,Fresh Valley Suppliers,Patan Co-op,Pokhara Ghee House,Dairy Cooperative"</formula1>
    </dataValidation>
    <dataValidation sqref="D2:D5000" showDropDown="0" showInputMessage="1" showErrorMessage="1" allowBlank="1" errorTitle="Product" error="Select a product" promptTitle="Product" prompt="Select product from the list" type="list">
      <formula1>"Raw Milk,Cow Milk,Buffalo Milk,Mixed Milk,Ghee"</formula1>
    </dataValidation>
    <dataValidation sqref="H2:H5000" showDropDown="0" showInputMessage="1" showErrorMessage="1" allowBlank="1" errorTitle="Rate Type" error="Select FORMULA or FIXED" promptTitle="Rate Type" prompt="Select rate type from the list" type="list">
      <formula1>"FORMULA,FIXED"</formula1>
    </dataValidation>
    <dataValidation sqref="O2:O5000" showDropDown="0" showInputMessage="1" showErrorMessage="1" allowBlank="1" errorTitle="Payment Mode" error="Select payment mode" promptTitle="Payment Mode" prompt="Select payment mode from the list" type="list">
      <formula1>"Cash,Credit,Bank Transfer,Cheque,UPI"</formula1>
    </dataValidation>
    <dataValidation sqref="P2:P5000" showDropDown="0" showInputMessage="1" showErrorMessage="1" allowBlank="1" errorTitle="Status" error="Select payment status" promptTitle="Status" prompt="Select status from the list" type="list">
      <formula1>"Paid,Unpaid,Partial"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>
    <tabColor rgb="003498DB"/>
    <outlinePr summaryBelow="1" summaryRight="1"/>
    <pageSetUpPr/>
  </sheetPr>
  <dimension ref="A1:I7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 outlineLevelCol="0"/>
  <cols>
    <col width="14" customWidth="1" min="1" max="1"/>
    <col width="14" customWidth="1" min="2" max="2"/>
    <col width="24" customWidth="1" min="3" max="3"/>
    <col width="16" customWidth="1" min="4" max="4"/>
    <col width="14" customWidth="1" min="5" max="5"/>
    <col width="16" customWidth="1" min="6" max="6"/>
    <col width="16" customWidth="1" min="7" max="7"/>
    <col width="14" customWidth="1" min="8" max="8"/>
    <col width="24" customWidth="1" min="9" max="9"/>
  </cols>
  <sheetData>
    <row r="1">
      <c r="A1" s="10" t="inlineStr">
        <is>
          <t>Date</t>
        </is>
      </c>
      <c r="B1" s="10" t="inlineStr">
        <is>
          <t>Receipt No</t>
        </is>
      </c>
      <c r="C1" s="10" t="inlineStr">
        <is>
          <t>Customer Name</t>
        </is>
      </c>
      <c r="D1" s="10" t="inlineStr">
        <is>
          <t>Against Bill No</t>
        </is>
      </c>
      <c r="E1" s="10" t="inlineStr">
        <is>
          <t>Opening Due</t>
        </is>
      </c>
      <c r="F1" s="10" t="inlineStr">
        <is>
          <t>Collected Amount</t>
        </is>
      </c>
      <c r="G1" s="10" t="inlineStr">
        <is>
          <t>Payment Mode</t>
        </is>
      </c>
      <c r="H1" s="10" t="inlineStr">
        <is>
          <t>Closing Due</t>
        </is>
      </c>
      <c r="I1" s="10" t="inlineStr">
        <is>
          <t>Remarks</t>
        </is>
      </c>
    </row>
    <row r="2">
      <c r="A2" s="25" t="n">
        <v>46207</v>
      </c>
      <c r="B2" s="26" t="inlineStr">
        <is>
          <t>R001</t>
        </is>
      </c>
      <c r="C2" s="26" t="inlineStr">
        <is>
          <t>Sharma Dairy Shop</t>
        </is>
      </c>
      <c r="D2" s="26" t="inlineStr">
        <is>
          <t>INV-1001</t>
        </is>
      </c>
      <c r="E2" s="26" t="n">
        <v>5800</v>
      </c>
      <c r="F2" s="26" t="n">
        <v>5800</v>
      </c>
      <c r="G2" s="26" t="inlineStr">
        <is>
          <t>Cash</t>
        </is>
      </c>
      <c r="H2" s="30">
        <f>E2-F2</f>
        <v/>
      </c>
      <c r="I2" s="26" t="inlineStr">
        <is>
          <t>Full payment received</t>
        </is>
      </c>
    </row>
    <row r="3">
      <c r="A3" s="27" t="n">
        <v>46209</v>
      </c>
      <c r="B3" s="28" t="inlineStr">
        <is>
          <t>R002</t>
        </is>
      </c>
      <c r="C3" s="28" t="inlineStr">
        <is>
          <t>Krishna Store</t>
        </is>
      </c>
      <c r="D3" s="28" t="inlineStr">
        <is>
          <t>INV-1004</t>
        </is>
      </c>
      <c r="E3" s="28" t="n">
        <v>3960</v>
      </c>
      <c r="F3" s="28" t="n">
        <v>3960</v>
      </c>
      <c r="G3" s="28" t="inlineStr">
        <is>
          <t>Cash</t>
        </is>
      </c>
      <c r="H3" s="29">
        <f>E3-F3</f>
        <v/>
      </c>
      <c r="I3" s="28" t="inlineStr">
        <is>
          <t>Full payment</t>
        </is>
      </c>
    </row>
    <row r="4">
      <c r="A4" s="25" t="n">
        <v>46211</v>
      </c>
      <c r="B4" s="26" t="inlineStr">
        <is>
          <t>R003</t>
        </is>
      </c>
      <c r="C4" s="26" t="inlineStr">
        <is>
          <t>Patan Co-op</t>
        </is>
      </c>
      <c r="D4" s="26" t="inlineStr">
        <is>
          <t>INV-1005</t>
        </is>
      </c>
      <c r="E4" s="26" t="n">
        <v>7200</v>
      </c>
      <c r="F4" s="26" t="n">
        <v>5000</v>
      </c>
      <c r="G4" s="26" t="inlineStr">
        <is>
          <t>Bank Transfer</t>
        </is>
      </c>
      <c r="H4" s="30">
        <f>E4-F4</f>
        <v/>
      </c>
      <c r="I4" s="26" t="inlineStr">
        <is>
          <t>Partial payment</t>
        </is>
      </c>
    </row>
    <row r="5">
      <c r="A5" s="27" t="n">
        <v>46212</v>
      </c>
      <c r="B5" s="28" t="inlineStr">
        <is>
          <t>R004</t>
        </is>
      </c>
      <c r="C5" s="28" t="inlineStr">
        <is>
          <t>Bhatbhateni Supermarket</t>
        </is>
      </c>
      <c r="D5" s="28" t="inlineStr">
        <is>
          <t>INV-1002</t>
        </is>
      </c>
      <c r="E5" s="28" t="n">
        <v>8500</v>
      </c>
      <c r="F5" s="28" t="n">
        <v>8500</v>
      </c>
      <c r="G5" s="28" t="inlineStr">
        <is>
          <t>Cheque</t>
        </is>
      </c>
      <c r="H5" s="29">
        <f>E5-F5</f>
        <v/>
      </c>
      <c r="I5" s="28" t="inlineStr">
        <is>
          <t>Full payment via cheque</t>
        </is>
      </c>
    </row>
    <row r="6">
      <c r="A6" s="25" t="n">
        <v>46214</v>
      </c>
      <c r="B6" s="26" t="inlineStr">
        <is>
          <t>R005</t>
        </is>
      </c>
      <c r="C6" s="26" t="inlineStr">
        <is>
          <t>Hotel Annapurna</t>
        </is>
      </c>
      <c r="D6" s="26" t="inlineStr">
        <is>
          <t>INV-1003</t>
        </is>
      </c>
      <c r="E6" s="26" t="n">
        <v>3200</v>
      </c>
      <c r="F6" s="26" t="n">
        <v>3200</v>
      </c>
      <c r="G6" s="26" t="inlineStr">
        <is>
          <t>Cash</t>
        </is>
      </c>
      <c r="H6" s="30">
        <f>E6-F6</f>
        <v/>
      </c>
      <c r="I6" s="26" t="inlineStr"/>
    </row>
    <row r="7">
      <c r="A7" s="27" t="n">
        <v>46216</v>
      </c>
      <c r="B7" s="28" t="inlineStr">
        <is>
          <t>R006</t>
        </is>
      </c>
      <c r="C7" s="28" t="inlineStr">
        <is>
          <t>Patan Co-op</t>
        </is>
      </c>
      <c r="D7" s="28" t="inlineStr">
        <is>
          <t>INV-1005</t>
        </is>
      </c>
      <c r="E7" s="28" t="n">
        <v>2200</v>
      </c>
      <c r="F7" s="28" t="n">
        <v>2200</v>
      </c>
      <c r="G7" s="28" t="inlineStr">
        <is>
          <t>UPI</t>
        </is>
      </c>
      <c r="H7" s="29">
        <f>E7-F7</f>
        <v/>
      </c>
      <c r="I7" s="28" t="inlineStr">
        <is>
          <t>Balance cleared</t>
        </is>
      </c>
    </row>
  </sheetData>
  <conditionalFormatting sqref="A2:I5000">
    <cfRule type="expression" priority="1" dxfId="3">
      <formula>$H2&gt;0</formula>
    </cfRule>
    <cfRule type="expression" priority="2" dxfId="2">
      <formula>$H2=0</formula>
    </cfRule>
  </conditionalFormatting>
  <dataValidations count="1">
    <dataValidation sqref="G2:G5000" showDropDown="0" showInputMessage="1" showErrorMessage="1" allowBlank="1" errorTitle="Payment Mode" error="Select payment mode" promptTitle="Payment Mode" prompt="Select payment mode from the list" type="list">
      <formula1>"Cash,Bank Transfer,Cheque,UPI,Card,Online"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tabColor rgb="00F39C12"/>
    <outlinePr summaryBelow="1" summaryRight="1"/>
    <pageSetUpPr/>
  </sheetPr>
  <dimension ref="A1:J9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 outlineLevelCol="0"/>
  <cols>
    <col width="22" customWidth="1" min="1" max="1"/>
    <col width="10" customWidth="1" min="2" max="2"/>
    <col width="14" customWidth="1" min="3" max="3"/>
    <col width="14" customWidth="1" min="4" max="4"/>
    <col width="12" customWidth="1" min="5" max="5"/>
    <col width="14" customWidth="1" min="6" max="6"/>
    <col width="14" customWidth="1" min="7" max="7"/>
    <col width="12" customWidth="1" min="8" max="8"/>
    <col width="14" customWidth="1" min="9" max="9"/>
    <col width="14" customWidth="1" min="10" max="10"/>
  </cols>
  <sheetData>
    <row r="1">
      <c r="A1" s="10" t="inlineStr">
        <is>
          <t>Product Name</t>
        </is>
      </c>
      <c r="B1" s="10" t="inlineStr">
        <is>
          <t>Unit</t>
        </is>
      </c>
      <c r="C1" s="10" t="inlineStr">
        <is>
          <t>Opening Stock</t>
        </is>
      </c>
      <c r="D1" s="10" t="inlineStr">
        <is>
          <t>Purchases In</t>
        </is>
      </c>
      <c r="E1" s="10" t="inlineStr">
        <is>
          <t>Sales Out</t>
        </is>
      </c>
      <c r="F1" s="10" t="inlineStr">
        <is>
          <t>Current Stock</t>
        </is>
      </c>
      <c r="G1" s="10" t="inlineStr">
        <is>
          <t>Reorder Level</t>
        </is>
      </c>
      <c r="H1" s="10" t="inlineStr">
        <is>
          <t>Rate (Rs)</t>
        </is>
      </c>
      <c r="I1" s="10" t="inlineStr">
        <is>
          <t>Stock Value</t>
        </is>
      </c>
      <c r="J1" s="10" t="inlineStr">
        <is>
          <t>Status</t>
        </is>
      </c>
    </row>
    <row r="2">
      <c r="A2" s="26" t="inlineStr">
        <is>
          <t>Raw Milk</t>
        </is>
      </c>
      <c r="B2" s="26" t="inlineStr">
        <is>
          <t>Liter</t>
        </is>
      </c>
      <c r="C2" s="26" t="n">
        <v>1000</v>
      </c>
      <c r="D2" s="37">
        <f>SUMIF(Purchase_Entry!D$2:D$5000,A2,Purchase_Entry!K$2:K$5000)</f>
        <v/>
      </c>
      <c r="E2" s="37">
        <f>SUMIF(Sales_Entry!D$2:D$5000,A2,Sales_Entry!E$2:E$5000)</f>
        <v/>
      </c>
      <c r="F2" s="38">
        <f>C2+D2-E2</f>
        <v/>
      </c>
      <c r="G2" s="26" t="n">
        <v>200</v>
      </c>
      <c r="H2" s="26" t="n">
        <v>60</v>
      </c>
      <c r="I2" s="30">
        <f>F2*H2</f>
        <v/>
      </c>
      <c r="J2" s="26">
        <f>IF(F2&lt;=G2,"Reorder",IF(F2&lt;=(G2*1.5),"Low Stock","In Stock"))</f>
        <v/>
      </c>
    </row>
    <row r="3">
      <c r="A3" s="28" t="inlineStr">
        <is>
          <t>Cow Milk</t>
        </is>
      </c>
      <c r="B3" s="28" t="inlineStr">
        <is>
          <t>Liter</t>
        </is>
      </c>
      <c r="C3" s="28" t="n">
        <v>500</v>
      </c>
      <c r="D3" s="39">
        <f>SUMIF(Purchase_Entry!D$2:D$5000,A3,Purchase_Entry!K$2:K$5000)</f>
        <v/>
      </c>
      <c r="E3" s="39">
        <f>SUMIF(Sales_Entry!D$2:D$5000,A3,Sales_Entry!E$2:E$5000)</f>
        <v/>
      </c>
      <c r="F3" s="40">
        <f>C3+D3-E3</f>
        <v/>
      </c>
      <c r="G3" s="28" t="n">
        <v>100</v>
      </c>
      <c r="H3" s="28" t="n">
        <v>65</v>
      </c>
      <c r="I3" s="29">
        <f>F3*H3</f>
        <v/>
      </c>
      <c r="J3" s="28">
        <f>IF(F3&lt;=G3,"Reorder",IF(F3&lt;=(G3*1.5),"Low Stock","In Stock"))</f>
        <v/>
      </c>
    </row>
    <row r="4">
      <c r="A4" s="26" t="inlineStr">
        <is>
          <t>Curd (Dahi)</t>
        </is>
      </c>
      <c r="B4" s="26" t="inlineStr">
        <is>
          <t>Kg</t>
        </is>
      </c>
      <c r="C4" s="26" t="n">
        <v>100</v>
      </c>
      <c r="D4" s="37">
        <f>SUMIF(Purchase_Entry!D$2:D$5000,A4,Purchase_Entry!K$2:K$5000)</f>
        <v/>
      </c>
      <c r="E4" s="37">
        <f>SUMIF(Sales_Entry!D$2:D$5000,A4,Sales_Entry!E$2:E$5000)</f>
        <v/>
      </c>
      <c r="F4" s="38">
        <f>C4+D4-E4</f>
        <v/>
      </c>
      <c r="G4" s="26" t="n">
        <v>20</v>
      </c>
      <c r="H4" s="26" t="n">
        <v>100</v>
      </c>
      <c r="I4" s="30">
        <f>F4*H4</f>
        <v/>
      </c>
      <c r="J4" s="26">
        <f>IF(F4&lt;=G4,"Reorder",IF(F4&lt;=(G4*1.5),"Low Stock","In Stock"))</f>
        <v/>
      </c>
    </row>
    <row r="5">
      <c r="A5" s="28" t="inlineStr">
        <is>
          <t>Ghee</t>
        </is>
      </c>
      <c r="B5" s="28" t="inlineStr">
        <is>
          <t>Kg</t>
        </is>
      </c>
      <c r="C5" s="28" t="n">
        <v>50</v>
      </c>
      <c r="D5" s="39">
        <f>SUMIF(Purchase_Entry!D$2:D$5000,A5,Purchase_Entry!K$2:K$5000)</f>
        <v/>
      </c>
      <c r="E5" s="39">
        <f>SUMIF(Sales_Entry!D$2:D$5000,A5,Sales_Entry!E$2:E$5000)</f>
        <v/>
      </c>
      <c r="F5" s="40">
        <f>C5+D5-E5</f>
        <v/>
      </c>
      <c r="G5" s="28" t="n">
        <v>10</v>
      </c>
      <c r="H5" s="28" t="n">
        <v>650</v>
      </c>
      <c r="I5" s="29">
        <f>F5*H5</f>
        <v/>
      </c>
      <c r="J5" s="28">
        <f>IF(F5&lt;=G5,"Reorder",IF(F5&lt;=(G5*1.5),"Low Stock","In Stock"))</f>
        <v/>
      </c>
    </row>
    <row r="6">
      <c r="A6" s="26" t="inlineStr">
        <is>
          <t>Paneer</t>
        </is>
      </c>
      <c r="B6" s="26" t="inlineStr">
        <is>
          <t>Kg</t>
        </is>
      </c>
      <c r="C6" s="26" t="n">
        <v>30</v>
      </c>
      <c r="D6" s="37">
        <f>SUMIF(Purchase_Entry!D$2:D$5000,A6,Purchase_Entry!K$2:K$5000)</f>
        <v/>
      </c>
      <c r="E6" s="37">
        <f>SUMIF(Sales_Entry!D$2:D$5000,A6,Sales_Entry!E$2:E$5000)</f>
        <v/>
      </c>
      <c r="F6" s="38">
        <f>C6+D6-E6</f>
        <v/>
      </c>
      <c r="G6" s="26" t="n">
        <v>5</v>
      </c>
      <c r="H6" s="26" t="n">
        <v>350</v>
      </c>
      <c r="I6" s="30">
        <f>F6*H6</f>
        <v/>
      </c>
      <c r="J6" s="26">
        <f>IF(F6&lt;=G6,"Reorder",IF(F6&lt;=(G6*1.5),"Low Stock","In Stock"))</f>
        <v/>
      </c>
    </row>
    <row r="7">
      <c r="A7" s="28" t="inlineStr">
        <is>
          <t>Butter</t>
        </is>
      </c>
      <c r="B7" s="28" t="inlineStr">
        <is>
          <t>Kg</t>
        </is>
      </c>
      <c r="C7" s="28" t="n">
        <v>20</v>
      </c>
      <c r="D7" s="39">
        <f>SUMIF(Purchase_Entry!D$2:D$5000,A7,Purchase_Entry!K$2:K$5000)</f>
        <v/>
      </c>
      <c r="E7" s="39">
        <f>SUMIF(Sales_Entry!D$2:D$5000,A7,Sales_Entry!E$2:E$5000)</f>
        <v/>
      </c>
      <c r="F7" s="40">
        <f>C7+D7-E7</f>
        <v/>
      </c>
      <c r="G7" s="28" t="n">
        <v>5</v>
      </c>
      <c r="H7" s="28" t="n">
        <v>450</v>
      </c>
      <c r="I7" s="29">
        <f>F7*H7</f>
        <v/>
      </c>
      <c r="J7" s="28">
        <f>IF(F7&lt;=G7,"Reorder",IF(F7&lt;=(G7*1.5),"Low Stock","In Stock"))</f>
        <v/>
      </c>
    </row>
    <row r="8">
      <c r="A8" s="26" t="inlineStr">
        <is>
          <t>Buttermilk</t>
        </is>
      </c>
      <c r="B8" s="26" t="inlineStr">
        <is>
          <t>Liter</t>
        </is>
      </c>
      <c r="C8" s="26" t="n">
        <v>60</v>
      </c>
      <c r="D8" s="37">
        <f>SUMIF(Purchase_Entry!D$2:D$5000,A8,Purchase_Entry!K$2:K$5000)</f>
        <v/>
      </c>
      <c r="E8" s="37">
        <f>SUMIF(Sales_Entry!D$2:D$5000,A8,Sales_Entry!E$2:E$5000)</f>
        <v/>
      </c>
      <c r="F8" s="38">
        <f>C8+D8-E8</f>
        <v/>
      </c>
      <c r="G8" s="26" t="n">
        <v>15</v>
      </c>
      <c r="H8" s="26" t="n">
        <v>40</v>
      </c>
      <c r="I8" s="30">
        <f>F8*H8</f>
        <v/>
      </c>
      <c r="J8" s="26">
        <f>IF(F8&lt;=G8,"Reorder",IF(F8&lt;=(G8*1.5),"Low Stock","In Stock"))</f>
        <v/>
      </c>
    </row>
    <row r="9">
      <c r="A9" s="28" t="inlineStr">
        <is>
          <t>Khoya</t>
        </is>
      </c>
      <c r="B9" s="28" t="inlineStr">
        <is>
          <t>Kg</t>
        </is>
      </c>
      <c r="C9" s="28" t="n">
        <v>15</v>
      </c>
      <c r="D9" s="39">
        <f>SUMIF(Purchase_Entry!D$2:D$5000,A9,Purchase_Entry!K$2:K$5000)</f>
        <v/>
      </c>
      <c r="E9" s="39">
        <f>SUMIF(Sales_Entry!D$2:D$5000,A9,Sales_Entry!E$2:E$5000)</f>
        <v/>
      </c>
      <c r="F9" s="40">
        <f>C9+D9-E9</f>
        <v/>
      </c>
      <c r="G9" s="28" t="n">
        <v>5</v>
      </c>
      <c r="H9" s="28" t="n">
        <v>300</v>
      </c>
      <c r="I9" s="29">
        <f>F9*H9</f>
        <v/>
      </c>
      <c r="J9" s="28">
        <f>IF(F9&lt;=G9,"Reorder",IF(F9&lt;=(G9*1.5),"Low Stock","In Stock"))</f>
        <v/>
      </c>
    </row>
  </sheetData>
  <conditionalFormatting sqref="A2:J5000">
    <cfRule type="expression" priority="1" dxfId="4">
      <formula>$J2="Reorder"</formula>
    </cfRule>
    <cfRule type="expression" priority="2" dxfId="3">
      <formula>$J2="Low Stock"</formula>
    </cfRule>
    <cfRule type="expression" priority="3" dxfId="2">
      <formula>$J2="In Stock"</formula>
    </cfRule>
  </conditionalFormatting>
  <conditionalFormatting sqref="F2:F5000">
    <cfRule type="cellIs" priority="4" operator="lessThan" dxfId="1">
      <formula>0</formula>
    </cfRule>
  </conditionalFormatting>
  <dataValidations count="1">
    <dataValidation sqref="B2:B5000" showDropDown="0" showInputMessage="1" showErrorMessage="1" allowBlank="1" errorTitle="Unit" error="Select unit" promptTitle="Unit" prompt="Select unit from the list" type="list">
      <formula1>"Litre,Kg,Piece,Packet,Box"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>
    <tabColor rgb="008E44AD"/>
    <outlinePr summaryBelow="1" summaryRight="1"/>
    <pageSetUpPr/>
  </sheetPr>
  <dimension ref="A1:I10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 outlineLevelCol="0"/>
  <cols>
    <col width="24" customWidth="1" min="1" max="1"/>
    <col width="12" customWidth="1" min="2" max="2"/>
    <col width="16" customWidth="1" min="3" max="3"/>
    <col width="26" customWidth="1" min="4" max="4"/>
    <col width="16" customWidth="1" min="5" max="5"/>
    <col width="14" customWidth="1" min="6" max="6"/>
    <col width="14" customWidth="1" min="7" max="7"/>
    <col width="16" customWidth="1" min="8" max="8"/>
    <col width="14" customWidth="1" min="9" max="9"/>
  </cols>
  <sheetData>
    <row r="1">
      <c r="A1" s="10" t="inlineStr">
        <is>
          <t>Party Name</t>
        </is>
      </c>
      <c r="B1" s="10" t="inlineStr">
        <is>
          <t>Type</t>
        </is>
      </c>
      <c r="C1" s="10" t="inlineStr">
        <is>
          <t>Phone</t>
        </is>
      </c>
      <c r="D1" s="10" t="inlineStr">
        <is>
          <t>Address</t>
        </is>
      </c>
      <c r="E1" s="10" t="inlineStr">
        <is>
          <t>Opening Balance</t>
        </is>
      </c>
      <c r="F1" s="10" t="inlineStr">
        <is>
          <t>Total Debit</t>
        </is>
      </c>
      <c r="G1" s="10" t="inlineStr">
        <is>
          <t>Total Credit</t>
        </is>
      </c>
      <c r="H1" s="10" t="inlineStr">
        <is>
          <t>Running Balance</t>
        </is>
      </c>
      <c r="I1" s="10" t="inlineStr">
        <is>
          <t>Status</t>
        </is>
      </c>
    </row>
    <row r="2">
      <c r="A2" s="26" t="inlineStr">
        <is>
          <t>Sharma Dairy Shop</t>
        </is>
      </c>
      <c r="B2" s="26" t="inlineStr">
        <is>
          <t>Customer</t>
        </is>
      </c>
      <c r="C2" s="26" t="inlineStr">
        <is>
          <t>9812345670</t>
        </is>
      </c>
      <c r="D2" s="26" t="inlineStr">
        <is>
          <t>New Road, Kathmandu</t>
        </is>
      </c>
      <c r="E2" s="26" t="n">
        <v>15000</v>
      </c>
      <c r="F2" s="34">
        <f>SUMIF(Party_Ledger!B$2:B$5000,A2,Party_Ledger!F$2:F$5000)</f>
        <v/>
      </c>
      <c r="G2" s="34">
        <f>SUMIF(Party_Ledger!B$2:B$5000,A2,Party_Ledger!G$2:G$5000)</f>
        <v/>
      </c>
      <c r="H2" s="30">
        <f>E2+F2-G2</f>
        <v/>
      </c>
      <c r="I2" s="26">
        <f>IF(H2&gt;0,"Outstanding",IF(H2&lt;0,"Payable","Settled"))</f>
        <v/>
      </c>
    </row>
    <row r="3">
      <c r="A3" s="28" t="inlineStr">
        <is>
          <t>Bhatbhateni Supermarket</t>
        </is>
      </c>
      <c r="B3" s="28" t="inlineStr">
        <is>
          <t>Customer</t>
        </is>
      </c>
      <c r="C3" s="28" t="inlineStr">
        <is>
          <t>9812345672</t>
        </is>
      </c>
      <c r="D3" s="28" t="inlineStr">
        <is>
          <t>Durbar Marg, Kathmandu</t>
        </is>
      </c>
      <c r="E3" s="28" t="n">
        <v>45000</v>
      </c>
      <c r="F3" s="35">
        <f>SUMIF(Party_Ledger!B$2:B$5000,A3,Party_Ledger!F$2:F$5000)</f>
        <v/>
      </c>
      <c r="G3" s="35">
        <f>SUMIF(Party_Ledger!B$2:B$5000,A3,Party_Ledger!G$2:G$5000)</f>
        <v/>
      </c>
      <c r="H3" s="29">
        <f>E3+F3-G3</f>
        <v/>
      </c>
      <c r="I3" s="28">
        <f>IF(H3&gt;0,"Outstanding",IF(H3&lt;0,"Payable","Settled"))</f>
        <v/>
      </c>
    </row>
    <row r="4">
      <c r="A4" s="26" t="inlineStr">
        <is>
          <t>Gurung Dairy Farm</t>
        </is>
      </c>
      <c r="B4" s="26" t="inlineStr">
        <is>
          <t>Supplier</t>
        </is>
      </c>
      <c r="C4" s="26" t="inlineStr">
        <is>
          <t>9852345673</t>
        </is>
      </c>
      <c r="D4" s="26" t="inlineStr">
        <is>
          <t>Budhanilkantha</t>
        </is>
      </c>
      <c r="E4" s="26" t="n">
        <v>50000</v>
      </c>
      <c r="F4" s="34">
        <f>SUMIF(Party_Ledger!B$2:B$5000,A4,Party_Ledger!F$2:F$5000)</f>
        <v/>
      </c>
      <c r="G4" s="34">
        <f>SUMIF(Party_Ledger!B$2:B$5000,A4,Party_Ledger!G$2:G$5000)</f>
        <v/>
      </c>
      <c r="H4" s="30">
        <f>E4+F4-G4</f>
        <v/>
      </c>
      <c r="I4" s="26">
        <f>IF(H4&gt;0,"Outstanding",IF(H4&lt;0,"Payable","Settled"))</f>
        <v/>
      </c>
    </row>
    <row r="5">
      <c r="A5" s="28" t="inlineStr">
        <is>
          <t>Fresh Valley Suppliers</t>
        </is>
      </c>
      <c r="B5" s="28" t="inlineStr">
        <is>
          <t>Supplier</t>
        </is>
      </c>
      <c r="C5" s="28" t="inlineStr">
        <is>
          <t>9841234570</t>
        </is>
      </c>
      <c r="D5" s="28" t="inlineStr">
        <is>
          <t>Bhaktapur</t>
        </is>
      </c>
      <c r="E5" s="28" t="n">
        <v>12000</v>
      </c>
      <c r="F5" s="35">
        <f>SUMIF(Party_Ledger!B$2:B$5000,A5,Party_Ledger!F$2:F$5000)</f>
        <v/>
      </c>
      <c r="G5" s="35">
        <f>SUMIF(Party_Ledger!B$2:B$5000,A5,Party_Ledger!G$2:G$5000)</f>
        <v/>
      </c>
      <c r="H5" s="29">
        <f>E5+F5-G5</f>
        <v/>
      </c>
      <c r="I5" s="28">
        <f>IF(H5&gt;0,"Outstanding",IF(H5&lt;0,"Payable","Settled"))</f>
        <v/>
      </c>
    </row>
    <row r="6">
      <c r="A6" s="26" t="inlineStr">
        <is>
          <t>Patan Co-op</t>
        </is>
      </c>
      <c r="B6" s="26" t="inlineStr">
        <is>
          <t>Both</t>
        </is>
      </c>
      <c r="C6" s="26" t="inlineStr">
        <is>
          <t>9852345675</t>
        </is>
      </c>
      <c r="D6" s="26" t="inlineStr">
        <is>
          <t>Patan, Lalitpur</t>
        </is>
      </c>
      <c r="E6" s="26" t="n">
        <v>0</v>
      </c>
      <c r="F6" s="34">
        <f>SUMIF(Party_Ledger!B$2:B$5000,A6,Party_Ledger!F$2:F$5000)</f>
        <v/>
      </c>
      <c r="G6" s="34">
        <f>SUMIF(Party_Ledger!B$2:B$5000,A6,Party_Ledger!G$2:G$5000)</f>
        <v/>
      </c>
      <c r="H6" s="30">
        <f>E6+F6-G6</f>
        <v/>
      </c>
      <c r="I6" s="26">
        <f>IF(H6&gt;0,"Outstanding",IF(H6&lt;0,"Payable","Settled"))</f>
        <v/>
      </c>
    </row>
    <row r="7">
      <c r="A7" s="28" t="inlineStr">
        <is>
          <t>Hotel Annapurna</t>
        </is>
      </c>
      <c r="B7" s="28" t="inlineStr">
        <is>
          <t>Customer</t>
        </is>
      </c>
      <c r="C7" s="28" t="inlineStr">
        <is>
          <t>9811112233</t>
        </is>
      </c>
      <c r="D7" s="28" t="inlineStr">
        <is>
          <t>Thamel, Kathmandu</t>
        </is>
      </c>
      <c r="E7" s="28" t="n">
        <v>0</v>
      </c>
      <c r="F7" s="35">
        <f>SUMIF(Party_Ledger!B$2:B$5000,A7,Party_Ledger!F$2:F$5000)</f>
        <v/>
      </c>
      <c r="G7" s="35">
        <f>SUMIF(Party_Ledger!B$2:B$5000,A7,Party_Ledger!G$2:G$5000)</f>
        <v/>
      </c>
      <c r="H7" s="29">
        <f>E7+F7-G7</f>
        <v/>
      </c>
      <c r="I7" s="28">
        <f>IF(H7&gt;0,"Outstanding",IF(H7&lt;0,"Payable","Settled"))</f>
        <v/>
      </c>
    </row>
    <row r="8">
      <c r="A8" s="26" t="inlineStr">
        <is>
          <t>Khadgi Sweets</t>
        </is>
      </c>
      <c r="B8" s="26" t="inlineStr">
        <is>
          <t>Customer</t>
        </is>
      </c>
      <c r="C8" s="26" t="inlineStr">
        <is>
          <t>9843322110</t>
        </is>
      </c>
      <c r="D8" s="26" t="inlineStr">
        <is>
          <t>Asan, Kathmandu</t>
        </is>
      </c>
      <c r="E8" s="26" t="n">
        <v>8000</v>
      </c>
      <c r="F8" s="34">
        <f>SUMIF(Party_Ledger!B$2:B$5000,A8,Party_Ledger!F$2:F$5000)</f>
        <v/>
      </c>
      <c r="G8" s="34">
        <f>SUMIF(Party_Ledger!B$2:B$5000,A8,Party_Ledger!G$2:G$5000)</f>
        <v/>
      </c>
      <c r="H8" s="30">
        <f>E8+F8-G8</f>
        <v/>
      </c>
      <c r="I8" s="26">
        <f>IF(H8&gt;0,"Outstanding",IF(H8&lt;0,"Payable","Settled"))</f>
        <v/>
      </c>
    </row>
    <row r="9">
      <c r="A9" s="28" t="inlineStr">
        <is>
          <t>Pokhara Ghee House</t>
        </is>
      </c>
      <c r="B9" s="28" t="inlineStr">
        <is>
          <t>Supplier</t>
        </is>
      </c>
      <c r="C9" s="28" t="inlineStr">
        <is>
          <t>9856001122</t>
        </is>
      </c>
      <c r="D9" s="28" t="inlineStr">
        <is>
          <t>Pokhara</t>
        </is>
      </c>
      <c r="E9" s="28" t="n">
        <v>25000</v>
      </c>
      <c r="F9" s="35">
        <f>SUMIF(Party_Ledger!B$2:B$5000,A9,Party_Ledger!F$2:F$5000)</f>
        <v/>
      </c>
      <c r="G9" s="35">
        <f>SUMIF(Party_Ledger!B$2:B$5000,A9,Party_Ledger!G$2:G$5000)</f>
        <v/>
      </c>
      <c r="H9" s="29">
        <f>E9+F9-G9</f>
        <v/>
      </c>
      <c r="I9" s="28">
        <f>IF(H9&gt;0,"Outstanding",IF(H9&lt;0,"Payable","Settled"))</f>
        <v/>
      </c>
    </row>
    <row r="10">
      <c r="A10" s="26" t="inlineStr">
        <is>
          <t>Dairy Cooperative</t>
        </is>
      </c>
      <c r="B10" s="26" t="inlineStr">
        <is>
          <t>Both</t>
        </is>
      </c>
      <c r="C10" s="26" t="inlineStr">
        <is>
          <t>9812345699</t>
        </is>
      </c>
      <c r="D10" s="26" t="inlineStr">
        <is>
          <t>Chitwan</t>
        </is>
      </c>
      <c r="E10" s="26" t="n">
        <v>0</v>
      </c>
      <c r="F10" s="34">
        <f>SUMIF(Party_Ledger!B$2:B$5000,A10,Party_Ledger!F$2:F$5000)</f>
        <v/>
      </c>
      <c r="G10" s="34">
        <f>SUMIF(Party_Ledger!B$2:B$5000,A10,Party_Ledger!G$2:G$5000)</f>
        <v/>
      </c>
      <c r="H10" s="30">
        <f>E10+F10-G10</f>
        <v/>
      </c>
      <c r="I10" s="26">
        <f>IF(H10&gt;0,"Outstanding",IF(H10&lt;0,"Payable","Settled"))</f>
        <v/>
      </c>
    </row>
  </sheetData>
  <conditionalFormatting sqref="A2:J5000">
    <cfRule type="expression" priority="1" dxfId="3">
      <formula>$H2&gt;0</formula>
    </cfRule>
    <cfRule type="expression" priority="2" dxfId="1">
      <formula>$H2&lt;0</formula>
    </cfRule>
  </conditionalFormatting>
  <dataValidations count="1">
    <dataValidation sqref="B2:B5000" showDropDown="0" showInputMessage="1" showErrorMessage="1" allowBlank="1" errorTitle="Party Type" error="Select party type" promptTitle="Party Type" prompt="Select party type from the list" type="list">
      <formula1>"Customer,Supplier,Both"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tabColor rgb="002C3E50"/>
    <outlinePr summaryBelow="1" summaryRight="1"/>
    <pageSetUpPr/>
  </sheetPr>
  <dimension ref="A1:I9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 outlineLevelCol="0"/>
  <cols>
    <col width="14" customWidth="1" min="1" max="1"/>
    <col width="24" customWidth="1" min="2" max="2"/>
    <col width="16" customWidth="1" min="3" max="3"/>
    <col width="14" customWidth="1" min="4" max="4"/>
    <col width="30" customWidth="1" min="5" max="5"/>
    <col width="14" customWidth="1" min="6" max="6"/>
    <col width="14" customWidth="1" min="7" max="7"/>
    <col width="14" customWidth="1" min="8" max="8"/>
    <col width="22" customWidth="1" min="9" max="9"/>
  </cols>
  <sheetData>
    <row r="1">
      <c r="A1" s="10" t="inlineStr">
        <is>
          <t>Date</t>
        </is>
      </c>
      <c r="B1" s="10" t="inlineStr">
        <is>
          <t>Party Name</t>
        </is>
      </c>
      <c r="C1" s="10" t="inlineStr">
        <is>
          <t>Transaction Type</t>
        </is>
      </c>
      <c r="D1" s="10" t="inlineStr">
        <is>
          <t>Reference No</t>
        </is>
      </c>
      <c r="E1" s="10" t="inlineStr">
        <is>
          <t>Description</t>
        </is>
      </c>
      <c r="F1" s="10" t="inlineStr">
        <is>
          <t>Debit</t>
        </is>
      </c>
      <c r="G1" s="10" t="inlineStr">
        <is>
          <t>Credit</t>
        </is>
      </c>
      <c r="H1" s="10" t="inlineStr">
        <is>
          <t>Balance</t>
        </is>
      </c>
      <c r="I1" s="10" t="inlineStr">
        <is>
          <t>Remarks</t>
        </is>
      </c>
    </row>
    <row r="2">
      <c r="A2" s="25" t="n">
        <v>46023</v>
      </c>
      <c r="B2" s="26" t="inlineStr">
        <is>
          <t>Sharma Dairy Shop</t>
        </is>
      </c>
      <c r="C2" s="26" t="inlineStr">
        <is>
          <t>Opening</t>
        </is>
      </c>
      <c r="D2" s="26" t="inlineStr"/>
      <c r="E2" s="26" t="inlineStr">
        <is>
          <t>Opening Balance</t>
        </is>
      </c>
      <c r="F2" s="26" t="n">
        <v>15000</v>
      </c>
      <c r="G2" s="26" t="n">
        <v>0</v>
      </c>
      <c r="H2" s="26" t="n">
        <v>15000</v>
      </c>
      <c r="I2" s="26" t="inlineStr"/>
    </row>
    <row r="3">
      <c r="A3" s="27" t="n">
        <v>46210</v>
      </c>
      <c r="B3" s="28" t="inlineStr">
        <is>
          <t>Sharma Dairy Shop</t>
        </is>
      </c>
      <c r="C3" s="28" t="inlineStr">
        <is>
          <t>Sale</t>
        </is>
      </c>
      <c r="D3" s="28" t="inlineStr">
        <is>
          <t>INV-1001</t>
        </is>
      </c>
      <c r="E3" s="28" t="inlineStr">
        <is>
          <t>Sale of Milk &amp; Products</t>
        </is>
      </c>
      <c r="F3" s="28" t="n">
        <v>5800</v>
      </c>
      <c r="G3" s="28" t="n">
        <v>0</v>
      </c>
      <c r="H3" s="29">
        <f>H2+F3-G3</f>
        <v/>
      </c>
      <c r="I3" s="28" t="inlineStr"/>
    </row>
    <row r="4">
      <c r="A4" s="25" t="n">
        <v>46212</v>
      </c>
      <c r="B4" s="26" t="inlineStr">
        <is>
          <t>Sharma Dairy Shop</t>
        </is>
      </c>
      <c r="C4" s="26" t="inlineStr">
        <is>
          <t>Receipt</t>
        </is>
      </c>
      <c r="D4" s="26" t="inlineStr">
        <is>
          <t>PAY-101</t>
        </is>
      </c>
      <c r="E4" s="26" t="inlineStr">
        <is>
          <t>Payment Received</t>
        </is>
      </c>
      <c r="F4" s="26" t="n">
        <v>0</v>
      </c>
      <c r="G4" s="26" t="n">
        <v>10000</v>
      </c>
      <c r="H4" s="30">
        <f>H3+F4-G4</f>
        <v/>
      </c>
      <c r="I4" s="26" t="inlineStr">
        <is>
          <t>Bank Transfer</t>
        </is>
      </c>
    </row>
    <row r="5">
      <c r="A5" s="27" t="n">
        <v>46214</v>
      </c>
      <c r="B5" s="28" t="inlineStr">
        <is>
          <t>Sharma Dairy Shop</t>
        </is>
      </c>
      <c r="C5" s="28" t="inlineStr">
        <is>
          <t>Sale</t>
        </is>
      </c>
      <c r="D5" s="28" t="inlineStr">
        <is>
          <t>INV-1002</t>
        </is>
      </c>
      <c r="E5" s="28" t="inlineStr">
        <is>
          <t>Ghee Sale</t>
        </is>
      </c>
      <c r="F5" s="28" t="n">
        <v>3250</v>
      </c>
      <c r="G5" s="28" t="n">
        <v>0</v>
      </c>
      <c r="H5" s="29">
        <f>H4+F5-G5</f>
        <v/>
      </c>
      <c r="I5" s="28" t="inlineStr"/>
    </row>
    <row r="6">
      <c r="A6" s="25" t="n">
        <v>46023</v>
      </c>
      <c r="B6" s="26" t="inlineStr">
        <is>
          <t>Gurung Dairy Farm</t>
        </is>
      </c>
      <c r="C6" s="26" t="inlineStr">
        <is>
          <t>Opening</t>
        </is>
      </c>
      <c r="D6" s="26" t="inlineStr"/>
      <c r="E6" s="26" t="inlineStr">
        <is>
          <t>Opening Balance</t>
        </is>
      </c>
      <c r="F6" s="26" t="n">
        <v>0</v>
      </c>
      <c r="G6" s="26" t="n">
        <v>50000</v>
      </c>
      <c r="H6" s="30">
        <f>H5+F6-G6</f>
        <v/>
      </c>
      <c r="I6" s="26" t="inlineStr"/>
    </row>
    <row r="7">
      <c r="A7" s="27" t="n">
        <v>46211</v>
      </c>
      <c r="B7" s="28" t="inlineStr">
        <is>
          <t>Gurung Dairy Farm</t>
        </is>
      </c>
      <c r="C7" s="28" t="inlineStr">
        <is>
          <t>Purchase</t>
        </is>
      </c>
      <c r="D7" s="28" t="inlineStr">
        <is>
          <t>BILL-5001</t>
        </is>
      </c>
      <c r="E7" s="28" t="inlineStr">
        <is>
          <t>Milk Purchase</t>
        </is>
      </c>
      <c r="F7" s="28" t="n">
        <v>0</v>
      </c>
      <c r="G7" s="28" t="n">
        <v>15300</v>
      </c>
      <c r="H7" s="29">
        <f>H6+F7-G7</f>
        <v/>
      </c>
      <c r="I7" s="28" t="inlineStr">
        <is>
          <t>Transport included</t>
        </is>
      </c>
    </row>
    <row r="8">
      <c r="A8" s="25" t="n">
        <v>46213</v>
      </c>
      <c r="B8" s="26" t="inlineStr">
        <is>
          <t>Gurung Dairy Farm</t>
        </is>
      </c>
      <c r="C8" s="26" t="inlineStr">
        <is>
          <t>Payment</t>
        </is>
      </c>
      <c r="D8" s="26" t="inlineStr">
        <is>
          <t>PAY-102</t>
        </is>
      </c>
      <c r="E8" s="26" t="inlineStr">
        <is>
          <t>Payment Made</t>
        </is>
      </c>
      <c r="F8" s="26" t="n">
        <v>30000</v>
      </c>
      <c r="G8" s="26" t="n">
        <v>0</v>
      </c>
      <c r="H8" s="30">
        <f>H7+F8-G8</f>
        <v/>
      </c>
      <c r="I8" s="26" t="inlineStr">
        <is>
          <t>Bank Transfer</t>
        </is>
      </c>
    </row>
    <row r="9">
      <c r="A9" s="27" t="n">
        <v>46215</v>
      </c>
      <c r="B9" s="28" t="inlineStr">
        <is>
          <t>Gurung Dairy Farm</t>
        </is>
      </c>
      <c r="C9" s="28" t="inlineStr">
        <is>
          <t>Purchase</t>
        </is>
      </c>
      <c r="D9" s="28" t="inlineStr">
        <is>
          <t>BILL-5002</t>
        </is>
      </c>
      <c r="E9" s="28" t="inlineStr">
        <is>
          <t>Ghee Supply</t>
        </is>
      </c>
      <c r="F9" s="28" t="n">
        <v>0</v>
      </c>
      <c r="G9" s="28" t="n">
        <v>8400</v>
      </c>
      <c r="H9" s="29">
        <f>H8+F9-G9</f>
        <v/>
      </c>
      <c r="I9" s="28" t="inlineStr"/>
    </row>
  </sheetData>
  <conditionalFormatting sqref="A2:I5000">
    <cfRule type="expression" priority="1" dxfId="1">
      <formula>$H2&lt;0</formula>
    </cfRule>
    <cfRule type="expression" priority="2" dxfId="2">
      <formula>$H2&gt;0</formula>
    </cfRule>
  </conditionalFormatting>
  <dataValidations count="2">
    <dataValidation sqref="B2:B5000" showDropDown="0" showInputMessage="1" showErrorMessage="1" allowBlank="1" errorTitle="Party Name" error="Select a party" promptTitle="Party Name" prompt="Select party name from the list" type="list">
      <formula1>"Sharma Dairy Shop,Bhatbhateni Supermarket,Gurung Dairy Farm,Fresh Valley Suppliers,Patan Co-op,Hotel Annapurna,Khadgi Sweets,Pokhara Ghee House,Dairy Cooperative"</formula1>
    </dataValidation>
    <dataValidation sqref="C2:C5000" showDropDown="0" showInputMessage="1" showErrorMessage="1" allowBlank="1" errorTitle="Transaction Type" error="Select type" promptTitle="Transaction Type" prompt="Select transaction type from the list" type="list">
      <formula1>"Sale,Purchase,Receipt,Payment,Opening,Adjustment,Credit Note,Debit Note"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>
    <tabColor rgb="001ABC9C"/>
    <outlinePr summaryBelow="1" summaryRight="1"/>
    <pageSetUpPr/>
  </sheetPr>
  <dimension ref="A1:L14"/>
  <sheetViews>
    <sheetView workbookViewId="0">
      <pane ySplit="3" topLeftCell="A4" activePane="bottomLeft" state="frozen"/>
      <selection pane="bottomLeft" activeCell="A1" sqref="A1"/>
    </sheetView>
  </sheetViews>
  <sheetFormatPr baseColWidth="8" defaultRowHeight="15" outlineLevelCol="0"/>
  <cols>
    <col width="14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4" customWidth="1" min="9" max="9"/>
    <col width="14" customWidth="1" min="10" max="10"/>
  </cols>
  <sheetData>
    <row r="1">
      <c r="A1" s="1" t="inlineStr">
        <is>
          <t>🐄 [Your Dairy Plant Name]</t>
        </is>
      </c>
    </row>
    <row r="2">
      <c r="A2" s="2" t="inlineStr">
        <is>
          <t>💰 Daily Cash Denomination Count</t>
        </is>
      </c>
    </row>
    <row r="3">
      <c r="A3" s="10" t="inlineStr">
        <is>
          <t>Date</t>
        </is>
      </c>
      <c r="B3" s="10" t="inlineStr">
        <is>
          <t>Count ₹5</t>
        </is>
      </c>
      <c r="C3" s="10" t="inlineStr">
        <is>
          <t>Count ₹10</t>
        </is>
      </c>
      <c r="D3" s="10" t="inlineStr">
        <is>
          <t>Count ₹20</t>
        </is>
      </c>
      <c r="E3" s="10" t="inlineStr">
        <is>
          <t>Count ₹50</t>
        </is>
      </c>
      <c r="F3" s="10" t="inlineStr">
        <is>
          <t>Count ₹100</t>
        </is>
      </c>
      <c r="G3" s="10" t="inlineStr">
        <is>
          <t>Count ₹500</t>
        </is>
      </c>
      <c r="H3" s="10" t="inlineStr">
        <is>
          <t>Count ₹1000</t>
        </is>
      </c>
      <c r="I3" s="10" t="inlineStr">
        <is>
          <t>Other Amount</t>
        </is>
      </c>
      <c r="J3" s="10" t="inlineStr">
        <is>
          <t>Grand Total</t>
        </is>
      </c>
    </row>
    <row r="4">
      <c r="A4" s="25" t="n">
        <v>46217</v>
      </c>
      <c r="B4" s="26" t="n">
        <v>10</v>
      </c>
      <c r="C4" s="26" t="n">
        <v>15</v>
      </c>
      <c r="D4" s="26" t="n">
        <v>8</v>
      </c>
      <c r="E4" s="26" t="n">
        <v>5</v>
      </c>
      <c r="F4" s="26" t="n">
        <v>12</v>
      </c>
      <c r="G4" s="26" t="n">
        <v>3</v>
      </c>
      <c r="H4" s="26" t="n">
        <v>2</v>
      </c>
      <c r="I4" s="26" t="n">
        <v>50</v>
      </c>
      <c r="J4" s="38">
        <f>B4*5 + C4*10 + D4*20 + E4*50 + F4*100 + G4*500 + H4*1000 + I4</f>
        <v/>
      </c>
    </row>
    <row r="5">
      <c r="A5" s="27" t="n">
        <v>46216</v>
      </c>
      <c r="B5" s="28" t="n">
        <v>15</v>
      </c>
      <c r="C5" s="28" t="n">
        <v>18</v>
      </c>
      <c r="D5" s="28" t="n">
        <v>10</v>
      </c>
      <c r="E5" s="28" t="n">
        <v>6</v>
      </c>
      <c r="F5" s="28" t="n">
        <v>14</v>
      </c>
      <c r="G5" s="28" t="n">
        <v>4</v>
      </c>
      <c r="H5" s="28" t="n">
        <v>3</v>
      </c>
      <c r="I5" s="28" t="n">
        <v>65</v>
      </c>
      <c r="J5" s="40">
        <f>B5*5 + C5*10 + D5*20 + E5*50 + F5*100 + G5*500 + H5*1000 + I5</f>
        <v/>
      </c>
    </row>
    <row r="6">
      <c r="A6" s="25" t="n">
        <v>46215</v>
      </c>
      <c r="B6" s="26" t="n">
        <v>20</v>
      </c>
      <c r="C6" s="26" t="n">
        <v>21</v>
      </c>
      <c r="D6" s="26" t="n">
        <v>12</v>
      </c>
      <c r="E6" s="26" t="n">
        <v>7</v>
      </c>
      <c r="F6" s="26" t="n">
        <v>16</v>
      </c>
      <c r="G6" s="26" t="n">
        <v>5</v>
      </c>
      <c r="H6" s="26" t="n">
        <v>4</v>
      </c>
      <c r="I6" s="26" t="n">
        <v>80</v>
      </c>
      <c r="J6" s="38">
        <f>B6*5 + C6*10 + D6*20 + E6*50 + F6*100 + G6*500 + H6*1000 + I6</f>
        <v/>
      </c>
    </row>
    <row r="7">
      <c r="A7" s="27" t="n">
        <v>46214</v>
      </c>
      <c r="B7" s="28" t="n">
        <v>25</v>
      </c>
      <c r="C7" s="28" t="n">
        <v>24</v>
      </c>
      <c r="D7" s="28" t="n">
        <v>14</v>
      </c>
      <c r="E7" s="28" t="n">
        <v>8</v>
      </c>
      <c r="F7" s="28" t="n">
        <v>18</v>
      </c>
      <c r="G7" s="28" t="n">
        <v>6</v>
      </c>
      <c r="H7" s="28" t="n">
        <v>5</v>
      </c>
      <c r="I7" s="28" t="n">
        <v>95</v>
      </c>
      <c r="J7" s="40">
        <f>B7*5 + C7*10 + D7*20 + E7*50 + F7*100 + G7*500 + H7*1000 + I7</f>
        <v/>
      </c>
    </row>
    <row r="8">
      <c r="A8" s="25" t="n">
        <v>46213</v>
      </c>
      <c r="B8" s="26" t="n">
        <v>30</v>
      </c>
      <c r="C8" s="26" t="n">
        <v>27</v>
      </c>
      <c r="D8" s="26" t="n">
        <v>16</v>
      </c>
      <c r="E8" s="26" t="n">
        <v>9</v>
      </c>
      <c r="F8" s="26" t="n">
        <v>20</v>
      </c>
      <c r="G8" s="26" t="n">
        <v>7</v>
      </c>
      <c r="H8" s="26" t="n">
        <v>6</v>
      </c>
      <c r="I8" s="26" t="n">
        <v>110</v>
      </c>
      <c r="J8" s="38">
        <f>B8*5 + C8*10 + D8*20 + E8*50 + F8*100 + G8*500 + H8*1000 + I8</f>
        <v/>
      </c>
    </row>
    <row r="9">
      <c r="A9" s="27" t="n">
        <v>46212</v>
      </c>
      <c r="B9" s="28" t="n">
        <v>35</v>
      </c>
      <c r="C9" s="28" t="n">
        <v>30</v>
      </c>
      <c r="D9" s="28" t="n">
        <v>18</v>
      </c>
      <c r="E9" s="28" t="n">
        <v>10</v>
      </c>
      <c r="F9" s="28" t="n">
        <v>22</v>
      </c>
      <c r="G9" s="28" t="n">
        <v>8</v>
      </c>
      <c r="H9" s="28" t="n">
        <v>7</v>
      </c>
      <c r="I9" s="28" t="n">
        <v>125</v>
      </c>
      <c r="J9" s="40">
        <f>B9*5 + C9*10 + D9*20 + E9*50 + F9*100 + G9*500 + H9*1000 + I9</f>
        <v/>
      </c>
    </row>
    <row r="10">
      <c r="A10" s="25" t="n">
        <v>46211</v>
      </c>
      <c r="B10" s="26" t="n">
        <v>40</v>
      </c>
      <c r="C10" s="26" t="n">
        <v>33</v>
      </c>
      <c r="D10" s="26" t="n">
        <v>20</v>
      </c>
      <c r="E10" s="26" t="n">
        <v>11</v>
      </c>
      <c r="F10" s="26" t="n">
        <v>24</v>
      </c>
      <c r="G10" s="26" t="n">
        <v>9</v>
      </c>
      <c r="H10" s="26" t="n">
        <v>8</v>
      </c>
      <c r="I10" s="26" t="n">
        <v>140</v>
      </c>
      <c r="J10" s="38">
        <f>B10*5 + C10*10 + D10*20 + E10*50 + F10*100 + G10*500 + H10*1000 + I10</f>
        <v/>
      </c>
    </row>
    <row r="11">
      <c r="A11" s="27" t="n">
        <v>46210</v>
      </c>
      <c r="B11" s="28" t="n">
        <v>45</v>
      </c>
      <c r="C11" s="28" t="n">
        <v>36</v>
      </c>
      <c r="D11" s="28" t="n">
        <v>22</v>
      </c>
      <c r="E11" s="28" t="n">
        <v>12</v>
      </c>
      <c r="F11" s="28" t="n">
        <v>26</v>
      </c>
      <c r="G11" s="28" t="n">
        <v>10</v>
      </c>
      <c r="H11" s="28" t="n">
        <v>9</v>
      </c>
      <c r="I11" s="28" t="n">
        <v>155</v>
      </c>
      <c r="J11" s="40">
        <f>B11*5 + C11*10 + D11*20 + E11*50 + F11*100 + G11*500 + H11*1000 + I11</f>
        <v/>
      </c>
    </row>
    <row r="12">
      <c r="A12" s="25" t="n">
        <v>46209</v>
      </c>
      <c r="B12" s="26" t="n">
        <v>50</v>
      </c>
      <c r="C12" s="26" t="n">
        <v>39</v>
      </c>
      <c r="D12" s="26" t="n">
        <v>24</v>
      </c>
      <c r="E12" s="26" t="n">
        <v>13</v>
      </c>
      <c r="F12" s="26" t="n">
        <v>28</v>
      </c>
      <c r="G12" s="26" t="n">
        <v>11</v>
      </c>
      <c r="H12" s="26" t="n">
        <v>10</v>
      </c>
      <c r="I12" s="26" t="n">
        <v>170</v>
      </c>
      <c r="J12" s="38">
        <f>B12*5 + C12*10 + D12*20 + E12*50 + F12*100 + G12*500 + H12*1000 + I12</f>
        <v/>
      </c>
    </row>
    <row r="13">
      <c r="A13" s="27" t="n">
        <v>46208</v>
      </c>
      <c r="B13" s="28" t="n">
        <v>55</v>
      </c>
      <c r="C13" s="28" t="n">
        <v>42</v>
      </c>
      <c r="D13" s="28" t="n">
        <v>26</v>
      </c>
      <c r="E13" s="28" t="n">
        <v>14</v>
      </c>
      <c r="F13" s="28" t="n">
        <v>30</v>
      </c>
      <c r="G13" s="28" t="n">
        <v>12</v>
      </c>
      <c r="H13" s="28" t="n">
        <v>11</v>
      </c>
      <c r="I13" s="28" t="n">
        <v>185</v>
      </c>
      <c r="J13" s="40">
        <f>B13*5 + C13*10 + D13*20 + E13*50 + F13*100 + G13*500 + H13*1000 + I13</f>
        <v/>
      </c>
    </row>
    <row r="14">
      <c r="A14" s="32" t="inlineStr">
        <is>
          <t>TOTALS</t>
        </is>
      </c>
      <c r="B14" s="41">
        <f>SUM(B4:B13)</f>
        <v/>
      </c>
      <c r="C14" s="41">
        <f>SUM(C4:C13)</f>
        <v/>
      </c>
      <c r="D14" s="41">
        <f>SUM(D4:D13)</f>
        <v/>
      </c>
      <c r="E14" s="41">
        <f>SUM(E4:E13)</f>
        <v/>
      </c>
      <c r="F14" s="41">
        <f>SUM(F4:F13)</f>
        <v/>
      </c>
      <c r="G14" s="41">
        <f>SUM(G4:G13)</f>
        <v/>
      </c>
      <c r="H14" s="41">
        <f>SUM(H4:H13)</f>
        <v/>
      </c>
      <c r="I14" s="41">
        <f>SUM(I4:I13)</f>
        <v/>
      </c>
      <c r="J14" s="41">
        <f>SUM(J4:J13)</f>
        <v/>
      </c>
    </row>
  </sheetData>
  <mergeCells count="2">
    <mergeCell ref="A2:L2"/>
    <mergeCell ref="A1:L1"/>
  </mergeCell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>
    <tabColor rgb="001ABC9C"/>
    <outlinePr summaryBelow="1" summaryRight="1"/>
    <pageSetUpPr/>
  </sheetPr>
  <dimension ref="A1:K29"/>
  <sheetViews>
    <sheetView workbookViewId="0">
      <pane ySplit="8" topLeftCell="A9" activePane="bottomLeft" state="frozen"/>
      <selection pane="bottomLeft" activeCell="A1" sqref="A1"/>
    </sheetView>
  </sheetViews>
  <sheetFormatPr baseColWidth="8" defaultRowHeight="15" outlineLevelCol="0"/>
  <cols>
    <col width="14" customWidth="1" min="1" max="1"/>
    <col width="14" customWidth="1" min="2" max="2"/>
    <col width="24" customWidth="1" min="3" max="3"/>
    <col width="20" customWidth="1" min="4" max="4"/>
    <col width="10" customWidth="1" min="5" max="5"/>
    <col width="10" customWidth="1" min="6" max="6"/>
    <col width="14" customWidth="1" min="7" max="7"/>
    <col width="12" customWidth="1" min="8" max="8"/>
    <col width="14" customWidth="1" min="9" max="9"/>
    <col width="14" customWidth="1" min="10" max="10"/>
    <col width="12" customWidth="1" min="11" max="11"/>
  </cols>
  <sheetData>
    <row r="1">
      <c r="A1" s="42" t="inlineStr">
        <is>
          <t>🐄 SALES REPORT</t>
        </is>
      </c>
    </row>
    <row r="3">
      <c r="A3" s="23" t="inlineStr">
        <is>
          <t>Filters:</t>
        </is>
      </c>
      <c r="E3" s="23" t="inlineStr">
        <is>
          <t>Summary:</t>
        </is>
      </c>
    </row>
    <row r="4">
      <c r="A4" s="43" t="inlineStr">
        <is>
          <t>From Date:</t>
        </is>
      </c>
      <c r="B4" s="44">
        <f>01-Jul-2026</f>
        <v/>
      </c>
      <c r="E4" s="43" t="inlineStr">
        <is>
          <t>Total Invoices:</t>
        </is>
      </c>
      <c r="F4" s="43">
        <f>COUNTIFS(Sales_Entry!A$2:A$5000,"&gt;="&amp;B4,Sales_Entry!A$2:A$5000,"&lt;="&amp;B5)</f>
        <v/>
      </c>
    </row>
    <row r="5">
      <c r="A5" s="43" t="inlineStr">
        <is>
          <t>To Date:</t>
        </is>
      </c>
      <c r="B5" s="44">
        <f>14-Jul-2026</f>
        <v/>
      </c>
      <c r="E5" s="43" t="inlineStr">
        <is>
          <t>Total Amount:</t>
        </is>
      </c>
      <c r="F5" s="45">
        <f>SUMIFS(Sales_Entry!J$2:J$5000,Sales_Entry!A$2:A$5000,"&gt;="&amp;B4,Sales_Entry!A$2:A$5000,"&lt;="&amp;B5)</f>
        <v/>
      </c>
    </row>
    <row r="6">
      <c r="A6" s="43" t="inlineStr">
        <is>
          <t>Party:</t>
        </is>
      </c>
      <c r="B6" s="46" t="inlineStr">
        <is>
          <t>All</t>
        </is>
      </c>
      <c r="E6" s="43" t="inlineStr">
        <is>
          <t>Outstanding:</t>
        </is>
      </c>
      <c r="F6" s="47">
        <f>SUMIFS(Sales_Entry!J$2:J$5000,Sales_Entry!A$2:A$5000,"&gt;="&amp;B4,Sales_Entry!A$2:A$5000,"&lt;="&amp;B5,Sales_Entry!K$2:K$5000,"Unpaid")+SUMIFS(Sales_Entry!J$2:J$5000,Sales_Entry!A$2:A$5000,"&gt;="&amp;B4,Sales_Entry!A$2:A$5000,"&lt;="&amp;B5,Sales_Entry!K$2:K$5000,"Partial")</f>
        <v/>
      </c>
    </row>
    <row r="8">
      <c r="A8" s="10" t="inlineStr">
        <is>
          <t>Date</t>
        </is>
      </c>
      <c r="B8" s="10" t="inlineStr">
        <is>
          <t>Invoice No</t>
        </is>
      </c>
      <c r="C8" s="10" t="inlineStr">
        <is>
          <t>Party Name</t>
        </is>
      </c>
      <c r="D8" s="10" t="inlineStr">
        <is>
          <t>Product</t>
        </is>
      </c>
      <c r="E8" s="10" t="inlineStr">
        <is>
          <t>Quantity</t>
        </is>
      </c>
      <c r="F8" s="10" t="inlineStr">
        <is>
          <t>Rate</t>
        </is>
      </c>
      <c r="G8" s="10" t="inlineStr">
        <is>
          <t>Amount</t>
        </is>
      </c>
      <c r="H8" s="10" t="inlineStr">
        <is>
          <t>Discount %</t>
        </is>
      </c>
      <c r="I8" s="10" t="inlineStr">
        <is>
          <t>Net Amount</t>
        </is>
      </c>
      <c r="J8" s="10" t="inlineStr">
        <is>
          <t>Payment Mode</t>
        </is>
      </c>
      <c r="K8" s="10" t="inlineStr">
        <is>
          <t>Status</t>
        </is>
      </c>
    </row>
    <row r="9">
      <c r="A9" s="48">
        <f>IFERROR(INDEX(Sales_Entry!A$2:A$5000,2),"")</f>
        <v/>
      </c>
      <c r="B9" s="5">
        <f>IFERROR(INDEX(Sales_Entry!B$2:B$5000,2),"")</f>
        <v/>
      </c>
      <c r="C9" s="5">
        <f>IFERROR(INDEX(Sales_Entry!C$2:C$5000,2),"")</f>
        <v/>
      </c>
      <c r="D9" s="5">
        <f>IFERROR(INDEX(Sales_Entry!D$2:D$5000,2),"")</f>
        <v/>
      </c>
      <c r="E9" s="12">
        <f>IFERROR(INDEX(Sales_Entry!E$2:E$5000,2),"")</f>
        <v/>
      </c>
      <c r="F9" s="12">
        <f>IFERROR(INDEX(Sales_Entry!F$2:F$5000,2),"")</f>
        <v/>
      </c>
      <c r="G9" s="12">
        <f>IFERROR(INDEX(Sales_Entry!G$2:G$5000,2),"")</f>
        <v/>
      </c>
      <c r="H9" s="5">
        <f>IFERROR(INDEX(Sales_Entry!H$2:H$5000,2),"")</f>
        <v/>
      </c>
      <c r="I9" s="12">
        <f>IFERROR(INDEX(Sales_Entry!I$2:I$5000,2),"")</f>
        <v/>
      </c>
      <c r="J9" s="5">
        <f>IFERROR(INDEX(Sales_Entry!J$2:J$5000,2),"")</f>
        <v/>
      </c>
      <c r="K9" s="5">
        <f>IFERROR(INDEX(Sales_Entry!K$2:K$5000,2),"")</f>
        <v/>
      </c>
    </row>
    <row r="10">
      <c r="A10" s="48">
        <f>IFERROR(INDEX(Sales_Entry!A$2:A$5000,3),"")</f>
        <v/>
      </c>
      <c r="B10" s="5">
        <f>IFERROR(INDEX(Sales_Entry!B$2:B$5000,3),"")</f>
        <v/>
      </c>
      <c r="C10" s="5">
        <f>IFERROR(INDEX(Sales_Entry!C$2:C$5000,3),"")</f>
        <v/>
      </c>
      <c r="D10" s="5">
        <f>IFERROR(INDEX(Sales_Entry!D$2:D$5000,3),"")</f>
        <v/>
      </c>
      <c r="E10" s="12">
        <f>IFERROR(INDEX(Sales_Entry!E$2:E$5000,3),"")</f>
        <v/>
      </c>
      <c r="F10" s="12">
        <f>IFERROR(INDEX(Sales_Entry!F$2:F$5000,3),"")</f>
        <v/>
      </c>
      <c r="G10" s="12">
        <f>IFERROR(INDEX(Sales_Entry!G$2:G$5000,3),"")</f>
        <v/>
      </c>
      <c r="H10" s="5">
        <f>IFERROR(INDEX(Sales_Entry!H$2:H$5000,3),"")</f>
        <v/>
      </c>
      <c r="I10" s="12">
        <f>IFERROR(INDEX(Sales_Entry!I$2:I$5000,3),"")</f>
        <v/>
      </c>
      <c r="J10" s="5">
        <f>IFERROR(INDEX(Sales_Entry!J$2:J$5000,3),"")</f>
        <v/>
      </c>
      <c r="K10" s="5">
        <f>IFERROR(INDEX(Sales_Entry!K$2:K$5000,3),"")</f>
        <v/>
      </c>
    </row>
    <row r="11">
      <c r="A11" s="48">
        <f>IFERROR(INDEX(Sales_Entry!A$2:A$5000,4),"")</f>
        <v/>
      </c>
      <c r="B11" s="5">
        <f>IFERROR(INDEX(Sales_Entry!B$2:B$5000,4),"")</f>
        <v/>
      </c>
      <c r="C11" s="5">
        <f>IFERROR(INDEX(Sales_Entry!C$2:C$5000,4),"")</f>
        <v/>
      </c>
      <c r="D11" s="5">
        <f>IFERROR(INDEX(Sales_Entry!D$2:D$5000,4),"")</f>
        <v/>
      </c>
      <c r="E11" s="12">
        <f>IFERROR(INDEX(Sales_Entry!E$2:E$5000,4),"")</f>
        <v/>
      </c>
      <c r="F11" s="12">
        <f>IFERROR(INDEX(Sales_Entry!F$2:F$5000,4),"")</f>
        <v/>
      </c>
      <c r="G11" s="12">
        <f>IFERROR(INDEX(Sales_Entry!G$2:G$5000,4),"")</f>
        <v/>
      </c>
      <c r="H11" s="5">
        <f>IFERROR(INDEX(Sales_Entry!H$2:H$5000,4),"")</f>
        <v/>
      </c>
      <c r="I11" s="12">
        <f>IFERROR(INDEX(Sales_Entry!I$2:I$5000,4),"")</f>
        <v/>
      </c>
      <c r="J11" s="5">
        <f>IFERROR(INDEX(Sales_Entry!J$2:J$5000,4),"")</f>
        <v/>
      </c>
      <c r="K11" s="5">
        <f>IFERROR(INDEX(Sales_Entry!K$2:K$5000,4),"")</f>
        <v/>
      </c>
    </row>
    <row r="12">
      <c r="A12" s="48">
        <f>IFERROR(INDEX(Sales_Entry!A$2:A$5000,5),"")</f>
        <v/>
      </c>
      <c r="B12" s="5">
        <f>IFERROR(INDEX(Sales_Entry!B$2:B$5000,5),"")</f>
        <v/>
      </c>
      <c r="C12" s="5">
        <f>IFERROR(INDEX(Sales_Entry!C$2:C$5000,5),"")</f>
        <v/>
      </c>
      <c r="D12" s="5">
        <f>IFERROR(INDEX(Sales_Entry!D$2:D$5000,5),"")</f>
        <v/>
      </c>
      <c r="E12" s="12">
        <f>IFERROR(INDEX(Sales_Entry!E$2:E$5000,5),"")</f>
        <v/>
      </c>
      <c r="F12" s="12">
        <f>IFERROR(INDEX(Sales_Entry!F$2:F$5000,5),"")</f>
        <v/>
      </c>
      <c r="G12" s="12">
        <f>IFERROR(INDEX(Sales_Entry!G$2:G$5000,5),"")</f>
        <v/>
      </c>
      <c r="H12" s="5">
        <f>IFERROR(INDEX(Sales_Entry!H$2:H$5000,5),"")</f>
        <v/>
      </c>
      <c r="I12" s="12">
        <f>IFERROR(INDEX(Sales_Entry!I$2:I$5000,5),"")</f>
        <v/>
      </c>
      <c r="J12" s="5">
        <f>IFERROR(INDEX(Sales_Entry!J$2:J$5000,5),"")</f>
        <v/>
      </c>
      <c r="K12" s="5">
        <f>IFERROR(INDEX(Sales_Entry!K$2:K$5000,5),"")</f>
        <v/>
      </c>
    </row>
    <row r="13">
      <c r="A13" s="48">
        <f>IFERROR(INDEX(Sales_Entry!A$2:A$5000,6),"")</f>
        <v/>
      </c>
      <c r="B13" s="5">
        <f>IFERROR(INDEX(Sales_Entry!B$2:B$5000,6),"")</f>
        <v/>
      </c>
      <c r="C13" s="5">
        <f>IFERROR(INDEX(Sales_Entry!C$2:C$5000,6),"")</f>
        <v/>
      </c>
      <c r="D13" s="5">
        <f>IFERROR(INDEX(Sales_Entry!D$2:D$5000,6),"")</f>
        <v/>
      </c>
      <c r="E13" s="12">
        <f>IFERROR(INDEX(Sales_Entry!E$2:E$5000,6),"")</f>
        <v/>
      </c>
      <c r="F13" s="12">
        <f>IFERROR(INDEX(Sales_Entry!F$2:F$5000,6),"")</f>
        <v/>
      </c>
      <c r="G13" s="12">
        <f>IFERROR(INDEX(Sales_Entry!G$2:G$5000,6),"")</f>
        <v/>
      </c>
      <c r="H13" s="5">
        <f>IFERROR(INDEX(Sales_Entry!H$2:H$5000,6),"")</f>
        <v/>
      </c>
      <c r="I13" s="12">
        <f>IFERROR(INDEX(Sales_Entry!I$2:I$5000,6),"")</f>
        <v/>
      </c>
      <c r="J13" s="5">
        <f>IFERROR(INDEX(Sales_Entry!J$2:J$5000,6),"")</f>
        <v/>
      </c>
      <c r="K13" s="5">
        <f>IFERROR(INDEX(Sales_Entry!K$2:K$5000,6),"")</f>
        <v/>
      </c>
    </row>
    <row r="14">
      <c r="A14" s="48">
        <f>IFERROR(INDEX(Sales_Entry!A$2:A$5000,7),"")</f>
        <v/>
      </c>
      <c r="B14" s="5">
        <f>IFERROR(INDEX(Sales_Entry!B$2:B$5000,7),"")</f>
        <v/>
      </c>
      <c r="C14" s="5">
        <f>IFERROR(INDEX(Sales_Entry!C$2:C$5000,7),"")</f>
        <v/>
      </c>
      <c r="D14" s="5">
        <f>IFERROR(INDEX(Sales_Entry!D$2:D$5000,7),"")</f>
        <v/>
      </c>
      <c r="E14" s="12">
        <f>IFERROR(INDEX(Sales_Entry!E$2:E$5000,7),"")</f>
        <v/>
      </c>
      <c r="F14" s="12">
        <f>IFERROR(INDEX(Sales_Entry!F$2:F$5000,7),"")</f>
        <v/>
      </c>
      <c r="G14" s="12">
        <f>IFERROR(INDEX(Sales_Entry!G$2:G$5000,7),"")</f>
        <v/>
      </c>
      <c r="H14" s="5">
        <f>IFERROR(INDEX(Sales_Entry!H$2:H$5000,7),"")</f>
        <v/>
      </c>
      <c r="I14" s="12">
        <f>IFERROR(INDEX(Sales_Entry!I$2:I$5000,7),"")</f>
        <v/>
      </c>
      <c r="J14" s="5">
        <f>IFERROR(INDEX(Sales_Entry!J$2:J$5000,7),"")</f>
        <v/>
      </c>
      <c r="K14" s="5">
        <f>IFERROR(INDEX(Sales_Entry!K$2:K$5000,7),"")</f>
        <v/>
      </c>
    </row>
    <row r="15">
      <c r="A15" s="48">
        <f>IFERROR(INDEX(Sales_Entry!A$2:A$5000,8),"")</f>
        <v/>
      </c>
      <c r="B15" s="5">
        <f>IFERROR(INDEX(Sales_Entry!B$2:B$5000,8),"")</f>
        <v/>
      </c>
      <c r="C15" s="5">
        <f>IFERROR(INDEX(Sales_Entry!C$2:C$5000,8),"")</f>
        <v/>
      </c>
      <c r="D15" s="5">
        <f>IFERROR(INDEX(Sales_Entry!D$2:D$5000,8),"")</f>
        <v/>
      </c>
      <c r="E15" s="12">
        <f>IFERROR(INDEX(Sales_Entry!E$2:E$5000,8),"")</f>
        <v/>
      </c>
      <c r="F15" s="12">
        <f>IFERROR(INDEX(Sales_Entry!F$2:F$5000,8),"")</f>
        <v/>
      </c>
      <c r="G15" s="12">
        <f>IFERROR(INDEX(Sales_Entry!G$2:G$5000,8),"")</f>
        <v/>
      </c>
      <c r="H15" s="5">
        <f>IFERROR(INDEX(Sales_Entry!H$2:H$5000,8),"")</f>
        <v/>
      </c>
      <c r="I15" s="12">
        <f>IFERROR(INDEX(Sales_Entry!I$2:I$5000,8),"")</f>
        <v/>
      </c>
      <c r="J15" s="5">
        <f>IFERROR(INDEX(Sales_Entry!J$2:J$5000,8),"")</f>
        <v/>
      </c>
      <c r="K15" s="5">
        <f>IFERROR(INDEX(Sales_Entry!K$2:K$5000,8),"")</f>
        <v/>
      </c>
    </row>
    <row r="16">
      <c r="A16" s="48">
        <f>IFERROR(INDEX(Sales_Entry!A$2:A$5000,9),"")</f>
        <v/>
      </c>
      <c r="B16" s="5">
        <f>IFERROR(INDEX(Sales_Entry!B$2:B$5000,9),"")</f>
        <v/>
      </c>
      <c r="C16" s="5">
        <f>IFERROR(INDEX(Sales_Entry!C$2:C$5000,9),"")</f>
        <v/>
      </c>
      <c r="D16" s="5">
        <f>IFERROR(INDEX(Sales_Entry!D$2:D$5000,9),"")</f>
        <v/>
      </c>
      <c r="E16" s="12">
        <f>IFERROR(INDEX(Sales_Entry!E$2:E$5000,9),"")</f>
        <v/>
      </c>
      <c r="F16" s="12">
        <f>IFERROR(INDEX(Sales_Entry!F$2:F$5000,9),"")</f>
        <v/>
      </c>
      <c r="G16" s="12">
        <f>IFERROR(INDEX(Sales_Entry!G$2:G$5000,9),"")</f>
        <v/>
      </c>
      <c r="H16" s="5">
        <f>IFERROR(INDEX(Sales_Entry!H$2:H$5000,9),"")</f>
        <v/>
      </c>
      <c r="I16" s="12">
        <f>IFERROR(INDEX(Sales_Entry!I$2:I$5000,9),"")</f>
        <v/>
      </c>
      <c r="J16" s="5">
        <f>IFERROR(INDEX(Sales_Entry!J$2:J$5000,9),"")</f>
        <v/>
      </c>
      <c r="K16" s="5">
        <f>IFERROR(INDEX(Sales_Entry!K$2:K$5000,9),"")</f>
        <v/>
      </c>
    </row>
    <row r="17">
      <c r="A17" s="48">
        <f>IFERROR(INDEX(Sales_Entry!A$2:A$5000,10),"")</f>
        <v/>
      </c>
      <c r="B17" s="5">
        <f>IFERROR(INDEX(Sales_Entry!B$2:B$5000,10),"")</f>
        <v/>
      </c>
      <c r="C17" s="5">
        <f>IFERROR(INDEX(Sales_Entry!C$2:C$5000,10),"")</f>
        <v/>
      </c>
      <c r="D17" s="5">
        <f>IFERROR(INDEX(Sales_Entry!D$2:D$5000,10),"")</f>
        <v/>
      </c>
      <c r="E17" s="12">
        <f>IFERROR(INDEX(Sales_Entry!E$2:E$5000,10),"")</f>
        <v/>
      </c>
      <c r="F17" s="12">
        <f>IFERROR(INDEX(Sales_Entry!F$2:F$5000,10),"")</f>
        <v/>
      </c>
      <c r="G17" s="12">
        <f>IFERROR(INDEX(Sales_Entry!G$2:G$5000,10),"")</f>
        <v/>
      </c>
      <c r="H17" s="5">
        <f>IFERROR(INDEX(Sales_Entry!H$2:H$5000,10),"")</f>
        <v/>
      </c>
      <c r="I17" s="12">
        <f>IFERROR(INDEX(Sales_Entry!I$2:I$5000,10),"")</f>
        <v/>
      </c>
      <c r="J17" s="5">
        <f>IFERROR(INDEX(Sales_Entry!J$2:J$5000,10),"")</f>
        <v/>
      </c>
      <c r="K17" s="5">
        <f>IFERROR(INDEX(Sales_Entry!K$2:K$5000,10),"")</f>
        <v/>
      </c>
    </row>
    <row r="18">
      <c r="A18" s="48">
        <f>IFERROR(INDEX(Sales_Entry!A$2:A$5000,11),"")</f>
        <v/>
      </c>
      <c r="B18" s="5">
        <f>IFERROR(INDEX(Sales_Entry!B$2:B$5000,11),"")</f>
        <v/>
      </c>
      <c r="C18" s="5">
        <f>IFERROR(INDEX(Sales_Entry!C$2:C$5000,11),"")</f>
        <v/>
      </c>
      <c r="D18" s="5">
        <f>IFERROR(INDEX(Sales_Entry!D$2:D$5000,11),"")</f>
        <v/>
      </c>
      <c r="E18" s="12">
        <f>IFERROR(INDEX(Sales_Entry!E$2:E$5000,11),"")</f>
        <v/>
      </c>
      <c r="F18" s="12">
        <f>IFERROR(INDEX(Sales_Entry!F$2:F$5000,11),"")</f>
        <v/>
      </c>
      <c r="G18" s="12">
        <f>IFERROR(INDEX(Sales_Entry!G$2:G$5000,11),"")</f>
        <v/>
      </c>
      <c r="H18" s="5">
        <f>IFERROR(INDEX(Sales_Entry!H$2:H$5000,11),"")</f>
        <v/>
      </c>
      <c r="I18" s="12">
        <f>IFERROR(INDEX(Sales_Entry!I$2:I$5000,11),"")</f>
        <v/>
      </c>
      <c r="J18" s="5">
        <f>IFERROR(INDEX(Sales_Entry!J$2:J$5000,11),"")</f>
        <v/>
      </c>
      <c r="K18" s="5">
        <f>IFERROR(INDEX(Sales_Entry!K$2:K$5000,11),"")</f>
        <v/>
      </c>
    </row>
    <row r="19">
      <c r="A19" s="48">
        <f>IFERROR(INDEX(Sales_Entry!A$2:A$5000,12),"")</f>
        <v/>
      </c>
      <c r="B19" s="5">
        <f>IFERROR(INDEX(Sales_Entry!B$2:B$5000,12),"")</f>
        <v/>
      </c>
      <c r="C19" s="5">
        <f>IFERROR(INDEX(Sales_Entry!C$2:C$5000,12),"")</f>
        <v/>
      </c>
      <c r="D19" s="5">
        <f>IFERROR(INDEX(Sales_Entry!D$2:D$5000,12),"")</f>
        <v/>
      </c>
      <c r="E19" s="12">
        <f>IFERROR(INDEX(Sales_Entry!E$2:E$5000,12),"")</f>
        <v/>
      </c>
      <c r="F19" s="12">
        <f>IFERROR(INDEX(Sales_Entry!F$2:F$5000,12),"")</f>
        <v/>
      </c>
      <c r="G19" s="12">
        <f>IFERROR(INDEX(Sales_Entry!G$2:G$5000,12),"")</f>
        <v/>
      </c>
      <c r="H19" s="5">
        <f>IFERROR(INDEX(Sales_Entry!H$2:H$5000,12),"")</f>
        <v/>
      </c>
      <c r="I19" s="12">
        <f>IFERROR(INDEX(Sales_Entry!I$2:I$5000,12),"")</f>
        <v/>
      </c>
      <c r="J19" s="5">
        <f>IFERROR(INDEX(Sales_Entry!J$2:J$5000,12),"")</f>
        <v/>
      </c>
      <c r="K19" s="5">
        <f>IFERROR(INDEX(Sales_Entry!K$2:K$5000,12),"")</f>
        <v/>
      </c>
    </row>
    <row r="20">
      <c r="A20" s="48">
        <f>IFERROR(INDEX(Sales_Entry!A$2:A$5000,13),"")</f>
        <v/>
      </c>
      <c r="B20" s="5">
        <f>IFERROR(INDEX(Sales_Entry!B$2:B$5000,13),"")</f>
        <v/>
      </c>
      <c r="C20" s="5">
        <f>IFERROR(INDEX(Sales_Entry!C$2:C$5000,13),"")</f>
        <v/>
      </c>
      <c r="D20" s="5">
        <f>IFERROR(INDEX(Sales_Entry!D$2:D$5000,13),"")</f>
        <v/>
      </c>
      <c r="E20" s="12">
        <f>IFERROR(INDEX(Sales_Entry!E$2:E$5000,13),"")</f>
        <v/>
      </c>
      <c r="F20" s="12">
        <f>IFERROR(INDEX(Sales_Entry!F$2:F$5000,13),"")</f>
        <v/>
      </c>
      <c r="G20" s="12">
        <f>IFERROR(INDEX(Sales_Entry!G$2:G$5000,13),"")</f>
        <v/>
      </c>
      <c r="H20" s="5">
        <f>IFERROR(INDEX(Sales_Entry!H$2:H$5000,13),"")</f>
        <v/>
      </c>
      <c r="I20" s="12">
        <f>IFERROR(INDEX(Sales_Entry!I$2:I$5000,13),"")</f>
        <v/>
      </c>
      <c r="J20" s="5">
        <f>IFERROR(INDEX(Sales_Entry!J$2:J$5000,13),"")</f>
        <v/>
      </c>
      <c r="K20" s="5">
        <f>IFERROR(INDEX(Sales_Entry!K$2:K$5000,13),"")</f>
        <v/>
      </c>
    </row>
    <row r="21">
      <c r="A21" s="48">
        <f>IFERROR(INDEX(Sales_Entry!A$2:A$5000,14),"")</f>
        <v/>
      </c>
      <c r="B21" s="5">
        <f>IFERROR(INDEX(Sales_Entry!B$2:B$5000,14),"")</f>
        <v/>
      </c>
      <c r="C21" s="5">
        <f>IFERROR(INDEX(Sales_Entry!C$2:C$5000,14),"")</f>
        <v/>
      </c>
      <c r="D21" s="5">
        <f>IFERROR(INDEX(Sales_Entry!D$2:D$5000,14),"")</f>
        <v/>
      </c>
      <c r="E21" s="12">
        <f>IFERROR(INDEX(Sales_Entry!E$2:E$5000,14),"")</f>
        <v/>
      </c>
      <c r="F21" s="12">
        <f>IFERROR(INDEX(Sales_Entry!F$2:F$5000,14),"")</f>
        <v/>
      </c>
      <c r="G21" s="12">
        <f>IFERROR(INDEX(Sales_Entry!G$2:G$5000,14),"")</f>
        <v/>
      </c>
      <c r="H21" s="5">
        <f>IFERROR(INDEX(Sales_Entry!H$2:H$5000,14),"")</f>
        <v/>
      </c>
      <c r="I21" s="12">
        <f>IFERROR(INDEX(Sales_Entry!I$2:I$5000,14),"")</f>
        <v/>
      </c>
      <c r="J21" s="5">
        <f>IFERROR(INDEX(Sales_Entry!J$2:J$5000,14),"")</f>
        <v/>
      </c>
      <c r="K21" s="5">
        <f>IFERROR(INDEX(Sales_Entry!K$2:K$5000,14),"")</f>
        <v/>
      </c>
    </row>
    <row r="22">
      <c r="A22" s="48">
        <f>IFERROR(INDEX(Sales_Entry!A$2:A$5000,15),"")</f>
        <v/>
      </c>
      <c r="B22" s="5">
        <f>IFERROR(INDEX(Sales_Entry!B$2:B$5000,15),"")</f>
        <v/>
      </c>
      <c r="C22" s="5">
        <f>IFERROR(INDEX(Sales_Entry!C$2:C$5000,15),"")</f>
        <v/>
      </c>
      <c r="D22" s="5">
        <f>IFERROR(INDEX(Sales_Entry!D$2:D$5000,15),"")</f>
        <v/>
      </c>
      <c r="E22" s="12">
        <f>IFERROR(INDEX(Sales_Entry!E$2:E$5000,15),"")</f>
        <v/>
      </c>
      <c r="F22" s="12">
        <f>IFERROR(INDEX(Sales_Entry!F$2:F$5000,15),"")</f>
        <v/>
      </c>
      <c r="G22" s="12">
        <f>IFERROR(INDEX(Sales_Entry!G$2:G$5000,15),"")</f>
        <v/>
      </c>
      <c r="H22" s="5">
        <f>IFERROR(INDEX(Sales_Entry!H$2:H$5000,15),"")</f>
        <v/>
      </c>
      <c r="I22" s="12">
        <f>IFERROR(INDEX(Sales_Entry!I$2:I$5000,15),"")</f>
        <v/>
      </c>
      <c r="J22" s="5">
        <f>IFERROR(INDEX(Sales_Entry!J$2:J$5000,15),"")</f>
        <v/>
      </c>
      <c r="K22" s="5">
        <f>IFERROR(INDEX(Sales_Entry!K$2:K$5000,15),"")</f>
        <v/>
      </c>
    </row>
    <row r="23">
      <c r="A23" s="48">
        <f>IFERROR(INDEX(Sales_Entry!A$2:A$5000,16),"")</f>
        <v/>
      </c>
      <c r="B23" s="5">
        <f>IFERROR(INDEX(Sales_Entry!B$2:B$5000,16),"")</f>
        <v/>
      </c>
      <c r="C23" s="5">
        <f>IFERROR(INDEX(Sales_Entry!C$2:C$5000,16),"")</f>
        <v/>
      </c>
      <c r="D23" s="5">
        <f>IFERROR(INDEX(Sales_Entry!D$2:D$5000,16),"")</f>
        <v/>
      </c>
      <c r="E23" s="12">
        <f>IFERROR(INDEX(Sales_Entry!E$2:E$5000,16),"")</f>
        <v/>
      </c>
      <c r="F23" s="12">
        <f>IFERROR(INDEX(Sales_Entry!F$2:F$5000,16),"")</f>
        <v/>
      </c>
      <c r="G23" s="12">
        <f>IFERROR(INDEX(Sales_Entry!G$2:G$5000,16),"")</f>
        <v/>
      </c>
      <c r="H23" s="5">
        <f>IFERROR(INDEX(Sales_Entry!H$2:H$5000,16),"")</f>
        <v/>
      </c>
      <c r="I23" s="12">
        <f>IFERROR(INDEX(Sales_Entry!I$2:I$5000,16),"")</f>
        <v/>
      </c>
      <c r="J23" s="5">
        <f>IFERROR(INDEX(Sales_Entry!J$2:J$5000,16),"")</f>
        <v/>
      </c>
      <c r="K23" s="5">
        <f>IFERROR(INDEX(Sales_Entry!K$2:K$5000,16),"")</f>
        <v/>
      </c>
    </row>
    <row r="24">
      <c r="A24" s="48">
        <f>IFERROR(INDEX(Sales_Entry!A$2:A$5000,17),"")</f>
        <v/>
      </c>
      <c r="B24" s="5">
        <f>IFERROR(INDEX(Sales_Entry!B$2:B$5000,17),"")</f>
        <v/>
      </c>
      <c r="C24" s="5">
        <f>IFERROR(INDEX(Sales_Entry!C$2:C$5000,17),"")</f>
        <v/>
      </c>
      <c r="D24" s="5">
        <f>IFERROR(INDEX(Sales_Entry!D$2:D$5000,17),"")</f>
        <v/>
      </c>
      <c r="E24" s="12">
        <f>IFERROR(INDEX(Sales_Entry!E$2:E$5000,17),"")</f>
        <v/>
      </c>
      <c r="F24" s="12">
        <f>IFERROR(INDEX(Sales_Entry!F$2:F$5000,17),"")</f>
        <v/>
      </c>
      <c r="G24" s="12">
        <f>IFERROR(INDEX(Sales_Entry!G$2:G$5000,17),"")</f>
        <v/>
      </c>
      <c r="H24" s="5">
        <f>IFERROR(INDEX(Sales_Entry!H$2:H$5000,17),"")</f>
        <v/>
      </c>
      <c r="I24" s="12">
        <f>IFERROR(INDEX(Sales_Entry!I$2:I$5000,17),"")</f>
        <v/>
      </c>
      <c r="J24" s="5">
        <f>IFERROR(INDEX(Sales_Entry!J$2:J$5000,17),"")</f>
        <v/>
      </c>
      <c r="K24" s="5">
        <f>IFERROR(INDEX(Sales_Entry!K$2:K$5000,17),"")</f>
        <v/>
      </c>
    </row>
    <row r="25">
      <c r="A25" s="48">
        <f>IFERROR(INDEX(Sales_Entry!A$2:A$5000,18),"")</f>
        <v/>
      </c>
      <c r="B25" s="5">
        <f>IFERROR(INDEX(Sales_Entry!B$2:B$5000,18),"")</f>
        <v/>
      </c>
      <c r="C25" s="5">
        <f>IFERROR(INDEX(Sales_Entry!C$2:C$5000,18),"")</f>
        <v/>
      </c>
      <c r="D25" s="5">
        <f>IFERROR(INDEX(Sales_Entry!D$2:D$5000,18),"")</f>
        <v/>
      </c>
      <c r="E25" s="12">
        <f>IFERROR(INDEX(Sales_Entry!E$2:E$5000,18),"")</f>
        <v/>
      </c>
      <c r="F25" s="12">
        <f>IFERROR(INDEX(Sales_Entry!F$2:F$5000,18),"")</f>
        <v/>
      </c>
      <c r="G25" s="12">
        <f>IFERROR(INDEX(Sales_Entry!G$2:G$5000,18),"")</f>
        <v/>
      </c>
      <c r="H25" s="5">
        <f>IFERROR(INDEX(Sales_Entry!H$2:H$5000,18),"")</f>
        <v/>
      </c>
      <c r="I25" s="12">
        <f>IFERROR(INDEX(Sales_Entry!I$2:I$5000,18),"")</f>
        <v/>
      </c>
      <c r="J25" s="5">
        <f>IFERROR(INDEX(Sales_Entry!J$2:J$5000,18),"")</f>
        <v/>
      </c>
      <c r="K25" s="5">
        <f>IFERROR(INDEX(Sales_Entry!K$2:K$5000,18),"")</f>
        <v/>
      </c>
    </row>
    <row r="26">
      <c r="A26" s="48">
        <f>IFERROR(INDEX(Sales_Entry!A$2:A$5000,19),"")</f>
        <v/>
      </c>
      <c r="B26" s="5">
        <f>IFERROR(INDEX(Sales_Entry!B$2:B$5000,19),"")</f>
        <v/>
      </c>
      <c r="C26" s="5">
        <f>IFERROR(INDEX(Sales_Entry!C$2:C$5000,19),"")</f>
        <v/>
      </c>
      <c r="D26" s="5">
        <f>IFERROR(INDEX(Sales_Entry!D$2:D$5000,19),"")</f>
        <v/>
      </c>
      <c r="E26" s="12">
        <f>IFERROR(INDEX(Sales_Entry!E$2:E$5000,19),"")</f>
        <v/>
      </c>
      <c r="F26" s="12">
        <f>IFERROR(INDEX(Sales_Entry!F$2:F$5000,19),"")</f>
        <v/>
      </c>
      <c r="G26" s="12">
        <f>IFERROR(INDEX(Sales_Entry!G$2:G$5000,19),"")</f>
        <v/>
      </c>
      <c r="H26" s="5">
        <f>IFERROR(INDEX(Sales_Entry!H$2:H$5000,19),"")</f>
        <v/>
      </c>
      <c r="I26" s="12">
        <f>IFERROR(INDEX(Sales_Entry!I$2:I$5000,19),"")</f>
        <v/>
      </c>
      <c r="J26" s="5">
        <f>IFERROR(INDEX(Sales_Entry!J$2:J$5000,19),"")</f>
        <v/>
      </c>
      <c r="K26" s="5">
        <f>IFERROR(INDEX(Sales_Entry!K$2:K$5000,19),"")</f>
        <v/>
      </c>
    </row>
    <row r="27">
      <c r="A27" s="48">
        <f>IFERROR(INDEX(Sales_Entry!A$2:A$5000,20),"")</f>
        <v/>
      </c>
      <c r="B27" s="5">
        <f>IFERROR(INDEX(Sales_Entry!B$2:B$5000,20),"")</f>
        <v/>
      </c>
      <c r="C27" s="5">
        <f>IFERROR(INDEX(Sales_Entry!C$2:C$5000,20),"")</f>
        <v/>
      </c>
      <c r="D27" s="5">
        <f>IFERROR(INDEX(Sales_Entry!D$2:D$5000,20),"")</f>
        <v/>
      </c>
      <c r="E27" s="12">
        <f>IFERROR(INDEX(Sales_Entry!E$2:E$5000,20),"")</f>
        <v/>
      </c>
      <c r="F27" s="12">
        <f>IFERROR(INDEX(Sales_Entry!F$2:F$5000,20),"")</f>
        <v/>
      </c>
      <c r="G27" s="12">
        <f>IFERROR(INDEX(Sales_Entry!G$2:G$5000,20),"")</f>
        <v/>
      </c>
      <c r="H27" s="5">
        <f>IFERROR(INDEX(Sales_Entry!H$2:H$5000,20),"")</f>
        <v/>
      </c>
      <c r="I27" s="12">
        <f>IFERROR(INDEX(Sales_Entry!I$2:I$5000,20),"")</f>
        <v/>
      </c>
      <c r="J27" s="5">
        <f>IFERROR(INDEX(Sales_Entry!J$2:J$5000,20),"")</f>
        <v/>
      </c>
      <c r="K27" s="5">
        <f>IFERROR(INDEX(Sales_Entry!K$2:K$5000,20),"")</f>
        <v/>
      </c>
    </row>
    <row r="28">
      <c r="A28" s="48">
        <f>IFERROR(INDEX(Sales_Entry!A$2:A$5000,21),"")</f>
        <v/>
      </c>
      <c r="B28" s="5">
        <f>IFERROR(INDEX(Sales_Entry!B$2:B$5000,21),"")</f>
        <v/>
      </c>
      <c r="C28" s="5">
        <f>IFERROR(INDEX(Sales_Entry!C$2:C$5000,21),"")</f>
        <v/>
      </c>
      <c r="D28" s="5">
        <f>IFERROR(INDEX(Sales_Entry!D$2:D$5000,21),"")</f>
        <v/>
      </c>
      <c r="E28" s="12">
        <f>IFERROR(INDEX(Sales_Entry!E$2:E$5000,21),"")</f>
        <v/>
      </c>
      <c r="F28" s="12">
        <f>IFERROR(INDEX(Sales_Entry!F$2:F$5000,21),"")</f>
        <v/>
      </c>
      <c r="G28" s="12">
        <f>IFERROR(INDEX(Sales_Entry!G$2:G$5000,21),"")</f>
        <v/>
      </c>
      <c r="H28" s="5">
        <f>IFERROR(INDEX(Sales_Entry!H$2:H$5000,21),"")</f>
        <v/>
      </c>
      <c r="I28" s="12">
        <f>IFERROR(INDEX(Sales_Entry!I$2:I$5000,21),"")</f>
        <v/>
      </c>
      <c r="J28" s="5">
        <f>IFERROR(INDEX(Sales_Entry!J$2:J$5000,21),"")</f>
        <v/>
      </c>
      <c r="K28" s="5">
        <f>IFERROR(INDEX(Sales_Entry!K$2:K$5000,21),"")</f>
        <v/>
      </c>
    </row>
    <row r="29">
      <c r="A29" s="11" t="inlineStr">
        <is>
          <t>TOTALS</t>
        </is>
      </c>
      <c r="G29" s="13">
        <f>SUM(G9:G28)</f>
        <v/>
      </c>
      <c r="I29" s="49">
        <f>SUM(I9:I28)</f>
        <v/>
      </c>
    </row>
  </sheetData>
  <autoFilter ref="A8:K28"/>
  <mergeCells count="1">
    <mergeCell ref="A1:K1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tabColor rgb="00E67E22"/>
    <outlinePr summaryBelow="1" summaryRight="1"/>
    <pageSetUpPr/>
  </sheetPr>
  <dimension ref="A1:K29"/>
  <sheetViews>
    <sheetView workbookViewId="0">
      <pane ySplit="8" topLeftCell="A9" activePane="bottomLeft" state="frozen"/>
      <selection pane="bottomLeft" activeCell="A1" sqref="A1"/>
    </sheetView>
  </sheetViews>
  <sheetFormatPr baseColWidth="8" defaultRowHeight="15" outlineLevelCol="0"/>
  <cols>
    <col width="14" customWidth="1" min="1" max="1"/>
    <col width="14" customWidth="1" min="2" max="2"/>
    <col width="24" customWidth="1" min="3" max="3"/>
    <col width="20" customWidth="1" min="4" max="4"/>
    <col width="10" customWidth="1" min="5" max="5"/>
    <col width="10" customWidth="1" min="6" max="6"/>
    <col width="14" customWidth="1" min="7" max="7"/>
    <col width="12" customWidth="1" min="8" max="8"/>
    <col width="14" customWidth="1" min="9" max="9"/>
    <col width="14" customWidth="1" min="10" max="10"/>
    <col width="12" customWidth="1" min="11" max="11"/>
  </cols>
  <sheetData>
    <row r="1">
      <c r="A1" s="42" t="inlineStr">
        <is>
          <t>🐄 PURCHASE REPORT</t>
        </is>
      </c>
    </row>
    <row r="3">
      <c r="A3" s="23" t="inlineStr">
        <is>
          <t>Filters:</t>
        </is>
      </c>
      <c r="E3" s="23" t="inlineStr">
        <is>
          <t>Summary:</t>
        </is>
      </c>
    </row>
    <row r="4">
      <c r="A4" s="43" t="inlineStr">
        <is>
          <t>From Date:</t>
        </is>
      </c>
      <c r="B4" s="50">
        <f>01-Jul-2026</f>
        <v/>
      </c>
      <c r="E4" s="43" t="inlineStr">
        <is>
          <t>Total Bills:</t>
        </is>
      </c>
      <c r="F4">
        <f>COUNTIFS(Purchase_Entry!A$2:A$5000,"&gt;="&amp;B4,Purchase_Entry!A$2:A$5000,"&lt;="&amp;B5)</f>
        <v/>
      </c>
    </row>
    <row r="5">
      <c r="A5" s="43" t="inlineStr">
        <is>
          <t>To Date:</t>
        </is>
      </c>
      <c r="B5" s="50">
        <f>14-Jul-2026</f>
        <v/>
      </c>
      <c r="E5" s="43" t="inlineStr">
        <is>
          <t>Total Amount:</t>
        </is>
      </c>
      <c r="F5" s="51">
        <f>SUMIFS(Purchase_Entry!N$2:N$5000,Purchase_Entry!A$2:A$5000,"&gt;="&amp;B4,Purchase_Entry!A$2:A$5000,"&lt;="&amp;B5)</f>
        <v/>
      </c>
    </row>
    <row r="6">
      <c r="A6" s="43" t="inlineStr">
        <is>
          <t>Supplier:</t>
        </is>
      </c>
      <c r="B6" s="46" t="inlineStr">
        <is>
          <t>All</t>
        </is>
      </c>
      <c r="E6" s="43" t="inlineStr">
        <is>
          <t>Payables:</t>
        </is>
      </c>
      <c r="F6" s="47">
        <f>SUMIFS(Purchase_Entry!N$2:N$5000,Purchase_Entry!A$2:A$5000,"&gt;="&amp;B4,Purchase_Entry!A$2:A$5000,"&lt;="&amp;B5,Purchase_Entry!P$2:P$5000,"Unpaid")+SUMIFS(Purchase_Entry!N$2:N$5000,Purchase_Entry!A$2:A$5000,"&gt;="&amp;B4,Purchase_Entry!A$2:A$5000,"&lt;="&amp;B5,Purchase_Entry!P$2:P$5000,"Partial")</f>
        <v/>
      </c>
    </row>
    <row r="8">
      <c r="A8" s="10" t="inlineStr">
        <is>
          <t>Date</t>
        </is>
      </c>
      <c r="B8" s="10" t="inlineStr">
        <is>
          <t>Bill No</t>
        </is>
      </c>
      <c r="C8" s="10" t="inlineStr">
        <is>
          <t>Supplier</t>
        </is>
      </c>
      <c r="D8" s="10" t="inlineStr">
        <is>
          <t>Product</t>
        </is>
      </c>
      <c r="E8" s="10" t="inlineStr">
        <is>
          <t>Quantity</t>
        </is>
      </c>
      <c r="F8" s="10" t="inlineStr">
        <is>
          <t>Rate</t>
        </is>
      </c>
      <c r="G8" s="10" t="inlineStr">
        <is>
          <t>Amount</t>
        </is>
      </c>
      <c r="H8" s="10" t="inlineStr">
        <is>
          <t>Transport</t>
        </is>
      </c>
      <c r="I8" s="10" t="inlineStr">
        <is>
          <t>Net Amount</t>
        </is>
      </c>
      <c r="J8" s="10" t="inlineStr">
        <is>
          <t>Payment Mode</t>
        </is>
      </c>
      <c r="K8" s="10" t="inlineStr">
        <is>
          <t>Status</t>
        </is>
      </c>
    </row>
    <row r="9">
      <c r="A9" s="21">
        <f>IFERROR(INDEX(Purchase_Entry!A$2:A$5000,2),"")</f>
        <v/>
      </c>
      <c r="B9" s="5">
        <f>IF(A9="","",INDEX(Purchase_Entry!B$2:B$5000,2))</f>
        <v/>
      </c>
      <c r="C9" s="5">
        <f>IF(A9="","",INDEX(Purchase_Entry!C$2:C$5000,2))</f>
        <v/>
      </c>
      <c r="D9" s="5">
        <f>IF(A9="","",INDEX(Purchase_Entry!D$2:D$5000,2))</f>
        <v/>
      </c>
      <c r="E9" s="12">
        <f>IF(A9="","",INDEX(Purchase_Entry!K$2:K$5000,2))</f>
        <v/>
      </c>
      <c r="F9" s="12">
        <f>IF(A9="","",INDEX(Purchase_Entry!J$2:J$5000,2))</f>
        <v/>
      </c>
      <c r="G9" s="12">
        <f>IF(A9="","",INDEX(Purchase_Entry!L$2:L$5000,2))</f>
        <v/>
      </c>
      <c r="H9" s="12">
        <f>IF(A9="","",INDEX(Purchase_Entry!M$2:M$5000,2))</f>
        <v/>
      </c>
      <c r="I9" s="12">
        <f>IF(A9="","",INDEX(Purchase_Entry!N$2:N$5000,2))</f>
        <v/>
      </c>
      <c r="J9" s="5">
        <f>IF(A9="","",INDEX(Purchase_Entry!O$2:O$5000,2))</f>
        <v/>
      </c>
      <c r="K9" s="5">
        <f>IF(A9="","",INDEX(Purchase_Entry!P$2:P$5000,2))</f>
        <v/>
      </c>
    </row>
    <row r="10">
      <c r="A10" s="21">
        <f>IFERROR(INDEX(Purchase_Entry!A$2:A$5000,3),"")</f>
        <v/>
      </c>
      <c r="B10" s="5">
        <f>IF(A10="","",INDEX(Purchase_Entry!B$2:B$5000,3))</f>
        <v/>
      </c>
      <c r="C10" s="5">
        <f>IF(A10="","",INDEX(Purchase_Entry!C$2:C$5000,3))</f>
        <v/>
      </c>
      <c r="D10" s="5">
        <f>IF(A10="","",INDEX(Purchase_Entry!D$2:D$5000,3))</f>
        <v/>
      </c>
      <c r="E10" s="12">
        <f>IF(A10="","",INDEX(Purchase_Entry!K$2:K$5000,3))</f>
        <v/>
      </c>
      <c r="F10" s="12">
        <f>IF(A10="","",INDEX(Purchase_Entry!J$2:J$5000,3))</f>
        <v/>
      </c>
      <c r="G10" s="12">
        <f>IF(A10="","",INDEX(Purchase_Entry!L$2:L$5000,3))</f>
        <v/>
      </c>
      <c r="H10" s="12">
        <f>IF(A10="","",INDEX(Purchase_Entry!M$2:M$5000,3))</f>
        <v/>
      </c>
      <c r="I10" s="12">
        <f>IF(A10="","",INDEX(Purchase_Entry!N$2:N$5000,3))</f>
        <v/>
      </c>
      <c r="J10" s="5">
        <f>IF(A10="","",INDEX(Purchase_Entry!O$2:O$5000,3))</f>
        <v/>
      </c>
      <c r="K10" s="5">
        <f>IF(A10="","",INDEX(Purchase_Entry!P$2:P$5000,3))</f>
        <v/>
      </c>
    </row>
    <row r="11">
      <c r="A11" s="21">
        <f>IFERROR(INDEX(Purchase_Entry!A$2:A$5000,4),"")</f>
        <v/>
      </c>
      <c r="B11" s="5">
        <f>IF(A11="","",INDEX(Purchase_Entry!B$2:B$5000,4))</f>
        <v/>
      </c>
      <c r="C11" s="5">
        <f>IF(A11="","",INDEX(Purchase_Entry!C$2:C$5000,4))</f>
        <v/>
      </c>
      <c r="D11" s="5">
        <f>IF(A11="","",INDEX(Purchase_Entry!D$2:D$5000,4))</f>
        <v/>
      </c>
      <c r="E11" s="12">
        <f>IF(A11="","",INDEX(Purchase_Entry!K$2:K$5000,4))</f>
        <v/>
      </c>
      <c r="F11" s="12">
        <f>IF(A11="","",INDEX(Purchase_Entry!J$2:J$5000,4))</f>
        <v/>
      </c>
      <c r="G11" s="12">
        <f>IF(A11="","",INDEX(Purchase_Entry!L$2:L$5000,4))</f>
        <v/>
      </c>
      <c r="H11" s="12">
        <f>IF(A11="","",INDEX(Purchase_Entry!M$2:M$5000,4))</f>
        <v/>
      </c>
      <c r="I11" s="12">
        <f>IF(A11="","",INDEX(Purchase_Entry!N$2:N$5000,4))</f>
        <v/>
      </c>
      <c r="J11" s="5">
        <f>IF(A11="","",INDEX(Purchase_Entry!O$2:O$5000,4))</f>
        <v/>
      </c>
      <c r="K11" s="5">
        <f>IF(A11="","",INDEX(Purchase_Entry!P$2:P$5000,4))</f>
        <v/>
      </c>
    </row>
    <row r="12">
      <c r="A12" s="21">
        <f>IFERROR(INDEX(Purchase_Entry!A$2:A$5000,5),"")</f>
        <v/>
      </c>
      <c r="B12" s="5">
        <f>IF(A12="","",INDEX(Purchase_Entry!B$2:B$5000,5))</f>
        <v/>
      </c>
      <c r="C12" s="5">
        <f>IF(A12="","",INDEX(Purchase_Entry!C$2:C$5000,5))</f>
        <v/>
      </c>
      <c r="D12" s="5">
        <f>IF(A12="","",INDEX(Purchase_Entry!D$2:D$5000,5))</f>
        <v/>
      </c>
      <c r="E12" s="12">
        <f>IF(A12="","",INDEX(Purchase_Entry!K$2:K$5000,5))</f>
        <v/>
      </c>
      <c r="F12" s="12">
        <f>IF(A12="","",INDEX(Purchase_Entry!J$2:J$5000,5))</f>
        <v/>
      </c>
      <c r="G12" s="12">
        <f>IF(A12="","",INDEX(Purchase_Entry!L$2:L$5000,5))</f>
        <v/>
      </c>
      <c r="H12" s="12">
        <f>IF(A12="","",INDEX(Purchase_Entry!M$2:M$5000,5))</f>
        <v/>
      </c>
      <c r="I12" s="12">
        <f>IF(A12="","",INDEX(Purchase_Entry!N$2:N$5000,5))</f>
        <v/>
      </c>
      <c r="J12" s="5">
        <f>IF(A12="","",INDEX(Purchase_Entry!O$2:O$5000,5))</f>
        <v/>
      </c>
      <c r="K12" s="5">
        <f>IF(A12="","",INDEX(Purchase_Entry!P$2:P$5000,5))</f>
        <v/>
      </c>
    </row>
    <row r="13">
      <c r="A13" s="21">
        <f>IFERROR(INDEX(Purchase_Entry!A$2:A$5000,6),"")</f>
        <v/>
      </c>
      <c r="B13" s="5">
        <f>IF(A13="","",INDEX(Purchase_Entry!B$2:B$5000,6))</f>
        <v/>
      </c>
      <c r="C13" s="5">
        <f>IF(A13="","",INDEX(Purchase_Entry!C$2:C$5000,6))</f>
        <v/>
      </c>
      <c r="D13" s="5">
        <f>IF(A13="","",INDEX(Purchase_Entry!D$2:D$5000,6))</f>
        <v/>
      </c>
      <c r="E13" s="12">
        <f>IF(A13="","",INDEX(Purchase_Entry!K$2:K$5000,6))</f>
        <v/>
      </c>
      <c r="F13" s="12">
        <f>IF(A13="","",INDEX(Purchase_Entry!J$2:J$5000,6))</f>
        <v/>
      </c>
      <c r="G13" s="12">
        <f>IF(A13="","",INDEX(Purchase_Entry!L$2:L$5000,6))</f>
        <v/>
      </c>
      <c r="H13" s="12">
        <f>IF(A13="","",INDEX(Purchase_Entry!M$2:M$5000,6))</f>
        <v/>
      </c>
      <c r="I13" s="12">
        <f>IF(A13="","",INDEX(Purchase_Entry!N$2:N$5000,6))</f>
        <v/>
      </c>
      <c r="J13" s="5">
        <f>IF(A13="","",INDEX(Purchase_Entry!O$2:O$5000,6))</f>
        <v/>
      </c>
      <c r="K13" s="5">
        <f>IF(A13="","",INDEX(Purchase_Entry!P$2:P$5000,6))</f>
        <v/>
      </c>
    </row>
    <row r="14">
      <c r="A14" s="21">
        <f>IFERROR(INDEX(Purchase_Entry!A$2:A$5000,7),"")</f>
        <v/>
      </c>
      <c r="B14" s="5">
        <f>IF(A14="","",INDEX(Purchase_Entry!B$2:B$5000,7))</f>
        <v/>
      </c>
      <c r="C14" s="5">
        <f>IF(A14="","",INDEX(Purchase_Entry!C$2:C$5000,7))</f>
        <v/>
      </c>
      <c r="D14" s="5">
        <f>IF(A14="","",INDEX(Purchase_Entry!D$2:D$5000,7))</f>
        <v/>
      </c>
      <c r="E14" s="12">
        <f>IF(A14="","",INDEX(Purchase_Entry!K$2:K$5000,7))</f>
        <v/>
      </c>
      <c r="F14" s="12">
        <f>IF(A14="","",INDEX(Purchase_Entry!J$2:J$5000,7))</f>
        <v/>
      </c>
      <c r="G14" s="12">
        <f>IF(A14="","",INDEX(Purchase_Entry!L$2:L$5000,7))</f>
        <v/>
      </c>
      <c r="H14" s="12">
        <f>IF(A14="","",INDEX(Purchase_Entry!M$2:M$5000,7))</f>
        <v/>
      </c>
      <c r="I14" s="12">
        <f>IF(A14="","",INDEX(Purchase_Entry!N$2:N$5000,7))</f>
        <v/>
      </c>
      <c r="J14" s="5">
        <f>IF(A14="","",INDEX(Purchase_Entry!O$2:O$5000,7))</f>
        <v/>
      </c>
      <c r="K14" s="5">
        <f>IF(A14="","",INDEX(Purchase_Entry!P$2:P$5000,7))</f>
        <v/>
      </c>
    </row>
    <row r="15">
      <c r="A15" s="21">
        <f>IFERROR(INDEX(Purchase_Entry!A$2:A$5000,8),"")</f>
        <v/>
      </c>
      <c r="B15" s="5">
        <f>IF(A15="","",INDEX(Purchase_Entry!B$2:B$5000,8))</f>
        <v/>
      </c>
      <c r="C15" s="5">
        <f>IF(A15="","",INDEX(Purchase_Entry!C$2:C$5000,8))</f>
        <v/>
      </c>
      <c r="D15" s="5">
        <f>IF(A15="","",INDEX(Purchase_Entry!D$2:D$5000,8))</f>
        <v/>
      </c>
      <c r="E15" s="12">
        <f>IF(A15="","",INDEX(Purchase_Entry!K$2:K$5000,8))</f>
        <v/>
      </c>
      <c r="F15" s="12">
        <f>IF(A15="","",INDEX(Purchase_Entry!J$2:J$5000,8))</f>
        <v/>
      </c>
      <c r="G15" s="12">
        <f>IF(A15="","",INDEX(Purchase_Entry!L$2:L$5000,8))</f>
        <v/>
      </c>
      <c r="H15" s="12">
        <f>IF(A15="","",INDEX(Purchase_Entry!M$2:M$5000,8))</f>
        <v/>
      </c>
      <c r="I15" s="12">
        <f>IF(A15="","",INDEX(Purchase_Entry!N$2:N$5000,8))</f>
        <v/>
      </c>
      <c r="J15" s="5">
        <f>IF(A15="","",INDEX(Purchase_Entry!O$2:O$5000,8))</f>
        <v/>
      </c>
      <c r="K15" s="5">
        <f>IF(A15="","",INDEX(Purchase_Entry!P$2:P$5000,8))</f>
        <v/>
      </c>
    </row>
    <row r="16">
      <c r="A16" s="21">
        <f>IFERROR(INDEX(Purchase_Entry!A$2:A$5000,9),"")</f>
        <v/>
      </c>
      <c r="B16" s="5">
        <f>IF(A16="","",INDEX(Purchase_Entry!B$2:B$5000,9))</f>
        <v/>
      </c>
      <c r="C16" s="5">
        <f>IF(A16="","",INDEX(Purchase_Entry!C$2:C$5000,9))</f>
        <v/>
      </c>
      <c r="D16" s="5">
        <f>IF(A16="","",INDEX(Purchase_Entry!D$2:D$5000,9))</f>
        <v/>
      </c>
      <c r="E16" s="12">
        <f>IF(A16="","",INDEX(Purchase_Entry!K$2:K$5000,9))</f>
        <v/>
      </c>
      <c r="F16" s="12">
        <f>IF(A16="","",INDEX(Purchase_Entry!J$2:J$5000,9))</f>
        <v/>
      </c>
      <c r="G16" s="12">
        <f>IF(A16="","",INDEX(Purchase_Entry!L$2:L$5000,9))</f>
        <v/>
      </c>
      <c r="H16" s="12">
        <f>IF(A16="","",INDEX(Purchase_Entry!M$2:M$5000,9))</f>
        <v/>
      </c>
      <c r="I16" s="12">
        <f>IF(A16="","",INDEX(Purchase_Entry!N$2:N$5000,9))</f>
        <v/>
      </c>
      <c r="J16" s="5">
        <f>IF(A16="","",INDEX(Purchase_Entry!O$2:O$5000,9))</f>
        <v/>
      </c>
      <c r="K16" s="5">
        <f>IF(A16="","",INDEX(Purchase_Entry!P$2:P$5000,9))</f>
        <v/>
      </c>
    </row>
    <row r="17">
      <c r="A17" s="21">
        <f>IFERROR(INDEX(Purchase_Entry!A$2:A$5000,10),"")</f>
        <v/>
      </c>
      <c r="B17" s="5">
        <f>IF(A17="","",INDEX(Purchase_Entry!B$2:B$5000,10))</f>
        <v/>
      </c>
      <c r="C17" s="5">
        <f>IF(A17="","",INDEX(Purchase_Entry!C$2:C$5000,10))</f>
        <v/>
      </c>
      <c r="D17" s="5">
        <f>IF(A17="","",INDEX(Purchase_Entry!D$2:D$5000,10))</f>
        <v/>
      </c>
      <c r="E17" s="12">
        <f>IF(A17="","",INDEX(Purchase_Entry!K$2:K$5000,10))</f>
        <v/>
      </c>
      <c r="F17" s="12">
        <f>IF(A17="","",INDEX(Purchase_Entry!J$2:J$5000,10))</f>
        <v/>
      </c>
      <c r="G17" s="12">
        <f>IF(A17="","",INDEX(Purchase_Entry!L$2:L$5000,10))</f>
        <v/>
      </c>
      <c r="H17" s="12">
        <f>IF(A17="","",INDEX(Purchase_Entry!M$2:M$5000,10))</f>
        <v/>
      </c>
      <c r="I17" s="12">
        <f>IF(A17="","",INDEX(Purchase_Entry!N$2:N$5000,10))</f>
        <v/>
      </c>
      <c r="J17" s="5">
        <f>IF(A17="","",INDEX(Purchase_Entry!O$2:O$5000,10))</f>
        <v/>
      </c>
      <c r="K17" s="5">
        <f>IF(A17="","",INDEX(Purchase_Entry!P$2:P$5000,10))</f>
        <v/>
      </c>
    </row>
    <row r="18">
      <c r="A18" s="21">
        <f>IFERROR(INDEX(Purchase_Entry!A$2:A$5000,11),"")</f>
        <v/>
      </c>
      <c r="B18" s="5">
        <f>IF(A18="","",INDEX(Purchase_Entry!B$2:B$5000,11))</f>
        <v/>
      </c>
      <c r="C18" s="5">
        <f>IF(A18="","",INDEX(Purchase_Entry!C$2:C$5000,11))</f>
        <v/>
      </c>
      <c r="D18" s="5">
        <f>IF(A18="","",INDEX(Purchase_Entry!D$2:D$5000,11))</f>
        <v/>
      </c>
      <c r="E18" s="12">
        <f>IF(A18="","",INDEX(Purchase_Entry!K$2:K$5000,11))</f>
        <v/>
      </c>
      <c r="F18" s="12">
        <f>IF(A18="","",INDEX(Purchase_Entry!J$2:J$5000,11))</f>
        <v/>
      </c>
      <c r="G18" s="12">
        <f>IF(A18="","",INDEX(Purchase_Entry!L$2:L$5000,11))</f>
        <v/>
      </c>
      <c r="H18" s="12">
        <f>IF(A18="","",INDEX(Purchase_Entry!M$2:M$5000,11))</f>
        <v/>
      </c>
      <c r="I18" s="12">
        <f>IF(A18="","",INDEX(Purchase_Entry!N$2:N$5000,11))</f>
        <v/>
      </c>
      <c r="J18" s="5">
        <f>IF(A18="","",INDEX(Purchase_Entry!O$2:O$5000,11))</f>
        <v/>
      </c>
      <c r="K18" s="5">
        <f>IF(A18="","",INDEX(Purchase_Entry!P$2:P$5000,11))</f>
        <v/>
      </c>
    </row>
    <row r="19">
      <c r="A19" s="21">
        <f>IFERROR(INDEX(Purchase_Entry!A$2:A$5000,12),"")</f>
        <v/>
      </c>
      <c r="B19" s="5">
        <f>IF(A19="","",INDEX(Purchase_Entry!B$2:B$5000,12))</f>
        <v/>
      </c>
      <c r="C19" s="5">
        <f>IF(A19="","",INDEX(Purchase_Entry!C$2:C$5000,12))</f>
        <v/>
      </c>
      <c r="D19" s="5">
        <f>IF(A19="","",INDEX(Purchase_Entry!D$2:D$5000,12))</f>
        <v/>
      </c>
      <c r="E19" s="12">
        <f>IF(A19="","",INDEX(Purchase_Entry!K$2:K$5000,12))</f>
        <v/>
      </c>
      <c r="F19" s="12">
        <f>IF(A19="","",INDEX(Purchase_Entry!J$2:J$5000,12))</f>
        <v/>
      </c>
      <c r="G19" s="12">
        <f>IF(A19="","",INDEX(Purchase_Entry!L$2:L$5000,12))</f>
        <v/>
      </c>
      <c r="H19" s="12">
        <f>IF(A19="","",INDEX(Purchase_Entry!M$2:M$5000,12))</f>
        <v/>
      </c>
      <c r="I19" s="12">
        <f>IF(A19="","",INDEX(Purchase_Entry!N$2:N$5000,12))</f>
        <v/>
      </c>
      <c r="J19" s="5">
        <f>IF(A19="","",INDEX(Purchase_Entry!O$2:O$5000,12))</f>
        <v/>
      </c>
      <c r="K19" s="5">
        <f>IF(A19="","",INDEX(Purchase_Entry!P$2:P$5000,12))</f>
        <v/>
      </c>
    </row>
    <row r="20">
      <c r="A20" s="21">
        <f>IFERROR(INDEX(Purchase_Entry!A$2:A$5000,13),"")</f>
        <v/>
      </c>
      <c r="B20" s="5">
        <f>IF(A20="","",INDEX(Purchase_Entry!B$2:B$5000,13))</f>
        <v/>
      </c>
      <c r="C20" s="5">
        <f>IF(A20="","",INDEX(Purchase_Entry!C$2:C$5000,13))</f>
        <v/>
      </c>
      <c r="D20" s="5">
        <f>IF(A20="","",INDEX(Purchase_Entry!D$2:D$5000,13))</f>
        <v/>
      </c>
      <c r="E20" s="12">
        <f>IF(A20="","",INDEX(Purchase_Entry!K$2:K$5000,13))</f>
        <v/>
      </c>
      <c r="F20" s="12">
        <f>IF(A20="","",INDEX(Purchase_Entry!J$2:J$5000,13))</f>
        <v/>
      </c>
      <c r="G20" s="12">
        <f>IF(A20="","",INDEX(Purchase_Entry!L$2:L$5000,13))</f>
        <v/>
      </c>
      <c r="H20" s="12">
        <f>IF(A20="","",INDEX(Purchase_Entry!M$2:M$5000,13))</f>
        <v/>
      </c>
      <c r="I20" s="12">
        <f>IF(A20="","",INDEX(Purchase_Entry!N$2:N$5000,13))</f>
        <v/>
      </c>
      <c r="J20" s="5">
        <f>IF(A20="","",INDEX(Purchase_Entry!O$2:O$5000,13))</f>
        <v/>
      </c>
      <c r="K20" s="5">
        <f>IF(A20="","",INDEX(Purchase_Entry!P$2:P$5000,13))</f>
        <v/>
      </c>
    </row>
    <row r="21">
      <c r="A21" s="21">
        <f>IFERROR(INDEX(Purchase_Entry!A$2:A$5000,14),"")</f>
        <v/>
      </c>
      <c r="B21" s="5">
        <f>IF(A21="","",INDEX(Purchase_Entry!B$2:B$5000,14))</f>
        <v/>
      </c>
      <c r="C21" s="5">
        <f>IF(A21="","",INDEX(Purchase_Entry!C$2:C$5000,14))</f>
        <v/>
      </c>
      <c r="D21" s="5">
        <f>IF(A21="","",INDEX(Purchase_Entry!D$2:D$5000,14))</f>
        <v/>
      </c>
      <c r="E21" s="12">
        <f>IF(A21="","",INDEX(Purchase_Entry!K$2:K$5000,14))</f>
        <v/>
      </c>
      <c r="F21" s="12">
        <f>IF(A21="","",INDEX(Purchase_Entry!J$2:J$5000,14))</f>
        <v/>
      </c>
      <c r="G21" s="12">
        <f>IF(A21="","",INDEX(Purchase_Entry!L$2:L$5000,14))</f>
        <v/>
      </c>
      <c r="H21" s="12">
        <f>IF(A21="","",INDEX(Purchase_Entry!M$2:M$5000,14))</f>
        <v/>
      </c>
      <c r="I21" s="12">
        <f>IF(A21="","",INDEX(Purchase_Entry!N$2:N$5000,14))</f>
        <v/>
      </c>
      <c r="J21" s="5">
        <f>IF(A21="","",INDEX(Purchase_Entry!O$2:O$5000,14))</f>
        <v/>
      </c>
      <c r="K21" s="5">
        <f>IF(A21="","",INDEX(Purchase_Entry!P$2:P$5000,14))</f>
        <v/>
      </c>
    </row>
    <row r="22">
      <c r="A22" s="21">
        <f>IFERROR(INDEX(Purchase_Entry!A$2:A$5000,15),"")</f>
        <v/>
      </c>
      <c r="B22" s="5">
        <f>IF(A22="","",INDEX(Purchase_Entry!B$2:B$5000,15))</f>
        <v/>
      </c>
      <c r="C22" s="5">
        <f>IF(A22="","",INDEX(Purchase_Entry!C$2:C$5000,15))</f>
        <v/>
      </c>
      <c r="D22" s="5">
        <f>IF(A22="","",INDEX(Purchase_Entry!D$2:D$5000,15))</f>
        <v/>
      </c>
      <c r="E22" s="12">
        <f>IF(A22="","",INDEX(Purchase_Entry!K$2:K$5000,15))</f>
        <v/>
      </c>
      <c r="F22" s="12">
        <f>IF(A22="","",INDEX(Purchase_Entry!J$2:J$5000,15))</f>
        <v/>
      </c>
      <c r="G22" s="12">
        <f>IF(A22="","",INDEX(Purchase_Entry!L$2:L$5000,15))</f>
        <v/>
      </c>
      <c r="H22" s="12">
        <f>IF(A22="","",INDEX(Purchase_Entry!M$2:M$5000,15))</f>
        <v/>
      </c>
      <c r="I22" s="12">
        <f>IF(A22="","",INDEX(Purchase_Entry!N$2:N$5000,15))</f>
        <v/>
      </c>
      <c r="J22" s="5">
        <f>IF(A22="","",INDEX(Purchase_Entry!O$2:O$5000,15))</f>
        <v/>
      </c>
      <c r="K22" s="5">
        <f>IF(A22="","",INDEX(Purchase_Entry!P$2:P$5000,15))</f>
        <v/>
      </c>
    </row>
    <row r="23">
      <c r="A23" s="21">
        <f>IFERROR(INDEX(Purchase_Entry!A$2:A$5000,16),"")</f>
        <v/>
      </c>
      <c r="B23" s="5">
        <f>IF(A23="","",INDEX(Purchase_Entry!B$2:B$5000,16))</f>
        <v/>
      </c>
      <c r="C23" s="5">
        <f>IF(A23="","",INDEX(Purchase_Entry!C$2:C$5000,16))</f>
        <v/>
      </c>
      <c r="D23" s="5">
        <f>IF(A23="","",INDEX(Purchase_Entry!D$2:D$5000,16))</f>
        <v/>
      </c>
      <c r="E23" s="12">
        <f>IF(A23="","",INDEX(Purchase_Entry!K$2:K$5000,16))</f>
        <v/>
      </c>
      <c r="F23" s="12">
        <f>IF(A23="","",INDEX(Purchase_Entry!J$2:J$5000,16))</f>
        <v/>
      </c>
      <c r="G23" s="12">
        <f>IF(A23="","",INDEX(Purchase_Entry!L$2:L$5000,16))</f>
        <v/>
      </c>
      <c r="H23" s="12">
        <f>IF(A23="","",INDEX(Purchase_Entry!M$2:M$5000,16))</f>
        <v/>
      </c>
      <c r="I23" s="12">
        <f>IF(A23="","",INDEX(Purchase_Entry!N$2:N$5000,16))</f>
        <v/>
      </c>
      <c r="J23" s="5">
        <f>IF(A23="","",INDEX(Purchase_Entry!O$2:O$5000,16))</f>
        <v/>
      </c>
      <c r="K23" s="5">
        <f>IF(A23="","",INDEX(Purchase_Entry!P$2:P$5000,16))</f>
        <v/>
      </c>
    </row>
    <row r="24">
      <c r="A24" s="21">
        <f>IFERROR(INDEX(Purchase_Entry!A$2:A$5000,17),"")</f>
        <v/>
      </c>
      <c r="B24" s="5">
        <f>IF(A24="","",INDEX(Purchase_Entry!B$2:B$5000,17))</f>
        <v/>
      </c>
      <c r="C24" s="5">
        <f>IF(A24="","",INDEX(Purchase_Entry!C$2:C$5000,17))</f>
        <v/>
      </c>
      <c r="D24" s="5">
        <f>IF(A24="","",INDEX(Purchase_Entry!D$2:D$5000,17))</f>
        <v/>
      </c>
      <c r="E24" s="12">
        <f>IF(A24="","",INDEX(Purchase_Entry!K$2:K$5000,17))</f>
        <v/>
      </c>
      <c r="F24" s="12">
        <f>IF(A24="","",INDEX(Purchase_Entry!J$2:J$5000,17))</f>
        <v/>
      </c>
      <c r="G24" s="12">
        <f>IF(A24="","",INDEX(Purchase_Entry!L$2:L$5000,17))</f>
        <v/>
      </c>
      <c r="H24" s="12">
        <f>IF(A24="","",INDEX(Purchase_Entry!M$2:M$5000,17))</f>
        <v/>
      </c>
      <c r="I24" s="12">
        <f>IF(A24="","",INDEX(Purchase_Entry!N$2:N$5000,17))</f>
        <v/>
      </c>
      <c r="J24" s="5">
        <f>IF(A24="","",INDEX(Purchase_Entry!O$2:O$5000,17))</f>
        <v/>
      </c>
      <c r="K24" s="5">
        <f>IF(A24="","",INDEX(Purchase_Entry!P$2:P$5000,17))</f>
        <v/>
      </c>
    </row>
    <row r="25">
      <c r="A25" s="21">
        <f>IFERROR(INDEX(Purchase_Entry!A$2:A$5000,18),"")</f>
        <v/>
      </c>
      <c r="B25" s="5">
        <f>IF(A25="","",INDEX(Purchase_Entry!B$2:B$5000,18))</f>
        <v/>
      </c>
      <c r="C25" s="5">
        <f>IF(A25="","",INDEX(Purchase_Entry!C$2:C$5000,18))</f>
        <v/>
      </c>
      <c r="D25" s="5">
        <f>IF(A25="","",INDEX(Purchase_Entry!D$2:D$5000,18))</f>
        <v/>
      </c>
      <c r="E25" s="12">
        <f>IF(A25="","",INDEX(Purchase_Entry!K$2:K$5000,18))</f>
        <v/>
      </c>
      <c r="F25" s="12">
        <f>IF(A25="","",INDEX(Purchase_Entry!J$2:J$5000,18))</f>
        <v/>
      </c>
      <c r="G25" s="12">
        <f>IF(A25="","",INDEX(Purchase_Entry!L$2:L$5000,18))</f>
        <v/>
      </c>
      <c r="H25" s="12">
        <f>IF(A25="","",INDEX(Purchase_Entry!M$2:M$5000,18))</f>
        <v/>
      </c>
      <c r="I25" s="12">
        <f>IF(A25="","",INDEX(Purchase_Entry!N$2:N$5000,18))</f>
        <v/>
      </c>
      <c r="J25" s="5">
        <f>IF(A25="","",INDEX(Purchase_Entry!O$2:O$5000,18))</f>
        <v/>
      </c>
      <c r="K25" s="5">
        <f>IF(A25="","",INDEX(Purchase_Entry!P$2:P$5000,18))</f>
        <v/>
      </c>
    </row>
    <row r="26">
      <c r="A26" s="21">
        <f>IFERROR(INDEX(Purchase_Entry!A$2:A$5000,19),"")</f>
        <v/>
      </c>
      <c r="B26" s="5">
        <f>IF(A26="","",INDEX(Purchase_Entry!B$2:B$5000,19))</f>
        <v/>
      </c>
      <c r="C26" s="5">
        <f>IF(A26="","",INDEX(Purchase_Entry!C$2:C$5000,19))</f>
        <v/>
      </c>
      <c r="D26" s="5">
        <f>IF(A26="","",INDEX(Purchase_Entry!D$2:D$5000,19))</f>
        <v/>
      </c>
      <c r="E26" s="12">
        <f>IF(A26="","",INDEX(Purchase_Entry!K$2:K$5000,19))</f>
        <v/>
      </c>
      <c r="F26" s="12">
        <f>IF(A26="","",INDEX(Purchase_Entry!J$2:J$5000,19))</f>
        <v/>
      </c>
      <c r="G26" s="12">
        <f>IF(A26="","",INDEX(Purchase_Entry!L$2:L$5000,19))</f>
        <v/>
      </c>
      <c r="H26" s="12">
        <f>IF(A26="","",INDEX(Purchase_Entry!M$2:M$5000,19))</f>
        <v/>
      </c>
      <c r="I26" s="12">
        <f>IF(A26="","",INDEX(Purchase_Entry!N$2:N$5000,19))</f>
        <v/>
      </c>
      <c r="J26" s="5">
        <f>IF(A26="","",INDEX(Purchase_Entry!O$2:O$5000,19))</f>
        <v/>
      </c>
      <c r="K26" s="5">
        <f>IF(A26="","",INDEX(Purchase_Entry!P$2:P$5000,19))</f>
        <v/>
      </c>
    </row>
    <row r="27">
      <c r="A27" s="21">
        <f>IFERROR(INDEX(Purchase_Entry!A$2:A$5000,20),"")</f>
        <v/>
      </c>
      <c r="B27" s="5">
        <f>IF(A27="","",INDEX(Purchase_Entry!B$2:B$5000,20))</f>
        <v/>
      </c>
      <c r="C27" s="5">
        <f>IF(A27="","",INDEX(Purchase_Entry!C$2:C$5000,20))</f>
        <v/>
      </c>
      <c r="D27" s="5">
        <f>IF(A27="","",INDEX(Purchase_Entry!D$2:D$5000,20))</f>
        <v/>
      </c>
      <c r="E27" s="12">
        <f>IF(A27="","",INDEX(Purchase_Entry!K$2:K$5000,20))</f>
        <v/>
      </c>
      <c r="F27" s="12">
        <f>IF(A27="","",INDEX(Purchase_Entry!J$2:J$5000,20))</f>
        <v/>
      </c>
      <c r="G27" s="12">
        <f>IF(A27="","",INDEX(Purchase_Entry!L$2:L$5000,20))</f>
        <v/>
      </c>
      <c r="H27" s="12">
        <f>IF(A27="","",INDEX(Purchase_Entry!M$2:M$5000,20))</f>
        <v/>
      </c>
      <c r="I27" s="12">
        <f>IF(A27="","",INDEX(Purchase_Entry!N$2:N$5000,20))</f>
        <v/>
      </c>
      <c r="J27" s="5">
        <f>IF(A27="","",INDEX(Purchase_Entry!O$2:O$5000,20))</f>
        <v/>
      </c>
      <c r="K27" s="5">
        <f>IF(A27="","",INDEX(Purchase_Entry!P$2:P$5000,20))</f>
        <v/>
      </c>
    </row>
    <row r="28">
      <c r="A28" s="21">
        <f>IFERROR(INDEX(Purchase_Entry!A$2:A$5000,21),"")</f>
        <v/>
      </c>
      <c r="B28" s="5">
        <f>IF(A28="","",INDEX(Purchase_Entry!B$2:B$5000,21))</f>
        <v/>
      </c>
      <c r="C28" s="5">
        <f>IF(A28="","",INDEX(Purchase_Entry!C$2:C$5000,21))</f>
        <v/>
      </c>
      <c r="D28" s="5">
        <f>IF(A28="","",INDEX(Purchase_Entry!D$2:D$5000,21))</f>
        <v/>
      </c>
      <c r="E28" s="12">
        <f>IF(A28="","",INDEX(Purchase_Entry!K$2:K$5000,21))</f>
        <v/>
      </c>
      <c r="F28" s="12">
        <f>IF(A28="","",INDEX(Purchase_Entry!J$2:J$5000,21))</f>
        <v/>
      </c>
      <c r="G28" s="12">
        <f>IF(A28="","",INDEX(Purchase_Entry!L$2:L$5000,21))</f>
        <v/>
      </c>
      <c r="H28" s="12">
        <f>IF(A28="","",INDEX(Purchase_Entry!M$2:M$5000,21))</f>
        <v/>
      </c>
      <c r="I28" s="12">
        <f>IF(A28="","",INDEX(Purchase_Entry!N$2:N$5000,21))</f>
        <v/>
      </c>
      <c r="J28" s="5">
        <f>IF(A28="","",INDEX(Purchase_Entry!O$2:O$5000,21))</f>
        <v/>
      </c>
      <c r="K28" s="5">
        <f>IF(A28="","",INDEX(Purchase_Entry!P$2:P$5000,21))</f>
        <v/>
      </c>
    </row>
    <row r="29">
      <c r="A29" s="11" t="inlineStr">
        <is>
          <t>TOTALS</t>
        </is>
      </c>
      <c r="G29" s="13">
        <f>SUM(G9:G28)</f>
        <v/>
      </c>
      <c r="H29" s="13">
        <f>SUM(H9:H28)</f>
        <v/>
      </c>
      <c r="I29" s="49">
        <f>SUM(I9:I28)</f>
        <v/>
      </c>
    </row>
  </sheetData>
  <autoFilter ref="A8:K28"/>
  <mergeCells count="1">
    <mergeCell ref="A1:K1"/>
  </mergeCells>
  <conditionalFormatting sqref="A9:K28">
    <cfRule type="expression" priority="1" dxfId="1">
      <formula>$K9="Unpaid"</formula>
    </cfRule>
    <cfRule type="expression" priority="2" dxfId="3">
      <formula>$K9="Partial"</formula>
    </cfRule>
  </conditionalFormatting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tabColor rgb="003498DB"/>
    <outlinePr summaryBelow="1" summaryRight="1"/>
    <pageSetUpPr/>
  </sheetPr>
  <dimension ref="A1:I29"/>
  <sheetViews>
    <sheetView workbookViewId="0">
      <pane ySplit="8" topLeftCell="A9" activePane="bottomLeft" state="frozen"/>
      <selection pane="bottomLeft" activeCell="A1" sqref="A1"/>
    </sheetView>
  </sheetViews>
  <sheetFormatPr baseColWidth="8" defaultRowHeight="15" outlineLevelCol="0"/>
  <cols>
    <col width="22" customWidth="1" min="1" max="1"/>
    <col width="10" customWidth="1" min="2" max="2"/>
    <col width="12" customWidth="1" min="3" max="3"/>
    <col width="12" customWidth="1" min="4" max="4"/>
    <col width="12" customWidth="1" min="5" max="5"/>
    <col width="12" customWidth="1" min="6" max="6"/>
    <col width="14" customWidth="1" min="7" max="7"/>
    <col width="14" customWidth="1" min="8" max="8"/>
    <col width="14" customWidth="1" min="9" max="9"/>
  </cols>
  <sheetData>
    <row r="1">
      <c r="A1" s="42" t="inlineStr">
        <is>
          <t>🐄 STOCK REPORT</t>
        </is>
      </c>
    </row>
    <row r="3">
      <c r="A3" s="23" t="inlineStr">
        <is>
          <t>Stock Summary:</t>
        </is>
      </c>
    </row>
    <row r="4">
      <c r="A4" s="43" t="inlineStr">
        <is>
          <t>Total Products:</t>
        </is>
      </c>
      <c r="B4">
        <f>COUNTA(Stock_Master!A$2:A$5000)</f>
        <v/>
      </c>
    </row>
    <row r="5">
      <c r="A5" s="43" t="inlineStr">
        <is>
          <t>Total Stock Value:</t>
        </is>
      </c>
      <c r="B5" s="51">
        <f>SUMPRODUCT((Stock_Master!F$2:F$5000)*(Stock_Master!H$2:H$5000))</f>
        <v/>
      </c>
    </row>
    <row r="6">
      <c r="A6" s="43" t="inlineStr">
        <is>
          <t>Low Stock Items:</t>
        </is>
      </c>
      <c r="B6" s="52">
        <f>COUNTIF(Stock_Master!J$2:J$5000,"Reorder")</f>
        <v/>
      </c>
    </row>
    <row r="8">
      <c r="A8" s="10" t="inlineStr">
        <is>
          <t>Product</t>
        </is>
      </c>
      <c r="B8" s="10" t="inlineStr">
        <is>
          <t>Unit</t>
        </is>
      </c>
      <c r="C8" s="10" t="inlineStr">
        <is>
          <t>Opening</t>
        </is>
      </c>
      <c r="D8" s="10" t="inlineStr">
        <is>
          <t>Purchases</t>
        </is>
      </c>
      <c r="E8" s="10" t="inlineStr">
        <is>
          <t>Sales</t>
        </is>
      </c>
      <c r="F8" s="10" t="inlineStr">
        <is>
          <t>Current</t>
        </is>
      </c>
      <c r="G8" s="10" t="inlineStr">
        <is>
          <t>Reorder Level</t>
        </is>
      </c>
      <c r="H8" s="10" t="inlineStr">
        <is>
          <t>Stock Value</t>
        </is>
      </c>
      <c r="I8" s="10" t="inlineStr">
        <is>
          <t>Status</t>
        </is>
      </c>
    </row>
    <row r="9">
      <c r="A9" s="5">
        <f>IFERROR(INDEX(Stock_Master!A$2:A$5000,2),"")</f>
        <v/>
      </c>
      <c r="B9" s="5">
        <f>IF(A9="","",INDEX(Stock_Master!B$2:B$5000,2))</f>
        <v/>
      </c>
      <c r="C9" s="5">
        <f>IF(A9="","",INDEX(Stock_Master!C$2:C$5000,2))</f>
        <v/>
      </c>
      <c r="D9" s="5">
        <f>IF(A9="","",INDEX(Stock_Master!D$2:D$5000,2))</f>
        <v/>
      </c>
      <c r="E9" s="5">
        <f>IF(A9="","",INDEX(Stock_Master!E$2:E$5000,2))</f>
        <v/>
      </c>
      <c r="F9" s="11">
        <f>IF(A9="","",INDEX(Stock_Master!F$2:F$5000,2))</f>
        <v/>
      </c>
      <c r="G9" s="5">
        <f>IF(A9="","",INDEX(Stock_Master!G$2:G$5000,2))</f>
        <v/>
      </c>
      <c r="H9" s="12">
        <f>IF(A9="","",INDEX(Stock_Master!I$2:I$5000,2))</f>
        <v/>
      </c>
      <c r="I9" s="5">
        <f>IF(A9="","",INDEX(Stock_Master!J$2:J$5000,2))</f>
        <v/>
      </c>
    </row>
    <row r="10">
      <c r="A10" s="5">
        <f>IFERROR(INDEX(Stock_Master!A$2:A$5000,3),"")</f>
        <v/>
      </c>
      <c r="B10" s="5">
        <f>IF(A10="","",INDEX(Stock_Master!B$2:B$5000,3))</f>
        <v/>
      </c>
      <c r="C10" s="5">
        <f>IF(A10="","",INDEX(Stock_Master!C$2:C$5000,3))</f>
        <v/>
      </c>
      <c r="D10" s="5">
        <f>IF(A10="","",INDEX(Stock_Master!D$2:D$5000,3))</f>
        <v/>
      </c>
      <c r="E10" s="5">
        <f>IF(A10="","",INDEX(Stock_Master!E$2:E$5000,3))</f>
        <v/>
      </c>
      <c r="F10" s="11">
        <f>IF(A10="","",INDEX(Stock_Master!F$2:F$5000,3))</f>
        <v/>
      </c>
      <c r="G10" s="5">
        <f>IF(A10="","",INDEX(Stock_Master!G$2:G$5000,3))</f>
        <v/>
      </c>
      <c r="H10" s="12">
        <f>IF(A10="","",INDEX(Stock_Master!I$2:I$5000,3))</f>
        <v/>
      </c>
      <c r="I10" s="5">
        <f>IF(A10="","",INDEX(Stock_Master!J$2:J$5000,3))</f>
        <v/>
      </c>
    </row>
    <row r="11">
      <c r="A11" s="5">
        <f>IFERROR(INDEX(Stock_Master!A$2:A$5000,4),"")</f>
        <v/>
      </c>
      <c r="B11" s="5">
        <f>IF(A11="","",INDEX(Stock_Master!B$2:B$5000,4))</f>
        <v/>
      </c>
      <c r="C11" s="5">
        <f>IF(A11="","",INDEX(Stock_Master!C$2:C$5000,4))</f>
        <v/>
      </c>
      <c r="D11" s="5">
        <f>IF(A11="","",INDEX(Stock_Master!D$2:D$5000,4))</f>
        <v/>
      </c>
      <c r="E11" s="5">
        <f>IF(A11="","",INDEX(Stock_Master!E$2:E$5000,4))</f>
        <v/>
      </c>
      <c r="F11" s="11">
        <f>IF(A11="","",INDEX(Stock_Master!F$2:F$5000,4))</f>
        <v/>
      </c>
      <c r="G11" s="5">
        <f>IF(A11="","",INDEX(Stock_Master!G$2:G$5000,4))</f>
        <v/>
      </c>
      <c r="H11" s="12">
        <f>IF(A11="","",INDEX(Stock_Master!I$2:I$5000,4))</f>
        <v/>
      </c>
      <c r="I11" s="5">
        <f>IF(A11="","",INDEX(Stock_Master!J$2:J$5000,4))</f>
        <v/>
      </c>
    </row>
    <row r="12">
      <c r="A12" s="5">
        <f>IFERROR(INDEX(Stock_Master!A$2:A$5000,5),"")</f>
        <v/>
      </c>
      <c r="B12" s="5">
        <f>IF(A12="","",INDEX(Stock_Master!B$2:B$5000,5))</f>
        <v/>
      </c>
      <c r="C12" s="5">
        <f>IF(A12="","",INDEX(Stock_Master!C$2:C$5000,5))</f>
        <v/>
      </c>
      <c r="D12" s="5">
        <f>IF(A12="","",INDEX(Stock_Master!D$2:D$5000,5))</f>
        <v/>
      </c>
      <c r="E12" s="5">
        <f>IF(A12="","",INDEX(Stock_Master!E$2:E$5000,5))</f>
        <v/>
      </c>
      <c r="F12" s="11">
        <f>IF(A12="","",INDEX(Stock_Master!F$2:F$5000,5))</f>
        <v/>
      </c>
      <c r="G12" s="5">
        <f>IF(A12="","",INDEX(Stock_Master!G$2:G$5000,5))</f>
        <v/>
      </c>
      <c r="H12" s="12">
        <f>IF(A12="","",INDEX(Stock_Master!I$2:I$5000,5))</f>
        <v/>
      </c>
      <c r="I12" s="5">
        <f>IF(A12="","",INDEX(Stock_Master!J$2:J$5000,5))</f>
        <v/>
      </c>
    </row>
    <row r="13">
      <c r="A13" s="5">
        <f>IFERROR(INDEX(Stock_Master!A$2:A$5000,6),"")</f>
        <v/>
      </c>
      <c r="B13" s="5">
        <f>IF(A13="","",INDEX(Stock_Master!B$2:B$5000,6))</f>
        <v/>
      </c>
      <c r="C13" s="5">
        <f>IF(A13="","",INDEX(Stock_Master!C$2:C$5000,6))</f>
        <v/>
      </c>
      <c r="D13" s="5">
        <f>IF(A13="","",INDEX(Stock_Master!D$2:D$5000,6))</f>
        <v/>
      </c>
      <c r="E13" s="5">
        <f>IF(A13="","",INDEX(Stock_Master!E$2:E$5000,6))</f>
        <v/>
      </c>
      <c r="F13" s="11">
        <f>IF(A13="","",INDEX(Stock_Master!F$2:F$5000,6))</f>
        <v/>
      </c>
      <c r="G13" s="5">
        <f>IF(A13="","",INDEX(Stock_Master!G$2:G$5000,6))</f>
        <v/>
      </c>
      <c r="H13" s="12">
        <f>IF(A13="","",INDEX(Stock_Master!I$2:I$5000,6))</f>
        <v/>
      </c>
      <c r="I13" s="5">
        <f>IF(A13="","",INDEX(Stock_Master!J$2:J$5000,6))</f>
        <v/>
      </c>
    </row>
    <row r="14">
      <c r="A14" s="5">
        <f>IFERROR(INDEX(Stock_Master!A$2:A$5000,7),"")</f>
        <v/>
      </c>
      <c r="B14" s="5">
        <f>IF(A14="","",INDEX(Stock_Master!B$2:B$5000,7))</f>
        <v/>
      </c>
      <c r="C14" s="5">
        <f>IF(A14="","",INDEX(Stock_Master!C$2:C$5000,7))</f>
        <v/>
      </c>
      <c r="D14" s="5">
        <f>IF(A14="","",INDEX(Stock_Master!D$2:D$5000,7))</f>
        <v/>
      </c>
      <c r="E14" s="5">
        <f>IF(A14="","",INDEX(Stock_Master!E$2:E$5000,7))</f>
        <v/>
      </c>
      <c r="F14" s="11">
        <f>IF(A14="","",INDEX(Stock_Master!F$2:F$5000,7))</f>
        <v/>
      </c>
      <c r="G14" s="5">
        <f>IF(A14="","",INDEX(Stock_Master!G$2:G$5000,7))</f>
        <v/>
      </c>
      <c r="H14" s="12">
        <f>IF(A14="","",INDEX(Stock_Master!I$2:I$5000,7))</f>
        <v/>
      </c>
      <c r="I14" s="5">
        <f>IF(A14="","",INDEX(Stock_Master!J$2:J$5000,7))</f>
        <v/>
      </c>
    </row>
    <row r="15">
      <c r="A15" s="5">
        <f>IFERROR(INDEX(Stock_Master!A$2:A$5000,8),"")</f>
        <v/>
      </c>
      <c r="B15" s="5">
        <f>IF(A15="","",INDEX(Stock_Master!B$2:B$5000,8))</f>
        <v/>
      </c>
      <c r="C15" s="5">
        <f>IF(A15="","",INDEX(Stock_Master!C$2:C$5000,8))</f>
        <v/>
      </c>
      <c r="D15" s="5">
        <f>IF(A15="","",INDEX(Stock_Master!D$2:D$5000,8))</f>
        <v/>
      </c>
      <c r="E15" s="5">
        <f>IF(A15="","",INDEX(Stock_Master!E$2:E$5000,8))</f>
        <v/>
      </c>
      <c r="F15" s="11">
        <f>IF(A15="","",INDEX(Stock_Master!F$2:F$5000,8))</f>
        <v/>
      </c>
      <c r="G15" s="5">
        <f>IF(A15="","",INDEX(Stock_Master!G$2:G$5000,8))</f>
        <v/>
      </c>
      <c r="H15" s="12">
        <f>IF(A15="","",INDEX(Stock_Master!I$2:I$5000,8))</f>
        <v/>
      </c>
      <c r="I15" s="5">
        <f>IF(A15="","",INDEX(Stock_Master!J$2:J$5000,8))</f>
        <v/>
      </c>
    </row>
    <row r="16">
      <c r="A16" s="5">
        <f>IFERROR(INDEX(Stock_Master!A$2:A$5000,9),"")</f>
        <v/>
      </c>
      <c r="B16" s="5">
        <f>IF(A16="","",INDEX(Stock_Master!B$2:B$5000,9))</f>
        <v/>
      </c>
      <c r="C16" s="5">
        <f>IF(A16="","",INDEX(Stock_Master!C$2:C$5000,9))</f>
        <v/>
      </c>
      <c r="D16" s="5">
        <f>IF(A16="","",INDEX(Stock_Master!D$2:D$5000,9))</f>
        <v/>
      </c>
      <c r="E16" s="5">
        <f>IF(A16="","",INDEX(Stock_Master!E$2:E$5000,9))</f>
        <v/>
      </c>
      <c r="F16" s="11">
        <f>IF(A16="","",INDEX(Stock_Master!F$2:F$5000,9))</f>
        <v/>
      </c>
      <c r="G16" s="5">
        <f>IF(A16="","",INDEX(Stock_Master!G$2:G$5000,9))</f>
        <v/>
      </c>
      <c r="H16" s="12">
        <f>IF(A16="","",INDEX(Stock_Master!I$2:I$5000,9))</f>
        <v/>
      </c>
      <c r="I16" s="5">
        <f>IF(A16="","",INDEX(Stock_Master!J$2:J$5000,9))</f>
        <v/>
      </c>
    </row>
    <row r="17">
      <c r="A17" s="5">
        <f>IFERROR(INDEX(Stock_Master!A$2:A$5000,10),"")</f>
        <v/>
      </c>
      <c r="B17" s="5">
        <f>IF(A17="","",INDEX(Stock_Master!B$2:B$5000,10))</f>
        <v/>
      </c>
      <c r="C17" s="5">
        <f>IF(A17="","",INDEX(Stock_Master!C$2:C$5000,10))</f>
        <v/>
      </c>
      <c r="D17" s="5">
        <f>IF(A17="","",INDEX(Stock_Master!D$2:D$5000,10))</f>
        <v/>
      </c>
      <c r="E17" s="5">
        <f>IF(A17="","",INDEX(Stock_Master!E$2:E$5000,10))</f>
        <v/>
      </c>
      <c r="F17" s="11">
        <f>IF(A17="","",INDEX(Stock_Master!F$2:F$5000,10))</f>
        <v/>
      </c>
      <c r="G17" s="5">
        <f>IF(A17="","",INDEX(Stock_Master!G$2:G$5000,10))</f>
        <v/>
      </c>
      <c r="H17" s="12">
        <f>IF(A17="","",INDEX(Stock_Master!I$2:I$5000,10))</f>
        <v/>
      </c>
      <c r="I17" s="5">
        <f>IF(A17="","",INDEX(Stock_Master!J$2:J$5000,10))</f>
        <v/>
      </c>
    </row>
    <row r="18">
      <c r="A18" s="5">
        <f>IFERROR(INDEX(Stock_Master!A$2:A$5000,11),"")</f>
        <v/>
      </c>
      <c r="B18" s="5">
        <f>IF(A18="","",INDEX(Stock_Master!B$2:B$5000,11))</f>
        <v/>
      </c>
      <c r="C18" s="5">
        <f>IF(A18="","",INDEX(Stock_Master!C$2:C$5000,11))</f>
        <v/>
      </c>
      <c r="D18" s="5">
        <f>IF(A18="","",INDEX(Stock_Master!D$2:D$5000,11))</f>
        <v/>
      </c>
      <c r="E18" s="5">
        <f>IF(A18="","",INDEX(Stock_Master!E$2:E$5000,11))</f>
        <v/>
      </c>
      <c r="F18" s="11">
        <f>IF(A18="","",INDEX(Stock_Master!F$2:F$5000,11))</f>
        <v/>
      </c>
      <c r="G18" s="5">
        <f>IF(A18="","",INDEX(Stock_Master!G$2:G$5000,11))</f>
        <v/>
      </c>
      <c r="H18" s="12">
        <f>IF(A18="","",INDEX(Stock_Master!I$2:I$5000,11))</f>
        <v/>
      </c>
      <c r="I18" s="5">
        <f>IF(A18="","",INDEX(Stock_Master!J$2:J$5000,11))</f>
        <v/>
      </c>
    </row>
    <row r="19">
      <c r="A19" s="5">
        <f>IFERROR(INDEX(Stock_Master!A$2:A$5000,12),"")</f>
        <v/>
      </c>
      <c r="B19" s="5">
        <f>IF(A19="","",INDEX(Stock_Master!B$2:B$5000,12))</f>
        <v/>
      </c>
      <c r="C19" s="5">
        <f>IF(A19="","",INDEX(Stock_Master!C$2:C$5000,12))</f>
        <v/>
      </c>
      <c r="D19" s="5">
        <f>IF(A19="","",INDEX(Stock_Master!D$2:D$5000,12))</f>
        <v/>
      </c>
      <c r="E19" s="5">
        <f>IF(A19="","",INDEX(Stock_Master!E$2:E$5000,12))</f>
        <v/>
      </c>
      <c r="F19" s="11">
        <f>IF(A19="","",INDEX(Stock_Master!F$2:F$5000,12))</f>
        <v/>
      </c>
      <c r="G19" s="5">
        <f>IF(A19="","",INDEX(Stock_Master!G$2:G$5000,12))</f>
        <v/>
      </c>
      <c r="H19" s="12">
        <f>IF(A19="","",INDEX(Stock_Master!I$2:I$5000,12))</f>
        <v/>
      </c>
      <c r="I19" s="5">
        <f>IF(A19="","",INDEX(Stock_Master!J$2:J$5000,12))</f>
        <v/>
      </c>
    </row>
    <row r="20">
      <c r="A20" s="5">
        <f>IFERROR(INDEX(Stock_Master!A$2:A$5000,13),"")</f>
        <v/>
      </c>
      <c r="B20" s="5">
        <f>IF(A20="","",INDEX(Stock_Master!B$2:B$5000,13))</f>
        <v/>
      </c>
      <c r="C20" s="5">
        <f>IF(A20="","",INDEX(Stock_Master!C$2:C$5000,13))</f>
        <v/>
      </c>
      <c r="D20" s="5">
        <f>IF(A20="","",INDEX(Stock_Master!D$2:D$5000,13))</f>
        <v/>
      </c>
      <c r="E20" s="5">
        <f>IF(A20="","",INDEX(Stock_Master!E$2:E$5000,13))</f>
        <v/>
      </c>
      <c r="F20" s="11">
        <f>IF(A20="","",INDEX(Stock_Master!F$2:F$5000,13))</f>
        <v/>
      </c>
      <c r="G20" s="5">
        <f>IF(A20="","",INDEX(Stock_Master!G$2:G$5000,13))</f>
        <v/>
      </c>
      <c r="H20" s="12">
        <f>IF(A20="","",INDEX(Stock_Master!I$2:I$5000,13))</f>
        <v/>
      </c>
      <c r="I20" s="5">
        <f>IF(A20="","",INDEX(Stock_Master!J$2:J$5000,13))</f>
        <v/>
      </c>
    </row>
    <row r="21">
      <c r="A21" s="5">
        <f>IFERROR(INDEX(Stock_Master!A$2:A$5000,14),"")</f>
        <v/>
      </c>
      <c r="B21" s="5">
        <f>IF(A21="","",INDEX(Stock_Master!B$2:B$5000,14))</f>
        <v/>
      </c>
      <c r="C21" s="5">
        <f>IF(A21="","",INDEX(Stock_Master!C$2:C$5000,14))</f>
        <v/>
      </c>
      <c r="D21" s="5">
        <f>IF(A21="","",INDEX(Stock_Master!D$2:D$5000,14))</f>
        <v/>
      </c>
      <c r="E21" s="5">
        <f>IF(A21="","",INDEX(Stock_Master!E$2:E$5000,14))</f>
        <v/>
      </c>
      <c r="F21" s="11">
        <f>IF(A21="","",INDEX(Stock_Master!F$2:F$5000,14))</f>
        <v/>
      </c>
      <c r="G21" s="5">
        <f>IF(A21="","",INDEX(Stock_Master!G$2:G$5000,14))</f>
        <v/>
      </c>
      <c r="H21" s="12">
        <f>IF(A21="","",INDEX(Stock_Master!I$2:I$5000,14))</f>
        <v/>
      </c>
      <c r="I21" s="5">
        <f>IF(A21="","",INDEX(Stock_Master!J$2:J$5000,14))</f>
        <v/>
      </c>
    </row>
    <row r="22">
      <c r="A22" s="5">
        <f>IFERROR(INDEX(Stock_Master!A$2:A$5000,15),"")</f>
        <v/>
      </c>
      <c r="B22" s="5">
        <f>IF(A22="","",INDEX(Stock_Master!B$2:B$5000,15))</f>
        <v/>
      </c>
      <c r="C22" s="5">
        <f>IF(A22="","",INDEX(Stock_Master!C$2:C$5000,15))</f>
        <v/>
      </c>
      <c r="D22" s="5">
        <f>IF(A22="","",INDEX(Stock_Master!D$2:D$5000,15))</f>
        <v/>
      </c>
      <c r="E22" s="5">
        <f>IF(A22="","",INDEX(Stock_Master!E$2:E$5000,15))</f>
        <v/>
      </c>
      <c r="F22" s="11">
        <f>IF(A22="","",INDEX(Stock_Master!F$2:F$5000,15))</f>
        <v/>
      </c>
      <c r="G22" s="5">
        <f>IF(A22="","",INDEX(Stock_Master!G$2:G$5000,15))</f>
        <v/>
      </c>
      <c r="H22" s="12">
        <f>IF(A22="","",INDEX(Stock_Master!I$2:I$5000,15))</f>
        <v/>
      </c>
      <c r="I22" s="5">
        <f>IF(A22="","",INDEX(Stock_Master!J$2:J$5000,15))</f>
        <v/>
      </c>
    </row>
    <row r="23">
      <c r="A23" s="5">
        <f>IFERROR(INDEX(Stock_Master!A$2:A$5000,16),"")</f>
        <v/>
      </c>
      <c r="B23" s="5">
        <f>IF(A23="","",INDEX(Stock_Master!B$2:B$5000,16))</f>
        <v/>
      </c>
      <c r="C23" s="5">
        <f>IF(A23="","",INDEX(Stock_Master!C$2:C$5000,16))</f>
        <v/>
      </c>
      <c r="D23" s="5">
        <f>IF(A23="","",INDEX(Stock_Master!D$2:D$5000,16))</f>
        <v/>
      </c>
      <c r="E23" s="5">
        <f>IF(A23="","",INDEX(Stock_Master!E$2:E$5000,16))</f>
        <v/>
      </c>
      <c r="F23" s="11">
        <f>IF(A23="","",INDEX(Stock_Master!F$2:F$5000,16))</f>
        <v/>
      </c>
      <c r="G23" s="5">
        <f>IF(A23="","",INDEX(Stock_Master!G$2:G$5000,16))</f>
        <v/>
      </c>
      <c r="H23" s="12">
        <f>IF(A23="","",INDEX(Stock_Master!I$2:I$5000,16))</f>
        <v/>
      </c>
      <c r="I23" s="5">
        <f>IF(A23="","",INDEX(Stock_Master!J$2:J$5000,16))</f>
        <v/>
      </c>
    </row>
    <row r="24">
      <c r="A24" s="5">
        <f>IFERROR(INDEX(Stock_Master!A$2:A$5000,17),"")</f>
        <v/>
      </c>
      <c r="B24" s="5">
        <f>IF(A24="","",INDEX(Stock_Master!B$2:B$5000,17))</f>
        <v/>
      </c>
      <c r="C24" s="5">
        <f>IF(A24="","",INDEX(Stock_Master!C$2:C$5000,17))</f>
        <v/>
      </c>
      <c r="D24" s="5">
        <f>IF(A24="","",INDEX(Stock_Master!D$2:D$5000,17))</f>
        <v/>
      </c>
      <c r="E24" s="5">
        <f>IF(A24="","",INDEX(Stock_Master!E$2:E$5000,17))</f>
        <v/>
      </c>
      <c r="F24" s="11">
        <f>IF(A24="","",INDEX(Stock_Master!F$2:F$5000,17))</f>
        <v/>
      </c>
      <c r="G24" s="5">
        <f>IF(A24="","",INDEX(Stock_Master!G$2:G$5000,17))</f>
        <v/>
      </c>
      <c r="H24" s="12">
        <f>IF(A24="","",INDEX(Stock_Master!I$2:I$5000,17))</f>
        <v/>
      </c>
      <c r="I24" s="5">
        <f>IF(A24="","",INDEX(Stock_Master!J$2:J$5000,17))</f>
        <v/>
      </c>
    </row>
    <row r="25">
      <c r="A25" s="5">
        <f>IFERROR(INDEX(Stock_Master!A$2:A$5000,18),"")</f>
        <v/>
      </c>
      <c r="B25" s="5">
        <f>IF(A25="","",INDEX(Stock_Master!B$2:B$5000,18))</f>
        <v/>
      </c>
      <c r="C25" s="5">
        <f>IF(A25="","",INDEX(Stock_Master!C$2:C$5000,18))</f>
        <v/>
      </c>
      <c r="D25" s="5">
        <f>IF(A25="","",INDEX(Stock_Master!D$2:D$5000,18))</f>
        <v/>
      </c>
      <c r="E25" s="5">
        <f>IF(A25="","",INDEX(Stock_Master!E$2:E$5000,18))</f>
        <v/>
      </c>
      <c r="F25" s="11">
        <f>IF(A25="","",INDEX(Stock_Master!F$2:F$5000,18))</f>
        <v/>
      </c>
      <c r="G25" s="5">
        <f>IF(A25="","",INDEX(Stock_Master!G$2:G$5000,18))</f>
        <v/>
      </c>
      <c r="H25" s="12">
        <f>IF(A25="","",INDEX(Stock_Master!I$2:I$5000,18))</f>
        <v/>
      </c>
      <c r="I25" s="5">
        <f>IF(A25="","",INDEX(Stock_Master!J$2:J$5000,18))</f>
        <v/>
      </c>
    </row>
    <row r="26">
      <c r="A26" s="5">
        <f>IFERROR(INDEX(Stock_Master!A$2:A$5000,19),"")</f>
        <v/>
      </c>
      <c r="B26" s="5">
        <f>IF(A26="","",INDEX(Stock_Master!B$2:B$5000,19))</f>
        <v/>
      </c>
      <c r="C26" s="5">
        <f>IF(A26="","",INDEX(Stock_Master!C$2:C$5000,19))</f>
        <v/>
      </c>
      <c r="D26" s="5">
        <f>IF(A26="","",INDEX(Stock_Master!D$2:D$5000,19))</f>
        <v/>
      </c>
      <c r="E26" s="5">
        <f>IF(A26="","",INDEX(Stock_Master!E$2:E$5000,19))</f>
        <v/>
      </c>
      <c r="F26" s="11">
        <f>IF(A26="","",INDEX(Stock_Master!F$2:F$5000,19))</f>
        <v/>
      </c>
      <c r="G26" s="5">
        <f>IF(A26="","",INDEX(Stock_Master!G$2:G$5000,19))</f>
        <v/>
      </c>
      <c r="H26" s="12">
        <f>IF(A26="","",INDEX(Stock_Master!I$2:I$5000,19))</f>
        <v/>
      </c>
      <c r="I26" s="5">
        <f>IF(A26="","",INDEX(Stock_Master!J$2:J$5000,19))</f>
        <v/>
      </c>
    </row>
    <row r="27">
      <c r="A27" s="5">
        <f>IFERROR(INDEX(Stock_Master!A$2:A$5000,20),"")</f>
        <v/>
      </c>
      <c r="B27" s="5">
        <f>IF(A27="","",INDEX(Stock_Master!B$2:B$5000,20))</f>
        <v/>
      </c>
      <c r="C27" s="5">
        <f>IF(A27="","",INDEX(Stock_Master!C$2:C$5000,20))</f>
        <v/>
      </c>
      <c r="D27" s="5">
        <f>IF(A27="","",INDEX(Stock_Master!D$2:D$5000,20))</f>
        <v/>
      </c>
      <c r="E27" s="5">
        <f>IF(A27="","",INDEX(Stock_Master!E$2:E$5000,20))</f>
        <v/>
      </c>
      <c r="F27" s="11">
        <f>IF(A27="","",INDEX(Stock_Master!F$2:F$5000,20))</f>
        <v/>
      </c>
      <c r="G27" s="5">
        <f>IF(A27="","",INDEX(Stock_Master!G$2:G$5000,20))</f>
        <v/>
      </c>
      <c r="H27" s="12">
        <f>IF(A27="","",INDEX(Stock_Master!I$2:I$5000,20))</f>
        <v/>
      </c>
      <c r="I27" s="5">
        <f>IF(A27="","",INDEX(Stock_Master!J$2:J$5000,20))</f>
        <v/>
      </c>
    </row>
    <row r="28">
      <c r="A28" s="5">
        <f>IFERROR(INDEX(Stock_Master!A$2:A$5000,21),"")</f>
        <v/>
      </c>
      <c r="B28" s="5">
        <f>IF(A28="","",INDEX(Stock_Master!B$2:B$5000,21))</f>
        <v/>
      </c>
      <c r="C28" s="5">
        <f>IF(A28="","",INDEX(Stock_Master!C$2:C$5000,21))</f>
        <v/>
      </c>
      <c r="D28" s="5">
        <f>IF(A28="","",INDEX(Stock_Master!D$2:D$5000,21))</f>
        <v/>
      </c>
      <c r="E28" s="5">
        <f>IF(A28="","",INDEX(Stock_Master!E$2:E$5000,21))</f>
        <v/>
      </c>
      <c r="F28" s="11">
        <f>IF(A28="","",INDEX(Stock_Master!F$2:F$5000,21))</f>
        <v/>
      </c>
      <c r="G28" s="5">
        <f>IF(A28="","",INDEX(Stock_Master!G$2:G$5000,21))</f>
        <v/>
      </c>
      <c r="H28" s="12">
        <f>IF(A28="","",INDEX(Stock_Master!I$2:I$5000,21))</f>
        <v/>
      </c>
      <c r="I28" s="5">
        <f>IF(A28="","",INDEX(Stock_Master!J$2:J$5000,21))</f>
        <v/>
      </c>
    </row>
    <row r="29">
      <c r="A29" s="11" t="inlineStr">
        <is>
          <t>TOTALS</t>
        </is>
      </c>
      <c r="F29" s="11">
        <f>SUM(F9:F28)</f>
        <v/>
      </c>
      <c r="H29" s="13">
        <f>SUM(H9:H28)</f>
        <v/>
      </c>
    </row>
  </sheetData>
  <autoFilter ref="A8:I28"/>
  <mergeCells count="1">
    <mergeCell ref="A1:H1"/>
  </mergeCells>
  <conditionalFormatting sqref="A9:I28">
    <cfRule type="expression" priority="1" dxfId="1">
      <formula>$I9="Reorder"</formula>
    </cfRule>
    <cfRule type="expression" priority="2" dxfId="3">
      <formula>$I9="Low Stock"</formula>
    </cfRule>
    <cfRule type="expression" priority="3" dxfId="2">
      <formula>$I9="In Stock"</formula>
    </cfRule>
  </conditionalFormatting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tabColor rgb="009B59B6"/>
    <outlinePr summaryBelow="1" summaryRight="1"/>
    <pageSetUpPr/>
  </sheetPr>
  <dimension ref="A1:H28"/>
  <sheetViews>
    <sheetView workbookViewId="0">
      <pane ySplit="13" topLeftCell="A14" activePane="bottomLeft" state="frozen"/>
      <selection pane="bottomLeft" activeCell="A1" sqref="A1"/>
    </sheetView>
  </sheetViews>
  <sheetFormatPr baseColWidth="8" defaultRowHeight="15" outlineLevelCol="0"/>
  <cols>
    <col width="6" customWidth="1" min="1" max="1"/>
    <col width="28" customWidth="1" min="2" max="2"/>
    <col width="10" customWidth="1" min="3" max="3"/>
    <col width="10" customWidth="1" min="4" max="4"/>
    <col width="12" customWidth="1" min="5" max="5"/>
    <col width="14" customWidth="1" min="6" max="6"/>
    <col width="14" customWidth="1" min="7" max="7"/>
    <col width="16" customWidth="1" min="8" max="8"/>
  </cols>
  <sheetData>
    <row r="1">
      <c r="A1" s="53" t="inlineStr">
        <is>
          <t>[YOUR BUSINESS NAME HERE]</t>
        </is>
      </c>
    </row>
    <row r="2">
      <c r="A2" s="54" t="inlineStr">
        <is>
          <t>[Address Line 1]</t>
        </is>
      </c>
    </row>
    <row r="3">
      <c r="A3" s="54" t="inlineStr">
        <is>
          <t>[Phone] | [Email] | [PAN/VAT]</t>
        </is>
      </c>
    </row>
    <row r="5">
      <c r="A5" s="46" t="inlineStr"/>
    </row>
    <row r="6" ht="36" customHeight="1">
      <c r="A6" s="55" t="inlineStr">
        <is>
          <t>TAX INVOICE</t>
        </is>
      </c>
      <c r="B6" s="56" t="n"/>
      <c r="C6" s="56" t="n"/>
      <c r="D6" s="56" t="n"/>
      <c r="E6" s="56" t="n"/>
      <c r="F6" s="56" t="n"/>
      <c r="G6" s="56" t="n"/>
    </row>
    <row r="8">
      <c r="A8" s="43" t="inlineStr">
        <is>
          <t>Invoice No:</t>
        </is>
      </c>
      <c r="B8" s="46" t="inlineStr">
        <is>
          <t>IFERROR(INDEX(Sales_Entry!B$2:B$5000,MATCH(1,(Sales_Entry!A$2:A$5000=TODAY()),0)),"INV-____")</t>
        </is>
      </c>
      <c r="D8" s="43" t="inlineStr">
        <is>
          <t>Customer:</t>
        </is>
      </c>
    </row>
    <row r="9">
      <c r="A9" s="43" t="inlineStr">
        <is>
          <t>Date:</t>
        </is>
      </c>
      <c r="B9" s="50">
        <f>TODAY()</f>
        <v/>
      </c>
      <c r="D9" s="46" t="inlineStr">
        <is>
          <t>[Customer Name]</t>
        </is>
      </c>
    </row>
    <row r="10">
      <c r="D10" s="46" t="inlineStr">
        <is>
          <t>[Address]</t>
        </is>
      </c>
    </row>
    <row r="11">
      <c r="D11" s="46" t="inlineStr">
        <is>
          <t>[Phone]</t>
        </is>
      </c>
    </row>
    <row r="13">
      <c r="A13" s="10" t="inlineStr">
        <is>
          <t>#</t>
        </is>
      </c>
      <c r="B13" s="10" t="inlineStr">
        <is>
          <t>Product Name</t>
        </is>
      </c>
      <c r="C13" s="10" t="inlineStr">
        <is>
          <t>Quantity</t>
        </is>
      </c>
      <c r="D13" s="10" t="inlineStr">
        <is>
          <t>Unit</t>
        </is>
      </c>
      <c r="E13" s="10" t="inlineStr">
        <is>
          <t>Rate</t>
        </is>
      </c>
      <c r="F13" s="10" t="inlineStr">
        <is>
          <t>Amount</t>
        </is>
      </c>
      <c r="G13" s="10" t="inlineStr">
        <is>
          <t>Discount</t>
        </is>
      </c>
      <c r="H13" s="10" t="inlineStr">
        <is>
          <t>Net Amount</t>
        </is>
      </c>
    </row>
    <row r="14">
      <c r="A14" s="5" t="n">
        <v>1</v>
      </c>
      <c r="B14" s="5" t="n"/>
      <c r="C14" s="5" t="n"/>
      <c r="D14" s="5" t="n"/>
      <c r="E14" s="12" t="n"/>
      <c r="F14" s="12" t="n"/>
      <c r="G14" s="12" t="n"/>
      <c r="H14" s="13" t="n"/>
    </row>
    <row r="15">
      <c r="A15" s="5" t="n">
        <v>2</v>
      </c>
      <c r="B15" s="5" t="n"/>
      <c r="C15" s="5" t="n"/>
      <c r="D15" s="5" t="n"/>
      <c r="E15" s="12" t="n"/>
      <c r="F15" s="12" t="n"/>
      <c r="G15" s="12" t="n"/>
      <c r="H15" s="13" t="n"/>
    </row>
    <row r="16">
      <c r="A16" s="5" t="n">
        <v>3</v>
      </c>
      <c r="B16" s="5" t="n"/>
      <c r="C16" s="5" t="n"/>
      <c r="D16" s="5" t="n"/>
      <c r="E16" s="12" t="n"/>
      <c r="F16" s="12" t="n"/>
      <c r="G16" s="12" t="n"/>
      <c r="H16" s="13" t="n"/>
    </row>
    <row r="17">
      <c r="A17" s="5" t="n">
        <v>4</v>
      </c>
      <c r="B17" s="5" t="n"/>
      <c r="C17" s="5" t="n"/>
      <c r="D17" s="5" t="n"/>
      <c r="E17" s="12" t="n"/>
      <c r="F17" s="12" t="n"/>
      <c r="G17" s="12" t="n"/>
      <c r="H17" s="13" t="n"/>
    </row>
    <row r="18">
      <c r="A18" s="5" t="n">
        <v>5</v>
      </c>
      <c r="B18" s="5" t="n"/>
      <c r="C18" s="5" t="n"/>
      <c r="D18" s="5" t="n"/>
      <c r="E18" s="12" t="n"/>
      <c r="F18" s="12" t="n"/>
      <c r="G18" s="12" t="n"/>
      <c r="H18" s="13" t="n"/>
    </row>
    <row r="19">
      <c r="G19" s="11" t="inlineStr">
        <is>
          <t>Subtotal:</t>
        </is>
      </c>
      <c r="H19" s="13">
        <f>SUM(F14:F18)</f>
        <v/>
      </c>
    </row>
    <row r="20">
      <c r="G20" s="11" t="inlineStr">
        <is>
          <t>Discount:</t>
        </is>
      </c>
      <c r="H20" s="13">
        <f>SUM(G14:G18)</f>
        <v/>
      </c>
    </row>
    <row r="21">
      <c r="A21" s="31" t="n"/>
      <c r="B21" s="31" t="n"/>
      <c r="C21" s="31" t="n"/>
      <c r="D21" s="31" t="n"/>
      <c r="E21" s="31" t="n"/>
      <c r="F21" s="31" t="n"/>
      <c r="G21" s="57" t="inlineStr">
        <is>
          <t>Grand Total:</t>
        </is>
      </c>
      <c r="H21" s="58">
        <f>SUM(H14:H18)</f>
        <v/>
      </c>
    </row>
    <row r="23">
      <c r="A23" s="43" t="inlineStr">
        <is>
          <t>Amount in Words:</t>
        </is>
      </c>
      <c r="B23" s="46" t="inlineStr">
        <is>
          <t>[Rupees ____________________________________]</t>
        </is>
      </c>
    </row>
    <row r="25">
      <c r="A25" s="43" t="inlineStr">
        <is>
          <t>Terms &amp; Conditions:</t>
        </is>
      </c>
      <c r="F25" s="43" t="inlineStr">
        <is>
          <t>Authorized Signature</t>
        </is>
      </c>
    </row>
    <row r="26">
      <c r="A26" s="24" t="inlineStr">
        <is>
          <t>1. Goods once sold will not be taken back.</t>
        </is>
      </c>
    </row>
    <row r="27">
      <c r="A27" s="24" t="inlineStr">
        <is>
          <t>2. Payment due within 15 days from invoice date.</t>
        </is>
      </c>
      <c r="F27" s="46" t="inlineStr">
        <is>
          <t>(___________________)</t>
        </is>
      </c>
    </row>
    <row r="28">
      <c r="A28" s="24" t="inlineStr">
        <is>
          <t>3. Interest @ 18% p.a. charged on overdue payments.</t>
        </is>
      </c>
    </row>
  </sheetData>
  <mergeCells count="8">
    <mergeCell ref="A1:G1"/>
    <mergeCell ref="A3:G3"/>
    <mergeCell ref="A6:G6"/>
    <mergeCell ref="D8:G8"/>
    <mergeCell ref="B23:G23"/>
    <mergeCell ref="A2:G2"/>
    <mergeCell ref="A5:G5"/>
    <mergeCell ref="F25:H25"/>
  </mergeCells>
  <pageMargins left="0.5" right="0.5" top="0.5" bottom="0.5" header="0.5" footer="0.5"/>
  <pageSetup orientation="portrait" paperSize="9" fitToHeight="0" fitToWidth="1"/>
</worksheet>
</file>

<file path=xl/worksheets/sheet14.xml><?xml version="1.0" encoding="utf-8"?>
<worksheet xmlns="http://schemas.openxmlformats.org/spreadsheetml/2006/main">
  <sheetPr>
    <tabColor rgb="0034495E"/>
    <outlinePr summaryBelow="1" summaryRight="1"/>
    <pageSetUpPr/>
  </sheetPr>
  <dimension ref="A1:H32"/>
  <sheetViews>
    <sheetView workbookViewId="0">
      <pane ySplit="11" topLeftCell="A12" activePane="bottomLeft" state="frozen"/>
      <selection pane="bottomLeft" activeCell="A1" sqref="A1"/>
    </sheetView>
  </sheetViews>
  <sheetFormatPr baseColWidth="8" defaultRowHeight="15" outlineLevelCol="0"/>
  <cols>
    <col width="14" customWidth="1" min="1" max="1"/>
    <col width="18" customWidth="1" min="2" max="2"/>
    <col width="14" customWidth="1" min="3" max="3"/>
    <col width="30" customWidth="1" min="4" max="4"/>
    <col width="14" customWidth="1" min="5" max="5"/>
    <col width="14" customWidth="1" min="6" max="6"/>
    <col width="14" customWidth="1" min="7" max="7"/>
    <col width="12" customWidth="1" min="8" max="8"/>
  </cols>
  <sheetData>
    <row r="1">
      <c r="A1" s="53" t="inlineStr">
        <is>
          <t>[YOUR BUSINESS NAME HERE]</t>
        </is>
      </c>
    </row>
    <row r="2">
      <c r="A2" s="54" t="inlineStr">
        <is>
          <t>[Address] | [Phone] | [PAN/VAT]</t>
        </is>
      </c>
    </row>
    <row r="4">
      <c r="A4" s="59" t="inlineStr">
        <is>
          <t>PARTY LEDGER STATEMENT</t>
        </is>
      </c>
    </row>
    <row r="6">
      <c r="A6" s="43" t="inlineStr">
        <is>
          <t>Party Name:</t>
        </is>
      </c>
      <c r="B6" s="46" t="inlineStr">
        <is>
          <t>[Enter Party Name]</t>
        </is>
      </c>
    </row>
    <row r="7">
      <c r="A7" s="43" t="inlineStr">
        <is>
          <t>Period:</t>
        </is>
      </c>
      <c r="B7" s="46">
        <f>TEXT(DATE(YEAR(TODAY()),MONTH(TODAY()),1),"DD-MMM-YYYY")&amp;" To "&amp;TEXT(TODAY(),"DD-MMM-YYYY")</f>
        <v/>
      </c>
    </row>
    <row r="9">
      <c r="A9" s="43" t="inlineStr">
        <is>
          <t>Opening Balance:</t>
        </is>
      </c>
      <c r="C9" s="45" t="n">
        <v>0</v>
      </c>
    </row>
    <row r="11">
      <c r="A11" s="10" t="inlineStr">
        <is>
          <t>Date</t>
        </is>
      </c>
      <c r="B11" s="10" t="inlineStr">
        <is>
          <t>Transaction Type</t>
        </is>
      </c>
      <c r="C11" s="10" t="inlineStr">
        <is>
          <t>Reference</t>
        </is>
      </c>
      <c r="D11" s="10" t="inlineStr">
        <is>
          <t>Description</t>
        </is>
      </c>
      <c r="E11" s="10" t="inlineStr">
        <is>
          <t>Debit</t>
        </is>
      </c>
      <c r="F11" s="10" t="inlineStr">
        <is>
          <t>Credit</t>
        </is>
      </c>
      <c r="G11" s="10" t="inlineStr">
        <is>
          <t>Balance</t>
        </is>
      </c>
    </row>
    <row r="12">
      <c r="A12" s="21" t="n"/>
      <c r="B12" s="5" t="n"/>
      <c r="C12" s="5" t="n"/>
      <c r="D12" s="5" t="n"/>
      <c r="E12" s="12" t="n"/>
      <c r="F12" s="12" t="n"/>
      <c r="G12" s="13" t="n"/>
    </row>
    <row r="13">
      <c r="A13" s="21" t="n"/>
      <c r="B13" s="5" t="n"/>
      <c r="C13" s="5" t="n"/>
      <c r="D13" s="5" t="n"/>
      <c r="E13" s="12" t="n"/>
      <c r="F13" s="12" t="n"/>
      <c r="G13" s="13" t="n"/>
    </row>
    <row r="14">
      <c r="A14" s="21" t="n"/>
      <c r="B14" s="5" t="n"/>
      <c r="C14" s="5" t="n"/>
      <c r="D14" s="5" t="n"/>
      <c r="E14" s="12" t="n"/>
      <c r="F14" s="12" t="n"/>
      <c r="G14" s="13" t="n"/>
    </row>
    <row r="15">
      <c r="A15" s="21" t="n"/>
      <c r="B15" s="5" t="n"/>
      <c r="C15" s="5" t="n"/>
      <c r="D15" s="5" t="n"/>
      <c r="E15" s="12" t="n"/>
      <c r="F15" s="12" t="n"/>
      <c r="G15" s="13" t="n"/>
    </row>
    <row r="16">
      <c r="A16" s="21" t="n"/>
      <c r="B16" s="5" t="n"/>
      <c r="C16" s="5" t="n"/>
      <c r="D16" s="5" t="n"/>
      <c r="E16" s="12" t="n"/>
      <c r="F16" s="12" t="n"/>
      <c r="G16" s="13" t="n"/>
    </row>
    <row r="17">
      <c r="A17" s="21" t="n"/>
      <c r="B17" s="5" t="n"/>
      <c r="C17" s="5" t="n"/>
      <c r="D17" s="5" t="n"/>
      <c r="E17" s="12" t="n"/>
      <c r="F17" s="12" t="n"/>
      <c r="G17" s="13" t="n"/>
    </row>
    <row r="18">
      <c r="A18" s="21" t="n"/>
      <c r="B18" s="5" t="n"/>
      <c r="C18" s="5" t="n"/>
      <c r="D18" s="5" t="n"/>
      <c r="E18" s="12" t="n"/>
      <c r="F18" s="12" t="n"/>
      <c r="G18" s="13" t="n"/>
    </row>
    <row r="19">
      <c r="A19" s="21" t="n"/>
      <c r="B19" s="5" t="n"/>
      <c r="C19" s="5" t="n"/>
      <c r="D19" s="5" t="n"/>
      <c r="E19" s="12" t="n"/>
      <c r="F19" s="12" t="n"/>
      <c r="G19" s="13" t="n"/>
    </row>
    <row r="20">
      <c r="A20" s="21" t="n"/>
      <c r="B20" s="5" t="n"/>
      <c r="C20" s="5" t="n"/>
      <c r="D20" s="5" t="n"/>
      <c r="E20" s="12" t="n"/>
      <c r="F20" s="12" t="n"/>
      <c r="G20" s="13" t="n"/>
    </row>
    <row r="21">
      <c r="A21" s="21" t="n"/>
      <c r="B21" s="5" t="n"/>
      <c r="C21" s="5" t="n"/>
      <c r="D21" s="5" t="n"/>
      <c r="E21" s="12" t="n"/>
      <c r="F21" s="12" t="n"/>
      <c r="G21" s="13" t="n"/>
    </row>
    <row r="22">
      <c r="A22" s="21" t="n"/>
      <c r="B22" s="5" t="n"/>
      <c r="C22" s="5" t="n"/>
      <c r="D22" s="5" t="n"/>
      <c r="E22" s="12" t="n"/>
      <c r="F22" s="12" t="n"/>
      <c r="G22" s="13" t="n"/>
    </row>
    <row r="23">
      <c r="A23" s="21" t="n"/>
      <c r="B23" s="5" t="n"/>
      <c r="C23" s="5" t="n"/>
      <c r="D23" s="5" t="n"/>
      <c r="E23" s="12" t="n"/>
      <c r="F23" s="12" t="n"/>
      <c r="G23" s="13" t="n"/>
    </row>
    <row r="24">
      <c r="A24" s="21" t="n"/>
      <c r="B24" s="5" t="n"/>
      <c r="C24" s="5" t="n"/>
      <c r="D24" s="5" t="n"/>
      <c r="E24" s="12" t="n"/>
      <c r="F24" s="12" t="n"/>
      <c r="G24" s="13" t="n"/>
    </row>
    <row r="25">
      <c r="A25" s="21" t="n"/>
      <c r="B25" s="5" t="n"/>
      <c r="C25" s="5" t="n"/>
      <c r="D25" s="5" t="n"/>
      <c r="E25" s="12" t="n"/>
      <c r="F25" s="12" t="n"/>
      <c r="G25" s="13" t="n"/>
    </row>
    <row r="26">
      <c r="A26" s="21" t="n"/>
      <c r="B26" s="5" t="n"/>
      <c r="C26" s="5" t="n"/>
      <c r="D26" s="5" t="n"/>
      <c r="E26" s="12" t="n"/>
      <c r="F26" s="12" t="n"/>
      <c r="G26" s="13" t="n"/>
    </row>
    <row r="27">
      <c r="A27" s="31" t="n"/>
      <c r="B27" s="31" t="n"/>
      <c r="C27" s="31" t="n"/>
      <c r="D27" s="32" t="inlineStr">
        <is>
          <t>Total</t>
        </is>
      </c>
      <c r="E27" s="33">
        <f>SUM(E12:E26)</f>
        <v/>
      </c>
      <c r="F27" s="33">
        <f>SUM(F12:F26)</f>
        <v/>
      </c>
      <c r="G27" s="33">
        <f>SUM(G12:G26)</f>
        <v/>
      </c>
    </row>
    <row r="29">
      <c r="A29" s="60" t="inlineStr">
        <is>
          <t>Closing Balance:</t>
        </is>
      </c>
      <c r="B29" s="5" t="n"/>
      <c r="C29" s="5" t="n"/>
      <c r="D29" s="5" t="n"/>
      <c r="E29" s="5" t="n"/>
      <c r="F29" s="5" t="n"/>
      <c r="G29" s="49">
        <f>C9+E27-F27</f>
        <v/>
      </c>
    </row>
    <row r="32">
      <c r="F32" s="43" t="inlineStr">
        <is>
          <t>Prepared By:</t>
        </is>
      </c>
    </row>
  </sheetData>
  <mergeCells count="5">
    <mergeCell ref="A4:H4"/>
    <mergeCell ref="A2:H2"/>
    <mergeCell ref="F32:H32"/>
    <mergeCell ref="A1:H1"/>
    <mergeCell ref="A9:B9"/>
  </mergeCells>
  <pageMargins left="0.5" right="0.5" top="0.5" bottom="0.5" header="0.5" footer="0.5"/>
  <pageSetup orientation="portrait" paperSize="9" fitToHeight="0" fitToWidth="1"/>
</worksheet>
</file>

<file path=xl/worksheets/sheet15.xml><?xml version="1.0" encoding="utf-8"?>
<worksheet xmlns="http://schemas.openxmlformats.org/spreadsheetml/2006/main">
  <sheetPr>
    <tabColor rgb="007F8C8D"/>
    <outlinePr summaryBelow="1" summaryRight="1"/>
    <pageSetUpPr/>
  </sheetPr>
  <dimension ref="A1:L90"/>
  <sheetViews>
    <sheetView workbookViewId="0">
      <pane ySplit="59" topLeftCell="A60" activePane="bottomLeft" state="frozen"/>
      <selection pane="bottomLeft" activeCell="A1" sqref="A1"/>
    </sheetView>
  </sheetViews>
  <sheetFormatPr baseColWidth="8" defaultRowHeight="15" outlineLevelCol="0"/>
  <cols>
    <col width="28" customWidth="1" min="1" max="1"/>
    <col width="30" customWidth="1" min="2" max="2"/>
    <col width="18" customWidth="1" min="3" max="3"/>
    <col width="18" customWidth="1" min="4" max="4"/>
    <col width="18" customWidth="1" min="5" max="5"/>
    <col width="18" customWidth="1" min="6" max="6"/>
    <col width="18" customWidth="1" min="7" max="7"/>
    <col width="18" customWidth="1" min="8" max="8"/>
  </cols>
  <sheetData>
    <row r="1">
      <c r="A1" s="1" t="inlineStr">
        <is>
          <t>🐄 [Your Dairy Plant Name]</t>
        </is>
      </c>
    </row>
    <row r="2">
      <c r="A2" s="2" t="inlineStr">
        <is>
          <t>⚙️ Settings &amp; Master Data Configuration</t>
        </is>
      </c>
    </row>
    <row r="4">
      <c r="A4" s="23" t="inlineStr">
        <is>
          <t>🏢 BUSINESS INFORMATION</t>
        </is>
      </c>
    </row>
    <row r="5">
      <c r="A5" s="11" t="inlineStr">
        <is>
          <t>Business Name:</t>
        </is>
      </c>
      <c r="B5" s="20" t="inlineStr">
        <is>
          <t>[Your Dairy Plant Name]</t>
        </is>
      </c>
      <c r="C5" s="61" t="n"/>
      <c r="D5" s="62" t="n"/>
    </row>
    <row r="6">
      <c r="A6" s="11" t="inlineStr">
        <is>
          <t>Address Line 1:</t>
        </is>
      </c>
      <c r="B6" s="20" t="inlineStr">
        <is>
          <t>[Address]</t>
        </is>
      </c>
      <c r="C6" s="61" t="n"/>
      <c r="D6" s="62" t="n"/>
    </row>
    <row r="7">
      <c r="A7" s="11" t="inlineStr">
        <is>
          <t>Address Line 2:</t>
        </is>
      </c>
      <c r="B7" s="20" t="inlineStr">
        <is>
          <t>[City, District]</t>
        </is>
      </c>
      <c r="C7" s="61" t="n"/>
      <c r="D7" s="62" t="n"/>
    </row>
    <row r="8">
      <c r="A8" s="11" t="inlineStr">
        <is>
          <t>Phone:</t>
        </is>
      </c>
      <c r="B8" s="20" t="inlineStr">
        <is>
          <t>[Phone Number]</t>
        </is>
      </c>
      <c r="C8" s="61" t="n"/>
      <c r="D8" s="62" t="n"/>
    </row>
    <row r="9">
      <c r="A9" s="11" t="inlineStr">
        <is>
          <t>Email:</t>
        </is>
      </c>
      <c r="B9" s="20" t="inlineStr">
        <is>
          <t>[Email Address]</t>
        </is>
      </c>
      <c r="C9" s="61" t="n"/>
      <c r="D9" s="62" t="n"/>
    </row>
    <row r="10">
      <c r="A10" s="11" t="inlineStr">
        <is>
          <t>PAN / VAT No:</t>
        </is>
      </c>
      <c r="B10" s="20" t="inlineStr">
        <is>
          <t>[PAN Number]</t>
        </is>
      </c>
      <c r="C10" s="61" t="n"/>
      <c r="D10" s="62" t="n"/>
    </row>
    <row r="11">
      <c r="A11" s="11" t="inlineStr">
        <is>
          <t>Registration No:</t>
        </is>
      </c>
      <c r="B11" s="20" t="inlineStr">
        <is>
          <t>[Registration No]</t>
        </is>
      </c>
      <c r="C11" s="61" t="n"/>
      <c r="D11" s="62" t="n"/>
    </row>
    <row r="12">
      <c r="A12" s="11" t="inlineStr">
        <is>
          <t>Currency:</t>
        </is>
      </c>
      <c r="B12" s="20" t="inlineStr">
        <is>
          <t>NPR (Rs.)</t>
        </is>
      </c>
      <c r="C12" s="61" t="n"/>
      <c r="D12" s="62" t="n"/>
    </row>
    <row r="15">
      <c r="A15" s="23" t="inlineStr">
        <is>
          <t>📏 UNITS OF MEASUREMENT</t>
        </is>
      </c>
    </row>
    <row r="16">
      <c r="A16" s="10" t="inlineStr">
        <is>
          <t>#</t>
        </is>
      </c>
      <c r="B16" s="10" t="inlineStr">
        <is>
          <t>Unit Name</t>
        </is>
      </c>
    </row>
    <row r="17">
      <c r="A17" s="5" t="n">
        <v>1</v>
      </c>
      <c r="B17" s="20" t="inlineStr">
        <is>
          <t>Liter</t>
        </is>
      </c>
    </row>
    <row r="18">
      <c r="A18" s="5" t="n">
        <v>2</v>
      </c>
      <c r="B18" s="20" t="inlineStr">
        <is>
          <t>Kg</t>
        </is>
      </c>
    </row>
    <row r="19">
      <c r="A19" s="5" t="n">
        <v>3</v>
      </c>
      <c r="B19" s="20" t="inlineStr">
        <is>
          <t>Gram</t>
        </is>
      </c>
    </row>
    <row r="20">
      <c r="A20" s="5" t="n">
        <v>4</v>
      </c>
      <c r="B20" s="20" t="inlineStr">
        <is>
          <t>Piece</t>
        </is>
      </c>
    </row>
    <row r="21">
      <c r="A21" s="5" t="n">
        <v>5</v>
      </c>
      <c r="B21" s="20" t="inlineStr">
        <is>
          <t>Packet</t>
        </is>
      </c>
    </row>
    <row r="22">
      <c r="A22" s="5" t="n">
        <v>6</v>
      </c>
      <c r="B22" s="20" t="inlineStr">
        <is>
          <t>Box</t>
        </is>
      </c>
    </row>
    <row r="23">
      <c r="A23" s="5" t="n">
        <v>7</v>
      </c>
      <c r="B23" s="20" t="inlineStr">
        <is>
          <t>Carton</t>
        </is>
      </c>
    </row>
    <row r="24">
      <c r="A24" s="5" t="n">
        <v>8</v>
      </c>
      <c r="B24" s="20" t="inlineStr">
        <is>
          <t>Tin</t>
        </is>
      </c>
    </row>
    <row r="26">
      <c r="A26" s="23" t="inlineStr">
        <is>
          <t>💳 PAYMENT MODES</t>
        </is>
      </c>
    </row>
    <row r="27">
      <c r="A27" s="10" t="inlineStr">
        <is>
          <t>#</t>
        </is>
      </c>
      <c r="B27" s="10" t="inlineStr">
        <is>
          <t>Payment Mode</t>
        </is>
      </c>
    </row>
    <row r="28">
      <c r="A28" s="5" t="n">
        <v>1</v>
      </c>
      <c r="B28" s="20" t="inlineStr">
        <is>
          <t>Cash</t>
        </is>
      </c>
    </row>
    <row r="29">
      <c r="A29" s="5" t="n">
        <v>2</v>
      </c>
      <c r="B29" s="20" t="inlineStr">
        <is>
          <t>Credit</t>
        </is>
      </c>
    </row>
    <row r="30">
      <c r="A30" s="5" t="n">
        <v>3</v>
      </c>
      <c r="B30" s="20" t="inlineStr">
        <is>
          <t>Bank Transfer</t>
        </is>
      </c>
    </row>
    <row r="31">
      <c r="A31" s="5" t="n">
        <v>4</v>
      </c>
      <c r="B31" s="20" t="inlineStr">
        <is>
          <t>UPI</t>
        </is>
      </c>
    </row>
    <row r="32">
      <c r="A32" s="5" t="n">
        <v>5</v>
      </c>
      <c r="B32" s="20" t="inlineStr">
        <is>
          <t>Cheque</t>
        </is>
      </c>
    </row>
    <row r="33">
      <c r="A33" s="5" t="n">
        <v>6</v>
      </c>
      <c r="B33" s="20" t="inlineStr">
        <is>
          <t>Card</t>
        </is>
      </c>
    </row>
    <row r="34">
      <c r="A34" s="5" t="n">
        <v>7</v>
      </c>
      <c r="B34" s="20" t="inlineStr">
        <is>
          <t>Online</t>
        </is>
      </c>
    </row>
    <row r="36">
      <c r="A36" s="23" t="inlineStr">
        <is>
          <t>📋 TRANSACTION TYPES</t>
        </is>
      </c>
    </row>
    <row r="37">
      <c r="A37" s="10" t="inlineStr">
        <is>
          <t>#</t>
        </is>
      </c>
      <c r="B37" s="10" t="inlineStr">
        <is>
          <t>Transaction Type</t>
        </is>
      </c>
    </row>
    <row r="38">
      <c r="A38" s="5" t="n">
        <v>1</v>
      </c>
      <c r="B38" s="20" t="inlineStr">
        <is>
          <t>Sale</t>
        </is>
      </c>
    </row>
    <row r="39">
      <c r="A39" s="5" t="n">
        <v>2</v>
      </c>
      <c r="B39" s="20" t="inlineStr">
        <is>
          <t>Purchase</t>
        </is>
      </c>
    </row>
    <row r="40">
      <c r="A40" s="5" t="n">
        <v>3</v>
      </c>
      <c r="B40" s="20" t="inlineStr">
        <is>
          <t>Receipt</t>
        </is>
      </c>
    </row>
    <row r="41">
      <c r="A41" s="5" t="n">
        <v>4</v>
      </c>
      <c r="B41" s="20" t="inlineStr">
        <is>
          <t>Payment</t>
        </is>
      </c>
    </row>
    <row r="42">
      <c r="A42" s="5" t="n">
        <v>5</v>
      </c>
      <c r="B42" s="20" t="inlineStr">
        <is>
          <t>Opening</t>
        </is>
      </c>
    </row>
    <row r="43">
      <c r="A43" s="5" t="n">
        <v>6</v>
      </c>
      <c r="B43" s="20" t="inlineStr">
        <is>
          <t>Adjustment</t>
        </is>
      </c>
    </row>
    <row r="44">
      <c r="A44" s="5" t="n">
        <v>7</v>
      </c>
      <c r="B44" s="20" t="inlineStr">
        <is>
          <t>Credit Note</t>
        </is>
      </c>
    </row>
    <row r="45">
      <c r="A45" s="5" t="n">
        <v>8</v>
      </c>
      <c r="B45" s="20" t="inlineStr">
        <is>
          <t>Debit Note</t>
        </is>
      </c>
    </row>
    <row r="47">
      <c r="A47" s="23" t="inlineStr">
        <is>
          <t>📦 PRODUCT CATEGORIES</t>
        </is>
      </c>
    </row>
    <row r="48">
      <c r="A48" s="10" t="inlineStr">
        <is>
          <t>#</t>
        </is>
      </c>
      <c r="B48" s="10" t="inlineStr">
        <is>
          <t>Category</t>
        </is>
      </c>
    </row>
    <row r="49">
      <c r="A49" s="5" t="n">
        <v>1</v>
      </c>
      <c r="B49" s="20" t="inlineStr">
        <is>
          <t>Milk</t>
        </is>
      </c>
    </row>
    <row r="50">
      <c r="A50" s="5" t="n">
        <v>2</v>
      </c>
      <c r="B50" s="20" t="inlineStr">
        <is>
          <t>Curd</t>
        </is>
      </c>
    </row>
    <row r="51">
      <c r="A51" s="5" t="n">
        <v>3</v>
      </c>
      <c r="B51" s="20" t="inlineStr">
        <is>
          <t>Ghee</t>
        </is>
      </c>
    </row>
    <row r="52">
      <c r="A52" s="5" t="n">
        <v>4</v>
      </c>
      <c r="B52" s="20" t="inlineStr">
        <is>
          <t>Paneer</t>
        </is>
      </c>
    </row>
    <row r="53">
      <c r="A53" s="5" t="n">
        <v>5</v>
      </c>
      <c r="B53" s="20" t="inlineStr">
        <is>
          <t>Butter</t>
        </is>
      </c>
    </row>
    <row r="54">
      <c r="A54" s="5" t="n">
        <v>6</v>
      </c>
      <c r="B54" s="20" t="inlineStr">
        <is>
          <t>Buttermilk</t>
        </is>
      </c>
    </row>
    <row r="55">
      <c r="A55" s="5" t="n">
        <v>7</v>
      </c>
      <c r="B55" s="20" t="inlineStr">
        <is>
          <t>Khoya</t>
        </is>
      </c>
    </row>
    <row r="56">
      <c r="A56" s="5" t="n">
        <v>8</v>
      </c>
      <c r="B56" s="20" t="inlineStr">
        <is>
          <t>Other</t>
        </is>
      </c>
    </row>
    <row r="58">
      <c r="A58" s="23" t="inlineStr">
        <is>
          <t>✅ STATUS OPTIONS</t>
        </is>
      </c>
    </row>
    <row r="59">
      <c r="A59" s="10" t="inlineStr">
        <is>
          <t>#</t>
        </is>
      </c>
      <c r="B59" s="10" t="inlineStr">
        <is>
          <t>Status</t>
        </is>
      </c>
    </row>
    <row r="60">
      <c r="A60" s="5" t="n">
        <v>1</v>
      </c>
      <c r="B60" s="20" t="inlineStr">
        <is>
          <t>Paid</t>
        </is>
      </c>
    </row>
    <row r="61">
      <c r="A61" s="5" t="n">
        <v>2</v>
      </c>
      <c r="B61" s="20" t="inlineStr">
        <is>
          <t>Unpaid</t>
        </is>
      </c>
    </row>
    <row r="62">
      <c r="A62" s="5" t="n">
        <v>3</v>
      </c>
      <c r="B62" s="20" t="inlineStr">
        <is>
          <t>Partial</t>
        </is>
      </c>
    </row>
    <row r="63">
      <c r="A63" s="5" t="n">
        <v>4</v>
      </c>
      <c r="B63" s="20" t="inlineStr">
        <is>
          <t>Pending</t>
        </is>
      </c>
    </row>
    <row r="64">
      <c r="A64" s="5" t="n">
        <v>5</v>
      </c>
      <c r="B64" s="20" t="inlineStr">
        <is>
          <t>Processed</t>
        </is>
      </c>
    </row>
    <row r="65">
      <c r="A65" s="5" t="n">
        <v>6</v>
      </c>
      <c r="B65" s="20" t="inlineStr">
        <is>
          <t>Cancelled</t>
        </is>
      </c>
    </row>
    <row r="68">
      <c r="A68" s="23" t="inlineStr">
        <is>
          <t>🧮 MILK PRICING CONSTANTS</t>
        </is>
      </c>
    </row>
    <row r="69">
      <c r="A69" s="11" t="inlineStr">
        <is>
          <t>FAT Rate Multiplier:</t>
        </is>
      </c>
      <c r="B69" s="20" t="inlineStr">
        <is>
          <t>7.15</t>
        </is>
      </c>
      <c r="C69" s="61" t="n"/>
      <c r="D69" s="61" t="n"/>
      <c r="E69" s="61" t="n"/>
      <c r="F69" s="61" t="n"/>
      <c r="G69" s="61" t="n"/>
      <c r="H69" s="62" t="n"/>
    </row>
    <row r="70">
      <c r="A70" s="11" t="inlineStr">
        <is>
          <t>SNF Rate Multiplier:</t>
        </is>
      </c>
      <c r="B70" s="20" t="inlineStr">
        <is>
          <t>4.55</t>
        </is>
      </c>
      <c r="C70" s="61" t="n"/>
      <c r="D70" s="61" t="n"/>
      <c r="E70" s="61" t="n"/>
      <c r="F70" s="61" t="n"/>
      <c r="G70" s="61" t="n"/>
      <c r="H70" s="62" t="n"/>
    </row>
    <row r="71">
      <c r="A71" s="11" t="inlineStr">
        <is>
          <t>Rate Type Options:</t>
        </is>
      </c>
      <c r="B71" s="20" t="inlineStr">
        <is>
          <t>FORMULA, FIXED</t>
        </is>
      </c>
      <c r="C71" s="61" t="n"/>
      <c r="D71" s="61" t="n"/>
      <c r="E71" s="61" t="n"/>
      <c r="F71" s="61" t="n"/>
      <c r="G71" s="61" t="n"/>
      <c r="H71" s="62" t="n"/>
    </row>
    <row r="72">
      <c r="A72" s="11" t="inlineStr">
        <is>
          <t>Pricing Formula (FORMULA):</t>
        </is>
      </c>
      <c r="B72" s="20" t="inlineStr">
        <is>
          <t>Rate = (FAT% × 7.15) + (SNF% × 4.55) + Extra Per Unit</t>
        </is>
      </c>
      <c r="C72" s="61" t="n"/>
      <c r="D72" s="61" t="n"/>
      <c r="E72" s="61" t="n"/>
      <c r="F72" s="61" t="n"/>
      <c r="G72" s="61" t="n"/>
      <c r="H72" s="62" t="n"/>
    </row>
    <row r="73">
      <c r="A73" s="11" t="inlineStr">
        <is>
          <t>Pricing Formula (FIXED):</t>
        </is>
      </c>
      <c r="B73" s="20" t="inlineStr">
        <is>
          <t>Rate = Fixed Rate Per Unit</t>
        </is>
      </c>
      <c r="C73" s="61" t="n"/>
      <c r="D73" s="61" t="n"/>
      <c r="E73" s="61" t="n"/>
      <c r="F73" s="61" t="n"/>
      <c r="G73" s="61" t="n"/>
      <c r="H73" s="62" t="n"/>
    </row>
    <row r="74">
      <c r="A74" s="11" t="inlineStr">
        <is>
          <t>Amount Formula:</t>
        </is>
      </c>
      <c r="B74" s="20" t="inlineStr">
        <is>
          <t>Amount = Quantity × Rate Per Unit</t>
        </is>
      </c>
      <c r="C74" s="61" t="n"/>
      <c r="D74" s="61" t="n"/>
      <c r="E74" s="61" t="n"/>
      <c r="F74" s="61" t="n"/>
      <c r="G74" s="61" t="n"/>
      <c r="H74" s="62" t="n"/>
    </row>
    <row r="75">
      <c r="A75" s="11" t="inlineStr">
        <is>
          <t>Net Amount:</t>
        </is>
      </c>
      <c r="B75" s="20" t="inlineStr">
        <is>
          <t>Amount + Transport Charges</t>
        </is>
      </c>
      <c r="C75" s="61" t="n"/>
      <c r="D75" s="61" t="n"/>
      <c r="E75" s="61" t="n"/>
      <c r="F75" s="61" t="n"/>
      <c r="G75" s="61" t="n"/>
      <c r="H75" s="62" t="n"/>
    </row>
    <row r="78">
      <c r="A78" s="23" t="inlineStr">
        <is>
          <t>📖 QUICK REFERENCE</t>
        </is>
      </c>
    </row>
    <row r="79">
      <c r="A79" s="46" t="inlineStr">
        <is>
          <t>Sales Entry: Record all sales invoices in the Sales_Entry sheet.</t>
        </is>
      </c>
    </row>
    <row r="80">
      <c r="A80" s="46" t="inlineStr">
        <is>
          <t>Purchase Entry: Record all purchase bills in the Purchase_Entry sheet.</t>
        </is>
      </c>
    </row>
    <row r="81">
      <c r="A81" s="46" t="inlineStr">
        <is>
          <t>Stock Master: Products auto-update from sales and purchases.</t>
        </is>
      </c>
    </row>
    <row r="82">
      <c r="A82" s="46" t="inlineStr">
        <is>
          <t>Party Master: Customer/supplier balances auto-calculate.</t>
        </is>
      </c>
    </row>
    <row r="83">
      <c r="A83" s="46" t="inlineStr">
        <is>
          <t>Party Ledger: Running balance ledger for each party.</t>
        </is>
      </c>
    </row>
    <row r="84">
      <c r="A84" s="46" t="inlineStr">
        <is>
          <t>Dashboard: All KPIs and summaries auto-calculate.</t>
        </is>
      </c>
    </row>
    <row r="85">
      <c r="A85" s="46" t="inlineStr">
        <is>
          <t>Reports: Filterable sales/purchase/stock reports.</t>
        </is>
      </c>
    </row>
    <row r="86">
      <c r="A86" s="46" t="inlineStr">
        <is>
          <t>Printable Invoice: Professional invoice for printing.</t>
        </is>
      </c>
    </row>
    <row r="87">
      <c r="A87" s="46" t="inlineStr">
        <is>
          <t>Printable Ledger: Statement for party-wise balance.</t>
        </is>
      </c>
    </row>
    <row r="88">
      <c r="A88" s="46" t="inlineStr"/>
    </row>
    <row r="89">
      <c r="A89" s="46" t="inlineStr">
        <is>
          <t>💡 TIP: Change the business name in the Dashboard, Printable_Invoice, and Printable_Ledger sheets.</t>
        </is>
      </c>
    </row>
    <row r="90">
      <c r="A90" s="46" t="inlineStr">
        <is>
          <t>💡 TIP: Add new items to the lists above to expand dropdown options in data sheets.</t>
        </is>
      </c>
    </row>
  </sheetData>
  <mergeCells count="30">
    <mergeCell ref="B11:D11"/>
    <mergeCell ref="A83:H83"/>
    <mergeCell ref="B74:H74"/>
    <mergeCell ref="B8:D8"/>
    <mergeCell ref="A82:H82"/>
    <mergeCell ref="A79:H79"/>
    <mergeCell ref="A88:H88"/>
    <mergeCell ref="B10:D10"/>
    <mergeCell ref="A2:L2"/>
    <mergeCell ref="A87:H87"/>
    <mergeCell ref="B75:H75"/>
    <mergeCell ref="B9:D9"/>
    <mergeCell ref="A90:H90"/>
    <mergeCell ref="B72:H72"/>
    <mergeCell ref="A80:H80"/>
    <mergeCell ref="A84:H84"/>
    <mergeCell ref="B6:D6"/>
    <mergeCell ref="A89:H89"/>
    <mergeCell ref="B5:D5"/>
    <mergeCell ref="A86:H86"/>
    <mergeCell ref="B71:H71"/>
    <mergeCell ref="A85:H85"/>
    <mergeCell ref="B70:H70"/>
    <mergeCell ref="B7:D7"/>
    <mergeCell ref="A81:H81"/>
    <mergeCell ref="A1:L1"/>
    <mergeCell ref="B73:H73"/>
    <mergeCell ref="B69:H69"/>
    <mergeCell ref="A68:H68"/>
    <mergeCell ref="B12:D12"/>
  </mergeCells>
  <pageMargins left="0.75" right="0.75" top="1" bottom="1" header="0.5" footer="0.5"/>
  <pageSetup orientation="portrait"/>
</worksheet>
</file>

<file path=xl/worksheets/sheet16.xml><?xml version="1.0" encoding="utf-8"?>
<worksheet xmlns="http://schemas.openxmlformats.org/spreadsheetml/2006/main">
  <sheetPr>
    <tabColor rgb="0095A5A6"/>
    <outlinePr summaryBelow="1" summaryRight="1"/>
    <pageSetUpPr/>
  </sheetPr>
  <dimension ref="A1:H52"/>
  <sheetViews>
    <sheetView workbookViewId="0">
      <selection activeCell="A1" sqref="A1"/>
    </sheetView>
  </sheetViews>
  <sheetFormatPr baseColWidth="8" defaultRowHeight="15" outlineLevelCol="0"/>
  <cols>
    <col width="24" customWidth="1" min="1" max="1"/>
    <col width="18" customWidth="1" min="2" max="2"/>
    <col width="18" customWidth="1" min="3" max="3"/>
    <col width="18" customWidth="1" min="4" max="4"/>
    <col width="18" customWidth="1" min="5" max="5"/>
    <col width="18" customWidth="1" min="6" max="6"/>
    <col width="18" customWidth="1" min="7" max="7"/>
    <col width="18" customWidth="1" min="8" max="8"/>
  </cols>
  <sheetData>
    <row r="1">
      <c r="A1" s="42" t="inlineStr">
        <is>
          <t>🐄 [Your Dairy Plant Name] — User Guide &amp; Reference</t>
        </is>
      </c>
    </row>
    <row r="2">
      <c r="A2" s="2" t="inlineStr">
        <is>
          <t>Generated on 14-Jul-2026 | Version 1.0 | Merged Workbook (Dairy Plant + Daybook)</t>
        </is>
      </c>
    </row>
    <row r="4" ht="28" customHeight="1">
      <c r="A4" s="23" t="inlineStr">
        <is>
          <t>📋 SHEET PURPOSES</t>
        </is>
      </c>
    </row>
    <row r="5" ht="22" customHeight="1">
      <c r="A5" s="43" t="inlineStr">
        <is>
          <t>Dashboard</t>
        </is>
      </c>
      <c r="B5" s="63" t="inlineStr">
        <is>
          <t>Main overview: KPIs, monthly trends, party balances, low stock alerts, recent transactions. Navigation links to all sheets.</t>
        </is>
      </c>
    </row>
    <row r="6" ht="22" customHeight="1">
      <c r="A6" s="43" t="inlineStr">
        <is>
          <t>Daybook</t>
        </is>
      </c>
      <c r="B6" s="63" t="inlineStr">
        <is>
          <t>Daily debit/credit register. Record all transactions here. Debit = outflow (expenses), Credit = inflow (income). Running balance auto-calculates.</t>
        </is>
      </c>
    </row>
    <row r="7" ht="22" customHeight="1">
      <c r="A7" s="43" t="inlineStr">
        <is>
          <t>Sales_Entry</t>
        </is>
      </c>
      <c r="B7" s="63" t="inlineStr">
        <is>
          <t>Record all sales invoices. Products, quantities, rates, discounts, and payment status. Auto-updates stock via SUMIF formulas.</t>
        </is>
      </c>
    </row>
    <row r="8" ht="22" customHeight="1">
      <c r="A8" s="43" t="inlineStr">
        <is>
          <t>Purchase_Entry</t>
        </is>
      </c>
      <c r="B8" s="63" t="inlineStr">
        <is>
          <t>Record milk/raw material purchases. Uses component-based pricing: (FAT% × 7.15) + (SNF% × 4.55) + Extra. Or use fixed rate per liter.</t>
        </is>
      </c>
    </row>
    <row r="9" ht="22" customHeight="1">
      <c r="A9" s="43" t="inlineStr">
        <is>
          <t>Cash_Collection</t>
        </is>
      </c>
      <c r="B9" s="63" t="inlineStr">
        <is>
          <t>Track customer payments against invoices. Shows opening due, collected amount, and closing balance.</t>
        </is>
      </c>
    </row>
    <row r="10" ht="22" customHeight="1">
      <c r="A10" s="43" t="inlineStr">
        <is>
          <t>Stock_Master</t>
        </is>
      </c>
      <c r="B10" s="63" t="inlineStr">
        <is>
          <t>Product inventory management. Opening stock + Purchases - Sales = Current stock. Auto-calculates stock value and reorder status.</t>
        </is>
      </c>
    </row>
    <row r="11" ht="22" customHeight="1">
      <c r="A11" s="43" t="inlineStr">
        <is>
          <t>Party_Master</t>
        </is>
      </c>
      <c r="B11" s="63" t="inlineStr">
        <is>
          <t>Customer/supplier directory with contact info, opening balances, and auto-calculated running balances.</t>
        </is>
      </c>
    </row>
    <row r="12" ht="22" customHeight="1">
      <c r="A12" s="43" t="inlineStr">
        <is>
          <t>Party_Ledger</t>
        </is>
      </c>
      <c r="B12" s="63" t="inlineStr">
        <is>
          <t>Party-wise transaction ledger: all sales, purchases, receipts, and payments for each party with running balance.</t>
        </is>
      </c>
    </row>
    <row r="13" ht="22" customHeight="1">
      <c r="A13" s="43" t="inlineStr">
        <is>
          <t>Denomination_Count</t>
        </is>
      </c>
      <c r="B13" s="63" t="inlineStr">
        <is>
          <t>Daily cash counting by denomination (₹5 to ₹1000). Use for end-of-day cash reconciliation.</t>
        </is>
      </c>
    </row>
    <row r="14" ht="22" customHeight="1">
      <c r="A14" s="43" t="inlineStr">
        <is>
          <t>Sales_Report</t>
        </is>
      </c>
      <c r="B14" s="63" t="inlineStr">
        <is>
          <t>Filterable sales report. Set date range and party for summary.</t>
        </is>
      </c>
    </row>
    <row r="15" ht="22" customHeight="1">
      <c r="A15" s="43" t="inlineStr">
        <is>
          <t>Purchase_Report</t>
        </is>
      </c>
      <c r="B15" s="63" t="inlineStr">
        <is>
          <t>Filterable purchase report with same controls.</t>
        </is>
      </c>
    </row>
    <row r="16" ht="22" customHeight="1">
      <c r="A16" s="43" t="inlineStr">
        <is>
          <t>Stock_Report</t>
        </is>
      </c>
      <c r="B16" s="63" t="inlineStr">
        <is>
          <t>Stock summary with valuation and reorder alerts.</t>
        </is>
      </c>
    </row>
    <row r="17" ht="22" customHeight="1">
      <c r="A17" s="43" t="inlineStr">
        <is>
          <t>Printable_Invoice</t>
        </is>
      </c>
      <c r="B17" s="63" t="inlineStr">
        <is>
          <t>Professional tax invoice for printing/saving as PDF.</t>
        </is>
      </c>
    </row>
    <row r="18" ht="22" customHeight="1">
      <c r="A18" s="43" t="inlineStr">
        <is>
          <t>Printable_Ledger</t>
        </is>
      </c>
      <c r="B18" s="63" t="inlineStr">
        <is>
          <t>Party ledger statement for printing/saving as PDF.</t>
        </is>
      </c>
    </row>
    <row r="19" ht="22" customHeight="1">
      <c r="A19" s="43" t="inlineStr">
        <is>
          <t>Settings</t>
        </is>
      </c>
      <c r="B19" s="63" t="inlineStr">
        <is>
          <t>Business info, master data lists, and configuration constants.</t>
        </is>
      </c>
    </row>
    <row r="20" ht="22" customHeight="1">
      <c r="A20" s="43" t="inlineStr">
        <is>
          <t>README</t>
        </is>
      </c>
      <c r="B20" s="63" t="inlineStr">
        <is>
          <t>This guide.</t>
        </is>
      </c>
    </row>
    <row r="22" ht="28" customHeight="1">
      <c r="A22" s="23" t="inlineStr">
        <is>
          <t>🧮 MILK PURCHASE PRICING</t>
        </is>
      </c>
    </row>
    <row r="23" ht="22" customHeight="1">
      <c r="A23" s="43" t="inlineStr">
        <is>
          <t>Formula Rate:</t>
        </is>
      </c>
      <c r="B23" s="63" t="inlineStr">
        <is>
          <t>Rate = (FAT% × 7.15) + (SNF% × 4.55) + Extra Per Unit</t>
        </is>
      </c>
    </row>
    <row r="24" ht="22" customHeight="1">
      <c r="A24" s="43" t="inlineStr">
        <is>
          <t>Fixed Rate:</t>
        </is>
      </c>
      <c r="B24" s="63" t="inlineStr">
        <is>
          <t>Rate = Fixed Rate Per Unit (simple per-liter price)</t>
        </is>
      </c>
    </row>
    <row r="25" ht="22" customHeight="1">
      <c r="A25" s="43" t="inlineStr">
        <is>
          <t>Switching:</t>
        </is>
      </c>
      <c r="B25" s="63" t="inlineStr">
        <is>
          <t>Change Rate Type dropdown to FORMULA or FIXED in Purchase_Entry</t>
        </is>
      </c>
    </row>
    <row r="26" ht="22" customHeight="1">
      <c r="A26" s="43" t="inlineStr">
        <is>
          <t>Extra Per Unit:</t>
        </is>
      </c>
      <c r="B26" s="63" t="inlineStr">
        <is>
          <t>Contract-based addition per liter (e.g., +2 for quality premium)</t>
        </is>
      </c>
    </row>
    <row r="27" ht="22" customHeight="1">
      <c r="A27" s="43" t="inlineStr">
        <is>
          <t>Example:</t>
        </is>
      </c>
      <c r="B27" s="63" t="inlineStr">
        <is>
          <t>FAT=3.5, SNF=8.5, Extra=2 → Rate = (3.5×7.15)+(8.5×4.55)+2 = 25.03+38.68+2 = 65.70</t>
        </is>
      </c>
    </row>
    <row r="29" ht="28" customHeight="1">
      <c r="A29" s="23" t="inlineStr">
        <is>
          <t>📒 HOW TO USE THE DAYBOOK</t>
        </is>
      </c>
    </row>
    <row r="30" ht="22" customHeight="1">
      <c r="A30" s="43" t="inlineStr">
        <is>
          <t>Step 1:</t>
        </is>
      </c>
      <c r="B30" s="63" t="inlineStr">
        <is>
          <t>Enter Date and Particulars (account/party name)</t>
        </is>
      </c>
    </row>
    <row r="31" ht="22" customHeight="1">
      <c r="A31" s="43" t="inlineStr">
        <is>
          <t>Step 2:</t>
        </is>
      </c>
      <c r="B31" s="63" t="inlineStr">
        <is>
          <t>Select Voucher Type from dropdown (Sale, Purchase, Receipt, Payment, etc.)</t>
        </is>
      </c>
    </row>
    <row r="32" ht="22" customHeight="1">
      <c r="A32" s="43" t="inlineStr">
        <is>
          <t>Step 3:</t>
        </is>
      </c>
      <c r="B32" s="63" t="inlineStr">
        <is>
          <t>Enter Reference No (invoice/bill/payment number)</t>
        </is>
      </c>
    </row>
    <row r="33" ht="22" customHeight="1">
      <c r="A33" s="43" t="inlineStr">
        <is>
          <t>Step 4:</t>
        </is>
      </c>
      <c r="B33" s="63" t="inlineStr">
        <is>
          <t>Enter amount in Debit (expense) or Credit (income) column</t>
        </is>
      </c>
    </row>
    <row r="34" ht="22" customHeight="1">
      <c r="A34" s="43" t="inlineStr">
        <is>
          <t>Step 5:</t>
        </is>
      </c>
      <c r="B34" s="63" t="inlineStr">
        <is>
          <t>Add a Narration/description</t>
        </is>
      </c>
    </row>
    <row r="35" ht="22" customHeight="1">
      <c r="A35" s="43" t="inlineStr">
        <is>
          <t>Balance:</t>
        </is>
      </c>
      <c r="B35" s="63" t="inlineStr">
        <is>
          <t>Auto-calculates as: Previous Balance + Credit - Debit</t>
        </is>
      </c>
    </row>
    <row r="37" ht="28" customHeight="1">
      <c r="A37" s="23" t="inlineStr">
        <is>
          <t>🔄 HOW SHEETS INTERACT</t>
        </is>
      </c>
    </row>
    <row r="38" ht="22" customHeight="1">
      <c r="A38" s="43" t="inlineStr">
        <is>
          <t>Sales → Stock:</t>
        </is>
      </c>
      <c r="B38" s="63" t="inlineStr">
        <is>
          <t>Sales_Entry quantities auto-subtract from Stock_Master via SUMIF</t>
        </is>
      </c>
    </row>
    <row r="39" ht="22" customHeight="1">
      <c r="A39" s="43" t="inlineStr">
        <is>
          <t>Purchases → Stock:</t>
        </is>
      </c>
      <c r="B39" s="63" t="inlineStr">
        <is>
          <t>Purchase_Entry quantities auto-add to Stock_Master via SUMIF</t>
        </is>
      </c>
    </row>
    <row r="40" ht="22" customHeight="1">
      <c r="A40" s="43" t="inlineStr">
        <is>
          <t>Sales → Daybook:</t>
        </is>
      </c>
      <c r="B40" s="63" t="inlineStr">
        <is>
          <t>Optionally post sales as Credit entries in Daybook</t>
        </is>
      </c>
    </row>
    <row r="41" ht="22" customHeight="1">
      <c r="A41" s="43" t="inlineStr">
        <is>
          <t>Purchases → Daybook:</t>
        </is>
      </c>
      <c r="B41" s="63" t="inlineStr">
        <is>
          <t>Optionally post purchases as Debit entries in Daybook</t>
        </is>
      </c>
    </row>
    <row r="42" ht="22" customHeight="1">
      <c r="A42" s="43" t="inlineStr">
        <is>
          <t>Cash Collection:</t>
        </is>
      </c>
      <c r="B42" s="63" t="inlineStr">
        <is>
          <t>Receipts reduce outstanding dues from customers</t>
        </is>
      </c>
    </row>
    <row r="43" ht="22" customHeight="1">
      <c r="A43" s="43" t="inlineStr">
        <is>
          <t>Party Ledger:</t>
        </is>
      </c>
      <c r="B43" s="63" t="inlineStr">
        <is>
          <t>Auto-aggregates party balances from transactions</t>
        </is>
      </c>
    </row>
    <row r="44" ht="22" customHeight="1">
      <c r="A44" s="43" t="inlineStr">
        <is>
          <t>Dashboard:</t>
        </is>
      </c>
      <c r="B44" s="63" t="inlineStr">
        <is>
          <t>All KPIs pull from data sheets automatically</t>
        </is>
      </c>
    </row>
    <row r="46" ht="28" customHeight="1">
      <c r="A46" s="23" t="inlineStr">
        <is>
          <t>📊 CHECKING TOTALS &amp; BALANCES</t>
        </is>
      </c>
    </row>
    <row r="47" ht="22" customHeight="1">
      <c r="A47" s="43" t="inlineStr">
        <is>
          <t>Monthly Sales:</t>
        </is>
      </c>
      <c r="B47" s="63" t="inlineStr">
        <is>
          <t>Dashboard KPI card shows current month's total sales</t>
        </is>
      </c>
    </row>
    <row r="48" ht="22" customHeight="1">
      <c r="A48" s="43" t="inlineStr">
        <is>
          <t>Monthly Purchases:</t>
        </is>
      </c>
      <c r="B48" s="63" t="inlineStr">
        <is>
          <t>Dashboard KPI card shows current month's total purchases</t>
        </is>
      </c>
    </row>
    <row r="49" ht="22" customHeight="1">
      <c r="A49" s="43" t="inlineStr">
        <is>
          <t>Stock Value:</t>
        </is>
      </c>
      <c r="B49" s="63" t="inlineStr">
        <is>
          <t>Dashboard KPI card shows total inventory value</t>
        </is>
      </c>
    </row>
    <row r="50" ht="22" customHeight="1">
      <c r="A50" s="43" t="inlineStr">
        <is>
          <t>Party Balances:</t>
        </is>
      </c>
      <c r="B50" s="63" t="inlineStr">
        <is>
          <t>Dashboard → Party Balance Summary section</t>
        </is>
      </c>
    </row>
    <row r="51" ht="22" customHeight="1">
      <c r="A51" s="43" t="inlineStr">
        <is>
          <t>Daybook Balance:</t>
        </is>
      </c>
      <c r="B51" s="63" t="inlineStr">
        <is>
          <t>Daybook last row shows running cash/bank balance</t>
        </is>
      </c>
    </row>
    <row r="52" ht="22" customHeight="1">
      <c r="A52" s="43" t="inlineStr">
        <is>
          <t>Low Stock:</t>
        </is>
      </c>
      <c r="B52" s="63" t="inlineStr">
        <is>
          <t>Dashboard → Low Stock Alerts section</t>
        </is>
      </c>
    </row>
  </sheetData>
  <mergeCells count="47">
    <mergeCell ref="B40:H40"/>
    <mergeCell ref="B9:H9"/>
    <mergeCell ref="B49:H49"/>
    <mergeCell ref="B6:H6"/>
    <mergeCell ref="B24:H24"/>
    <mergeCell ref="B30:H30"/>
    <mergeCell ref="B15:H15"/>
    <mergeCell ref="B33:H33"/>
    <mergeCell ref="A1:H1"/>
    <mergeCell ref="B5:H5"/>
    <mergeCell ref="B20:H20"/>
    <mergeCell ref="B51:H51"/>
    <mergeCell ref="B32:H32"/>
    <mergeCell ref="B50:H50"/>
    <mergeCell ref="B26:H26"/>
    <mergeCell ref="B41:H41"/>
    <mergeCell ref="B35:H35"/>
    <mergeCell ref="B47:H47"/>
    <mergeCell ref="B16:H16"/>
    <mergeCell ref="B7:H7"/>
    <mergeCell ref="B25:H25"/>
    <mergeCell ref="A37:H37"/>
    <mergeCell ref="A46:H46"/>
    <mergeCell ref="B31:H31"/>
    <mergeCell ref="B18:H18"/>
    <mergeCell ref="B27:H27"/>
    <mergeCell ref="B52:H52"/>
    <mergeCell ref="A2:H2"/>
    <mergeCell ref="B43:H43"/>
    <mergeCell ref="B12:H12"/>
    <mergeCell ref="B39:H39"/>
    <mergeCell ref="B48:H48"/>
    <mergeCell ref="B11:H11"/>
    <mergeCell ref="B42:H42"/>
    <mergeCell ref="A22:H22"/>
    <mergeCell ref="B23:H23"/>
    <mergeCell ref="A4:H4"/>
    <mergeCell ref="B8:H8"/>
    <mergeCell ref="B14:H14"/>
    <mergeCell ref="B17:H17"/>
    <mergeCell ref="A29:H29"/>
    <mergeCell ref="B13:H13"/>
    <mergeCell ref="B44:H44"/>
    <mergeCell ref="B38:H38"/>
    <mergeCell ref="B10:H10"/>
    <mergeCell ref="B19:H19"/>
    <mergeCell ref="B34:H34"/>
  </mergeCells>
  <pageMargins left="0.75" right="0.75" top="1" bottom="1" header="0.5" footer="0.5"/>
  <pageSetup orientation="portrait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2026-07-14T17:10:08Z</dcterms:created>
  <dcterms:modified xsi:type="dcterms:W3CDTF">2026-07-14T17:10:08Z</dcterms:modified>
</cp:coreProperties>
</file>
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shilgautam/Desktop/6+/dairy-plant-accounts/excelfiles /"/>
    </mc:Choice>
  </mc:AlternateContent>
  <xr:revisionPtr revIDLastSave="0" documentId="13_ncr:1_{8AEF3964-9767-3C42-9DF6-E4EF2B887650}" xr6:coauthVersionLast="47" xr6:coauthVersionMax="47" xr10:uidLastSave="{00000000-0000-0000-0000-000000000000}"/>
  <bookViews>
    <workbookView xWindow="0" yWindow="600" windowWidth="38400" windowHeight="19560" activeTab="11" xr2:uid="{00000000-000D-0000-FFFF-FFFF00000000}"/>
  </bookViews>
  <sheets>
    <sheet name="Dashboard" sheetId="1" r:id="rId1"/>
    <sheet name="Daybook" sheetId="2" r:id="rId2"/>
    <sheet name="Sales_Entry" sheetId="3" r:id="rId3"/>
    <sheet name="Purchase_Entry" sheetId="4" r:id="rId4"/>
    <sheet name="Cash_Collection" sheetId="5" r:id="rId5"/>
    <sheet name="Stock_Master" sheetId="6" r:id="rId6"/>
    <sheet name="Party_Master" sheetId="7" r:id="rId7"/>
    <sheet name="Party_Ledger" sheetId="8" r:id="rId8"/>
    <sheet name="Denomination_Count" sheetId="9" r:id="rId9"/>
    <sheet name="Sales_Report" sheetId="10" r:id="rId10"/>
    <sheet name="Purchase_Report" sheetId="11" r:id="rId11"/>
    <sheet name="Stock_Report" sheetId="12" r:id="rId12"/>
    <sheet name="Printable_Invoice" sheetId="13" r:id="rId13"/>
    <sheet name="Printable_Ledger" sheetId="14" r:id="rId14"/>
    <sheet name="Settings" sheetId="15" r:id="rId15"/>
    <sheet name="README" sheetId="16" r:id="rId16"/>
  </sheets>
  <definedNames>
    <definedName name="_xlnm._FilterDatabase" localSheetId="0" hidden="1">Dashboard!$A$21:$G$29</definedName>
    <definedName name="_xlnm._FilterDatabase" localSheetId="10" hidden="1">Purchase_Report!$A$8:$K$28</definedName>
    <definedName name="_xlnm._FilterDatabase" localSheetId="9" hidden="1">Sales_Report!$A$8:$K$28</definedName>
    <definedName name="_xlnm._FilterDatabase" localSheetId="11" hidden="1">Stock_Report!$A$8:$I$28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4" l="1"/>
  <c r="F27" i="14"/>
  <c r="E27" i="14"/>
  <c r="G29" i="14" s="1"/>
  <c r="B7" i="14"/>
  <c r="H21" i="13"/>
  <c r="H20" i="13"/>
  <c r="H19" i="13"/>
  <c r="B9" i="13"/>
  <c r="A28" i="12"/>
  <c r="I28" i="12" s="1"/>
  <c r="A27" i="12"/>
  <c r="I27" i="12" s="1"/>
  <c r="A26" i="12"/>
  <c r="H26" i="12" s="1"/>
  <c r="A25" i="12"/>
  <c r="G25" i="12" s="1"/>
  <c r="I24" i="12"/>
  <c r="H24" i="12"/>
  <c r="A24" i="12"/>
  <c r="F24" i="12" s="1"/>
  <c r="I23" i="12"/>
  <c r="H23" i="12"/>
  <c r="G23" i="12"/>
  <c r="F23" i="12"/>
  <c r="A23" i="12"/>
  <c r="E23" i="12" s="1"/>
  <c r="H22" i="12"/>
  <c r="G22" i="12"/>
  <c r="F22" i="12"/>
  <c r="A22" i="12"/>
  <c r="D22" i="12" s="1"/>
  <c r="I21" i="12"/>
  <c r="H21" i="12"/>
  <c r="G21" i="12"/>
  <c r="F21" i="12"/>
  <c r="E21" i="12"/>
  <c r="D21" i="12"/>
  <c r="A21" i="12"/>
  <c r="C21" i="12" s="1"/>
  <c r="I20" i="12"/>
  <c r="H20" i="12"/>
  <c r="G20" i="12"/>
  <c r="F20" i="12"/>
  <c r="E20" i="12"/>
  <c r="D20" i="12"/>
  <c r="C20" i="12"/>
  <c r="A20" i="12"/>
  <c r="B20" i="12" s="1"/>
  <c r="E19" i="12"/>
  <c r="D19" i="12"/>
  <c r="C19" i="12"/>
  <c r="A19" i="12"/>
  <c r="I19" i="12" s="1"/>
  <c r="I18" i="12"/>
  <c r="G18" i="12"/>
  <c r="E18" i="12"/>
  <c r="D18" i="12"/>
  <c r="C18" i="12"/>
  <c r="B18" i="12"/>
  <c r="A18" i="12"/>
  <c r="H18" i="12" s="1"/>
  <c r="B17" i="12"/>
  <c r="A17" i="12"/>
  <c r="I17" i="12" s="1"/>
  <c r="A16" i="12"/>
  <c r="H16" i="12" s="1"/>
  <c r="A15" i="12"/>
  <c r="G15" i="12" s="1"/>
  <c r="A14" i="12"/>
  <c r="F14" i="12" s="1"/>
  <c r="G13" i="12"/>
  <c r="B13" i="12"/>
  <c r="A13" i="12"/>
  <c r="C13" i="12" s="1"/>
  <c r="G12" i="12"/>
  <c r="A12" i="12"/>
  <c r="C12" i="12" s="1"/>
  <c r="G11" i="12"/>
  <c r="C11" i="12"/>
  <c r="B11" i="12"/>
  <c r="A11" i="12"/>
  <c r="G10" i="12"/>
  <c r="B10" i="12"/>
  <c r="A10" i="12"/>
  <c r="C9" i="12"/>
  <c r="A9" i="12"/>
  <c r="B4" i="12"/>
  <c r="F28" i="11"/>
  <c r="B28" i="11"/>
  <c r="A28" i="11"/>
  <c r="H28" i="11" s="1"/>
  <c r="G27" i="11"/>
  <c r="C27" i="11"/>
  <c r="B27" i="11"/>
  <c r="A27" i="11"/>
  <c r="I27" i="11" s="1"/>
  <c r="J26" i="11"/>
  <c r="I26" i="11"/>
  <c r="H26" i="11"/>
  <c r="G26" i="11"/>
  <c r="E26" i="11"/>
  <c r="D26" i="11"/>
  <c r="C26" i="11"/>
  <c r="B26" i="11"/>
  <c r="A26" i="11"/>
  <c r="F26" i="11" s="1"/>
  <c r="I25" i="11"/>
  <c r="F25" i="11"/>
  <c r="E25" i="11"/>
  <c r="D25" i="11"/>
  <c r="C25" i="11"/>
  <c r="A25" i="11"/>
  <c r="K25" i="11" s="1"/>
  <c r="J24" i="11"/>
  <c r="I24" i="11"/>
  <c r="G24" i="11"/>
  <c r="F24" i="11"/>
  <c r="E24" i="11"/>
  <c r="D24" i="11"/>
  <c r="B24" i="11"/>
  <c r="A24" i="11"/>
  <c r="K24" i="11" s="1"/>
  <c r="A23" i="11"/>
  <c r="C23" i="11" s="1"/>
  <c r="I22" i="11"/>
  <c r="H22" i="11"/>
  <c r="G22" i="11"/>
  <c r="F22" i="11"/>
  <c r="D22" i="11"/>
  <c r="B22" i="11"/>
  <c r="A22" i="11"/>
  <c r="C22" i="11" s="1"/>
  <c r="J21" i="11"/>
  <c r="I21" i="11"/>
  <c r="H21" i="11"/>
  <c r="G21" i="11"/>
  <c r="F21" i="11"/>
  <c r="E21" i="11"/>
  <c r="D21" i="11"/>
  <c r="C21" i="11"/>
  <c r="B21" i="11"/>
  <c r="A21" i="11"/>
  <c r="K21" i="11" s="1"/>
  <c r="J20" i="11"/>
  <c r="I20" i="11"/>
  <c r="H20" i="11"/>
  <c r="D20" i="11"/>
  <c r="A20" i="11"/>
  <c r="F20" i="11" s="1"/>
  <c r="E19" i="11"/>
  <c r="A19" i="11"/>
  <c r="G19" i="11" s="1"/>
  <c r="F18" i="11"/>
  <c r="B18" i="11"/>
  <c r="A18" i="11"/>
  <c r="H18" i="11" s="1"/>
  <c r="G17" i="11"/>
  <c r="C17" i="11"/>
  <c r="B17" i="11"/>
  <c r="A17" i="11"/>
  <c r="I17" i="11" s="1"/>
  <c r="J16" i="11"/>
  <c r="I16" i="11"/>
  <c r="H16" i="11"/>
  <c r="G16" i="11"/>
  <c r="E16" i="11"/>
  <c r="D16" i="11"/>
  <c r="C16" i="11"/>
  <c r="B16" i="11"/>
  <c r="A16" i="11"/>
  <c r="F16" i="11" s="1"/>
  <c r="E15" i="11"/>
  <c r="D15" i="11"/>
  <c r="C15" i="11"/>
  <c r="A15" i="11"/>
  <c r="K15" i="11" s="1"/>
  <c r="J14" i="11"/>
  <c r="E14" i="11"/>
  <c r="D14" i="11"/>
  <c r="B14" i="11"/>
  <c r="A14" i="11"/>
  <c r="K14" i="11" s="1"/>
  <c r="A13" i="11"/>
  <c r="C13" i="11" s="1"/>
  <c r="H12" i="11"/>
  <c r="D12" i="11"/>
  <c r="B12" i="11"/>
  <c r="A12" i="11"/>
  <c r="C12" i="11" s="1"/>
  <c r="J11" i="11"/>
  <c r="H11" i="11"/>
  <c r="E11" i="11"/>
  <c r="D11" i="11"/>
  <c r="C11" i="11"/>
  <c r="B11" i="11"/>
  <c r="A11" i="11"/>
  <c r="K11" i="11" s="1"/>
  <c r="J10" i="11"/>
  <c r="H10" i="11"/>
  <c r="D10" i="11"/>
  <c r="A10" i="11"/>
  <c r="F10" i="11" s="1"/>
  <c r="E9" i="11"/>
  <c r="A9" i="11"/>
  <c r="G9" i="11" s="1"/>
  <c r="F6" i="11"/>
  <c r="F5" i="11"/>
  <c r="B5" i="11"/>
  <c r="F4" i="11"/>
  <c r="B4" i="11"/>
  <c r="K28" i="10"/>
  <c r="J28" i="10"/>
  <c r="I28" i="10"/>
  <c r="H28" i="10"/>
  <c r="G28" i="10"/>
  <c r="F28" i="10"/>
  <c r="E28" i="10"/>
  <c r="D28" i="10"/>
  <c r="C28" i="10"/>
  <c r="B28" i="10"/>
  <c r="A28" i="10"/>
  <c r="K27" i="10"/>
  <c r="J27" i="10"/>
  <c r="I27" i="10"/>
  <c r="H27" i="10"/>
  <c r="G27" i="10"/>
  <c r="F27" i="10"/>
  <c r="E27" i="10"/>
  <c r="D27" i="10"/>
  <c r="C27" i="10"/>
  <c r="B27" i="10"/>
  <c r="A27" i="10"/>
  <c r="K26" i="10"/>
  <c r="J26" i="10"/>
  <c r="I26" i="10"/>
  <c r="H26" i="10"/>
  <c r="G26" i="10"/>
  <c r="F26" i="10"/>
  <c r="E26" i="10"/>
  <c r="D26" i="10"/>
  <c r="C26" i="10"/>
  <c r="B26" i="10"/>
  <c r="A26" i="10"/>
  <c r="K25" i="10"/>
  <c r="J25" i="10"/>
  <c r="I25" i="10"/>
  <c r="H25" i="10"/>
  <c r="G25" i="10"/>
  <c r="F25" i="10"/>
  <c r="E25" i="10"/>
  <c r="D25" i="10"/>
  <c r="C25" i="10"/>
  <c r="B25" i="10"/>
  <c r="A25" i="10"/>
  <c r="K24" i="10"/>
  <c r="J24" i="10"/>
  <c r="I24" i="10"/>
  <c r="H24" i="10"/>
  <c r="G24" i="10"/>
  <c r="F24" i="10"/>
  <c r="E24" i="10"/>
  <c r="D24" i="10"/>
  <c r="C24" i="10"/>
  <c r="B24" i="10"/>
  <c r="A24" i="10"/>
  <c r="K23" i="10"/>
  <c r="J23" i="10"/>
  <c r="I23" i="10"/>
  <c r="H23" i="10"/>
  <c r="G23" i="10"/>
  <c r="F23" i="10"/>
  <c r="E23" i="10"/>
  <c r="D23" i="10"/>
  <c r="C23" i="10"/>
  <c r="B23" i="10"/>
  <c r="A23" i="10"/>
  <c r="K22" i="10"/>
  <c r="J22" i="10"/>
  <c r="I22" i="10"/>
  <c r="H22" i="10"/>
  <c r="G22" i="10"/>
  <c r="F22" i="10"/>
  <c r="E22" i="10"/>
  <c r="D22" i="10"/>
  <c r="C22" i="10"/>
  <c r="B22" i="10"/>
  <c r="A22" i="10"/>
  <c r="K21" i="10"/>
  <c r="J21" i="10"/>
  <c r="I21" i="10"/>
  <c r="H21" i="10"/>
  <c r="G21" i="10"/>
  <c r="F21" i="10"/>
  <c r="E21" i="10"/>
  <c r="D21" i="10"/>
  <c r="C21" i="10"/>
  <c r="B21" i="10"/>
  <c r="A21" i="10"/>
  <c r="K20" i="10"/>
  <c r="J20" i="10"/>
  <c r="I20" i="10"/>
  <c r="H20" i="10"/>
  <c r="G20" i="10"/>
  <c r="F20" i="10"/>
  <c r="E20" i="10"/>
  <c r="D20" i="10"/>
  <c r="C20" i="10"/>
  <c r="B20" i="10"/>
  <c r="A20" i="10"/>
  <c r="K19" i="10"/>
  <c r="J19" i="10"/>
  <c r="I19" i="10"/>
  <c r="H19" i="10"/>
  <c r="G19" i="10"/>
  <c r="F19" i="10"/>
  <c r="E19" i="10"/>
  <c r="D19" i="10"/>
  <c r="C19" i="10"/>
  <c r="B19" i="10"/>
  <c r="A19" i="10"/>
  <c r="K18" i="10"/>
  <c r="J18" i="10"/>
  <c r="I18" i="10"/>
  <c r="H18" i="10"/>
  <c r="G18" i="10"/>
  <c r="F18" i="10"/>
  <c r="E18" i="10"/>
  <c r="D18" i="10"/>
  <c r="C18" i="10"/>
  <c r="B18" i="10"/>
  <c r="A18" i="10"/>
  <c r="K17" i="10"/>
  <c r="J17" i="10"/>
  <c r="H17" i="10"/>
  <c r="F17" i="10"/>
  <c r="E17" i="10"/>
  <c r="D17" i="10"/>
  <c r="C17" i="10"/>
  <c r="B17" i="10"/>
  <c r="A17" i="10"/>
  <c r="K16" i="10"/>
  <c r="J16" i="10"/>
  <c r="H16" i="10"/>
  <c r="F16" i="10"/>
  <c r="E16" i="10"/>
  <c r="D16" i="10"/>
  <c r="C16" i="10"/>
  <c r="B16" i="10"/>
  <c r="A16" i="10"/>
  <c r="K15" i="10"/>
  <c r="J15" i="10"/>
  <c r="H15" i="10"/>
  <c r="F15" i="10"/>
  <c r="E15" i="10"/>
  <c r="D15" i="10"/>
  <c r="C15" i="10"/>
  <c r="B15" i="10"/>
  <c r="A15" i="10"/>
  <c r="K14" i="10"/>
  <c r="J14" i="10"/>
  <c r="H14" i="10"/>
  <c r="G14" i="10"/>
  <c r="F14" i="10"/>
  <c r="E14" i="10"/>
  <c r="D14" i="10"/>
  <c r="C14" i="10"/>
  <c r="B14" i="10"/>
  <c r="A14" i="10"/>
  <c r="K13" i="10"/>
  <c r="J13" i="10"/>
  <c r="H13" i="10"/>
  <c r="F13" i="10"/>
  <c r="E13" i="10"/>
  <c r="D13" i="10"/>
  <c r="C13" i="10"/>
  <c r="B13" i="10"/>
  <c r="A13" i="10"/>
  <c r="K12" i="10"/>
  <c r="J12" i="10"/>
  <c r="H12" i="10"/>
  <c r="F12" i="10"/>
  <c r="E12" i="10"/>
  <c r="D12" i="10"/>
  <c r="C12" i="10"/>
  <c r="B12" i="10"/>
  <c r="A12" i="10"/>
  <c r="K11" i="10"/>
  <c r="J11" i="10"/>
  <c r="H11" i="10"/>
  <c r="F11" i="10"/>
  <c r="E11" i="10"/>
  <c r="D11" i="10"/>
  <c r="C11" i="10"/>
  <c r="B11" i="10"/>
  <c r="A11" i="10"/>
  <c r="K10" i="10"/>
  <c r="J10" i="10"/>
  <c r="H10" i="10"/>
  <c r="F10" i="10"/>
  <c r="E10" i="10"/>
  <c r="D10" i="10"/>
  <c r="C10" i="10"/>
  <c r="B10" i="10"/>
  <c r="A10" i="10"/>
  <c r="K9" i="10"/>
  <c r="J9" i="10"/>
  <c r="H9" i="10"/>
  <c r="F9" i="10"/>
  <c r="E9" i="10"/>
  <c r="D9" i="10"/>
  <c r="C9" i="10"/>
  <c r="B9" i="10"/>
  <c r="A9" i="10"/>
  <c r="B5" i="10"/>
  <c r="B4" i="10"/>
  <c r="F6" i="10" s="1"/>
  <c r="I14" i="9"/>
  <c r="H14" i="9"/>
  <c r="G14" i="9"/>
  <c r="F14" i="9"/>
  <c r="E14" i="9"/>
  <c r="D14" i="9"/>
  <c r="C14" i="9"/>
  <c r="B14" i="9"/>
  <c r="J13" i="9"/>
  <c r="J12" i="9"/>
  <c r="J11" i="9"/>
  <c r="J10" i="9"/>
  <c r="J9" i="9"/>
  <c r="J8" i="9"/>
  <c r="J7" i="9"/>
  <c r="J6" i="9"/>
  <c r="J5" i="9"/>
  <c r="J4" i="9"/>
  <c r="J14" i="9" s="1"/>
  <c r="H5" i="8"/>
  <c r="H6" i="8" s="1"/>
  <c r="H7" i="8" s="1"/>
  <c r="H8" i="8" s="1"/>
  <c r="H9" i="8" s="1"/>
  <c r="H4" i="8"/>
  <c r="H3" i="8"/>
  <c r="G10" i="7"/>
  <c r="F10" i="7"/>
  <c r="H10" i="7" s="1"/>
  <c r="I10" i="7" s="1"/>
  <c r="G9" i="7"/>
  <c r="F9" i="7"/>
  <c r="H9" i="7" s="1"/>
  <c r="I9" i="7" s="1"/>
  <c r="G8" i="7"/>
  <c r="F8" i="7"/>
  <c r="H8" i="7" s="1"/>
  <c r="I8" i="7" s="1"/>
  <c r="H7" i="7"/>
  <c r="I7" i="7" s="1"/>
  <c r="G7" i="7"/>
  <c r="F7" i="7"/>
  <c r="H6" i="7"/>
  <c r="I6" i="7" s="1"/>
  <c r="G6" i="7"/>
  <c r="F6" i="7"/>
  <c r="G5" i="7"/>
  <c r="F5" i="7"/>
  <c r="H5" i="7" s="1"/>
  <c r="I5" i="7" s="1"/>
  <c r="G4" i="7"/>
  <c r="F4" i="7"/>
  <c r="H4" i="7" s="1"/>
  <c r="I4" i="7" s="1"/>
  <c r="G3" i="7"/>
  <c r="F3" i="7"/>
  <c r="H3" i="7" s="1"/>
  <c r="I3" i="7" s="1"/>
  <c r="H2" i="7"/>
  <c r="I2" i="7" s="1"/>
  <c r="G2" i="7"/>
  <c r="F2" i="7"/>
  <c r="E9" i="6"/>
  <c r="D9" i="6"/>
  <c r="F9" i="6" s="1"/>
  <c r="F8" i="6"/>
  <c r="J8" i="6" s="1"/>
  <c r="E8" i="6"/>
  <c r="D8" i="6"/>
  <c r="E7" i="6"/>
  <c r="E13" i="12" s="1"/>
  <c r="D7" i="6"/>
  <c r="D13" i="12" s="1"/>
  <c r="F6" i="6"/>
  <c r="J6" i="6" s="1"/>
  <c r="I12" i="12" s="1"/>
  <c r="E6" i="6"/>
  <c r="D6" i="6"/>
  <c r="D12" i="12" s="1"/>
  <c r="E5" i="6"/>
  <c r="E11" i="12" s="1"/>
  <c r="D5" i="6"/>
  <c r="F5" i="6" s="1"/>
  <c r="F4" i="6"/>
  <c r="F10" i="12" s="1"/>
  <c r="E4" i="6"/>
  <c r="E10" i="12" s="1"/>
  <c r="D4" i="6"/>
  <c r="D10" i="12" s="1"/>
  <c r="E3" i="6"/>
  <c r="E9" i="12" s="1"/>
  <c r="D3" i="6"/>
  <c r="F3" i="6" s="1"/>
  <c r="F2" i="6"/>
  <c r="E2" i="6"/>
  <c r="D2" i="6"/>
  <c r="H7" i="5"/>
  <c r="H6" i="5"/>
  <c r="H5" i="5"/>
  <c r="H4" i="5"/>
  <c r="H3" i="5"/>
  <c r="H2" i="5"/>
  <c r="L9" i="4"/>
  <c r="N9" i="4" s="1"/>
  <c r="I15" i="11" s="1"/>
  <c r="J9" i="4"/>
  <c r="F15" i="11" s="1"/>
  <c r="J8" i="4"/>
  <c r="L8" i="4" s="1"/>
  <c r="J7" i="4"/>
  <c r="L7" i="4" s="1"/>
  <c r="N7" i="4" s="1"/>
  <c r="J6" i="4"/>
  <c r="L6" i="4" s="1"/>
  <c r="L5" i="4"/>
  <c r="G11" i="11" s="1"/>
  <c r="J5" i="4"/>
  <c r="F11" i="11" s="1"/>
  <c r="J4" i="4"/>
  <c r="L4" i="4" s="1"/>
  <c r="N4" i="4" s="1"/>
  <c r="I10" i="11" s="1"/>
  <c r="J3" i="4"/>
  <c r="L3" i="4" s="1"/>
  <c r="N3" i="4" s="1"/>
  <c r="J2" i="4"/>
  <c r="L2" i="4" s="1"/>
  <c r="N2" i="4" s="1"/>
  <c r="G11" i="3"/>
  <c r="I11" i="3" s="1"/>
  <c r="I17" i="10" s="1"/>
  <c r="G10" i="3"/>
  <c r="G16" i="10" s="1"/>
  <c r="I9" i="3"/>
  <c r="I15" i="10" s="1"/>
  <c r="G9" i="3"/>
  <c r="G15" i="10" s="1"/>
  <c r="G8" i="3"/>
  <c r="I8" i="3" s="1"/>
  <c r="I14" i="10" s="1"/>
  <c r="G7" i="3"/>
  <c r="G13" i="10" s="1"/>
  <c r="G6" i="3"/>
  <c r="I6" i="3" s="1"/>
  <c r="I12" i="10" s="1"/>
  <c r="G5" i="3"/>
  <c r="I5" i="3" s="1"/>
  <c r="I11" i="10" s="1"/>
  <c r="I4" i="3"/>
  <c r="I10" i="10" s="1"/>
  <c r="G4" i="3"/>
  <c r="G10" i="10" s="1"/>
  <c r="G3" i="3"/>
  <c r="G9" i="10" s="1"/>
  <c r="G2" i="3"/>
  <c r="I2" i="3" s="1"/>
  <c r="F20" i="2"/>
  <c r="E20" i="2"/>
  <c r="G10" i="2"/>
  <c r="G11" i="2" s="1"/>
  <c r="G12" i="2" s="1"/>
  <c r="G13" i="2" s="1"/>
  <c r="G14" i="2" s="1"/>
  <c r="G15" i="2" s="1"/>
  <c r="G16" i="2" s="1"/>
  <c r="G17" i="2" s="1"/>
  <c r="F48" i="1"/>
  <c r="E48" i="1"/>
  <c r="D48" i="1"/>
  <c r="C48" i="1"/>
  <c r="A48" i="1"/>
  <c r="F47" i="1"/>
  <c r="E47" i="1"/>
  <c r="D47" i="1"/>
  <c r="C47" i="1"/>
  <c r="A47" i="1"/>
  <c r="F46" i="1"/>
  <c r="E46" i="1"/>
  <c r="D46" i="1"/>
  <c r="C46" i="1"/>
  <c r="A46" i="1"/>
  <c r="F45" i="1"/>
  <c r="E45" i="1"/>
  <c r="D45" i="1"/>
  <c r="C45" i="1"/>
  <c r="A45" i="1"/>
  <c r="F44" i="1"/>
  <c r="E44" i="1"/>
  <c r="D44" i="1"/>
  <c r="C44" i="1"/>
  <c r="A44" i="1"/>
  <c r="D40" i="1"/>
  <c r="C40" i="1"/>
  <c r="B40" i="1"/>
  <c r="A40" i="1"/>
  <c r="A39" i="1"/>
  <c r="C39" i="1" s="1"/>
  <c r="C38" i="1"/>
  <c r="B38" i="1"/>
  <c r="A38" i="1"/>
  <c r="A37" i="1"/>
  <c r="C37" i="1" s="1"/>
  <c r="C36" i="1"/>
  <c r="A36" i="1"/>
  <c r="C35" i="1"/>
  <c r="A35" i="1"/>
  <c r="A34" i="1"/>
  <c r="C34" i="1" s="1"/>
  <c r="C33" i="1"/>
  <c r="A33" i="1"/>
  <c r="E29" i="1"/>
  <c r="D29" i="1"/>
  <c r="C29" i="1"/>
  <c r="F29" i="1" s="1"/>
  <c r="G29" i="1" s="1"/>
  <c r="B29" i="1"/>
  <c r="E28" i="1"/>
  <c r="D28" i="1"/>
  <c r="C28" i="1"/>
  <c r="F28" i="1" s="1"/>
  <c r="G28" i="1" s="1"/>
  <c r="B28" i="1"/>
  <c r="E27" i="1"/>
  <c r="D27" i="1"/>
  <c r="C27" i="1"/>
  <c r="F27" i="1" s="1"/>
  <c r="G27" i="1" s="1"/>
  <c r="B27" i="1"/>
  <c r="E26" i="1"/>
  <c r="D26" i="1"/>
  <c r="C26" i="1"/>
  <c r="F26" i="1" s="1"/>
  <c r="G26" i="1" s="1"/>
  <c r="B26" i="1"/>
  <c r="E25" i="1"/>
  <c r="D25" i="1"/>
  <c r="F25" i="1" s="1"/>
  <c r="G25" i="1" s="1"/>
  <c r="C25" i="1"/>
  <c r="B25" i="1"/>
  <c r="E24" i="1"/>
  <c r="D24" i="1"/>
  <c r="C24" i="1"/>
  <c r="F24" i="1" s="1"/>
  <c r="G24" i="1" s="1"/>
  <c r="B24" i="1"/>
  <c r="F23" i="1"/>
  <c r="G23" i="1" s="1"/>
  <c r="E23" i="1"/>
  <c r="D23" i="1"/>
  <c r="C23" i="1"/>
  <c r="B23" i="1"/>
  <c r="E22" i="1"/>
  <c r="F22" i="1" s="1"/>
  <c r="G22" i="1" s="1"/>
  <c r="D22" i="1"/>
  <c r="C22" i="1"/>
  <c r="B22" i="1"/>
  <c r="F18" i="1"/>
  <c r="E18" i="1"/>
  <c r="C18" i="1"/>
  <c r="B18" i="1"/>
  <c r="D18" i="1" s="1"/>
  <c r="F17" i="1"/>
  <c r="E17" i="1"/>
  <c r="C17" i="1"/>
  <c r="B17" i="1"/>
  <c r="D17" i="1" s="1"/>
  <c r="F16" i="1"/>
  <c r="E16" i="1"/>
  <c r="C16" i="1"/>
  <c r="B16" i="1"/>
  <c r="D16" i="1" s="1"/>
  <c r="F15" i="1"/>
  <c r="E15" i="1"/>
  <c r="C15" i="1"/>
  <c r="B15" i="1"/>
  <c r="D15" i="1" s="1"/>
  <c r="F14" i="1"/>
  <c r="E14" i="1"/>
  <c r="C14" i="1"/>
  <c r="B14" i="1"/>
  <c r="D14" i="1" s="1"/>
  <c r="F13" i="1"/>
  <c r="E13" i="1"/>
  <c r="B13" i="1"/>
  <c r="G8" i="1"/>
  <c r="A8" i="1"/>
  <c r="A6" i="1"/>
  <c r="L3" i="1"/>
  <c r="K3" i="1"/>
  <c r="J3" i="1"/>
  <c r="I3" i="1"/>
  <c r="H3" i="1"/>
  <c r="G3" i="1"/>
  <c r="F3" i="1"/>
  <c r="E3" i="1"/>
  <c r="D3" i="1"/>
  <c r="C3" i="1"/>
  <c r="B3" i="1"/>
  <c r="A3" i="1"/>
  <c r="N8" i="4" l="1"/>
  <c r="I14" i="11" s="1"/>
  <c r="G14" i="11"/>
  <c r="D36" i="1"/>
  <c r="I3" i="6"/>
  <c r="J3" i="6"/>
  <c r="D33" i="1" s="1"/>
  <c r="F9" i="12"/>
  <c r="B33" i="1"/>
  <c r="H10" i="12"/>
  <c r="D38" i="1"/>
  <c r="I14" i="12"/>
  <c r="B35" i="1"/>
  <c r="J5" i="6"/>
  <c r="I5" i="6"/>
  <c r="H11" i="12" s="1"/>
  <c r="F11" i="12"/>
  <c r="J9" i="6"/>
  <c r="D39" i="1" s="1"/>
  <c r="I9" i="6"/>
  <c r="G18" i="2"/>
  <c r="G19" i="2" s="1"/>
  <c r="J8" i="1"/>
  <c r="N6" i="4"/>
  <c r="I12" i="11" s="1"/>
  <c r="G12" i="11"/>
  <c r="K13" i="11"/>
  <c r="K23" i="11"/>
  <c r="I7" i="3"/>
  <c r="I13" i="10" s="1"/>
  <c r="N5" i="4"/>
  <c r="I11" i="11" s="1"/>
  <c r="G17" i="10"/>
  <c r="H9" i="11"/>
  <c r="G10" i="11"/>
  <c r="G29" i="11" s="1"/>
  <c r="E12" i="11"/>
  <c r="D13" i="11"/>
  <c r="C14" i="11"/>
  <c r="B15" i="11"/>
  <c r="K16" i="11"/>
  <c r="J17" i="11"/>
  <c r="I18" i="11"/>
  <c r="H19" i="11"/>
  <c r="G20" i="11"/>
  <c r="E22" i="11"/>
  <c r="D23" i="11"/>
  <c r="C24" i="11"/>
  <c r="B25" i="11"/>
  <c r="K26" i="11"/>
  <c r="J27" i="11"/>
  <c r="I28" i="11"/>
  <c r="B9" i="12"/>
  <c r="C10" i="12"/>
  <c r="D11" i="12"/>
  <c r="E12" i="12"/>
  <c r="G14" i="12"/>
  <c r="H15" i="12"/>
  <c r="I16" i="12"/>
  <c r="B19" i="12"/>
  <c r="E22" i="12"/>
  <c r="G24" i="12"/>
  <c r="H25" i="12"/>
  <c r="I26" i="12"/>
  <c r="I9" i="11"/>
  <c r="F12" i="11"/>
  <c r="E13" i="11"/>
  <c r="K17" i="11"/>
  <c r="J18" i="11"/>
  <c r="I19" i="11"/>
  <c r="E23" i="11"/>
  <c r="K27" i="11"/>
  <c r="J28" i="11"/>
  <c r="F12" i="12"/>
  <c r="I15" i="12"/>
  <c r="I25" i="12"/>
  <c r="B28" i="12"/>
  <c r="I3" i="3"/>
  <c r="I9" i="10" s="1"/>
  <c r="I29" i="10" s="1"/>
  <c r="I2" i="6"/>
  <c r="I4" i="6"/>
  <c r="I6" i="6"/>
  <c r="H12" i="12" s="1"/>
  <c r="I8" i="6"/>
  <c r="H14" i="12" s="1"/>
  <c r="F4" i="10"/>
  <c r="J9" i="11"/>
  <c r="F13" i="11"/>
  <c r="K18" i="11"/>
  <c r="J19" i="11"/>
  <c r="F23" i="11"/>
  <c r="K28" i="11"/>
  <c r="D9" i="12"/>
  <c r="B27" i="12"/>
  <c r="C28" i="12"/>
  <c r="B36" i="1"/>
  <c r="J2" i="6"/>
  <c r="J4" i="6"/>
  <c r="K9" i="11"/>
  <c r="G13" i="11"/>
  <c r="F14" i="11"/>
  <c r="K19" i="11"/>
  <c r="G23" i="11"/>
  <c r="B16" i="12"/>
  <c r="C17" i="12"/>
  <c r="B26" i="12"/>
  <c r="C27" i="12"/>
  <c r="D28" i="12"/>
  <c r="F5" i="10"/>
  <c r="G11" i="10"/>
  <c r="G29" i="10" s="1"/>
  <c r="B9" i="11"/>
  <c r="K10" i="11"/>
  <c r="H13" i="11"/>
  <c r="D17" i="11"/>
  <c r="C18" i="11"/>
  <c r="B19" i="11"/>
  <c r="K20" i="11"/>
  <c r="H23" i="11"/>
  <c r="D27" i="11"/>
  <c r="C28" i="11"/>
  <c r="B15" i="12"/>
  <c r="C16" i="12"/>
  <c r="D17" i="12"/>
  <c r="F19" i="12"/>
  <c r="I22" i="12"/>
  <c r="B25" i="12"/>
  <c r="C26" i="12"/>
  <c r="D27" i="12"/>
  <c r="E28" i="12"/>
  <c r="B34" i="1"/>
  <c r="B39" i="1"/>
  <c r="G12" i="10"/>
  <c r="C9" i="11"/>
  <c r="B10" i="11"/>
  <c r="J12" i="11"/>
  <c r="I13" i="11"/>
  <c r="H14" i="11"/>
  <c r="G15" i="11"/>
  <c r="E17" i="11"/>
  <c r="D18" i="11"/>
  <c r="C19" i="11"/>
  <c r="B20" i="11"/>
  <c r="J22" i="11"/>
  <c r="I23" i="11"/>
  <c r="H24" i="11"/>
  <c r="G25" i="11"/>
  <c r="E27" i="11"/>
  <c r="D28" i="11"/>
  <c r="G9" i="12"/>
  <c r="B14" i="12"/>
  <c r="C15" i="12"/>
  <c r="D16" i="12"/>
  <c r="E17" i="12"/>
  <c r="F18" i="12"/>
  <c r="G19" i="12"/>
  <c r="B24" i="12"/>
  <c r="C25" i="12"/>
  <c r="D26" i="12"/>
  <c r="E27" i="12"/>
  <c r="F28" i="12"/>
  <c r="I10" i="3"/>
  <c r="I16" i="10" s="1"/>
  <c r="F7" i="6"/>
  <c r="D9" i="11"/>
  <c r="C10" i="11"/>
  <c r="K12" i="11"/>
  <c r="J13" i="11"/>
  <c r="H15" i="11"/>
  <c r="F17" i="11"/>
  <c r="E18" i="11"/>
  <c r="D19" i="11"/>
  <c r="C20" i="11"/>
  <c r="K22" i="11"/>
  <c r="J23" i="11"/>
  <c r="H25" i="11"/>
  <c r="F27" i="11"/>
  <c r="E28" i="11"/>
  <c r="H9" i="12"/>
  <c r="C14" i="12"/>
  <c r="D15" i="12"/>
  <c r="E16" i="12"/>
  <c r="F17" i="12"/>
  <c r="H19" i="12"/>
  <c r="B23" i="12"/>
  <c r="C24" i="12"/>
  <c r="D25" i="12"/>
  <c r="E26" i="12"/>
  <c r="F27" i="12"/>
  <c r="G28" i="12"/>
  <c r="B12" i="12"/>
  <c r="D14" i="12"/>
  <c r="E15" i="12"/>
  <c r="F16" i="12"/>
  <c r="G17" i="12"/>
  <c r="B22" i="12"/>
  <c r="C23" i="12"/>
  <c r="D24" i="12"/>
  <c r="E25" i="12"/>
  <c r="F26" i="12"/>
  <c r="G27" i="12"/>
  <c r="H28" i="12"/>
  <c r="F9" i="11"/>
  <c r="E10" i="11"/>
  <c r="B13" i="11"/>
  <c r="J15" i="11"/>
  <c r="H17" i="11"/>
  <c r="G18" i="11"/>
  <c r="F19" i="11"/>
  <c r="E20" i="11"/>
  <c r="B23" i="11"/>
  <c r="J25" i="11"/>
  <c r="H27" i="11"/>
  <c r="G28" i="11"/>
  <c r="E14" i="12"/>
  <c r="F15" i="12"/>
  <c r="G16" i="12"/>
  <c r="H17" i="12"/>
  <c r="B21" i="12"/>
  <c r="C22" i="12"/>
  <c r="D23" i="12"/>
  <c r="E24" i="12"/>
  <c r="F25" i="12"/>
  <c r="G26" i="12"/>
  <c r="H27" i="12"/>
  <c r="I10" i="12" l="1"/>
  <c r="D34" i="1"/>
  <c r="J7" i="6"/>
  <c r="B37" i="1"/>
  <c r="I7" i="6"/>
  <c r="H13" i="12" s="1"/>
  <c r="F13" i="12"/>
  <c r="C13" i="1"/>
  <c r="D13" i="1" s="1"/>
  <c r="D6" i="1"/>
  <c r="B5" i="12"/>
  <c r="I29" i="11"/>
  <c r="H29" i="11"/>
  <c r="D8" i="1"/>
  <c r="B6" i="12"/>
  <c r="J6" i="1"/>
  <c r="H29" i="12"/>
  <c r="G6" i="1"/>
  <c r="F29" i="12"/>
  <c r="I11" i="12"/>
  <c r="D35" i="1"/>
  <c r="I9" i="12"/>
  <c r="D37" i="1" l="1"/>
  <c r="I13" i="12"/>
</calcChain>
</file>

<file path=xl/sharedStrings.xml><?xml version="1.0" encoding="utf-8"?>
<sst xmlns="http://schemas.openxmlformats.org/spreadsheetml/2006/main" count="703" uniqueCount="434">
  <si>
    <t>🐄 [Your Dairy Plant Name]</t>
  </si>
  <si>
    <t>📊 Accounts Dashboard — Generated 14-Jul-2026 | Version 1.0</t>
  </si>
  <si>
    <t xml:space="preserve"> 💰 MONTHLY SALES</t>
  </si>
  <si>
    <t xml:space="preserve"> 📦 MONTHLY PURCHASES</t>
  </si>
  <si>
    <t xml:space="preserve"> 📋 STOCK VALUE</t>
  </si>
  <si>
    <t>⚠️ ⚠️ LOW STOCK ITEMS</t>
  </si>
  <si>
    <t xml:space="preserve"> 📤 OUTSTANDING RECEIVABLES</t>
  </si>
  <si>
    <t xml:space="preserve"> 📥 OUTSTANDING PAYABLES</t>
  </si>
  <si>
    <t xml:space="preserve"> 👥 TOTAL PARTIES</t>
  </si>
  <si>
    <t xml:space="preserve"> 💰 DAYBOOK BALANCE</t>
  </si>
  <si>
    <t>📈 MONTHLY TREND (Sales vs Purchases)</t>
  </si>
  <si>
    <t>Month</t>
  </si>
  <si>
    <t>Sales</t>
  </si>
  <si>
    <t>Purchases</t>
  </si>
  <si>
    <t>Net Profit/Loss</t>
  </si>
  <si>
    <t>Invoice Count</t>
  </si>
  <si>
    <t>Purchase Count</t>
  </si>
  <si>
    <t>Jul 2026</t>
  </si>
  <si>
    <t>Jun 2026</t>
  </si>
  <si>
    <t>May 2026</t>
  </si>
  <si>
    <t>Apr 2026</t>
  </si>
  <si>
    <t>Mar 2026</t>
  </si>
  <si>
    <t>Feb 2026</t>
  </si>
  <si>
    <t>🏢 PARTY BALANCE SUMMARY</t>
  </si>
  <si>
    <t>Party Name</t>
  </si>
  <si>
    <t>Type</t>
  </si>
  <si>
    <t>Opening Balance</t>
  </si>
  <si>
    <t>Total Debit</t>
  </si>
  <si>
    <t>Total Credit</t>
  </si>
  <si>
    <t>Current Balance</t>
  </si>
  <si>
    <t>Status</t>
  </si>
  <si>
    <t>[Enter Party 1]</t>
  </si>
  <si>
    <t>[Enter Party 2]</t>
  </si>
  <si>
    <t>[Enter Party 3]</t>
  </si>
  <si>
    <t>[Enter Party 4]</t>
  </si>
  <si>
    <t>[Enter Party 5]</t>
  </si>
  <si>
    <t>[Enter Party 6]</t>
  </si>
  <si>
    <t>[Enter Party 7]</t>
  </si>
  <si>
    <t>[Enter Party 8]</t>
  </si>
  <si>
    <t>⚠️ LOW STOCK ALERTS</t>
  </si>
  <si>
    <t>Product</t>
  </si>
  <si>
    <t>Current Stock</t>
  </si>
  <si>
    <t>Reorder Level</t>
  </si>
  <si>
    <t>🕐 RECENT TRANSACTIONS</t>
  </si>
  <si>
    <t>Date</t>
  </si>
  <si>
    <t>Party</t>
  </si>
  <si>
    <t>Invoice/Bill</t>
  </si>
  <si>
    <t>Amount</t>
  </si>
  <si>
    <t>"Sale"</t>
  </si>
  <si>
    <t>📒 Daybook — Daily Debit/Credit Register</t>
  </si>
  <si>
    <t>Instructions:</t>
  </si>
  <si>
    <t>Record ALL daily transactions here. Debit = money outflow (expenses, purchases), Credit = money inflow (sales, receipts). Balance updates automatically.</t>
  </si>
  <si>
    <t>💡 Sales &amp; Purchase entries can be manually posted here from their respective sheets for a complete audit trail.</t>
  </si>
  <si>
    <t>Particulars</t>
  </si>
  <si>
    <t>Voucher Type</t>
  </si>
  <si>
    <t>Reference No</t>
  </si>
  <si>
    <t>Debit (Dr)</t>
  </si>
  <si>
    <t>Credit (Cr)</t>
  </si>
  <si>
    <t>Balance</t>
  </si>
  <si>
    <t>Narration</t>
  </si>
  <si>
    <t>Opening</t>
  </si>
  <si>
    <t>Opening cash &amp; bank balance</t>
  </si>
  <si>
    <t>Sharma Dairy Shop</t>
  </si>
  <si>
    <t>Sale</t>
  </si>
  <si>
    <t>INV-1001</t>
  </si>
  <si>
    <t>Sale of milk &amp; products</t>
  </si>
  <si>
    <t>Gurung Dairy Farm</t>
  </si>
  <si>
    <t>Purchase</t>
  </si>
  <si>
    <t>BILL-5001</t>
  </si>
  <si>
    <t>Milk purchase with transport</t>
  </si>
  <si>
    <t>Cash Sales</t>
  </si>
  <si>
    <t>CS-001</t>
  </si>
  <si>
    <t>Counter sales - daily collection</t>
  </si>
  <si>
    <t>Salary</t>
  </si>
  <si>
    <t>Payment</t>
  </si>
  <si>
    <t>PAY-001</t>
  </si>
  <si>
    <t>Monthly staff salary</t>
  </si>
  <si>
    <t>Bhatbhateni Supermarket</t>
  </si>
  <si>
    <t>INV-1002</t>
  </si>
  <si>
    <t>Bulk ghee &amp; paneer supply</t>
  </si>
  <si>
    <t>Transport</t>
  </si>
  <si>
    <t>PAY-002</t>
  </si>
  <si>
    <t>Milk transport charges</t>
  </si>
  <si>
    <t>Receipt</t>
  </si>
  <si>
    <t>PAY-101</t>
  </si>
  <si>
    <t>Payment received - bank transfer</t>
  </si>
  <si>
    <t>Electricity</t>
  </si>
  <si>
    <t>PAY-003</t>
  </si>
  <si>
    <t>Monthly electricity bill</t>
  </si>
  <si>
    <t>Fresh Valley Suppliers</t>
  </si>
  <si>
    <t>BILL-5002</t>
  </si>
  <si>
    <t>Milk purchase - Formula rate</t>
  </si>
  <si>
    <t>Hotel Annapurna</t>
  </si>
  <si>
    <t>INV-1003</t>
  </si>
  <si>
    <t>Ghee &amp; butter supply</t>
  </si>
  <si>
    <t>TOTALS</t>
  </si>
  <si>
    <t>Invoice No</t>
  </si>
  <si>
    <t>Quantity</t>
  </si>
  <si>
    <t>Rate</t>
  </si>
  <si>
    <t>Discount %</t>
  </si>
  <si>
    <t>Net Amount</t>
  </si>
  <si>
    <t>Payment Mode</t>
  </si>
  <si>
    <t>Remarks</t>
  </si>
  <si>
    <t>Raw Milk</t>
  </si>
  <si>
    <t>Cash</t>
  </si>
  <si>
    <t>Paid</t>
  </si>
  <si>
    <t>Cow Milk</t>
  </si>
  <si>
    <t>Credit</t>
  </si>
  <si>
    <t>Unpaid</t>
  </si>
  <si>
    <t>Patan Co-op</t>
  </si>
  <si>
    <t>Curd (Dahi)</t>
  </si>
  <si>
    <t>Bank Transfer</t>
  </si>
  <si>
    <t>Partial</t>
  </si>
  <si>
    <t>INV-1004</t>
  </si>
  <si>
    <t>Ghee</t>
  </si>
  <si>
    <t>UPI</t>
  </si>
  <si>
    <t>INV-1005</t>
  </si>
  <si>
    <t>Khadgi Sweets</t>
  </si>
  <si>
    <t>Paneer</t>
  </si>
  <si>
    <t>Cheque</t>
  </si>
  <si>
    <t>INV-1006</t>
  </si>
  <si>
    <t>INV-1007</t>
  </si>
  <si>
    <t>INV-1008</t>
  </si>
  <si>
    <t>INV-1009</t>
  </si>
  <si>
    <t>INV-1010</t>
  </si>
  <si>
    <t>Bill No</t>
  </si>
  <si>
    <t>Supplier Name</t>
  </si>
  <si>
    <t>FAT %</t>
  </si>
  <si>
    <t>SNF %</t>
  </si>
  <si>
    <t>Extra Per Unit</t>
  </si>
  <si>
    <t>Rate Type</t>
  </si>
  <si>
    <t>Fixed Rate Per Unit</t>
  </si>
  <si>
    <t>Rate Per Unit</t>
  </si>
  <si>
    <t>FORMULA</t>
  </si>
  <si>
    <t>BILL-5003</t>
  </si>
  <si>
    <t>BILL-5004</t>
  </si>
  <si>
    <t>Pokhara Ghee House</t>
  </si>
  <si>
    <t>BILL-5005</t>
  </si>
  <si>
    <t>Dairy Cooperative</t>
  </si>
  <si>
    <t>BILL-5006</t>
  </si>
  <si>
    <t>BILL-5007</t>
  </si>
  <si>
    <t>FIXED</t>
  </si>
  <si>
    <t>BILL-5008</t>
  </si>
  <si>
    <t>Buffalo Milk</t>
  </si>
  <si>
    <t>📌 MILK PURCHASE PRICING RULES</t>
  </si>
  <si>
    <t>Rate Per Unit = (FAT % × 7.15) + (SNF % × 4.55) + Extra Per Unit   when Rate Type = "FORMULA"</t>
  </si>
  <si>
    <t>Rate Per Unit = Fixed Rate Per Unit                                 when Rate Type = "FIXED"</t>
  </si>
  <si>
    <t>Amount = Quantity × Rate Per Unit</t>
  </si>
  <si>
    <t>Net Amount = Amount + Transport Charges</t>
  </si>
  <si>
    <t>FAT Rate Multiplier: 7.15 per unit | SNF Rate Multiplier: 4.55 per unit</t>
  </si>
  <si>
    <t>Extra Per Unit is any additional contract amount (e.g., +2 per liter)</t>
  </si>
  <si>
    <t>💡 Select Rate Type = FIXED for simple flat-rate purchases (e.g., Rs. 50/liter)</t>
  </si>
  <si>
    <t>Receipt No</t>
  </si>
  <si>
    <t>Customer Name</t>
  </si>
  <si>
    <t>Against Bill No</t>
  </si>
  <si>
    <t>Opening Due</t>
  </si>
  <si>
    <t>Collected Amount</t>
  </si>
  <si>
    <t>Closing Due</t>
  </si>
  <si>
    <t>R001</t>
  </si>
  <si>
    <t>Full payment received</t>
  </si>
  <si>
    <t>R002</t>
  </si>
  <si>
    <t>Krishna Store</t>
  </si>
  <si>
    <t>Full payment</t>
  </si>
  <si>
    <t>R003</t>
  </si>
  <si>
    <t>Partial payment</t>
  </si>
  <si>
    <t>R004</t>
  </si>
  <si>
    <t>Full payment via cheque</t>
  </si>
  <si>
    <t>R005</t>
  </si>
  <si>
    <t>R006</t>
  </si>
  <si>
    <t>Balance cleared</t>
  </si>
  <si>
    <t>Product Name</t>
  </si>
  <si>
    <t>Unit</t>
  </si>
  <si>
    <t>Opening Stock</t>
  </si>
  <si>
    <t>Purchases In</t>
  </si>
  <si>
    <t>Sales Out</t>
  </si>
  <si>
    <t>Rate (Rs)</t>
  </si>
  <si>
    <t>Stock Value</t>
  </si>
  <si>
    <t>Liter</t>
  </si>
  <si>
    <t>Kg</t>
  </si>
  <si>
    <t>Butter</t>
  </si>
  <si>
    <t>Buttermilk</t>
  </si>
  <si>
    <t>Khoya</t>
  </si>
  <si>
    <t>Phone</t>
  </si>
  <si>
    <t>Address</t>
  </si>
  <si>
    <t>Running Balance</t>
  </si>
  <si>
    <t>Customer</t>
  </si>
  <si>
    <t>9812345670</t>
  </si>
  <si>
    <t>New Road, Kathmandu</t>
  </si>
  <si>
    <t>9812345672</t>
  </si>
  <si>
    <t>Durbar Marg, Kathmandu</t>
  </si>
  <si>
    <t>Supplier</t>
  </si>
  <si>
    <t>9852345673</t>
  </si>
  <si>
    <t>Budhanilkantha</t>
  </si>
  <si>
    <t>9841234570</t>
  </si>
  <si>
    <t>Bhaktapur</t>
  </si>
  <si>
    <t>Both</t>
  </si>
  <si>
    <t>9852345675</t>
  </si>
  <si>
    <t>Patan, Lalitpur</t>
  </si>
  <si>
    <t>9811112233</t>
  </si>
  <si>
    <t>Thamel, Kathmandu</t>
  </si>
  <si>
    <t>9843322110</t>
  </si>
  <si>
    <t>Asan, Kathmandu</t>
  </si>
  <si>
    <t>9856001122</t>
  </si>
  <si>
    <t>Pokhara</t>
  </si>
  <si>
    <t>9812345699</t>
  </si>
  <si>
    <t>Chitwan</t>
  </si>
  <si>
    <t>Transaction Type</t>
  </si>
  <si>
    <t>Description</t>
  </si>
  <si>
    <t>Debit</t>
  </si>
  <si>
    <t>Sale of Milk &amp; Products</t>
  </si>
  <si>
    <t>Payment Received</t>
  </si>
  <si>
    <t>Ghee Sale</t>
  </si>
  <si>
    <t>Milk Purchase</t>
  </si>
  <si>
    <t>Transport included</t>
  </si>
  <si>
    <t>PAY-102</t>
  </si>
  <si>
    <t>Payment Made</t>
  </si>
  <si>
    <t>Ghee Supply</t>
  </si>
  <si>
    <t>💰 Daily Cash Denomination Count</t>
  </si>
  <si>
    <t>Count ₹5</t>
  </si>
  <si>
    <t>Count ₹10</t>
  </si>
  <si>
    <t>Count ₹20</t>
  </si>
  <si>
    <t>Count ₹50</t>
  </si>
  <si>
    <t>Count ₹100</t>
  </si>
  <si>
    <t>Count ₹500</t>
  </si>
  <si>
    <t>Count ₹1000</t>
  </si>
  <si>
    <t>Other Amount</t>
  </si>
  <si>
    <t>Grand Total</t>
  </si>
  <si>
    <t>🐄 SALES REPORT</t>
  </si>
  <si>
    <t>Filters:</t>
  </si>
  <si>
    <t>Summary:</t>
  </si>
  <si>
    <t>From Date:</t>
  </si>
  <si>
    <t>Total Invoices:</t>
  </si>
  <si>
    <t>To Date:</t>
  </si>
  <si>
    <t>Total Amount:</t>
  </si>
  <si>
    <t>Party:</t>
  </si>
  <si>
    <t>All</t>
  </si>
  <si>
    <t>Outstanding:</t>
  </si>
  <si>
    <t>🐄 PURCHASE REPORT</t>
  </si>
  <si>
    <t>Total Bills:</t>
  </si>
  <si>
    <t>Supplier:</t>
  </si>
  <si>
    <t>Payables:</t>
  </si>
  <si>
    <t>🐄 STOCK REPORT</t>
  </si>
  <si>
    <t>Stock Summary:</t>
  </si>
  <si>
    <t>Total Products:</t>
  </si>
  <si>
    <t>Total Stock Value:</t>
  </si>
  <si>
    <t>Low Stock Items:</t>
  </si>
  <si>
    <t>Current</t>
  </si>
  <si>
    <t>[YOUR BUSINESS NAME HERE]</t>
  </si>
  <si>
    <t>[Address Line 1]</t>
  </si>
  <si>
    <t>[Phone] | [Email] | [PAN/VAT]</t>
  </si>
  <si>
    <t>TAX INVOICE</t>
  </si>
  <si>
    <t>Invoice No:</t>
  </si>
  <si>
    <t>IFERROR(INDEX(Sales_Entry!B$2:B$5000,MATCH(1,(Sales_Entry!A$2:A$5000=TODAY()),0)),"INV-____")</t>
  </si>
  <si>
    <t>Customer:</t>
  </si>
  <si>
    <t>Date:</t>
  </si>
  <si>
    <t>[Customer Name]</t>
  </si>
  <si>
    <t>[Address]</t>
  </si>
  <si>
    <t>[Phone]</t>
  </si>
  <si>
    <t>#</t>
  </si>
  <si>
    <t>Discount</t>
  </si>
  <si>
    <t>Subtotal:</t>
  </si>
  <si>
    <t>Discount:</t>
  </si>
  <si>
    <t>Grand Total:</t>
  </si>
  <si>
    <t>Amount in Words:</t>
  </si>
  <si>
    <t>[Rupees ____________________________________]</t>
  </si>
  <si>
    <t>Terms &amp; Conditions:</t>
  </si>
  <si>
    <t>Authorized Signature</t>
  </si>
  <si>
    <t>1. Goods once sold will not be taken back.</t>
  </si>
  <si>
    <t>2. Payment due within 15 days from invoice date.</t>
  </si>
  <si>
    <t>(___________________)</t>
  </si>
  <si>
    <t>3. Interest @ 18% p.a. charged on overdue payments.</t>
  </si>
  <si>
    <t>[Address] | [Phone] | [PAN/VAT]</t>
  </si>
  <si>
    <t>PARTY LEDGER STATEMENT</t>
  </si>
  <si>
    <t>Party Name:</t>
  </si>
  <si>
    <t>[Enter Party Name]</t>
  </si>
  <si>
    <t>Period:</t>
  </si>
  <si>
    <t>Opening Balance:</t>
  </si>
  <si>
    <t>Reference</t>
  </si>
  <si>
    <t>Total</t>
  </si>
  <si>
    <t>Closing Balance:</t>
  </si>
  <si>
    <t>Prepared By:</t>
  </si>
  <si>
    <t>⚙️ Settings &amp; Master Data Configuration</t>
  </si>
  <si>
    <t>🏢 BUSINESS INFORMATION</t>
  </si>
  <si>
    <t>Business Name:</t>
  </si>
  <si>
    <t>[Your Dairy Plant Name]</t>
  </si>
  <si>
    <t>Address Line 1:</t>
  </si>
  <si>
    <t>Address Line 2:</t>
  </si>
  <si>
    <t>[City, District]</t>
  </si>
  <si>
    <t>Phone:</t>
  </si>
  <si>
    <t>[Phone Number]</t>
  </si>
  <si>
    <t>Email:</t>
  </si>
  <si>
    <t>[Email Address]</t>
  </si>
  <si>
    <t>PAN / VAT No:</t>
  </si>
  <si>
    <t>[PAN Number]</t>
  </si>
  <si>
    <t>Registration No:</t>
  </si>
  <si>
    <t>[Registration No]</t>
  </si>
  <si>
    <t>Currency:</t>
  </si>
  <si>
    <t>NPR (Rs.)</t>
  </si>
  <si>
    <t>📏 UNITS OF MEASUREMENT</t>
  </si>
  <si>
    <t>Unit Name</t>
  </si>
  <si>
    <t>Gram</t>
  </si>
  <si>
    <t>Piece</t>
  </si>
  <si>
    <t>Packet</t>
  </si>
  <si>
    <t>Box</t>
  </si>
  <si>
    <t>Carton</t>
  </si>
  <si>
    <t>Tin</t>
  </si>
  <si>
    <t>💳 PAYMENT MODES</t>
  </si>
  <si>
    <t>Card</t>
  </si>
  <si>
    <t>Online</t>
  </si>
  <si>
    <t>📋 TRANSACTION TYPES</t>
  </si>
  <si>
    <t>Adjustment</t>
  </si>
  <si>
    <t>Credit Note</t>
  </si>
  <si>
    <t>Debit Note</t>
  </si>
  <si>
    <t>📦 PRODUCT CATEGORIES</t>
  </si>
  <si>
    <t>Category</t>
  </si>
  <si>
    <t>Milk</t>
  </si>
  <si>
    <t>Curd</t>
  </si>
  <si>
    <t>Other</t>
  </si>
  <si>
    <t>✅ STATUS OPTIONS</t>
  </si>
  <si>
    <t>Pending</t>
  </si>
  <si>
    <t>Processed</t>
  </si>
  <si>
    <t>Cancelled</t>
  </si>
  <si>
    <t>🧮 MILK PRICING CONSTANTS</t>
  </si>
  <si>
    <t>FAT Rate Multiplier:</t>
  </si>
  <si>
    <t>7.15</t>
  </si>
  <si>
    <t>SNF Rate Multiplier:</t>
  </si>
  <si>
    <t>4.55</t>
  </si>
  <si>
    <t>Rate Type Options:</t>
  </si>
  <si>
    <t>FORMULA, FIXED</t>
  </si>
  <si>
    <t>Pricing Formula (FORMULA):</t>
  </si>
  <si>
    <t>Rate = (FAT% × 7.15) + (SNF% × 4.55) + Extra Per Unit</t>
  </si>
  <si>
    <t>Pricing Formula (FIXED):</t>
  </si>
  <si>
    <t>Rate = Fixed Rate Per Unit</t>
  </si>
  <si>
    <t>Amount Formula:</t>
  </si>
  <si>
    <t>Net Amount:</t>
  </si>
  <si>
    <t>Amount + Transport Charges</t>
  </si>
  <si>
    <t>📖 QUICK REFERENCE</t>
  </si>
  <si>
    <t>Sales Entry: Record all sales invoices in the Sales_Entry sheet.</t>
  </si>
  <si>
    <t>Purchase Entry: Record all purchase bills in the Purchase_Entry sheet.</t>
  </si>
  <si>
    <t>Stock Master: Products auto-update from sales and purchases.</t>
  </si>
  <si>
    <t>Party Master: Customer/supplier balances auto-calculate.</t>
  </si>
  <si>
    <t>Party Ledger: Running balance ledger for each party.</t>
  </si>
  <si>
    <t>Dashboard: All KPIs and summaries auto-calculate.</t>
  </si>
  <si>
    <t>Reports: Filterable sales/purchase/stock reports.</t>
  </si>
  <si>
    <t>Printable Invoice: Professional invoice for printing.</t>
  </si>
  <si>
    <t>Printable Ledger: Statement for party-wise balance.</t>
  </si>
  <si>
    <t>💡 TIP: Change the business name in the Dashboard, Printable_Invoice, and Printable_Ledger sheets.</t>
  </si>
  <si>
    <t>💡 TIP: Add new items to the lists above to expand dropdown options in data sheets.</t>
  </si>
  <si>
    <t>🐄 [Your Dairy Plant Name] — User Guide &amp; Reference</t>
  </si>
  <si>
    <t>Generated on 14-Jul-2026 | Version 1.0 | Merged Workbook (Dairy Plant + Daybook)</t>
  </si>
  <si>
    <t>📋 SHEET PURPOSES</t>
  </si>
  <si>
    <t>Dashboard</t>
  </si>
  <si>
    <t>Main overview: KPIs, monthly trends, party balances, low stock alerts, recent transactions. Navigation links to all sheets.</t>
  </si>
  <si>
    <t>Daybook</t>
  </si>
  <si>
    <t>Daily debit/credit register. Record all transactions here. Debit = outflow (expenses), Credit = inflow (income). Running balance auto-calculates.</t>
  </si>
  <si>
    <t>Sales_Entry</t>
  </si>
  <si>
    <t>Record all sales invoices. Products, quantities, rates, discounts, and payment status. Auto-updates stock via SUMIF formulas.</t>
  </si>
  <si>
    <t>Purchase_Entry</t>
  </si>
  <si>
    <t>Record milk/raw material purchases. Uses component-based pricing: (FAT% × 7.15) + (SNF% × 4.55) + Extra. Or use fixed rate per liter.</t>
  </si>
  <si>
    <t>Cash_Collection</t>
  </si>
  <si>
    <t>Track customer payments against invoices. Shows opening due, collected amount, and closing balance.</t>
  </si>
  <si>
    <t>Stock_Master</t>
  </si>
  <si>
    <t>Product inventory management. Opening stock + Purchases - Sales = Current stock. Auto-calculates stock value and reorder status.</t>
  </si>
  <si>
    <t>Party_Master</t>
  </si>
  <si>
    <t>Customer/supplier directory with contact info, opening balances, and auto-calculated running balances.</t>
  </si>
  <si>
    <t>Party_Ledger</t>
  </si>
  <si>
    <t>Party-wise transaction ledger: all sales, purchases, receipts, and payments for each party with running balance.</t>
  </si>
  <si>
    <t>Denomination_Count</t>
  </si>
  <si>
    <t>Daily cash counting by denomination (₹5 to ₹1000). Use for end-of-day cash reconciliation.</t>
  </si>
  <si>
    <t>Sales_Report</t>
  </si>
  <si>
    <t>Filterable sales report. Set date range and party for summary.</t>
  </si>
  <si>
    <t>Purchase_Report</t>
  </si>
  <si>
    <t>Filterable purchase report with same controls.</t>
  </si>
  <si>
    <t>Stock_Report</t>
  </si>
  <si>
    <t>Stock summary with valuation and reorder alerts.</t>
  </si>
  <si>
    <t>Printable_Invoice</t>
  </si>
  <si>
    <t>Professional tax invoice for printing/saving as PDF.</t>
  </si>
  <si>
    <t>Printable_Ledger</t>
  </si>
  <si>
    <t>Party ledger statement for printing/saving as PDF.</t>
  </si>
  <si>
    <t>Settings</t>
  </si>
  <si>
    <t>Business info, master data lists, and configuration constants.</t>
  </si>
  <si>
    <t>README</t>
  </si>
  <si>
    <t>This guide.</t>
  </si>
  <si>
    <t>🧮 MILK PURCHASE PRICING</t>
  </si>
  <si>
    <t>Formula Rate:</t>
  </si>
  <si>
    <t>Fixed Rate:</t>
  </si>
  <si>
    <t>Rate = Fixed Rate Per Unit (simple per-liter price)</t>
  </si>
  <si>
    <t>Switching:</t>
  </si>
  <si>
    <t>Change Rate Type dropdown to FORMULA or FIXED in Purchase_Entry</t>
  </si>
  <si>
    <t>Extra Per Unit:</t>
  </si>
  <si>
    <t>Contract-based addition per liter (e.g., +2 for quality premium)</t>
  </si>
  <si>
    <t>Example:</t>
  </si>
  <si>
    <t>FAT=3.5, SNF=8.5, Extra=2 → Rate = (3.5×7.15)+(8.5×4.55)+2 = 25.03+38.68+2 = 65.70</t>
  </si>
  <si>
    <t>📒 HOW TO USE THE DAYBOOK</t>
  </si>
  <si>
    <t>Step 1:</t>
  </si>
  <si>
    <t>Enter Date and Particulars (account/party name)</t>
  </si>
  <si>
    <t>Step 2:</t>
  </si>
  <si>
    <t>Select Voucher Type from dropdown (Sale, Purchase, Receipt, Payment, etc.)</t>
  </si>
  <si>
    <t>Step 3:</t>
  </si>
  <si>
    <t>Enter Reference No (invoice/bill/payment number)</t>
  </si>
  <si>
    <t>Step 4:</t>
  </si>
  <si>
    <t>Enter amount in Debit (expense) or Credit (income) column</t>
  </si>
  <si>
    <t>Step 5:</t>
  </si>
  <si>
    <t>Add a Narration/description</t>
  </si>
  <si>
    <t>Balance:</t>
  </si>
  <si>
    <t>Auto-calculates as: Previous Balance + Credit - Debit</t>
  </si>
  <si>
    <t>🔄 HOW SHEETS INTERACT</t>
  </si>
  <si>
    <t>Sales → Stock:</t>
  </si>
  <si>
    <t>Sales_Entry quantities auto-subtract from Stock_Master via SUMIF</t>
  </si>
  <si>
    <t>Purchases → Stock:</t>
  </si>
  <si>
    <t>Purchase_Entry quantities auto-add to Stock_Master via SUMIF</t>
  </si>
  <si>
    <t>Sales → Daybook:</t>
  </si>
  <si>
    <t>Optionally post sales as Credit entries in Daybook</t>
  </si>
  <si>
    <t>Purchases → Daybook:</t>
  </si>
  <si>
    <t>Optionally post purchases as Debit entries in Daybook</t>
  </si>
  <si>
    <t>Cash Collection:</t>
  </si>
  <si>
    <t>Receipts reduce outstanding dues from customers</t>
  </si>
  <si>
    <t>Party Ledger:</t>
  </si>
  <si>
    <t>Auto-aggregates party balances from transactions</t>
  </si>
  <si>
    <t>Dashboard:</t>
  </si>
  <si>
    <t>All KPIs pull from data sheets automatically</t>
  </si>
  <si>
    <t>📊 CHECKING TOTALS &amp; BALANCES</t>
  </si>
  <si>
    <t>Monthly Sales:</t>
  </si>
  <si>
    <t>Dashboard KPI card shows current month's total sales</t>
  </si>
  <si>
    <t>Monthly Purchases:</t>
  </si>
  <si>
    <t>Dashboard KPI card shows current month's total purchases</t>
  </si>
  <si>
    <t>Stock Value:</t>
  </si>
  <si>
    <t>Dashboard KPI card shows total inventory value</t>
  </si>
  <si>
    <t>Party Balances:</t>
  </si>
  <si>
    <t>Dashboard → Party Balance Summary section</t>
  </si>
  <si>
    <t>Daybook Balance:</t>
  </si>
  <si>
    <t>Daybook last row shows running cash/bank balance</t>
  </si>
  <si>
    <t>Low Stock:</t>
  </si>
  <si>
    <t>Dashboard → Low Stock Alerts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</si>
</sst>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9" x14ac:knownFonts="1">
    <font>
      <sz val="11"/>
      <color theme="1"/>
      <name val="Calibri"/>
      <family val="2"/>
      <scheme val="minor"/>
    </font>
    <font>
      <b/>
      <sz val="18"/>
      <color rgb="FF1B3A5C"/>
      <name val="Calibri"/>
      <family val="2"/>
    </font>
    <font>
      <i/>
      <sz val="10"/>
      <color rgb="FF6C757D"/>
      <name val="Calibri"/>
      <family val="2"/>
    </font>
    <font>
      <u/>
      <sz val="9"/>
      <color rgb="FF1B3A5C"/>
      <name val="Calibri"/>
      <family val="2"/>
    </font>
    <font>
      <b/>
      <sz val="9"/>
      <color rgb="FF6C757D"/>
      <name val="Calibri"/>
      <family val="2"/>
    </font>
    <font>
      <b/>
      <sz val="18"/>
      <color rgb="FF2C5F8A"/>
      <name val="Calibri"/>
      <family val="2"/>
    </font>
    <font>
      <b/>
      <sz val="12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i/>
      <sz val="9"/>
      <color rgb="FF6C757D"/>
      <name val="Calibri"/>
      <family val="2"/>
    </font>
    <font>
      <sz val="10"/>
      <name val="Calibri"/>
      <family val="2"/>
    </font>
    <font>
      <sz val="10"/>
      <color rgb="FF27AE60"/>
      <name val="Calibri"/>
      <family val="2"/>
    </font>
    <font>
      <i/>
      <sz val="8"/>
      <color rgb="FF6C757D"/>
      <name val="Calibri"/>
      <family val="2"/>
    </font>
    <font>
      <b/>
      <sz val="10"/>
      <color rgb="FFE74C3C"/>
      <name val="Calibri"/>
      <family val="2"/>
    </font>
    <font>
      <b/>
      <sz val="11"/>
      <color rgb="FF1B3A5C"/>
      <name val="Calibri"/>
      <family val="2"/>
    </font>
    <font>
      <b/>
      <sz val="20"/>
      <color rgb="FF1B3A5C"/>
      <name val="Calibri"/>
      <family val="2"/>
    </font>
    <font>
      <sz val="10"/>
      <color rgb="FF6C757D"/>
      <name val="Calibri"/>
      <family val="2"/>
    </font>
    <font>
      <b/>
      <sz val="16"/>
      <color rgb="FFFFFFFF"/>
      <name val="Calibri"/>
      <family val="2"/>
    </font>
    <font>
      <b/>
      <sz val="16"/>
      <color rgb="FF1B3A5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8F7"/>
        <bgColor rgb="FFD6E8F7"/>
      </patternFill>
    </fill>
    <fill>
      <patternFill patternType="solid">
        <fgColor rgb="FFFFFFFF"/>
        <bgColor rgb="FFFFFFFF"/>
      </patternFill>
    </fill>
    <fill>
      <patternFill patternType="solid">
        <fgColor rgb="FF1B3A5C"/>
        <bgColor rgb="FF1B3A5C"/>
      </patternFill>
    </fill>
    <fill>
      <patternFill patternType="solid">
        <fgColor rgb="FFF2F7FB"/>
        <bgColor rgb="FFF2F7FB"/>
      </patternFill>
    </fill>
  </fills>
  <borders count="5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medium">
        <color rgb="FF2C5F8A"/>
      </top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4" fontId="0" fillId="0" borderId="1" xfId="0" applyNumberFormat="1" applyBorder="1"/>
    <xf numFmtId="4" fontId="8" fillId="0" borderId="1" xfId="0" applyNumberFormat="1" applyFont="1" applyBorder="1"/>
    <xf numFmtId="3" fontId="0" fillId="0" borderId="1" xfId="0" applyNumberFormat="1" applyBorder="1"/>
    <xf numFmtId="0" fontId="8" fillId="5" borderId="1" xfId="0" applyFont="1" applyFill="1" applyBorder="1"/>
    <xf numFmtId="4" fontId="0" fillId="5" borderId="1" xfId="0" applyNumberFormat="1" applyFill="1" applyBorder="1"/>
    <xf numFmtId="4" fontId="8" fillId="5" borderId="1" xfId="0" applyNumberFormat="1" applyFont="1" applyFill="1" applyBorder="1"/>
    <xf numFmtId="3" fontId="0" fillId="5" borderId="1" xfId="0" applyNumberFormat="1" applyFill="1" applyBorder="1"/>
    <xf numFmtId="0" fontId="9" fillId="0" borderId="1" xfId="0" applyFont="1" applyBorder="1"/>
    <xf numFmtId="0" fontId="10" fillId="0" borderId="1" xfId="0" applyFont="1" applyBorder="1"/>
    <xf numFmtId="15" fontId="0" fillId="0" borderId="1" xfId="0" applyNumberFormat="1" applyBorder="1"/>
    <xf numFmtId="0" fontId="11" fillId="0" borderId="1" xfId="0" applyFont="1" applyBorder="1"/>
    <xf numFmtId="0" fontId="6" fillId="0" borderId="0" xfId="0" applyFont="1"/>
    <xf numFmtId="0" fontId="12" fillId="0" borderId="0" xfId="0" applyFont="1"/>
    <xf numFmtId="164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4" fontId="10" fillId="5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4" fontId="8" fillId="5" borderId="1" xfId="0" applyNumberFormat="1" applyFont="1" applyFill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0" fontId="0" fillId="2" borderId="1" xfId="0" applyFill="1" applyBorder="1"/>
    <xf numFmtId="0" fontId="8" fillId="2" borderId="1" xfId="0" applyFont="1" applyFill="1" applyBorder="1"/>
    <xf numFmtId="4" fontId="8" fillId="2" borderId="1" xfId="0" applyNumberFormat="1" applyFont="1" applyFill="1" applyBorder="1"/>
    <xf numFmtId="4" fontId="10" fillId="0" borderId="1" xfId="0" applyNumberFormat="1" applyFont="1" applyBorder="1" applyAlignment="1">
      <alignment vertical="center"/>
    </xf>
    <xf numFmtId="4" fontId="10" fillId="5" borderId="1" xfId="0" applyNumberFormat="1" applyFont="1" applyFill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3" fontId="10" fillId="5" borderId="1" xfId="0" applyNumberFormat="1" applyFont="1" applyFill="1" applyBorder="1" applyAlignment="1">
      <alignment vertical="center"/>
    </xf>
    <xf numFmtId="3" fontId="8" fillId="5" borderId="1" xfId="0" applyNumberFormat="1" applyFont="1" applyFill="1" applyBorder="1" applyAlignment="1">
      <alignment vertical="center"/>
    </xf>
    <xf numFmtId="3" fontId="8" fillId="2" borderId="1" xfId="0" applyNumberFormat="1" applyFont="1" applyFill="1" applyBorder="1"/>
    <xf numFmtId="0" fontId="8" fillId="0" borderId="0" xfId="0" applyFont="1"/>
    <xf numFmtId="164" fontId="10" fillId="0" borderId="0" xfId="0" applyNumberFormat="1" applyFont="1"/>
    <xf numFmtId="4" fontId="8" fillId="0" borderId="0" xfId="0" applyNumberFormat="1" applyFont="1"/>
    <xf numFmtId="0" fontId="10" fillId="0" borderId="0" xfId="0" applyFont="1"/>
    <xf numFmtId="4" fontId="13" fillId="0" borderId="0" xfId="0" applyNumberFormat="1" applyFont="1"/>
    <xf numFmtId="15" fontId="10" fillId="0" borderId="1" xfId="0" applyNumberFormat="1" applyFont="1" applyBorder="1"/>
    <xf numFmtId="4" fontId="14" fillId="0" borderId="1" xfId="0" applyNumberFormat="1" applyFont="1" applyBorder="1"/>
    <xf numFmtId="164" fontId="0" fillId="0" borderId="0" xfId="0" applyNumberFormat="1"/>
    <xf numFmtId="4" fontId="0" fillId="0" borderId="0" xfId="0" applyNumberFormat="1"/>
    <xf numFmtId="0" fontId="13" fillId="0" borderId="0" xfId="0" applyFont="1"/>
    <xf numFmtId="0" fontId="6" fillId="2" borderId="1" xfId="0" applyFont="1" applyFill="1" applyBorder="1"/>
    <xf numFmtId="4" fontId="6" fillId="2" borderId="1" xfId="0" applyNumberFormat="1" applyFont="1" applyFill="1" applyBorder="1"/>
    <xf numFmtId="0" fontId="14" fillId="0" borderId="1" xfId="0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4" fontId="5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3" fontId="5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left" vertical="center"/>
    </xf>
    <xf numFmtId="0" fontId="2" fillId="0" borderId="0" xfId="0" applyFont="1"/>
    <xf numFmtId="0" fontId="6" fillId="0" borderId="0" xfId="0" applyFont="1"/>
    <xf numFmtId="0" fontId="12" fillId="0" borderId="0" xfId="0" applyFont="1"/>
    <xf numFmtId="0" fontId="9" fillId="0" borderId="0" xfId="0" applyFont="1"/>
    <xf numFmtId="0" fontId="1" fillId="0" borderId="0" xfId="0" applyFont="1"/>
    <xf numFmtId="0" fontId="8" fillId="0" borderId="0" xfId="0" applyFont="1"/>
    <xf numFmtId="0" fontId="15" fillId="0" borderId="0" xfId="0" applyFont="1"/>
    <xf numFmtId="0" fontId="16" fillId="0" borderId="0" xfId="0" applyFont="1"/>
    <xf numFmtId="0" fontId="17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0" fillId="0" borderId="0" xfId="0" applyFont="1"/>
    <xf numFmtId="0" fontId="18" fillId="0" borderId="0" xfId="0" applyFont="1" applyAlignment="1">
      <alignment horizontal="center"/>
    </xf>
    <xf numFmtId="0" fontId="10" fillId="0" borderId="1" xfId="0" applyFont="1" applyBorder="1"/>
    <xf numFmtId="0" fontId="0" fillId="0" borderId="3" xfId="0" applyBorder="1"/>
    <xf numFmtId="0" fontId="0" fillId="0" borderId="4" xfId="0" applyBorder="1"/>
    <xf numFmtId="0" fontId="10" fillId="0" borderId="0" xfId="0" applyFont="1" applyAlignment="1">
      <alignment wrapText="1"/>
    </xf>
  </cellXfs>
  <cellStyles count="1">
    <cellStyle name="Normal" xfId="0" builtinId="0"/>
  </cellStyles>
  <dxfs count="25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ont>
        <b/>
        <sz val="10"/>
        <name val="Calibri"/>
      </font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8D7DA"/>
          <bgColor rgb="FFF8D7DA"/>
        </patternFill>
      </fill>
    </dxf>
    <dxf>
      <font>
        <b/>
        <sz val="10"/>
        <color rgb="FFE74C3C"/>
        <name val="Calibri"/>
      </font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ybookTable" displayName="DaybookTable" ref="A8:H19">
  <autoFilter ref="A8:H19" xr:uid="{00000000-0009-0000-0100-000001000000}"/>
  <tableColumns count="8">
    <tableColumn id="1" xr3:uid="{00000000-0010-0000-0000-000001000000}" name="Date"/>
    <tableColumn id="2" xr3:uid="{00000000-0010-0000-0000-000002000000}" name="Particulars"/>
    <tableColumn id="3" xr3:uid="{00000000-0010-0000-0000-000003000000}" name="Voucher Type"/>
    <tableColumn id="4" xr3:uid="{00000000-0010-0000-0000-000004000000}" name="Reference No"/>
    <tableColumn id="5" xr3:uid="{00000000-0010-0000-0000-000005000000}" name="Debit (Dr)"/>
    <tableColumn id="6" xr3:uid="{00000000-0010-0000-0000-000006000000}" name="Credit (Cr)"/>
    <tableColumn id="7" xr3:uid="{00000000-0010-0000-0000-000007000000}" name="Balance"/>
    <tableColumn id="8" xr3:uid="{00000000-0010-0000-0000-000008000000}" name="Narr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Table" displayName="SalesTable" ref="A1:L11">
  <autoFilter ref="A1:L11" xr:uid="{00000000-0009-0000-0100-000002000000}"/>
  <tableColumns count="12">
    <tableColumn id="1" xr3:uid="{00000000-0010-0000-0100-000001000000}" name="Date"/>
    <tableColumn id="2" xr3:uid="{00000000-0010-0000-0100-000002000000}" name="Invoice No"/>
    <tableColumn id="3" xr3:uid="{00000000-0010-0000-0100-000003000000}" name="Party Name"/>
    <tableColumn id="4" xr3:uid="{00000000-0010-0000-0100-000004000000}" name="Product"/>
    <tableColumn id="5" xr3:uid="{00000000-0010-0000-0100-000005000000}" name="Quantity"/>
    <tableColumn id="6" xr3:uid="{00000000-0010-0000-0100-000006000000}" name="Rate"/>
    <tableColumn id="7" xr3:uid="{00000000-0010-0000-0100-000007000000}" name="Amount"/>
    <tableColumn id="8" xr3:uid="{00000000-0010-0000-0100-000008000000}" name="Discount %"/>
    <tableColumn id="9" xr3:uid="{00000000-0010-0000-0100-000009000000}" name="Net Amount"/>
    <tableColumn id="10" xr3:uid="{00000000-0010-0000-0100-00000A000000}" name="Payment Mode"/>
    <tableColumn id="11" xr3:uid="{00000000-0010-0000-0100-00000B000000}" name="Status"/>
    <tableColumn id="12" xr3:uid="{00000000-0010-0000-0100-00000C000000}" name="Remark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rchaseTable" displayName="PurchaseTable" ref="A1:Q9">
  <autoFilter ref="A1:Q9" xr:uid="{00000000-0009-0000-0100-000003000000}"/>
  <tableColumns count="17">
    <tableColumn id="1" xr3:uid="{00000000-0010-0000-0200-000001000000}" name="Date"/>
    <tableColumn id="2" xr3:uid="{00000000-0010-0000-0200-000002000000}" name="Bill No"/>
    <tableColumn id="3" xr3:uid="{00000000-0010-0000-0200-000003000000}" name="Supplier Name"/>
    <tableColumn id="4" xr3:uid="{00000000-0010-0000-0200-000004000000}" name="Product"/>
    <tableColumn id="5" xr3:uid="{00000000-0010-0000-0200-000005000000}" name="FAT %"/>
    <tableColumn id="6" xr3:uid="{00000000-0010-0000-0200-000006000000}" name="SNF %"/>
    <tableColumn id="7" xr3:uid="{00000000-0010-0000-0200-000007000000}" name="Extra Per Unit"/>
    <tableColumn id="8" xr3:uid="{00000000-0010-0000-0200-000008000000}" name="Rate Type"/>
    <tableColumn id="9" xr3:uid="{00000000-0010-0000-0200-000009000000}" name="Fixed Rate Per Unit"/>
    <tableColumn id="10" xr3:uid="{00000000-0010-0000-0200-00000A000000}" name="Rate Per Unit"/>
    <tableColumn id="11" xr3:uid="{00000000-0010-0000-0200-00000B000000}" name="Quantity"/>
    <tableColumn id="12" xr3:uid="{00000000-0010-0000-0200-00000C000000}" name="Amount"/>
    <tableColumn id="13" xr3:uid="{00000000-0010-0000-0200-00000D000000}" name="Transport"/>
    <tableColumn id="14" xr3:uid="{00000000-0010-0000-0200-00000E000000}" name="Net Amount"/>
    <tableColumn id="15" xr3:uid="{00000000-0010-0000-0200-00000F000000}" name="Payment Mode"/>
    <tableColumn id="16" xr3:uid="{00000000-0010-0000-0200-000010000000}" name="Status"/>
    <tableColumn id="17" xr3:uid="{00000000-0010-0000-0200-000011000000}" name="Remark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shCollectionTable" displayName="CashCollectionTable" ref="A1:I7">
  <autoFilter ref="A1:I7" xr:uid="{00000000-0009-0000-0100-000004000000}"/>
  <tableColumns count="9">
    <tableColumn id="1" xr3:uid="{00000000-0010-0000-0300-000001000000}" name="Date"/>
    <tableColumn id="2" xr3:uid="{00000000-0010-0000-0300-000002000000}" name="Receipt No"/>
    <tableColumn id="3" xr3:uid="{00000000-0010-0000-0300-000003000000}" name="Customer Name"/>
    <tableColumn id="4" xr3:uid="{00000000-0010-0000-0300-000004000000}" name="Against Bill No"/>
    <tableColumn id="5" xr3:uid="{00000000-0010-0000-0300-000005000000}" name="Opening Due"/>
    <tableColumn id="6" xr3:uid="{00000000-0010-0000-0300-000006000000}" name="Collected Amount"/>
    <tableColumn id="7" xr3:uid="{00000000-0010-0000-0300-000007000000}" name="Payment Mode"/>
    <tableColumn id="8" xr3:uid="{00000000-0010-0000-0300-000008000000}" name="Closing Due"/>
    <tableColumn id="9" xr3:uid="{00000000-0010-0000-0300-000009000000}" name="Remark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ockMasterTable" displayName="StockMasterTable" ref="A1:J9">
  <autoFilter ref="A1:J9" xr:uid="{00000000-0009-0000-0100-000005000000}"/>
  <tableColumns count="10">
    <tableColumn id="1" xr3:uid="{00000000-0010-0000-0400-000001000000}" name="Product Name"/>
    <tableColumn id="2" xr3:uid="{00000000-0010-0000-0400-000002000000}" name="Unit"/>
    <tableColumn id="3" xr3:uid="{00000000-0010-0000-0400-000003000000}" name="Opening Stock"/>
    <tableColumn id="4" xr3:uid="{00000000-0010-0000-0400-000004000000}" name="Purchases In"/>
    <tableColumn id="5" xr3:uid="{00000000-0010-0000-0400-000005000000}" name="Sales Out"/>
    <tableColumn id="6" xr3:uid="{00000000-0010-0000-0400-000006000000}" name="Current Stock"/>
    <tableColumn id="7" xr3:uid="{00000000-0010-0000-0400-000007000000}" name="Reorder Level"/>
    <tableColumn id="8" xr3:uid="{00000000-0010-0000-0400-000008000000}" name="Rate (Rs)"/>
    <tableColumn id="9" xr3:uid="{00000000-0010-0000-0400-000009000000}" name="Stock Value"/>
    <tableColumn id="10" xr3:uid="{00000000-0010-0000-0400-00000A000000}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rtyMasterTable" displayName="PartyMasterTable" ref="A1:I10">
  <autoFilter ref="A1:I10" xr:uid="{00000000-0009-0000-0100-000006000000}"/>
  <tableColumns count="9">
    <tableColumn id="1" xr3:uid="{00000000-0010-0000-0500-000001000000}" name="Party Name"/>
    <tableColumn id="2" xr3:uid="{00000000-0010-0000-0500-000002000000}" name="Type"/>
    <tableColumn id="3" xr3:uid="{00000000-0010-0000-0500-000003000000}" name="Phone"/>
    <tableColumn id="4" xr3:uid="{00000000-0010-0000-0500-000004000000}" name="Address"/>
    <tableColumn id="5" xr3:uid="{00000000-0010-0000-0500-000005000000}" name="Opening Balance"/>
    <tableColumn id="6" xr3:uid="{00000000-0010-0000-0500-000006000000}" name="Total Debit"/>
    <tableColumn id="7" xr3:uid="{00000000-0010-0000-0500-000007000000}" name="Total Credit"/>
    <tableColumn id="8" xr3:uid="{00000000-0010-0000-0500-000008000000}" name="Running Balance"/>
    <tableColumn id="9" xr3:uid="{00000000-0010-0000-0500-000009000000}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rtyLedgerTable" displayName="PartyLedgerTable" ref="A1:I9">
  <autoFilter ref="A1:I9" xr:uid="{00000000-0009-0000-0100-000007000000}"/>
  <tableColumns count="9">
    <tableColumn id="1" xr3:uid="{00000000-0010-0000-0600-000001000000}" name="Date"/>
    <tableColumn id="2" xr3:uid="{00000000-0010-0000-0600-000002000000}" name="Party Name"/>
    <tableColumn id="3" xr3:uid="{00000000-0010-0000-0600-000003000000}" name="Transaction Type"/>
    <tableColumn id="4" xr3:uid="{00000000-0010-0000-0600-000004000000}" name="Reference No"/>
    <tableColumn id="5" xr3:uid="{00000000-0010-0000-0600-000005000000}" name="Description"/>
    <tableColumn id="6" xr3:uid="{00000000-0010-0000-0600-000006000000}" name="Debit"/>
    <tableColumn id="7" xr3:uid="{00000000-0010-0000-0600-000007000000}" name="Credit"/>
    <tableColumn id="8" xr3:uid="{00000000-0010-0000-0600-000008000000}" name="Balance"/>
    <tableColumn id="9" xr3:uid="{00000000-0010-0000-0600-000009000000}" name="Remark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nomTable" displayName="DenomTable" ref="A3:J13">
  <autoFilter ref="A3:J13" xr:uid="{00000000-0009-0000-0100-000008000000}"/>
  <tableColumns count="10">
    <tableColumn id="1" xr3:uid="{00000000-0010-0000-0700-000001000000}" name="Date"/>
    <tableColumn id="2" xr3:uid="{00000000-0010-0000-0700-000002000000}" name="Count ₹5"/>
    <tableColumn id="3" xr3:uid="{00000000-0010-0000-0700-000003000000}" name="Count ₹10"/>
    <tableColumn id="4" xr3:uid="{00000000-0010-0000-0700-000004000000}" name="Count ₹20"/>
    <tableColumn id="5" xr3:uid="{00000000-0010-0000-0700-000005000000}" name="Count ₹50"/>
    <tableColumn id="6" xr3:uid="{00000000-0010-0000-0700-000006000000}" name="Count ₹100"/>
    <tableColumn id="7" xr3:uid="{00000000-0010-0000-0700-000007000000}" name="Count ₹500"/>
    <tableColumn id="8" xr3:uid="{00000000-0010-0000-0700-000008000000}" name="Count ₹1000"/>
    <tableColumn id="9" xr3:uid="{00000000-0010-0000-0700-000009000000}" name="Other Amount"/>
    <tableColumn id="10" xr3:uid="{00000000-0010-0000-0700-00000A000000}" name="Grand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L48"/>
  <sheetViews>
    <sheetView zoomScale="80" zoomScaleNormal="80" workbookViewId="0">
      <pane ySplit="43" topLeftCell="A4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2" customWidth="1"/>
    <col min="2" max="7" width="18" customWidth="1"/>
    <col min="8" max="12" width="16" customWidth="1"/>
  </cols>
  <sheetData>
    <row r="1" spans="1:12" ht="36" customHeight="1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8" customHeight="1" x14ac:dyDescent="0.2">
      <c r="A2" s="55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2" customHeight="1" x14ac:dyDescent="0.2">
      <c r="A3" s="1" t="str">
        <f>HYPERLINK("#'Daybook'!A1","▶ 📒 Daybook")</f>
        <v>▶ 📒 Daybook</v>
      </c>
      <c r="B3" s="1" t="str">
        <f>HYPERLINK("#'Sales_Entry'!A1","▶ 📝 Sales")</f>
        <v>▶ 📝 Sales</v>
      </c>
      <c r="C3" s="1" t="str">
        <f>HYPERLINK("#'Purchase_Entry'!A1","▶ 📦 Purchases")</f>
        <v>▶ 📦 Purchases</v>
      </c>
      <c r="D3" s="1" t="str">
        <f>HYPERLINK("#'Cash_Collection'!A1","▶ 💵 Collections")</f>
        <v>▶ 💵 Collections</v>
      </c>
      <c r="E3" s="1" t="str">
        <f>HYPERLINK("#'Stock_Master'!A1","▶ 📋 Stock")</f>
        <v>▶ 📋 Stock</v>
      </c>
      <c r="F3" s="1" t="str">
        <f>HYPERLINK("#'Party_Master'!A1","▶ 👥 Parties")</f>
        <v>▶ 👥 Parties</v>
      </c>
      <c r="G3" s="1" t="str">
        <f>HYPERLINK("#'Party_Ledger'!A1","▶ 📊 Ledger")</f>
        <v>▶ 📊 Ledger</v>
      </c>
      <c r="H3" s="1" t="str">
        <f>HYPERLINK("#'Sales_Report'!A1","▶ 📈 Sales Rpt")</f>
        <v>▶ 📈 Sales Rpt</v>
      </c>
      <c r="I3" s="1" t="str">
        <f>HYPERLINK("#'Purchase_Report'!A1","▶ 📉 Purchase Rpt")</f>
        <v>▶ 📉 Purchase Rpt</v>
      </c>
      <c r="J3" s="1" t="str">
        <f>HYPERLINK("#'Stock_Report'!A1","▶ 🗃️ Stock Rpt")</f>
        <v>▶ 🗃️ Stock Rpt</v>
      </c>
      <c r="K3" s="1" t="str">
        <f>HYPERLINK("#'Printable_Invoice'!A1","▶ 🧾 Invoice")</f>
        <v>▶ 🧾 Invoice</v>
      </c>
      <c r="L3" s="1" t="str">
        <f>HYPERLINK("#'Printable_Ledger'!A1","▶ 📜 Statement")</f>
        <v>▶ 📜 Statement</v>
      </c>
    </row>
    <row r="5" spans="1:12" ht="22" customHeight="1" x14ac:dyDescent="0.2">
      <c r="A5" s="52" t="s">
        <v>2</v>
      </c>
      <c r="B5" s="53"/>
      <c r="C5" s="53"/>
      <c r="D5" s="52" t="s">
        <v>3</v>
      </c>
      <c r="E5" s="53"/>
      <c r="F5" s="53"/>
      <c r="G5" s="52" t="s">
        <v>4</v>
      </c>
      <c r="H5" s="53"/>
      <c r="I5" s="53"/>
      <c r="J5" s="52" t="s">
        <v>5</v>
      </c>
      <c r="K5" s="53"/>
      <c r="L5" s="53"/>
    </row>
    <row r="6" spans="1:12" ht="50" customHeight="1" x14ac:dyDescent="0.2">
      <c r="A6" s="49">
        <f ca="1">SUMIFS(Sales_Entry!J$2:J$5000,Sales_Entry!A$2:A$5000,"&gt;="&amp;DATE(YEAR(TODAY()),MONTH(TODAY()),1),Sales_Entry!A$2:A$5000,"&lt;="&amp;EOMONTH(TODAY(),0))</f>
        <v>0</v>
      </c>
      <c r="B6" s="50"/>
      <c r="C6" s="50"/>
      <c r="D6" s="49">
        <f ca="1">SUMIFS(Purchase_Entry!N$2:N$5000,Purchase_Entry!A$2:A$5000,"&gt;="&amp;DATE(YEAR(TODAY()),MONTH(TODAY()),1),Purchase_Entry!A$2:A$5000,"&lt;="&amp;EOMONTH(TODAY(),0))</f>
        <v>46169.09375</v>
      </c>
      <c r="E6" s="50"/>
      <c r="F6" s="50"/>
      <c r="G6" s="49">
        <f>SUMPRODUCT((Stock_Master!F$2:F$5000)*(Stock_Master!H$2:H$5000))</f>
        <v>208131</v>
      </c>
      <c r="H6" s="50"/>
      <c r="I6" s="50"/>
      <c r="J6" s="51">
        <f>COUNTIF(Stock_Master!J$2:J$5000,"Reorder")</f>
        <v>1</v>
      </c>
      <c r="K6" s="50"/>
      <c r="L6" s="50"/>
    </row>
    <row r="7" spans="1:12" ht="22" customHeight="1" x14ac:dyDescent="0.2">
      <c r="A7" s="52" t="s">
        <v>6</v>
      </c>
      <c r="B7" s="53"/>
      <c r="C7" s="53"/>
      <c r="D7" s="52" t="s">
        <v>7</v>
      </c>
      <c r="E7" s="53"/>
      <c r="F7" s="53"/>
      <c r="G7" s="52" t="s">
        <v>8</v>
      </c>
      <c r="H7" s="53"/>
      <c r="I7" s="53"/>
      <c r="J7" s="52" t="s">
        <v>9</v>
      </c>
      <c r="K7" s="53"/>
      <c r="L7" s="53"/>
    </row>
    <row r="8" spans="1:12" ht="50" customHeight="1" x14ac:dyDescent="0.2">
      <c r="A8" s="49">
        <f>SUMIFS(Sales_Entry!J$2:J$5000,Sales_Entry!K$2:K$5000,"Unpaid")+SUMIFS(Sales_Entry!J$2:J$5000,Sales_Entry!K$2:K$5000,"Partial")</f>
        <v>0</v>
      </c>
      <c r="B8" s="50"/>
      <c r="C8" s="50"/>
      <c r="D8" s="49">
        <f>SUMIFS(Purchase_Entry!N$2:N$5000,Purchase_Entry!P$2:P$5000,"Unpaid")+SUMIFS(Purchase_Entry!N$2:N$5000,Purchase_Entry!P$2:P$5000,"Partial")</f>
        <v>27877.9375</v>
      </c>
      <c r="E8" s="50"/>
      <c r="F8" s="50"/>
      <c r="G8" s="51">
        <f>COUNTA(Party_Master!A$2:A$5000)</f>
        <v>9</v>
      </c>
      <c r="H8" s="50"/>
      <c r="I8" s="50"/>
      <c r="J8" s="49">
        <f>IFERROR(INDEX(Daybook!G$2:G$5000,COUNTA(Daybook!A$2:A$5000)),0)</f>
        <v>45200</v>
      </c>
      <c r="K8" s="50"/>
      <c r="L8" s="50"/>
    </row>
    <row r="11" spans="1:12" ht="28" customHeight="1" x14ac:dyDescent="0.2">
      <c r="A11" s="54" t="s">
        <v>10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22" customHeight="1" x14ac:dyDescent="0.2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</row>
    <row r="13" spans="1:12" x14ac:dyDescent="0.2">
      <c r="A13" s="4" t="s">
        <v>17</v>
      </c>
      <c r="B13" s="5">
        <f>SUMIFS(Sales_Entry!J$2:J$5000,Sales_Entry!A$2:A$5000,"&gt;="&amp;DATE(2026,7,1),Sales_Entry!A$2:A$5000,"&lt;="&amp;DATE(2026,7,31))</f>
        <v>0</v>
      </c>
      <c r="C13" s="5">
        <f>SUMIFS(Purchase_Entry!N$2:N$5000,Purchase_Entry!A$2:A$5000,"&gt;="&amp;DATE(2026,7,1),Purchase_Entry!A$2:A$5000,"&lt;="&amp;DATE(2026,7,31))</f>
        <v>46169.09375</v>
      </c>
      <c r="D13" s="6">
        <f t="shared" ref="D13:D18" si="0">B13-C13</f>
        <v>-46169.09375</v>
      </c>
      <c r="E13" s="7">
        <f>COUNTIFS(Sales_Entry!A$2:A$5000,"&gt;="&amp;DATE(2026,7,1),Sales_Entry!A$2:A$5000,"&lt;="&amp;DATE(2026,7,31))</f>
        <v>10</v>
      </c>
      <c r="F13" s="7">
        <f>COUNTIFS(Purchase_Entry!A$2:A$5000,"&gt;="&amp;DATE(2026,7,1),Purchase_Entry!A$2:A$5000,"&lt;="&amp;DATE(2026,7,31))</f>
        <v>8</v>
      </c>
    </row>
    <row r="14" spans="1:12" x14ac:dyDescent="0.2">
      <c r="A14" s="8" t="s">
        <v>18</v>
      </c>
      <c r="B14" s="9">
        <f>SUMIFS(Sales_Entry!J$2:J$5000,Sales_Entry!A$2:A$5000,"&gt;="&amp;DATE(2026,6,1),Sales_Entry!A$2:A$5000,"&lt;="&amp;DATE(2026,6,30))</f>
        <v>0</v>
      </c>
      <c r="C14" s="9">
        <f>SUMIFS(Purchase_Entry!N$2:N$5000,Purchase_Entry!A$2:A$5000,"&gt;="&amp;DATE(2026,6,1),Purchase_Entry!A$2:A$5000,"&lt;="&amp;DATE(2026,6,30))</f>
        <v>0</v>
      </c>
      <c r="D14" s="10">
        <f t="shared" si="0"/>
        <v>0</v>
      </c>
      <c r="E14" s="11">
        <f>COUNTIFS(Sales_Entry!A$2:A$5000,"&gt;="&amp;DATE(2026,6,1),Sales_Entry!A$2:A$5000,"&lt;="&amp;DATE(2026,6,30))</f>
        <v>0</v>
      </c>
      <c r="F14" s="11">
        <f>COUNTIFS(Purchase_Entry!A$2:A$5000,"&gt;="&amp;DATE(2026,6,1),Purchase_Entry!A$2:A$5000,"&lt;="&amp;DATE(2026,6,30))</f>
        <v>0</v>
      </c>
    </row>
    <row r="15" spans="1:12" x14ac:dyDescent="0.2">
      <c r="A15" s="4" t="s">
        <v>19</v>
      </c>
      <c r="B15" s="5">
        <f>SUMIFS(Sales_Entry!J$2:J$5000,Sales_Entry!A$2:A$5000,"&gt;="&amp;DATE(2026,5,1),Sales_Entry!A$2:A$5000,"&lt;="&amp;DATE(2026,5,31))</f>
        <v>0</v>
      </c>
      <c r="C15" s="5">
        <f>SUMIFS(Purchase_Entry!N$2:N$5000,Purchase_Entry!A$2:A$5000,"&gt;="&amp;DATE(2026,5,1),Purchase_Entry!A$2:A$5000,"&lt;="&amp;DATE(2026,5,31))</f>
        <v>0</v>
      </c>
      <c r="D15" s="6">
        <f t="shared" si="0"/>
        <v>0</v>
      </c>
      <c r="E15" s="7">
        <f>COUNTIFS(Sales_Entry!A$2:A$5000,"&gt;="&amp;DATE(2026,5,1),Sales_Entry!A$2:A$5000,"&lt;="&amp;DATE(2026,5,31))</f>
        <v>0</v>
      </c>
      <c r="F15" s="7">
        <f>COUNTIFS(Purchase_Entry!A$2:A$5000,"&gt;="&amp;DATE(2026,5,1),Purchase_Entry!A$2:A$5000,"&lt;="&amp;DATE(2026,5,31))</f>
        <v>0</v>
      </c>
    </row>
    <row r="16" spans="1:12" x14ac:dyDescent="0.2">
      <c r="A16" s="8" t="s">
        <v>20</v>
      </c>
      <c r="B16" s="9">
        <f>SUMIFS(Sales_Entry!J$2:J$5000,Sales_Entry!A$2:A$5000,"&gt;="&amp;DATE(2026,4,1),Sales_Entry!A$2:A$5000,"&lt;="&amp;DATE(2026,4,30))</f>
        <v>0</v>
      </c>
      <c r="C16" s="9">
        <f>SUMIFS(Purchase_Entry!N$2:N$5000,Purchase_Entry!A$2:A$5000,"&gt;="&amp;DATE(2026,4,1),Purchase_Entry!A$2:A$5000,"&lt;="&amp;DATE(2026,4,30))</f>
        <v>0</v>
      </c>
      <c r="D16" s="10">
        <f t="shared" si="0"/>
        <v>0</v>
      </c>
      <c r="E16" s="11">
        <f>COUNTIFS(Sales_Entry!A$2:A$5000,"&gt;="&amp;DATE(2026,4,1),Sales_Entry!A$2:A$5000,"&lt;="&amp;DATE(2026,4,30))</f>
        <v>0</v>
      </c>
      <c r="F16" s="11">
        <f>COUNTIFS(Purchase_Entry!A$2:A$5000,"&gt;="&amp;DATE(2026,4,1),Purchase_Entry!A$2:A$5000,"&lt;="&amp;DATE(2026,4,30))</f>
        <v>0</v>
      </c>
    </row>
    <row r="17" spans="1:12" x14ac:dyDescent="0.2">
      <c r="A17" s="4" t="s">
        <v>21</v>
      </c>
      <c r="B17" s="5">
        <f>SUMIFS(Sales_Entry!J$2:J$5000,Sales_Entry!A$2:A$5000,"&gt;="&amp;DATE(2026,3,1),Sales_Entry!A$2:A$5000,"&lt;="&amp;DATE(2026,3,31))</f>
        <v>0</v>
      </c>
      <c r="C17" s="5">
        <f>SUMIFS(Purchase_Entry!N$2:N$5000,Purchase_Entry!A$2:A$5000,"&gt;="&amp;DATE(2026,3,1),Purchase_Entry!A$2:A$5000,"&lt;="&amp;DATE(2026,3,31))</f>
        <v>0</v>
      </c>
      <c r="D17" s="6">
        <f t="shared" si="0"/>
        <v>0</v>
      </c>
      <c r="E17" s="7">
        <f>COUNTIFS(Sales_Entry!A$2:A$5000,"&gt;="&amp;DATE(2026,3,1),Sales_Entry!A$2:A$5000,"&lt;="&amp;DATE(2026,3,31))</f>
        <v>0</v>
      </c>
      <c r="F17" s="7">
        <f>COUNTIFS(Purchase_Entry!A$2:A$5000,"&gt;="&amp;DATE(2026,3,1),Purchase_Entry!A$2:A$5000,"&lt;="&amp;DATE(2026,3,31))</f>
        <v>0</v>
      </c>
    </row>
    <row r="18" spans="1:12" x14ac:dyDescent="0.2">
      <c r="A18" s="8" t="s">
        <v>22</v>
      </c>
      <c r="B18" s="9">
        <f>SUMIFS(Sales_Entry!J$2:J$5000,Sales_Entry!A$2:A$5000,"&gt;="&amp;DATE(2026,2,1),Sales_Entry!A$2:A$5000,"&lt;="&amp;DATE(2026,2,28))</f>
        <v>0</v>
      </c>
      <c r="C18" s="9">
        <f>SUMIFS(Purchase_Entry!N$2:N$5000,Purchase_Entry!A$2:A$5000,"&gt;="&amp;DATE(2026,2,1),Purchase_Entry!A$2:A$5000,"&lt;="&amp;DATE(2026,2,28))</f>
        <v>0</v>
      </c>
      <c r="D18" s="10">
        <f t="shared" si="0"/>
        <v>0</v>
      </c>
      <c r="E18" s="11">
        <f>COUNTIFS(Sales_Entry!A$2:A$5000,"&gt;="&amp;DATE(2026,2,1),Sales_Entry!A$2:A$5000,"&lt;="&amp;DATE(2026,2,28))</f>
        <v>0</v>
      </c>
      <c r="F18" s="11">
        <f>COUNTIFS(Purchase_Entry!A$2:A$5000,"&gt;="&amp;DATE(2026,2,1),Purchase_Entry!A$2:A$5000,"&lt;="&amp;DATE(2026,2,28))</f>
        <v>0</v>
      </c>
    </row>
    <row r="20" spans="1:12" ht="28" customHeight="1" x14ac:dyDescent="0.2">
      <c r="A20" s="54" t="s">
        <v>23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6" x14ac:dyDescent="0.2">
      <c r="A21" s="3" t="s">
        <v>24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G21" s="3" t="s">
        <v>30</v>
      </c>
    </row>
    <row r="22" spans="1:12" x14ac:dyDescent="0.2">
      <c r="A22" s="12" t="s">
        <v>31</v>
      </c>
      <c r="B22" s="2" t="str">
        <f>IFERROR(VLOOKUP(A22,Party_Master!B$2:I$5000,1,FALSE),"")</f>
        <v/>
      </c>
      <c r="C22" s="5">
        <f>IFERROR(VLOOKUP(A22,Party_Master!B$2:I$5000,4,FALSE),0)</f>
        <v>0</v>
      </c>
      <c r="D22" s="5">
        <f>SUMIF(Party_Ledger!B$2:B$5000,A22,Party_Ledger!F$2:F$5000)</f>
        <v>0</v>
      </c>
      <c r="E22" s="5">
        <f>SUMIF(Party_Ledger!B$2:B$5000,A22,Party_Ledger!G$2:G$5000)</f>
        <v>0</v>
      </c>
      <c r="F22" s="6">
        <f t="shared" ref="F22:F29" si="1">C22+D22-E22</f>
        <v>0</v>
      </c>
      <c r="G22" s="4" t="str">
        <f t="shared" ref="G22:G29" si="2">IF(F22&gt;0,"Receivable",IF(F22&lt;0,"Payable","Settled"))</f>
        <v>Settled</v>
      </c>
    </row>
    <row r="23" spans="1:12" x14ac:dyDescent="0.2">
      <c r="A23" s="12" t="s">
        <v>32</v>
      </c>
      <c r="B23" s="2" t="str">
        <f>IFERROR(VLOOKUP(A23,Party_Master!B$2:I$5000,1,FALSE),"")</f>
        <v/>
      </c>
      <c r="C23" s="5">
        <f>IFERROR(VLOOKUP(A23,Party_Master!B$2:I$5000,4,FALSE),0)</f>
        <v>0</v>
      </c>
      <c r="D23" s="5">
        <f>SUMIF(Party_Ledger!B$2:B$5000,A23,Party_Ledger!F$2:F$5000)</f>
        <v>0</v>
      </c>
      <c r="E23" s="5">
        <f>SUMIF(Party_Ledger!B$2:B$5000,A23,Party_Ledger!G$2:G$5000)</f>
        <v>0</v>
      </c>
      <c r="F23" s="6">
        <f t="shared" si="1"/>
        <v>0</v>
      </c>
      <c r="G23" s="4" t="str">
        <f t="shared" si="2"/>
        <v>Settled</v>
      </c>
    </row>
    <row r="24" spans="1:12" x14ac:dyDescent="0.2">
      <c r="A24" s="12" t="s">
        <v>33</v>
      </c>
      <c r="B24" s="2" t="str">
        <f>IFERROR(VLOOKUP(A24,Party_Master!B$2:I$5000,1,FALSE),"")</f>
        <v/>
      </c>
      <c r="C24" s="5">
        <f>IFERROR(VLOOKUP(A24,Party_Master!B$2:I$5000,4,FALSE),0)</f>
        <v>0</v>
      </c>
      <c r="D24" s="5">
        <f>SUMIF(Party_Ledger!B$2:B$5000,A24,Party_Ledger!F$2:F$5000)</f>
        <v>0</v>
      </c>
      <c r="E24" s="5">
        <f>SUMIF(Party_Ledger!B$2:B$5000,A24,Party_Ledger!G$2:G$5000)</f>
        <v>0</v>
      </c>
      <c r="F24" s="6">
        <f t="shared" si="1"/>
        <v>0</v>
      </c>
      <c r="G24" s="4" t="str">
        <f t="shared" si="2"/>
        <v>Settled</v>
      </c>
    </row>
    <row r="25" spans="1:12" x14ac:dyDescent="0.2">
      <c r="A25" s="12" t="s">
        <v>34</v>
      </c>
      <c r="B25" s="2" t="str">
        <f>IFERROR(VLOOKUP(A25,Party_Master!B$2:I$5000,1,FALSE),"")</f>
        <v/>
      </c>
      <c r="C25" s="5">
        <f>IFERROR(VLOOKUP(A25,Party_Master!B$2:I$5000,4,FALSE),0)</f>
        <v>0</v>
      </c>
      <c r="D25" s="5">
        <f>SUMIF(Party_Ledger!B$2:B$5000,A25,Party_Ledger!F$2:F$5000)</f>
        <v>0</v>
      </c>
      <c r="E25" s="5">
        <f>SUMIF(Party_Ledger!B$2:B$5000,A25,Party_Ledger!G$2:G$5000)</f>
        <v>0</v>
      </c>
      <c r="F25" s="6">
        <f t="shared" si="1"/>
        <v>0</v>
      </c>
      <c r="G25" s="4" t="str">
        <f t="shared" si="2"/>
        <v>Settled</v>
      </c>
    </row>
    <row r="26" spans="1:12" x14ac:dyDescent="0.2">
      <c r="A26" s="12" t="s">
        <v>35</v>
      </c>
      <c r="B26" s="2" t="str">
        <f>IFERROR(VLOOKUP(A26,Party_Master!B$2:I$5000,1,FALSE),"")</f>
        <v/>
      </c>
      <c r="C26" s="5">
        <f>IFERROR(VLOOKUP(A26,Party_Master!B$2:I$5000,4,FALSE),0)</f>
        <v>0</v>
      </c>
      <c r="D26" s="5">
        <f>SUMIF(Party_Ledger!B$2:B$5000,A26,Party_Ledger!F$2:F$5000)</f>
        <v>0</v>
      </c>
      <c r="E26" s="5">
        <f>SUMIF(Party_Ledger!B$2:B$5000,A26,Party_Ledger!G$2:G$5000)</f>
        <v>0</v>
      </c>
      <c r="F26" s="6">
        <f t="shared" si="1"/>
        <v>0</v>
      </c>
      <c r="G26" s="4" t="str">
        <f t="shared" si="2"/>
        <v>Settled</v>
      </c>
    </row>
    <row r="27" spans="1:12" x14ac:dyDescent="0.2">
      <c r="A27" s="12" t="s">
        <v>36</v>
      </c>
      <c r="B27" s="2" t="str">
        <f>IFERROR(VLOOKUP(A27,Party_Master!B$2:I$5000,1,FALSE),"")</f>
        <v/>
      </c>
      <c r="C27" s="5">
        <f>IFERROR(VLOOKUP(A27,Party_Master!B$2:I$5000,4,FALSE),0)</f>
        <v>0</v>
      </c>
      <c r="D27" s="5">
        <f>SUMIF(Party_Ledger!B$2:B$5000,A27,Party_Ledger!F$2:F$5000)</f>
        <v>0</v>
      </c>
      <c r="E27" s="5">
        <f>SUMIF(Party_Ledger!B$2:B$5000,A27,Party_Ledger!G$2:G$5000)</f>
        <v>0</v>
      </c>
      <c r="F27" s="6">
        <f t="shared" si="1"/>
        <v>0</v>
      </c>
      <c r="G27" s="4" t="str">
        <f t="shared" si="2"/>
        <v>Settled</v>
      </c>
    </row>
    <row r="28" spans="1:12" x14ac:dyDescent="0.2">
      <c r="A28" s="12" t="s">
        <v>37</v>
      </c>
      <c r="B28" s="2" t="str">
        <f>IFERROR(VLOOKUP(A28,Party_Master!B$2:I$5000,1,FALSE),"")</f>
        <v/>
      </c>
      <c r="C28" s="5">
        <f>IFERROR(VLOOKUP(A28,Party_Master!B$2:I$5000,4,FALSE),0)</f>
        <v>0</v>
      </c>
      <c r="D28" s="5">
        <f>SUMIF(Party_Ledger!B$2:B$5000,A28,Party_Ledger!F$2:F$5000)</f>
        <v>0</v>
      </c>
      <c r="E28" s="5">
        <f>SUMIF(Party_Ledger!B$2:B$5000,A28,Party_Ledger!G$2:G$5000)</f>
        <v>0</v>
      </c>
      <c r="F28" s="6">
        <f t="shared" si="1"/>
        <v>0</v>
      </c>
      <c r="G28" s="4" t="str">
        <f t="shared" si="2"/>
        <v>Settled</v>
      </c>
    </row>
    <row r="29" spans="1:12" x14ac:dyDescent="0.2">
      <c r="A29" s="12" t="s">
        <v>38</v>
      </c>
      <c r="B29" s="2" t="str">
        <f>IFERROR(VLOOKUP(A29,Party_Master!B$2:I$5000,1,FALSE),"")</f>
        <v/>
      </c>
      <c r="C29" s="5">
        <f>IFERROR(VLOOKUP(A29,Party_Master!B$2:I$5000,4,FALSE),0)</f>
        <v>0</v>
      </c>
      <c r="D29" s="5">
        <f>SUMIF(Party_Ledger!B$2:B$5000,A29,Party_Ledger!F$2:F$5000)</f>
        <v>0</v>
      </c>
      <c r="E29" s="5">
        <f>SUMIF(Party_Ledger!B$2:B$5000,A29,Party_Ledger!G$2:G$5000)</f>
        <v>0</v>
      </c>
      <c r="F29" s="6">
        <f t="shared" si="1"/>
        <v>0</v>
      </c>
      <c r="G29" s="4" t="str">
        <f t="shared" si="2"/>
        <v>Settled</v>
      </c>
    </row>
    <row r="31" spans="1:12" ht="28" customHeight="1" x14ac:dyDescent="0.2">
      <c r="A31" s="54" t="s">
        <v>39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6" x14ac:dyDescent="0.2">
      <c r="A32" s="3" t="s">
        <v>40</v>
      </c>
      <c r="B32" s="3" t="s">
        <v>41</v>
      </c>
      <c r="C32" s="3" t="s">
        <v>42</v>
      </c>
      <c r="D32" s="3" t="s">
        <v>30</v>
      </c>
    </row>
    <row r="33" spans="1:12" x14ac:dyDescent="0.2">
      <c r="A33" s="13" t="str">
        <f>IFERROR(INDEX(Stock_Master!A$2:A$5000,2),"")</f>
        <v>Cow Milk</v>
      </c>
      <c r="B33" s="7">
        <f>IF(A33="","",INDEX(Stock_Master!F$2:F$5000,2))</f>
        <v>595.4</v>
      </c>
      <c r="C33" s="7">
        <f>IF(A33="","",INDEX(Stock_Master!G$2:G$5000,2))</f>
        <v>100</v>
      </c>
      <c r="D33" s="4" t="str">
        <f>IF(A33="","",INDEX(Stock_Master!J$2:J$5000,2))</f>
        <v>In Stock</v>
      </c>
    </row>
    <row r="34" spans="1:12" x14ac:dyDescent="0.2">
      <c r="A34" s="13" t="str">
        <f>IFERROR(INDEX(Stock_Master!A$2:A$5000,3),"")</f>
        <v>Curd (Dahi)</v>
      </c>
      <c r="B34" s="7">
        <f>IF(A34="","",INDEX(Stock_Master!F$2:F$5000,3))</f>
        <v>64.8</v>
      </c>
      <c r="C34" s="7">
        <f>IF(A34="","",INDEX(Stock_Master!G$2:G$5000,3))</f>
        <v>20</v>
      </c>
      <c r="D34" s="4" t="str">
        <f>IF(A34="","",INDEX(Stock_Master!J$2:J$5000,3))</f>
        <v>In Stock</v>
      </c>
    </row>
    <row r="35" spans="1:12" x14ac:dyDescent="0.2">
      <c r="A35" s="13" t="str">
        <f>IFERROR(INDEX(Stock_Master!A$2:A$5000,4),"")</f>
        <v>Ghee</v>
      </c>
      <c r="B35" s="7">
        <f>IF(A35="","",INDEX(Stock_Master!F$2:F$5000,4))</f>
        <v>109.2</v>
      </c>
      <c r="C35" s="7">
        <f>IF(A35="","",INDEX(Stock_Master!G$2:G$5000,4))</f>
        <v>10</v>
      </c>
      <c r="D35" s="4" t="str">
        <f>IF(A35="","",INDEX(Stock_Master!J$2:J$5000,4))</f>
        <v>In Stock</v>
      </c>
    </row>
    <row r="36" spans="1:12" x14ac:dyDescent="0.2">
      <c r="A36" s="13" t="str">
        <f>IFERROR(INDEX(Stock_Master!A$2:A$5000,5),"")</f>
        <v>Paneer</v>
      </c>
      <c r="B36" s="7">
        <f>IF(A36="","",INDEX(Stock_Master!F$2:F$5000,5))</f>
        <v>-16.399999999999999</v>
      </c>
      <c r="C36" s="7">
        <f>IF(A36="","",INDEX(Stock_Master!G$2:G$5000,5))</f>
        <v>5</v>
      </c>
      <c r="D36" s="4" t="str">
        <f>IF(A36="","",INDEX(Stock_Master!J$2:J$5000,5))</f>
        <v>Reorder</v>
      </c>
    </row>
    <row r="37" spans="1:12" x14ac:dyDescent="0.2">
      <c r="A37" s="13" t="str">
        <f>IFERROR(INDEX(Stock_Master!A$2:A$5000,6),"")</f>
        <v>Butter</v>
      </c>
      <c r="B37" s="7">
        <f>IF(A37="","",INDEX(Stock_Master!F$2:F$5000,6))</f>
        <v>20</v>
      </c>
      <c r="C37" s="7">
        <f>IF(A37="","",INDEX(Stock_Master!G$2:G$5000,6))</f>
        <v>5</v>
      </c>
      <c r="D37" s="4" t="str">
        <f>IF(A37="","",INDEX(Stock_Master!J$2:J$5000,6))</f>
        <v>In Stock</v>
      </c>
    </row>
    <row r="38" spans="1:12" x14ac:dyDescent="0.2">
      <c r="A38" s="13" t="str">
        <f>IFERROR(INDEX(Stock_Master!A$2:A$5000,7),"")</f>
        <v>Buttermilk</v>
      </c>
      <c r="B38" s="7">
        <f>IF(A38="","",INDEX(Stock_Master!F$2:F$5000,7))</f>
        <v>60</v>
      </c>
      <c r="C38" s="7">
        <f>IF(A38="","",INDEX(Stock_Master!G$2:G$5000,7))</f>
        <v>15</v>
      </c>
      <c r="D38" s="4" t="str">
        <f>IF(A38="","",INDEX(Stock_Master!J$2:J$5000,7))</f>
        <v>In Stock</v>
      </c>
    </row>
    <row r="39" spans="1:12" x14ac:dyDescent="0.2">
      <c r="A39" s="13" t="str">
        <f>IFERROR(INDEX(Stock_Master!A$2:A$5000,8),"")</f>
        <v>Khoya</v>
      </c>
      <c r="B39" s="7">
        <f>IF(A39="","",INDEX(Stock_Master!F$2:F$5000,8))</f>
        <v>15</v>
      </c>
      <c r="C39" s="7">
        <f>IF(A39="","",INDEX(Stock_Master!G$2:G$5000,8))</f>
        <v>5</v>
      </c>
      <c r="D39" s="4" t="str">
        <f>IF(A39="","",INDEX(Stock_Master!J$2:J$5000,8))</f>
        <v>In Stock</v>
      </c>
    </row>
    <row r="40" spans="1:12" x14ac:dyDescent="0.2">
      <c r="A40" s="13">
        <f>IFERROR(INDEX(Stock_Master!A$2:A$5000,9),"")</f>
        <v>0</v>
      </c>
      <c r="B40" s="7">
        <f>IF(A40="","",INDEX(Stock_Master!F$2:F$5000,9))</f>
        <v>0</v>
      </c>
      <c r="C40" s="7">
        <f>IF(A40="","",INDEX(Stock_Master!G$2:G$5000,9))</f>
        <v>0</v>
      </c>
      <c r="D40" s="4">
        <f>IF(A40="","",INDEX(Stock_Master!J$2:J$5000,9))</f>
        <v>0</v>
      </c>
    </row>
    <row r="42" spans="1:12" ht="28" customHeight="1" x14ac:dyDescent="0.2">
      <c r="A42" s="54" t="s">
        <v>43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6" x14ac:dyDescent="0.2">
      <c r="A43" s="3" t="s">
        <v>44</v>
      </c>
      <c r="B43" s="3" t="s">
        <v>25</v>
      </c>
      <c r="C43" s="3" t="s">
        <v>45</v>
      </c>
      <c r="D43" s="3" t="s">
        <v>46</v>
      </c>
      <c r="E43" s="3" t="s">
        <v>47</v>
      </c>
      <c r="F43" s="3" t="s">
        <v>30</v>
      </c>
    </row>
    <row r="44" spans="1:12" x14ac:dyDescent="0.2">
      <c r="A44" s="14">
        <f>IFERROR(INDEX(Sales_Entry!A$2:A$5000,2),"")</f>
        <v>46216</v>
      </c>
      <c r="B44" s="15" t="s">
        <v>48</v>
      </c>
      <c r="C44" s="2" t="str">
        <f>IFERROR(INDEX(Sales_Entry!C$2:C$5000,2),"")</f>
        <v>Bhatbhateni Supermarket</v>
      </c>
      <c r="D44" s="2" t="str">
        <f>IFERROR(INDEX(Sales_Entry!B$2:B$5000,2),"")</f>
        <v>INV-1002</v>
      </c>
      <c r="E44" s="5" t="str">
        <f>IFERROR(INDEX(Sales_Entry!J$2:J$5000,2),"")</f>
        <v>Credit</v>
      </c>
      <c r="F44" s="2" t="str">
        <f>IFERROR(INDEX(Sales_Entry!K$2:K$5000,2),"")</f>
        <v>Unpaid</v>
      </c>
    </row>
    <row r="45" spans="1:12" x14ac:dyDescent="0.2">
      <c r="A45" s="14">
        <f>IFERROR(INDEX(Sales_Entry!A$2:A$5000,3),"")</f>
        <v>46215</v>
      </c>
      <c r="B45" s="15" t="s">
        <v>48</v>
      </c>
      <c r="C45" s="2" t="str">
        <f>IFERROR(INDEX(Sales_Entry!C$2:C$5000,3),"")</f>
        <v>Patan Co-op</v>
      </c>
      <c r="D45" s="2" t="str">
        <f>IFERROR(INDEX(Sales_Entry!B$2:B$5000,3),"")</f>
        <v>INV-1003</v>
      </c>
      <c r="E45" s="5" t="str">
        <f>IFERROR(INDEX(Sales_Entry!J$2:J$5000,3),"")</f>
        <v>Bank Transfer</v>
      </c>
      <c r="F45" s="2" t="str">
        <f>IFERROR(INDEX(Sales_Entry!K$2:K$5000,3),"")</f>
        <v>Partial</v>
      </c>
    </row>
    <row r="46" spans="1:12" x14ac:dyDescent="0.2">
      <c r="A46" s="14">
        <f>IFERROR(INDEX(Sales_Entry!A$2:A$5000,4),"")</f>
        <v>46214</v>
      </c>
      <c r="B46" s="15" t="s">
        <v>48</v>
      </c>
      <c r="C46" s="2" t="str">
        <f>IFERROR(INDEX(Sales_Entry!C$2:C$5000,4),"")</f>
        <v>Hotel Annapurna</v>
      </c>
      <c r="D46" s="2" t="str">
        <f>IFERROR(INDEX(Sales_Entry!B$2:B$5000,4),"")</f>
        <v>INV-1004</v>
      </c>
      <c r="E46" s="5" t="str">
        <f>IFERROR(INDEX(Sales_Entry!J$2:J$5000,4),"")</f>
        <v>UPI</v>
      </c>
      <c r="F46" s="2" t="str">
        <f>IFERROR(INDEX(Sales_Entry!K$2:K$5000,4),"")</f>
        <v>Paid</v>
      </c>
    </row>
    <row r="47" spans="1:12" x14ac:dyDescent="0.2">
      <c r="A47" s="14">
        <f>IFERROR(INDEX(Sales_Entry!A$2:A$5000,5),"")</f>
        <v>46213</v>
      </c>
      <c r="B47" s="15" t="s">
        <v>48</v>
      </c>
      <c r="C47" s="2" t="str">
        <f>IFERROR(INDEX(Sales_Entry!C$2:C$5000,5),"")</f>
        <v>Khadgi Sweets</v>
      </c>
      <c r="D47" s="2" t="str">
        <f>IFERROR(INDEX(Sales_Entry!B$2:B$5000,5),"")</f>
        <v>INV-1005</v>
      </c>
      <c r="E47" s="5" t="str">
        <f>IFERROR(INDEX(Sales_Entry!J$2:J$5000,5),"")</f>
        <v>Cheque</v>
      </c>
      <c r="F47" s="2" t="str">
        <f>IFERROR(INDEX(Sales_Entry!K$2:K$5000,5),"")</f>
        <v>Unpaid</v>
      </c>
    </row>
    <row r="48" spans="1:12" x14ac:dyDescent="0.2">
      <c r="A48" s="14">
        <f>IFERROR(INDEX(Sales_Entry!A$2:A$5000,6),"")</f>
        <v>46212</v>
      </c>
      <c r="B48" s="15" t="s">
        <v>48</v>
      </c>
      <c r="C48" s="2" t="str">
        <f>IFERROR(INDEX(Sales_Entry!C$2:C$5000,6),"")</f>
        <v>Sharma Dairy Shop</v>
      </c>
      <c r="D48" s="2" t="str">
        <f>IFERROR(INDEX(Sales_Entry!B$2:B$5000,6),"")</f>
        <v>INV-1006</v>
      </c>
      <c r="E48" s="5" t="str">
        <f>IFERROR(INDEX(Sales_Entry!J$2:J$5000,6),"")</f>
        <v>Cash</v>
      </c>
      <c r="F48" s="2" t="str">
        <f>IFERROR(INDEX(Sales_Entry!K$2:K$5000,6),"")</f>
        <v>Partial</v>
      </c>
    </row>
  </sheetData>
  <autoFilter ref="A21:G29" xr:uid="{00000000-0009-0000-0000-000000000000}"/>
  <mergeCells count="22">
    <mergeCell ref="A42:L42"/>
    <mergeCell ref="A5:C5"/>
    <mergeCell ref="G5:I5"/>
    <mergeCell ref="A8:C8"/>
    <mergeCell ref="D8:F8"/>
    <mergeCell ref="A20:L20"/>
    <mergeCell ref="D5:F5"/>
    <mergeCell ref="A31:L31"/>
    <mergeCell ref="J8:L8"/>
    <mergeCell ref="J5:L5"/>
    <mergeCell ref="A11:L11"/>
    <mergeCell ref="J6:L6"/>
    <mergeCell ref="G6:I6"/>
    <mergeCell ref="D7:F7"/>
    <mergeCell ref="J7:L7"/>
    <mergeCell ref="A1:L1"/>
    <mergeCell ref="A6:C6"/>
    <mergeCell ref="D6:F6"/>
    <mergeCell ref="G8:I8"/>
    <mergeCell ref="A7:C7"/>
    <mergeCell ref="G7:I7"/>
    <mergeCell ref="A2:L2"/>
  </mergeCells>
  <conditionalFormatting sqref="D44:D49">
    <cfRule type="cellIs" dxfId="24" priority="1" operator="lessThan">
      <formula>0</formula>
    </cfRule>
  </conditionalFormatting>
  <pageMargins left="0.5" right="0.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CC71"/>
  </sheetPr>
  <dimension ref="A1:L20"/>
  <sheetViews>
    <sheetView workbookViewId="0">
      <pane ySplit="8" topLeftCell="A9" activePane="bottomLeft" state="frozen"/>
      <selection pane="bottomLeft" activeCell="G39" sqref="G39"/>
    </sheetView>
  </sheetViews>
  <sheetFormatPr baseColWidth="10" defaultColWidth="8.83203125" defaultRowHeight="15" x14ac:dyDescent="0.2"/>
  <cols>
    <col min="1" max="1" width="14" customWidth="1"/>
    <col min="2" max="2" width="26" customWidth="1"/>
    <col min="3" max="3" width="16" customWidth="1"/>
    <col min="4" max="7" width="14" customWidth="1"/>
    <col min="8" max="8" width="36" customWidth="1"/>
  </cols>
  <sheetData>
    <row r="1" spans="1:12" ht="24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2">
      <c r="A2" s="55" t="s">
        <v>49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4" spans="1:12" ht="16" x14ac:dyDescent="0.2">
      <c r="A4" s="56" t="s">
        <v>50</v>
      </c>
      <c r="B4" s="48"/>
      <c r="C4" s="48"/>
      <c r="D4" s="48"/>
      <c r="E4" s="48"/>
      <c r="F4" s="48"/>
      <c r="G4" s="48"/>
      <c r="H4" s="48"/>
    </row>
    <row r="5" spans="1:12" x14ac:dyDescent="0.2">
      <c r="A5" s="57" t="s">
        <v>51</v>
      </c>
      <c r="B5" s="48"/>
      <c r="C5" s="48"/>
      <c r="D5" s="48"/>
      <c r="E5" s="48"/>
      <c r="F5" s="48"/>
      <c r="G5" s="48"/>
      <c r="H5" s="48"/>
    </row>
    <row r="6" spans="1:12" x14ac:dyDescent="0.2">
      <c r="A6" s="57" t="s">
        <v>52</v>
      </c>
      <c r="B6" s="48"/>
      <c r="C6" s="48"/>
      <c r="D6" s="48"/>
      <c r="E6" s="48"/>
      <c r="F6" s="48"/>
      <c r="G6" s="48"/>
      <c r="H6" s="48"/>
    </row>
    <row r="8" spans="1:12" ht="16" x14ac:dyDescent="0.2">
      <c r="A8" s="3" t="s">
        <v>44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</row>
    <row r="9" spans="1:12" x14ac:dyDescent="0.2">
      <c r="A9" s="18">
        <v>46082</v>
      </c>
      <c r="B9" s="19" t="s">
        <v>26</v>
      </c>
      <c r="C9" s="19" t="s">
        <v>60</v>
      </c>
      <c r="D9" s="19"/>
      <c r="E9" s="19"/>
      <c r="F9" s="19">
        <v>50000</v>
      </c>
      <c r="G9" s="19">
        <v>50000</v>
      </c>
      <c r="H9" s="19" t="s">
        <v>61</v>
      </c>
    </row>
    <row r="10" spans="1:12" x14ac:dyDescent="0.2">
      <c r="A10" s="20">
        <v>46207</v>
      </c>
      <c r="B10" s="21" t="s">
        <v>62</v>
      </c>
      <c r="C10" s="21" t="s">
        <v>63</v>
      </c>
      <c r="D10" s="21" t="s">
        <v>64</v>
      </c>
      <c r="E10" s="21"/>
      <c r="F10" s="21">
        <v>5800</v>
      </c>
      <c r="G10" s="22">
        <f t="shared" ref="G10:G19" si="0">G9+IF(F10="",0,F10)-IF(E10="",0,E10)</f>
        <v>55800</v>
      </c>
      <c r="H10" s="21" t="s">
        <v>65</v>
      </c>
    </row>
    <row r="11" spans="1:12" x14ac:dyDescent="0.2">
      <c r="A11" s="18">
        <v>46208</v>
      </c>
      <c r="B11" s="19" t="s">
        <v>66</v>
      </c>
      <c r="C11" s="19" t="s">
        <v>67</v>
      </c>
      <c r="D11" s="19" t="s">
        <v>68</v>
      </c>
      <c r="E11" s="19">
        <v>15300</v>
      </c>
      <c r="F11" s="19"/>
      <c r="G11" s="23">
        <f t="shared" si="0"/>
        <v>40500</v>
      </c>
      <c r="H11" s="19" t="s">
        <v>69</v>
      </c>
    </row>
    <row r="12" spans="1:12" x14ac:dyDescent="0.2">
      <c r="A12" s="20">
        <v>46209</v>
      </c>
      <c r="B12" s="21" t="s">
        <v>70</v>
      </c>
      <c r="C12" s="21" t="s">
        <v>63</v>
      </c>
      <c r="D12" s="21" t="s">
        <v>71</v>
      </c>
      <c r="E12" s="21"/>
      <c r="F12" s="21">
        <v>4200</v>
      </c>
      <c r="G12" s="22">
        <f t="shared" si="0"/>
        <v>44700</v>
      </c>
      <c r="H12" s="21" t="s">
        <v>72</v>
      </c>
    </row>
    <row r="13" spans="1:12" x14ac:dyDescent="0.2">
      <c r="A13" s="18">
        <v>46210</v>
      </c>
      <c r="B13" s="19" t="s">
        <v>73</v>
      </c>
      <c r="C13" s="19" t="s">
        <v>74</v>
      </c>
      <c r="D13" s="19" t="s">
        <v>75</v>
      </c>
      <c r="E13" s="19">
        <v>12000</v>
      </c>
      <c r="F13" s="19"/>
      <c r="G13" s="23">
        <f t="shared" si="0"/>
        <v>32700</v>
      </c>
      <c r="H13" s="19" t="s">
        <v>76</v>
      </c>
    </row>
    <row r="14" spans="1:12" x14ac:dyDescent="0.2">
      <c r="A14" s="20">
        <v>46211</v>
      </c>
      <c r="B14" s="21" t="s">
        <v>77</v>
      </c>
      <c r="C14" s="21" t="s">
        <v>63</v>
      </c>
      <c r="D14" s="21" t="s">
        <v>78</v>
      </c>
      <c r="E14" s="21"/>
      <c r="F14" s="21">
        <v>8500</v>
      </c>
      <c r="G14" s="22">
        <f t="shared" si="0"/>
        <v>41200</v>
      </c>
      <c r="H14" s="21" t="s">
        <v>79</v>
      </c>
    </row>
    <row r="15" spans="1:12" x14ac:dyDescent="0.2">
      <c r="A15" s="18">
        <v>46212</v>
      </c>
      <c r="B15" s="19" t="s">
        <v>80</v>
      </c>
      <c r="C15" s="19" t="s">
        <v>74</v>
      </c>
      <c r="D15" s="19" t="s">
        <v>81</v>
      </c>
      <c r="E15" s="19">
        <v>2500</v>
      </c>
      <c r="F15" s="19"/>
      <c r="G15" s="23">
        <f t="shared" si="0"/>
        <v>38700</v>
      </c>
      <c r="H15" s="19" t="s">
        <v>82</v>
      </c>
    </row>
    <row r="16" spans="1:12" x14ac:dyDescent="0.2">
      <c r="A16" s="20">
        <v>46213</v>
      </c>
      <c r="B16" s="21" t="s">
        <v>62</v>
      </c>
      <c r="C16" s="21" t="s">
        <v>83</v>
      </c>
      <c r="D16" s="21" t="s">
        <v>84</v>
      </c>
      <c r="E16" s="21"/>
      <c r="F16" s="21">
        <v>10000</v>
      </c>
      <c r="G16" s="22">
        <f t="shared" si="0"/>
        <v>48700</v>
      </c>
      <c r="H16" s="21" t="s">
        <v>85</v>
      </c>
    </row>
    <row r="17" spans="1:8" x14ac:dyDescent="0.2">
      <c r="A17" s="18">
        <v>46214</v>
      </c>
      <c r="B17" s="19" t="s">
        <v>86</v>
      </c>
      <c r="C17" s="19" t="s">
        <v>74</v>
      </c>
      <c r="D17" s="19" t="s">
        <v>87</v>
      </c>
      <c r="E17" s="19">
        <v>3500</v>
      </c>
      <c r="F17" s="19"/>
      <c r="G17" s="23">
        <f t="shared" si="0"/>
        <v>45200</v>
      </c>
      <c r="H17" s="19" t="s">
        <v>88</v>
      </c>
    </row>
    <row r="18" spans="1:8" x14ac:dyDescent="0.2">
      <c r="A18" s="20">
        <v>46215</v>
      </c>
      <c r="B18" s="21" t="s">
        <v>89</v>
      </c>
      <c r="C18" s="21" t="s">
        <v>67</v>
      </c>
      <c r="D18" s="21" t="s">
        <v>90</v>
      </c>
      <c r="E18" s="21">
        <v>12500</v>
      </c>
      <c r="F18" s="21"/>
      <c r="G18" s="22">
        <f t="shared" si="0"/>
        <v>32700</v>
      </c>
      <c r="H18" s="21" t="s">
        <v>91</v>
      </c>
    </row>
    <row r="19" spans="1:8" x14ac:dyDescent="0.2">
      <c r="A19" s="18">
        <v>46216</v>
      </c>
      <c r="B19" s="19" t="s">
        <v>92</v>
      </c>
      <c r="C19" s="19" t="s">
        <v>63</v>
      </c>
      <c r="D19" s="19" t="s">
        <v>93</v>
      </c>
      <c r="E19" s="19"/>
      <c r="F19" s="19">
        <v>3200</v>
      </c>
      <c r="G19" s="23">
        <f t="shared" si="0"/>
        <v>35900</v>
      </c>
      <c r="H19" s="19" t="s">
        <v>94</v>
      </c>
    </row>
    <row r="20" spans="1:8" x14ac:dyDescent="0.2">
      <c r="A20" s="24"/>
      <c r="B20" s="24"/>
      <c r="C20" s="25" t="s">
        <v>95</v>
      </c>
      <c r="D20" s="24"/>
      <c r="E20" s="26">
        <f>SUM(E9:E19)</f>
        <v>45800</v>
      </c>
      <c r="F20" s="26">
        <f>SUM(F9:F19)</f>
        <v>81700</v>
      </c>
      <c r="G20" s="24"/>
      <c r="H20" s="24"/>
    </row>
  </sheetData>
  <mergeCells count="5">
    <mergeCell ref="A4:H4"/>
    <mergeCell ref="A2:L2"/>
    <mergeCell ref="A1:L1"/>
    <mergeCell ref="A5:H5"/>
    <mergeCell ref="A6:H6"/>
  </mergeCells>
  <conditionalFormatting sqref="A9:H5000">
    <cfRule type="expression" dxfId="23" priority="1">
      <formula>$E9&gt;0</formula>
    </cfRule>
    <cfRule type="expression" dxfId="22" priority="2">
      <formula>$F9&gt;0</formula>
    </cfRule>
  </conditionalFormatting>
  <conditionalFormatting sqref="G9:G5000">
    <cfRule type="cellIs" dxfId="21" priority="3" operator="lessThan">
      <formula>0</formula>
    </cfRule>
  </conditionalFormatting>
  <dataValidations count="1">
    <dataValidation type="list" allowBlank="1" showInputMessage="1" showErrorMessage="1" errorTitle="Voucher Type" error="Select transaction type" promptTitle="Voucher Type" prompt="Select voucher type from the list" sqref="C9:C5000" xr:uid="{00000000-0002-0000-0100-000000000000}">
      <formula1>"Sale,Purchase,Receipt,Payment,Opening,Expense,Income,Transfer,Adjustment"</formula1>
    </dataValidation>
  </dataValidations>
  <pageMargins left="0.75" right="0.75" top="1" bottom="1" header="0.5" footer="0.5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L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24" customWidth="1"/>
    <col min="4" max="4" width="20" customWidth="1"/>
    <col min="5" max="6" width="10" customWidth="1"/>
    <col min="7" max="7" width="12" customWidth="1"/>
    <col min="8" max="8" width="10" customWidth="1"/>
    <col min="9" max="10" width="14" customWidth="1"/>
    <col min="11" max="11" width="10" customWidth="1"/>
    <col min="12" max="12" width="22" customWidth="1"/>
  </cols>
  <sheetData>
    <row r="1" spans="1:12" ht="16" x14ac:dyDescent="0.2">
      <c r="A1" s="3" t="s">
        <v>44</v>
      </c>
      <c r="B1" s="3" t="s">
        <v>96</v>
      </c>
      <c r="C1" s="3" t="s">
        <v>24</v>
      </c>
      <c r="D1" s="3" t="s">
        <v>40</v>
      </c>
      <c r="E1" s="3" t="s">
        <v>97</v>
      </c>
      <c r="F1" s="3" t="s">
        <v>98</v>
      </c>
      <c r="G1" s="3" t="s">
        <v>47</v>
      </c>
      <c r="H1" s="3" t="s">
        <v>99</v>
      </c>
      <c r="I1" s="3" t="s">
        <v>100</v>
      </c>
      <c r="J1" s="3" t="s">
        <v>101</v>
      </c>
      <c r="K1" s="3" t="s">
        <v>30</v>
      </c>
      <c r="L1" s="3" t="s">
        <v>102</v>
      </c>
    </row>
    <row r="2" spans="1:12" x14ac:dyDescent="0.2">
      <c r="A2" s="18">
        <v>46217</v>
      </c>
      <c r="B2" s="19" t="s">
        <v>64</v>
      </c>
      <c r="C2" s="19" t="s">
        <v>62</v>
      </c>
      <c r="D2" s="19" t="s">
        <v>103</v>
      </c>
      <c r="E2" s="27">
        <v>5</v>
      </c>
      <c r="F2" s="19">
        <v>60</v>
      </c>
      <c r="G2" s="27">
        <f t="shared" ref="G2:G11" si="0">E2*F2</f>
        <v>300</v>
      </c>
      <c r="H2" s="19">
        <v>0</v>
      </c>
      <c r="I2" s="27">
        <f t="shared" ref="I2:I11" si="1">G2-(G2*H2/100)</f>
        <v>300</v>
      </c>
      <c r="J2" s="19" t="s">
        <v>104</v>
      </c>
      <c r="K2" s="19" t="s">
        <v>105</v>
      </c>
      <c r="L2" s="19"/>
    </row>
    <row r="3" spans="1:12" x14ac:dyDescent="0.2">
      <c r="A3" s="20">
        <v>46216</v>
      </c>
      <c r="B3" s="21" t="s">
        <v>78</v>
      </c>
      <c r="C3" s="21" t="s">
        <v>77</v>
      </c>
      <c r="D3" s="21" t="s">
        <v>106</v>
      </c>
      <c r="E3" s="28">
        <v>7.8</v>
      </c>
      <c r="F3" s="21">
        <v>65</v>
      </c>
      <c r="G3" s="28">
        <f t="shared" si="0"/>
        <v>507</v>
      </c>
      <c r="H3" s="28">
        <v>2.5</v>
      </c>
      <c r="I3" s="28">
        <f t="shared" si="1"/>
        <v>494.32499999999999</v>
      </c>
      <c r="J3" s="21" t="s">
        <v>107</v>
      </c>
      <c r="K3" s="21" t="s">
        <v>108</v>
      </c>
      <c r="L3" s="21"/>
    </row>
    <row r="4" spans="1:12" x14ac:dyDescent="0.2">
      <c r="A4" s="18">
        <v>46215</v>
      </c>
      <c r="B4" s="19" t="s">
        <v>93</v>
      </c>
      <c r="C4" s="19" t="s">
        <v>109</v>
      </c>
      <c r="D4" s="19" t="s">
        <v>110</v>
      </c>
      <c r="E4" s="27">
        <v>10.6</v>
      </c>
      <c r="F4" s="19">
        <v>100</v>
      </c>
      <c r="G4" s="27">
        <f t="shared" si="0"/>
        <v>1060</v>
      </c>
      <c r="H4" s="27">
        <v>2.5</v>
      </c>
      <c r="I4" s="27">
        <f t="shared" si="1"/>
        <v>1033.5</v>
      </c>
      <c r="J4" s="19" t="s">
        <v>111</v>
      </c>
      <c r="K4" s="19" t="s">
        <v>112</v>
      </c>
      <c r="L4" s="19"/>
    </row>
    <row r="5" spans="1:12" x14ac:dyDescent="0.2">
      <c r="A5" s="20">
        <v>46214</v>
      </c>
      <c r="B5" s="21" t="s">
        <v>113</v>
      </c>
      <c r="C5" s="21" t="s">
        <v>92</v>
      </c>
      <c r="D5" s="21" t="s">
        <v>114</v>
      </c>
      <c r="E5" s="28">
        <v>13.4</v>
      </c>
      <c r="F5" s="21">
        <v>650</v>
      </c>
      <c r="G5" s="28">
        <f t="shared" si="0"/>
        <v>8710</v>
      </c>
      <c r="H5" s="28">
        <v>2.5</v>
      </c>
      <c r="I5" s="28">
        <f t="shared" si="1"/>
        <v>8492.25</v>
      </c>
      <c r="J5" s="21" t="s">
        <v>115</v>
      </c>
      <c r="K5" s="21" t="s">
        <v>105</v>
      </c>
      <c r="L5" s="21"/>
    </row>
    <row r="6" spans="1:12" x14ac:dyDescent="0.2">
      <c r="A6" s="18">
        <v>46213</v>
      </c>
      <c r="B6" s="19" t="s">
        <v>116</v>
      </c>
      <c r="C6" s="19" t="s">
        <v>117</v>
      </c>
      <c r="D6" s="19" t="s">
        <v>118</v>
      </c>
      <c r="E6" s="27">
        <v>16.2</v>
      </c>
      <c r="F6" s="19">
        <v>350</v>
      </c>
      <c r="G6" s="27">
        <f t="shared" si="0"/>
        <v>5670</v>
      </c>
      <c r="H6" s="19">
        <v>0</v>
      </c>
      <c r="I6" s="27">
        <f t="shared" si="1"/>
        <v>5670</v>
      </c>
      <c r="J6" s="19" t="s">
        <v>119</v>
      </c>
      <c r="K6" s="19" t="s">
        <v>108</v>
      </c>
      <c r="L6" s="19"/>
    </row>
    <row r="7" spans="1:12" x14ac:dyDescent="0.2">
      <c r="A7" s="20">
        <v>46212</v>
      </c>
      <c r="B7" s="21" t="s">
        <v>120</v>
      </c>
      <c r="C7" s="21" t="s">
        <v>62</v>
      </c>
      <c r="D7" s="21" t="s">
        <v>103</v>
      </c>
      <c r="E7" s="28">
        <v>19</v>
      </c>
      <c r="F7" s="21">
        <v>60</v>
      </c>
      <c r="G7" s="28">
        <f t="shared" si="0"/>
        <v>1140</v>
      </c>
      <c r="H7" s="28">
        <v>2.5</v>
      </c>
      <c r="I7" s="28">
        <f t="shared" si="1"/>
        <v>1111.5</v>
      </c>
      <c r="J7" s="21" t="s">
        <v>104</v>
      </c>
      <c r="K7" s="21" t="s">
        <v>112</v>
      </c>
      <c r="L7" s="21"/>
    </row>
    <row r="8" spans="1:12" x14ac:dyDescent="0.2">
      <c r="A8" s="18">
        <v>46211</v>
      </c>
      <c r="B8" s="19" t="s">
        <v>121</v>
      </c>
      <c r="C8" s="19" t="s">
        <v>77</v>
      </c>
      <c r="D8" s="19" t="s">
        <v>106</v>
      </c>
      <c r="E8" s="27">
        <v>21.8</v>
      </c>
      <c r="F8" s="19">
        <v>65</v>
      </c>
      <c r="G8" s="27">
        <f t="shared" si="0"/>
        <v>1417</v>
      </c>
      <c r="H8" s="27">
        <v>2.5</v>
      </c>
      <c r="I8" s="27">
        <f t="shared" si="1"/>
        <v>1381.575</v>
      </c>
      <c r="J8" s="19" t="s">
        <v>107</v>
      </c>
      <c r="K8" s="19" t="s">
        <v>105</v>
      </c>
      <c r="L8" s="19"/>
    </row>
    <row r="9" spans="1:12" x14ac:dyDescent="0.2">
      <c r="A9" s="20">
        <v>46210</v>
      </c>
      <c r="B9" s="21" t="s">
        <v>122</v>
      </c>
      <c r="C9" s="21" t="s">
        <v>109</v>
      </c>
      <c r="D9" s="21" t="s">
        <v>110</v>
      </c>
      <c r="E9" s="28">
        <v>24.6</v>
      </c>
      <c r="F9" s="21">
        <v>100</v>
      </c>
      <c r="G9" s="28">
        <f t="shared" si="0"/>
        <v>2460</v>
      </c>
      <c r="H9" s="28">
        <v>2.5</v>
      </c>
      <c r="I9" s="28">
        <f t="shared" si="1"/>
        <v>2398.5</v>
      </c>
      <c r="J9" s="21" t="s">
        <v>111</v>
      </c>
      <c r="K9" s="21" t="s">
        <v>108</v>
      </c>
      <c r="L9" s="21"/>
    </row>
    <row r="10" spans="1:12" x14ac:dyDescent="0.2">
      <c r="A10" s="18">
        <v>46209</v>
      </c>
      <c r="B10" s="19" t="s">
        <v>123</v>
      </c>
      <c r="C10" s="19" t="s">
        <v>92</v>
      </c>
      <c r="D10" s="19" t="s">
        <v>114</v>
      </c>
      <c r="E10" s="27">
        <v>27.4</v>
      </c>
      <c r="F10" s="19">
        <v>650</v>
      </c>
      <c r="G10" s="27">
        <f t="shared" si="0"/>
        <v>17810</v>
      </c>
      <c r="H10" s="19">
        <v>0</v>
      </c>
      <c r="I10" s="27">
        <f t="shared" si="1"/>
        <v>17810</v>
      </c>
      <c r="J10" s="19" t="s">
        <v>115</v>
      </c>
      <c r="K10" s="19" t="s">
        <v>112</v>
      </c>
      <c r="L10" s="19"/>
    </row>
    <row r="11" spans="1:12" x14ac:dyDescent="0.2">
      <c r="A11" s="20">
        <v>46208</v>
      </c>
      <c r="B11" s="21" t="s">
        <v>124</v>
      </c>
      <c r="C11" s="21" t="s">
        <v>117</v>
      </c>
      <c r="D11" s="21" t="s">
        <v>118</v>
      </c>
      <c r="E11" s="28">
        <v>30.2</v>
      </c>
      <c r="F11" s="21">
        <v>350</v>
      </c>
      <c r="G11" s="28">
        <f t="shared" si="0"/>
        <v>10570</v>
      </c>
      <c r="H11" s="28">
        <v>2.5</v>
      </c>
      <c r="I11" s="28">
        <f t="shared" si="1"/>
        <v>10305.75</v>
      </c>
      <c r="J11" s="21" t="s">
        <v>119</v>
      </c>
      <c r="K11" s="21" t="s">
        <v>105</v>
      </c>
      <c r="L11" s="21"/>
    </row>
  </sheetData>
  <conditionalFormatting sqref="A2:L5000">
    <cfRule type="expression" dxfId="20" priority="1">
      <formula>$K2="Unpaid"</formula>
    </cfRule>
    <cfRule type="expression" dxfId="19" priority="2">
      <formula>$K2="Partial"</formula>
    </cfRule>
    <cfRule type="expression" dxfId="18" priority="3">
      <formula>$K2="Paid"</formula>
    </cfRule>
  </conditionalFormatting>
  <dataValidations count="4">
    <dataValidation type="list" allowBlank="1" showInputMessage="1" showErrorMessage="1" errorTitle="Party Name" error="Select a customer/party" promptTitle="Party Name" prompt="Select party name from the list" sqref="C2:C5000" xr:uid="{00000000-0002-0000-0200-000000000000}">
      <formula1>"Sharma Dairy Shop,Bhatbhateni Supermarket,Patan Co-op,Hotel Annapurna,Khadgi Sweets"</formula1>
    </dataValidation>
    <dataValidation type="list" allowBlank="1" showInputMessage="1" showErrorMessage="1" errorTitle="Product" error="Select a product" promptTitle="Product" prompt="Select product from the list" sqref="D2:D5000" xr:uid="{00000000-0002-0000-0200-000001000000}">
      <formula1>"Raw Milk,Cow Milk,Curd (Dahi),Ghee,Paneer"</formula1>
    </dataValidation>
    <dataValidation type="list" allowBlank="1" showInputMessage="1" showErrorMessage="1" errorTitle="Payment Mode" error="Select payment mode" promptTitle="Payment Mode" prompt="Select payment mode from the list" sqref="J2:J5000" xr:uid="{00000000-0002-0000-0200-000002000000}">
      <formula1>"Cash,Credit,Bank Transfer,UPI,Cheque"</formula1>
    </dataValidation>
    <dataValidation type="list" allowBlank="1" showInputMessage="1" showErrorMessage="1" errorTitle="Status" error="Select payment status" promptTitle="Status" prompt="Select status from the list" sqref="K2:K5000" xr:uid="{00000000-0002-0000-0200-000003000000}">
      <formula1>"Paid,Unpaid,Partial"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4C3C"/>
  </sheetPr>
  <dimension ref="A1:Q19"/>
  <sheetViews>
    <sheetView workbookViewId="0">
      <pane ySplit="1" topLeftCell="A2" activePane="bottomLeft" state="frozen"/>
      <selection pane="bottomLeft" activeCell="Q8" sqref="Q8"/>
    </sheetView>
  </sheetViews>
  <sheetFormatPr baseColWidth="10" defaultColWidth="8.83203125" defaultRowHeight="15" x14ac:dyDescent="0.2"/>
  <cols>
    <col min="1" max="2" width="14" customWidth="1"/>
    <col min="3" max="3" width="24" customWidth="1"/>
    <col min="4" max="4" width="18" customWidth="1"/>
    <col min="5" max="6" width="8" customWidth="1"/>
    <col min="7" max="8" width="12" customWidth="1"/>
    <col min="9" max="10" width="14" customWidth="1"/>
    <col min="11" max="11" width="10" customWidth="1"/>
    <col min="12" max="12" width="14" customWidth="1"/>
    <col min="13" max="13" width="12" customWidth="1"/>
    <col min="14" max="15" width="14" customWidth="1"/>
    <col min="16" max="16" width="10" customWidth="1"/>
    <col min="17" max="17" width="22" customWidth="1"/>
  </cols>
  <sheetData>
    <row r="1" spans="1:17" ht="32" x14ac:dyDescent="0.2">
      <c r="A1" s="3" t="s">
        <v>44</v>
      </c>
      <c r="B1" s="3" t="s">
        <v>125</v>
      </c>
      <c r="C1" s="3" t="s">
        <v>126</v>
      </c>
      <c r="D1" s="3" t="s">
        <v>40</v>
      </c>
      <c r="E1" s="3" t="s">
        <v>127</v>
      </c>
      <c r="F1" s="3" t="s">
        <v>128</v>
      </c>
      <c r="G1" s="3" t="s">
        <v>129</v>
      </c>
      <c r="H1" s="3" t="s">
        <v>130</v>
      </c>
      <c r="I1" s="3" t="s">
        <v>131</v>
      </c>
      <c r="J1" s="3" t="s">
        <v>132</v>
      </c>
      <c r="K1" s="3" t="s">
        <v>97</v>
      </c>
      <c r="L1" s="3" t="s">
        <v>47</v>
      </c>
      <c r="M1" s="3" t="s">
        <v>80</v>
      </c>
      <c r="N1" s="3" t="s">
        <v>100</v>
      </c>
      <c r="O1" s="3" t="s">
        <v>101</v>
      </c>
      <c r="P1" s="3" t="s">
        <v>30</v>
      </c>
      <c r="Q1" s="3" t="s">
        <v>102</v>
      </c>
    </row>
    <row r="2" spans="1:17" x14ac:dyDescent="0.2">
      <c r="A2" s="18">
        <v>46217</v>
      </c>
      <c r="B2" s="19" t="s">
        <v>68</v>
      </c>
      <c r="C2" s="19" t="s">
        <v>66</v>
      </c>
      <c r="D2" s="19" t="s">
        <v>103</v>
      </c>
      <c r="E2" s="27">
        <v>3.5</v>
      </c>
      <c r="F2" s="27">
        <v>8.5</v>
      </c>
      <c r="G2" s="27">
        <v>2</v>
      </c>
      <c r="H2" s="19" t="s">
        <v>133</v>
      </c>
      <c r="I2" s="27">
        <v>0</v>
      </c>
      <c r="J2" s="27">
        <f t="shared" ref="J2:J9" si="0">IF(H2="FORMULA", IF(E2="",0,E2)*7.15 + IF(F2="",0,F2)*4.55 + IF(G2="",0,G2), IF(H2="FIXED", IF(I2="",0,I2), 0))</f>
        <v>65.7</v>
      </c>
      <c r="K2" s="27">
        <v>50</v>
      </c>
      <c r="L2" s="27">
        <f t="shared" ref="L2:L9" si="1">IF(K2="",0,K2)*J2</f>
        <v>3285</v>
      </c>
      <c r="M2" s="19">
        <v>300</v>
      </c>
      <c r="N2" s="27">
        <f t="shared" ref="N2:N9" si="2">L2+IF(M2="",0,M2)</f>
        <v>3585</v>
      </c>
      <c r="O2" s="19" t="s">
        <v>104</v>
      </c>
      <c r="P2" s="19" t="s">
        <v>105</v>
      </c>
      <c r="Q2" s="19"/>
    </row>
    <row r="3" spans="1:17" x14ac:dyDescent="0.2">
      <c r="A3" s="20">
        <v>46216</v>
      </c>
      <c r="B3" s="21" t="s">
        <v>90</v>
      </c>
      <c r="C3" s="21" t="s">
        <v>89</v>
      </c>
      <c r="D3" s="21" t="s">
        <v>103</v>
      </c>
      <c r="E3" s="28">
        <v>3.6</v>
      </c>
      <c r="F3" s="28">
        <v>8.5500000000000007</v>
      </c>
      <c r="G3" s="28">
        <v>1</v>
      </c>
      <c r="H3" s="21" t="s">
        <v>133</v>
      </c>
      <c r="I3" s="28">
        <v>0</v>
      </c>
      <c r="J3" s="28">
        <f t="shared" si="0"/>
        <v>65.642500000000013</v>
      </c>
      <c r="K3" s="28">
        <v>62.5</v>
      </c>
      <c r="L3" s="28">
        <f t="shared" si="1"/>
        <v>4102.6562500000009</v>
      </c>
      <c r="M3" s="21">
        <v>340</v>
      </c>
      <c r="N3" s="28">
        <f t="shared" si="2"/>
        <v>4442.6562500000009</v>
      </c>
      <c r="O3" s="21" t="s">
        <v>107</v>
      </c>
      <c r="P3" s="21" t="s">
        <v>108</v>
      </c>
      <c r="Q3" s="21"/>
    </row>
    <row r="4" spans="1:17" x14ac:dyDescent="0.2">
      <c r="A4" s="18">
        <v>46215</v>
      </c>
      <c r="B4" s="19" t="s">
        <v>134</v>
      </c>
      <c r="C4" s="19" t="s">
        <v>109</v>
      </c>
      <c r="D4" s="19" t="s">
        <v>103</v>
      </c>
      <c r="E4" s="27">
        <v>3.7</v>
      </c>
      <c r="F4" s="27">
        <v>8.6</v>
      </c>
      <c r="G4" s="27">
        <v>0</v>
      </c>
      <c r="H4" s="19" t="s">
        <v>133</v>
      </c>
      <c r="I4" s="27">
        <v>0</v>
      </c>
      <c r="J4" s="27">
        <f t="shared" si="0"/>
        <v>65.584999999999994</v>
      </c>
      <c r="K4" s="27">
        <v>75</v>
      </c>
      <c r="L4" s="27">
        <f t="shared" si="1"/>
        <v>4918.8749999999991</v>
      </c>
      <c r="M4" s="19">
        <v>380</v>
      </c>
      <c r="N4" s="27">
        <f t="shared" si="2"/>
        <v>5298.8749999999991</v>
      </c>
      <c r="O4" s="19" t="s">
        <v>111</v>
      </c>
      <c r="P4" s="19" t="s">
        <v>112</v>
      </c>
      <c r="Q4" s="19"/>
    </row>
    <row r="5" spans="1:17" x14ac:dyDescent="0.2">
      <c r="A5" s="20">
        <v>46214</v>
      </c>
      <c r="B5" s="21" t="s">
        <v>135</v>
      </c>
      <c r="C5" s="21" t="s">
        <v>136</v>
      </c>
      <c r="D5" s="21" t="s">
        <v>103</v>
      </c>
      <c r="E5" s="28">
        <v>3.8</v>
      </c>
      <c r="F5" s="28">
        <v>8.65</v>
      </c>
      <c r="G5" s="28">
        <v>2</v>
      </c>
      <c r="H5" s="21" t="s">
        <v>133</v>
      </c>
      <c r="I5" s="28">
        <v>0</v>
      </c>
      <c r="J5" s="28">
        <f t="shared" si="0"/>
        <v>68.527500000000003</v>
      </c>
      <c r="K5" s="28">
        <v>87.5</v>
      </c>
      <c r="L5" s="28">
        <f t="shared" si="1"/>
        <v>5996.15625</v>
      </c>
      <c r="M5" s="21">
        <v>420</v>
      </c>
      <c r="N5" s="28">
        <f t="shared" si="2"/>
        <v>6416.15625</v>
      </c>
      <c r="O5" s="21" t="s">
        <v>119</v>
      </c>
      <c r="P5" s="21" t="s">
        <v>105</v>
      </c>
      <c r="Q5" s="21"/>
    </row>
    <row r="6" spans="1:17" x14ac:dyDescent="0.2">
      <c r="A6" s="18">
        <v>46213</v>
      </c>
      <c r="B6" s="19" t="s">
        <v>137</v>
      </c>
      <c r="C6" s="19" t="s">
        <v>138</v>
      </c>
      <c r="D6" s="19" t="s">
        <v>114</v>
      </c>
      <c r="E6" s="19">
        <v>0</v>
      </c>
      <c r="F6" s="19">
        <v>0</v>
      </c>
      <c r="G6" s="27">
        <v>1</v>
      </c>
      <c r="H6" s="19" t="s">
        <v>133</v>
      </c>
      <c r="I6" s="27">
        <v>0</v>
      </c>
      <c r="J6" s="27">
        <f t="shared" si="0"/>
        <v>1</v>
      </c>
      <c r="K6" s="27">
        <v>100</v>
      </c>
      <c r="L6" s="27">
        <f t="shared" si="1"/>
        <v>100</v>
      </c>
      <c r="M6" s="19">
        <v>460</v>
      </c>
      <c r="N6" s="27">
        <f t="shared" si="2"/>
        <v>560</v>
      </c>
      <c r="O6" s="19" t="s">
        <v>115</v>
      </c>
      <c r="P6" s="19" t="s">
        <v>108</v>
      </c>
      <c r="Q6" s="19"/>
    </row>
    <row r="7" spans="1:17" x14ac:dyDescent="0.2">
      <c r="A7" s="20">
        <v>46212</v>
      </c>
      <c r="B7" s="21" t="s">
        <v>139</v>
      </c>
      <c r="C7" s="21" t="s">
        <v>66</v>
      </c>
      <c r="D7" s="21" t="s">
        <v>103</v>
      </c>
      <c r="E7" s="28">
        <v>4</v>
      </c>
      <c r="F7" s="28">
        <v>8.75</v>
      </c>
      <c r="G7" s="28">
        <v>0</v>
      </c>
      <c r="H7" s="21" t="s">
        <v>133</v>
      </c>
      <c r="I7" s="28">
        <v>0</v>
      </c>
      <c r="J7" s="28">
        <f t="shared" si="0"/>
        <v>68.412499999999994</v>
      </c>
      <c r="K7" s="28">
        <v>112.5</v>
      </c>
      <c r="L7" s="28">
        <f t="shared" si="1"/>
        <v>7696.4062499999991</v>
      </c>
      <c r="M7" s="21">
        <v>500</v>
      </c>
      <c r="N7" s="28">
        <f t="shared" si="2"/>
        <v>8196.40625</v>
      </c>
      <c r="O7" s="21" t="s">
        <v>104</v>
      </c>
      <c r="P7" s="21" t="s">
        <v>112</v>
      </c>
      <c r="Q7" s="21"/>
    </row>
    <row r="8" spans="1:17" x14ac:dyDescent="0.2">
      <c r="A8" s="18">
        <v>46211</v>
      </c>
      <c r="B8" s="19" t="s">
        <v>140</v>
      </c>
      <c r="C8" s="19" t="s">
        <v>89</v>
      </c>
      <c r="D8" s="19" t="s">
        <v>106</v>
      </c>
      <c r="E8" s="27">
        <v>4.0999999999999996</v>
      </c>
      <c r="F8" s="27">
        <v>8.8000000000000007</v>
      </c>
      <c r="G8" s="27">
        <v>2</v>
      </c>
      <c r="H8" s="19" t="s">
        <v>141</v>
      </c>
      <c r="I8" s="27">
        <v>62</v>
      </c>
      <c r="J8" s="27">
        <f t="shared" si="0"/>
        <v>62</v>
      </c>
      <c r="K8" s="27">
        <v>125</v>
      </c>
      <c r="L8" s="27">
        <f t="shared" si="1"/>
        <v>7750</v>
      </c>
      <c r="M8" s="19">
        <v>540</v>
      </c>
      <c r="N8" s="27">
        <f t="shared" si="2"/>
        <v>8290</v>
      </c>
      <c r="O8" s="19" t="s">
        <v>107</v>
      </c>
      <c r="P8" s="19" t="s">
        <v>105</v>
      </c>
      <c r="Q8" s="19"/>
    </row>
    <row r="9" spans="1:17" x14ac:dyDescent="0.2">
      <c r="A9" s="20">
        <v>46210</v>
      </c>
      <c r="B9" s="21" t="s">
        <v>142</v>
      </c>
      <c r="C9" s="21" t="s">
        <v>109</v>
      </c>
      <c r="D9" s="21" t="s">
        <v>143</v>
      </c>
      <c r="E9" s="28">
        <v>4.2</v>
      </c>
      <c r="F9" s="28">
        <v>8.85</v>
      </c>
      <c r="G9" s="28">
        <v>1</v>
      </c>
      <c r="H9" s="21" t="s">
        <v>141</v>
      </c>
      <c r="I9" s="28">
        <v>64</v>
      </c>
      <c r="J9" s="28">
        <f t="shared" si="0"/>
        <v>64</v>
      </c>
      <c r="K9" s="28">
        <v>137.5</v>
      </c>
      <c r="L9" s="28">
        <f t="shared" si="1"/>
        <v>8800</v>
      </c>
      <c r="M9" s="21">
        <v>580</v>
      </c>
      <c r="N9" s="28">
        <f t="shared" si="2"/>
        <v>9380</v>
      </c>
      <c r="O9" s="21" t="s">
        <v>111</v>
      </c>
      <c r="P9" s="21" t="s">
        <v>108</v>
      </c>
      <c r="Q9" s="21"/>
    </row>
    <row r="12" spans="1:17" ht="16" x14ac:dyDescent="0.2">
      <c r="A12" s="56" t="s">
        <v>144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A13" s="58" t="s">
        <v>145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 x14ac:dyDescent="0.2">
      <c r="A14" s="58" t="s">
        <v>146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</row>
    <row r="15" spans="1:17" x14ac:dyDescent="0.2">
      <c r="A15" s="58" t="s">
        <v>147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</row>
    <row r="16" spans="1:17" x14ac:dyDescent="0.2">
      <c r="A16" s="58" t="s">
        <v>148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1:17" x14ac:dyDescent="0.2">
      <c r="A17" s="58" t="s">
        <v>149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</row>
    <row r="18" spans="1:17" x14ac:dyDescent="0.2">
      <c r="A18" s="58" t="s">
        <v>150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  <row r="19" spans="1:17" x14ac:dyDescent="0.2">
      <c r="A19" s="58" t="s">
        <v>151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</row>
  </sheetData>
  <mergeCells count="8">
    <mergeCell ref="A12:Q12"/>
    <mergeCell ref="A16:Q16"/>
    <mergeCell ref="A15:Q15"/>
    <mergeCell ref="A19:Q19"/>
    <mergeCell ref="A13:Q13"/>
    <mergeCell ref="A14:Q14"/>
    <mergeCell ref="A17:Q17"/>
    <mergeCell ref="A18:Q18"/>
  </mergeCells>
  <conditionalFormatting sqref="A2:Q5000">
    <cfRule type="expression" dxfId="17" priority="1">
      <formula>$P2="Unpaid"</formula>
    </cfRule>
    <cfRule type="expression" dxfId="16" priority="2">
      <formula>$P2="Partial"</formula>
    </cfRule>
    <cfRule type="expression" dxfId="15" priority="3">
      <formula>$P2="Paid"</formula>
    </cfRule>
  </conditionalFormatting>
  <dataValidations count="5">
    <dataValidation type="list" allowBlank="1" showInputMessage="1" showErrorMessage="1" errorTitle="Supplier" error="Select a supplier" promptTitle="Supplier" prompt="Select supplier from the list" sqref="C2:C5000" xr:uid="{00000000-0002-0000-0300-000000000000}">
      <formula1>"Gurung Dairy Farm,Fresh Valley Suppliers,Patan Co-op,Pokhara Ghee House,Dairy Cooperative"</formula1>
    </dataValidation>
    <dataValidation type="list" allowBlank="1" showInputMessage="1" showErrorMessage="1" errorTitle="Product" error="Select a product" promptTitle="Product" prompt="Select product from the list" sqref="D2:D5000" xr:uid="{00000000-0002-0000-0300-000001000000}">
      <formula1>"Raw Milk,Cow Milk,Buffalo Milk,Mixed Milk,Ghee"</formula1>
    </dataValidation>
    <dataValidation type="list" allowBlank="1" showInputMessage="1" showErrorMessage="1" errorTitle="Rate Type" error="Select FORMULA or FIXED" promptTitle="Rate Type" prompt="Select rate type from the list" sqref="H2:H5000" xr:uid="{00000000-0002-0000-0300-000002000000}">
      <formula1>"FORMULA,FIXED"</formula1>
    </dataValidation>
    <dataValidation type="list" allowBlank="1" showInputMessage="1" showErrorMessage="1" errorTitle="Payment Mode" error="Select payment mode" promptTitle="Payment Mode" prompt="Select payment mode from the list" sqref="O2:O5000" xr:uid="{00000000-0002-0000-0300-000003000000}">
      <formula1>"Cash,Credit,Bank Transfer,Cheque,UPI"</formula1>
    </dataValidation>
    <dataValidation type="list" allowBlank="1" showInputMessage="1" showErrorMessage="1" errorTitle="Status" error="Select payment status" promptTitle="Status" prompt="Select status from the list" sqref="P2:P5000" xr:uid="{00000000-0002-0000-0300-000004000000}">
      <formula1>"Paid,Unpaid,Partial"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498DB"/>
  </sheetPr>
  <dimension ref="A1:I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24" customWidth="1"/>
    <col min="4" max="4" width="16" customWidth="1"/>
    <col min="5" max="5" width="14" customWidth="1"/>
    <col min="6" max="7" width="16" customWidth="1"/>
    <col min="8" max="8" width="14" customWidth="1"/>
    <col min="9" max="9" width="24" customWidth="1"/>
  </cols>
  <sheetData>
    <row r="1" spans="1:9" ht="16" x14ac:dyDescent="0.2">
      <c r="A1" s="3" t="s">
        <v>44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  <c r="G1" s="3" t="s">
        <v>101</v>
      </c>
      <c r="H1" s="3" t="s">
        <v>157</v>
      </c>
      <c r="I1" s="3" t="s">
        <v>102</v>
      </c>
    </row>
    <row r="2" spans="1:9" x14ac:dyDescent="0.2">
      <c r="A2" s="18">
        <v>46207</v>
      </c>
      <c r="B2" s="19" t="s">
        <v>158</v>
      </c>
      <c r="C2" s="19" t="s">
        <v>62</v>
      </c>
      <c r="D2" s="19" t="s">
        <v>64</v>
      </c>
      <c r="E2" s="19">
        <v>5800</v>
      </c>
      <c r="F2" s="19">
        <v>5800</v>
      </c>
      <c r="G2" s="19" t="s">
        <v>104</v>
      </c>
      <c r="H2" s="23">
        <f t="shared" ref="H2:H7" si="0">E2-F2</f>
        <v>0</v>
      </c>
      <c r="I2" s="19" t="s">
        <v>159</v>
      </c>
    </row>
    <row r="3" spans="1:9" x14ac:dyDescent="0.2">
      <c r="A3" s="20">
        <v>46209</v>
      </c>
      <c r="B3" s="21" t="s">
        <v>160</v>
      </c>
      <c r="C3" s="21" t="s">
        <v>161</v>
      </c>
      <c r="D3" s="21" t="s">
        <v>113</v>
      </c>
      <c r="E3" s="21">
        <v>3960</v>
      </c>
      <c r="F3" s="21">
        <v>3960</v>
      </c>
      <c r="G3" s="21" t="s">
        <v>104</v>
      </c>
      <c r="H3" s="22">
        <f t="shared" si="0"/>
        <v>0</v>
      </c>
      <c r="I3" s="21" t="s">
        <v>162</v>
      </c>
    </row>
    <row r="4" spans="1:9" x14ac:dyDescent="0.2">
      <c r="A4" s="18">
        <v>46211</v>
      </c>
      <c r="B4" s="19" t="s">
        <v>163</v>
      </c>
      <c r="C4" s="19" t="s">
        <v>109</v>
      </c>
      <c r="D4" s="19" t="s">
        <v>116</v>
      </c>
      <c r="E4" s="19">
        <v>7200</v>
      </c>
      <c r="F4" s="19">
        <v>5000</v>
      </c>
      <c r="G4" s="19" t="s">
        <v>111</v>
      </c>
      <c r="H4" s="23">
        <f t="shared" si="0"/>
        <v>2200</v>
      </c>
      <c r="I4" s="19" t="s">
        <v>164</v>
      </c>
    </row>
    <row r="5" spans="1:9" x14ac:dyDescent="0.2">
      <c r="A5" s="20">
        <v>46212</v>
      </c>
      <c r="B5" s="21" t="s">
        <v>165</v>
      </c>
      <c r="C5" s="21" t="s">
        <v>77</v>
      </c>
      <c r="D5" s="21" t="s">
        <v>78</v>
      </c>
      <c r="E5" s="21">
        <v>8500</v>
      </c>
      <c r="F5" s="21">
        <v>8500</v>
      </c>
      <c r="G5" s="21" t="s">
        <v>119</v>
      </c>
      <c r="H5" s="22">
        <f t="shared" si="0"/>
        <v>0</v>
      </c>
      <c r="I5" s="21" t="s">
        <v>166</v>
      </c>
    </row>
    <row r="6" spans="1:9" x14ac:dyDescent="0.2">
      <c r="A6" s="18">
        <v>46214</v>
      </c>
      <c r="B6" s="19" t="s">
        <v>167</v>
      </c>
      <c r="C6" s="19" t="s">
        <v>92</v>
      </c>
      <c r="D6" s="19" t="s">
        <v>93</v>
      </c>
      <c r="E6" s="19">
        <v>3200</v>
      </c>
      <c r="F6" s="19">
        <v>3200</v>
      </c>
      <c r="G6" s="19" t="s">
        <v>104</v>
      </c>
      <c r="H6" s="23">
        <f t="shared" si="0"/>
        <v>0</v>
      </c>
      <c r="I6" s="19"/>
    </row>
    <row r="7" spans="1:9" x14ac:dyDescent="0.2">
      <c r="A7" s="20">
        <v>46216</v>
      </c>
      <c r="B7" s="21" t="s">
        <v>168</v>
      </c>
      <c r="C7" s="21" t="s">
        <v>109</v>
      </c>
      <c r="D7" s="21" t="s">
        <v>116</v>
      </c>
      <c r="E7" s="21">
        <v>2200</v>
      </c>
      <c r="F7" s="21">
        <v>2200</v>
      </c>
      <c r="G7" s="21" t="s">
        <v>115</v>
      </c>
      <c r="H7" s="22">
        <f t="shared" si="0"/>
        <v>0</v>
      </c>
      <c r="I7" s="21" t="s">
        <v>169</v>
      </c>
    </row>
  </sheetData>
  <conditionalFormatting sqref="A2:I5000">
    <cfRule type="expression" dxfId="14" priority="1">
      <formula>$H2&gt;0</formula>
    </cfRule>
    <cfRule type="expression" dxfId="13" priority="2">
      <formula>$H2=0</formula>
    </cfRule>
  </conditionalFormatting>
  <dataValidations count="1">
    <dataValidation type="list" allowBlank="1" showInputMessage="1" showErrorMessage="1" errorTitle="Payment Mode" error="Select payment mode" promptTitle="Payment Mode" prompt="Select payment mode from the list" sqref="G2:G5000" xr:uid="{00000000-0002-0000-0400-000000000000}">
      <formula1>"Cash,Bank Transfer,Cheque,UPI,Card,Online"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39C12"/>
  </sheetPr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4" width="14" customWidth="1"/>
    <col min="5" max="5" width="12" customWidth="1"/>
    <col min="6" max="7" width="14" customWidth="1"/>
    <col min="8" max="8" width="12" customWidth="1"/>
    <col min="9" max="10" width="14" customWidth="1"/>
  </cols>
  <sheetData>
    <row r="1" spans="1:10" ht="16" x14ac:dyDescent="0.2">
      <c r="A1" s="3" t="s">
        <v>170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41</v>
      </c>
      <c r="G1" s="3" t="s">
        <v>42</v>
      </c>
      <c r="H1" s="3" t="s">
        <v>175</v>
      </c>
      <c r="I1" s="3" t="s">
        <v>176</v>
      </c>
      <c r="J1" s="3" t="s">
        <v>30</v>
      </c>
    </row>
    <row r="2" spans="1:10" x14ac:dyDescent="0.2">
      <c r="A2" s="19" t="s">
        <v>103</v>
      </c>
      <c r="B2" s="19" t="s">
        <v>177</v>
      </c>
      <c r="C2" s="19">
        <v>1000</v>
      </c>
      <c r="D2" s="29">
        <f>SUMIF(Purchase_Entry!D$2:D$5000,A2,Purchase_Entry!K$2:K$5000)</f>
        <v>387.5</v>
      </c>
      <c r="E2" s="29">
        <f>SUMIF(Sales_Entry!D$2:D$5000,A2,Sales_Entry!E$2:E$5000)</f>
        <v>24</v>
      </c>
      <c r="F2" s="30">
        <f t="shared" ref="F2:F9" si="0">C2+D2-E2</f>
        <v>1363.5</v>
      </c>
      <c r="G2" s="19">
        <v>200</v>
      </c>
      <c r="H2" s="19">
        <v>60</v>
      </c>
      <c r="I2" s="23">
        <f t="shared" ref="I2:I9" si="1">F2*H2</f>
        <v>81810</v>
      </c>
      <c r="J2" s="19" t="str">
        <f t="shared" ref="J2:J9" si="2">IF(F2&lt;=G2,"Reorder",IF(F2&lt;=(G2*1.5),"Low Stock","In Stock"))</f>
        <v>In Stock</v>
      </c>
    </row>
    <row r="3" spans="1:10" x14ac:dyDescent="0.2">
      <c r="A3" s="21" t="s">
        <v>106</v>
      </c>
      <c r="B3" s="21" t="s">
        <v>177</v>
      </c>
      <c r="C3" s="21">
        <v>500</v>
      </c>
      <c r="D3" s="31">
        <f>SUMIF(Purchase_Entry!D$2:D$5000,A3,Purchase_Entry!K$2:K$5000)</f>
        <v>125</v>
      </c>
      <c r="E3" s="31">
        <f>SUMIF(Sales_Entry!D$2:D$5000,A3,Sales_Entry!E$2:E$5000)</f>
        <v>29.6</v>
      </c>
      <c r="F3" s="32">
        <f t="shared" si="0"/>
        <v>595.4</v>
      </c>
      <c r="G3" s="21">
        <v>100</v>
      </c>
      <c r="H3" s="21">
        <v>65</v>
      </c>
      <c r="I3" s="22">
        <f t="shared" si="1"/>
        <v>38701</v>
      </c>
      <c r="J3" s="21" t="str">
        <f t="shared" si="2"/>
        <v>In Stock</v>
      </c>
    </row>
    <row r="4" spans="1:10" x14ac:dyDescent="0.2">
      <c r="A4" s="19" t="s">
        <v>110</v>
      </c>
      <c r="B4" s="19" t="s">
        <v>178</v>
      </c>
      <c r="C4" s="19">
        <v>100</v>
      </c>
      <c r="D4" s="29">
        <f>SUMIF(Purchase_Entry!D$2:D$5000,A4,Purchase_Entry!K$2:K$5000)</f>
        <v>0</v>
      </c>
      <c r="E4" s="29">
        <f>SUMIF(Sales_Entry!D$2:D$5000,A4,Sales_Entry!E$2:E$5000)</f>
        <v>35.200000000000003</v>
      </c>
      <c r="F4" s="30">
        <f t="shared" si="0"/>
        <v>64.8</v>
      </c>
      <c r="G4" s="19">
        <v>20</v>
      </c>
      <c r="H4" s="19">
        <v>100</v>
      </c>
      <c r="I4" s="23">
        <f t="shared" si="1"/>
        <v>6480</v>
      </c>
      <c r="J4" s="19" t="str">
        <f t="shared" si="2"/>
        <v>In Stock</v>
      </c>
    </row>
    <row r="5" spans="1:10" x14ac:dyDescent="0.2">
      <c r="A5" s="21" t="s">
        <v>114</v>
      </c>
      <c r="B5" s="21" t="s">
        <v>178</v>
      </c>
      <c r="C5" s="21">
        <v>50</v>
      </c>
      <c r="D5" s="31">
        <f>SUMIF(Purchase_Entry!D$2:D$5000,A5,Purchase_Entry!K$2:K$5000)</f>
        <v>100</v>
      </c>
      <c r="E5" s="31">
        <f>SUMIF(Sales_Entry!D$2:D$5000,A5,Sales_Entry!E$2:E$5000)</f>
        <v>40.799999999999997</v>
      </c>
      <c r="F5" s="32">
        <f t="shared" si="0"/>
        <v>109.2</v>
      </c>
      <c r="G5" s="21">
        <v>10</v>
      </c>
      <c r="H5" s="21">
        <v>650</v>
      </c>
      <c r="I5" s="22">
        <f t="shared" si="1"/>
        <v>70980</v>
      </c>
      <c r="J5" s="21" t="str">
        <f t="shared" si="2"/>
        <v>In Stock</v>
      </c>
    </row>
    <row r="6" spans="1:10" x14ac:dyDescent="0.2">
      <c r="A6" s="19" t="s">
        <v>118</v>
      </c>
      <c r="B6" s="19" t="s">
        <v>178</v>
      </c>
      <c r="C6" s="19">
        <v>30</v>
      </c>
      <c r="D6" s="29">
        <f>SUMIF(Purchase_Entry!D$2:D$5000,A6,Purchase_Entry!K$2:K$5000)</f>
        <v>0</v>
      </c>
      <c r="E6" s="29">
        <f>SUMIF(Sales_Entry!D$2:D$5000,A6,Sales_Entry!E$2:E$5000)</f>
        <v>46.4</v>
      </c>
      <c r="F6" s="30">
        <f t="shared" si="0"/>
        <v>-16.399999999999999</v>
      </c>
      <c r="G6" s="19">
        <v>5</v>
      </c>
      <c r="H6" s="19">
        <v>350</v>
      </c>
      <c r="I6" s="23">
        <f t="shared" si="1"/>
        <v>-5739.9999999999991</v>
      </c>
      <c r="J6" s="19" t="str">
        <f t="shared" si="2"/>
        <v>Reorder</v>
      </c>
    </row>
    <row r="7" spans="1:10" x14ac:dyDescent="0.2">
      <c r="A7" s="21" t="s">
        <v>179</v>
      </c>
      <c r="B7" s="21" t="s">
        <v>178</v>
      </c>
      <c r="C7" s="21">
        <v>20</v>
      </c>
      <c r="D7" s="31">
        <f>SUMIF(Purchase_Entry!D$2:D$5000,A7,Purchase_Entry!K$2:K$5000)</f>
        <v>0</v>
      </c>
      <c r="E7" s="31">
        <f>SUMIF(Sales_Entry!D$2:D$5000,A7,Sales_Entry!E$2:E$5000)</f>
        <v>0</v>
      </c>
      <c r="F7" s="32">
        <f t="shared" si="0"/>
        <v>20</v>
      </c>
      <c r="G7" s="21">
        <v>5</v>
      </c>
      <c r="H7" s="21">
        <v>450</v>
      </c>
      <c r="I7" s="22">
        <f t="shared" si="1"/>
        <v>9000</v>
      </c>
      <c r="J7" s="21" t="str">
        <f t="shared" si="2"/>
        <v>In Stock</v>
      </c>
    </row>
    <row r="8" spans="1:10" x14ac:dyDescent="0.2">
      <c r="A8" s="19" t="s">
        <v>180</v>
      </c>
      <c r="B8" s="19" t="s">
        <v>177</v>
      </c>
      <c r="C8" s="19">
        <v>60</v>
      </c>
      <c r="D8" s="29">
        <f>SUMIF(Purchase_Entry!D$2:D$5000,A8,Purchase_Entry!K$2:K$5000)</f>
        <v>0</v>
      </c>
      <c r="E8" s="29">
        <f>SUMIF(Sales_Entry!D$2:D$5000,A8,Sales_Entry!E$2:E$5000)</f>
        <v>0</v>
      </c>
      <c r="F8" s="30">
        <f t="shared" si="0"/>
        <v>60</v>
      </c>
      <c r="G8" s="19">
        <v>15</v>
      </c>
      <c r="H8" s="19">
        <v>40</v>
      </c>
      <c r="I8" s="23">
        <f t="shared" si="1"/>
        <v>2400</v>
      </c>
      <c r="J8" s="19" t="str">
        <f t="shared" si="2"/>
        <v>In Stock</v>
      </c>
    </row>
    <row r="9" spans="1:10" x14ac:dyDescent="0.2">
      <c r="A9" s="21" t="s">
        <v>181</v>
      </c>
      <c r="B9" s="21" t="s">
        <v>178</v>
      </c>
      <c r="C9" s="21">
        <v>15</v>
      </c>
      <c r="D9" s="31">
        <f>SUMIF(Purchase_Entry!D$2:D$5000,A9,Purchase_Entry!K$2:K$5000)</f>
        <v>0</v>
      </c>
      <c r="E9" s="31">
        <f>SUMIF(Sales_Entry!D$2:D$5000,A9,Sales_Entry!E$2:E$5000)</f>
        <v>0</v>
      </c>
      <c r="F9" s="32">
        <f t="shared" si="0"/>
        <v>15</v>
      </c>
      <c r="G9" s="21">
        <v>5</v>
      </c>
      <c r="H9" s="21">
        <v>300</v>
      </c>
      <c r="I9" s="22">
        <f t="shared" si="1"/>
        <v>4500</v>
      </c>
      <c r="J9" s="21" t="str">
        <f t="shared" si="2"/>
        <v>In Stock</v>
      </c>
    </row>
  </sheetData>
  <conditionalFormatting sqref="A2:J5000">
    <cfRule type="expression" dxfId="12" priority="1">
      <formula>$J2="Reorder"</formula>
    </cfRule>
    <cfRule type="expression" dxfId="11" priority="2">
      <formula>$J2="Low Stock"</formula>
    </cfRule>
    <cfRule type="expression" dxfId="10" priority="3">
      <formula>$J2="In Stock"</formula>
    </cfRule>
  </conditionalFormatting>
  <conditionalFormatting sqref="F2:F5000">
    <cfRule type="cellIs" dxfId="9" priority="4" operator="lessThan">
      <formula>0</formula>
    </cfRule>
  </conditionalFormatting>
  <dataValidations count="1">
    <dataValidation type="list" allowBlank="1" showInputMessage="1" showErrorMessage="1" errorTitle="Unit" error="Select unit" promptTitle="Unit" prompt="Select unit from the list" sqref="B2:B5000" xr:uid="{00000000-0002-0000-0500-000000000000}">
      <formula1>"Litre,Kg,Piece,Packet,Box"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44AD"/>
  </sheetPr>
  <dimension ref="A1:I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2" customWidth="1"/>
    <col min="3" max="3" width="16" customWidth="1"/>
    <col min="4" max="4" width="26" customWidth="1"/>
    <col min="5" max="5" width="16" customWidth="1"/>
    <col min="6" max="7" width="14" customWidth="1"/>
    <col min="8" max="8" width="16" customWidth="1"/>
    <col min="9" max="9" width="14" customWidth="1"/>
  </cols>
  <sheetData>
    <row r="1" spans="1:9" ht="16" x14ac:dyDescent="0.2">
      <c r="A1" s="3" t="s">
        <v>24</v>
      </c>
      <c r="B1" s="3" t="s">
        <v>25</v>
      </c>
      <c r="C1" s="3" t="s">
        <v>182</v>
      </c>
      <c r="D1" s="3" t="s">
        <v>183</v>
      </c>
      <c r="E1" s="3" t="s">
        <v>26</v>
      </c>
      <c r="F1" s="3" t="s">
        <v>27</v>
      </c>
      <c r="G1" s="3" t="s">
        <v>28</v>
      </c>
      <c r="H1" s="3" t="s">
        <v>184</v>
      </c>
      <c r="I1" s="3" t="s">
        <v>30</v>
      </c>
    </row>
    <row r="2" spans="1:9" x14ac:dyDescent="0.2">
      <c r="A2" s="19" t="s">
        <v>62</v>
      </c>
      <c r="B2" s="19" t="s">
        <v>185</v>
      </c>
      <c r="C2" s="19" t="s">
        <v>186</v>
      </c>
      <c r="D2" s="19" t="s">
        <v>187</v>
      </c>
      <c r="E2" s="19">
        <v>15000</v>
      </c>
      <c r="F2" s="27">
        <f>SUMIF(Party_Ledger!B$2:B$5000,A2,Party_Ledger!F$2:F$5000)</f>
        <v>24050</v>
      </c>
      <c r="G2" s="27">
        <f>SUMIF(Party_Ledger!B$2:B$5000,A2,Party_Ledger!G$2:G$5000)</f>
        <v>10000</v>
      </c>
      <c r="H2" s="23">
        <f t="shared" ref="H2:H10" si="0">E2+F2-G2</f>
        <v>29050</v>
      </c>
      <c r="I2" s="19" t="str">
        <f t="shared" ref="I2:I10" si="1">IF(H2&gt;0,"Outstanding",IF(H2&lt;0,"Payable","Settled"))</f>
        <v>Outstanding</v>
      </c>
    </row>
    <row r="3" spans="1:9" x14ac:dyDescent="0.2">
      <c r="A3" s="21" t="s">
        <v>77</v>
      </c>
      <c r="B3" s="21" t="s">
        <v>185</v>
      </c>
      <c r="C3" s="21" t="s">
        <v>188</v>
      </c>
      <c r="D3" s="21" t="s">
        <v>189</v>
      </c>
      <c r="E3" s="21">
        <v>45000</v>
      </c>
      <c r="F3" s="28">
        <f>SUMIF(Party_Ledger!B$2:B$5000,A3,Party_Ledger!F$2:F$5000)</f>
        <v>0</v>
      </c>
      <c r="G3" s="28">
        <f>SUMIF(Party_Ledger!B$2:B$5000,A3,Party_Ledger!G$2:G$5000)</f>
        <v>0</v>
      </c>
      <c r="H3" s="22">
        <f t="shared" si="0"/>
        <v>45000</v>
      </c>
      <c r="I3" s="21" t="str">
        <f t="shared" si="1"/>
        <v>Outstanding</v>
      </c>
    </row>
    <row r="4" spans="1:9" x14ac:dyDescent="0.2">
      <c r="A4" s="19" t="s">
        <v>66</v>
      </c>
      <c r="B4" s="19" t="s">
        <v>190</v>
      </c>
      <c r="C4" s="19" t="s">
        <v>191</v>
      </c>
      <c r="D4" s="19" t="s">
        <v>192</v>
      </c>
      <c r="E4" s="19">
        <v>50000</v>
      </c>
      <c r="F4" s="27">
        <f>SUMIF(Party_Ledger!B$2:B$5000,A4,Party_Ledger!F$2:F$5000)</f>
        <v>30000</v>
      </c>
      <c r="G4" s="27">
        <f>SUMIF(Party_Ledger!B$2:B$5000,A4,Party_Ledger!G$2:G$5000)</f>
        <v>73700</v>
      </c>
      <c r="H4" s="23">
        <f t="shared" si="0"/>
        <v>6300</v>
      </c>
      <c r="I4" s="19" t="str">
        <f t="shared" si="1"/>
        <v>Outstanding</v>
      </c>
    </row>
    <row r="5" spans="1:9" x14ac:dyDescent="0.2">
      <c r="A5" s="21" t="s">
        <v>89</v>
      </c>
      <c r="B5" s="21" t="s">
        <v>190</v>
      </c>
      <c r="C5" s="21" t="s">
        <v>193</v>
      </c>
      <c r="D5" s="21" t="s">
        <v>194</v>
      </c>
      <c r="E5" s="21">
        <v>12000</v>
      </c>
      <c r="F5" s="28">
        <f>SUMIF(Party_Ledger!B$2:B$5000,A5,Party_Ledger!F$2:F$5000)</f>
        <v>0</v>
      </c>
      <c r="G5" s="28">
        <f>SUMIF(Party_Ledger!B$2:B$5000,A5,Party_Ledger!G$2:G$5000)</f>
        <v>0</v>
      </c>
      <c r="H5" s="22">
        <f t="shared" si="0"/>
        <v>12000</v>
      </c>
      <c r="I5" s="21" t="str">
        <f t="shared" si="1"/>
        <v>Outstanding</v>
      </c>
    </row>
    <row r="6" spans="1:9" x14ac:dyDescent="0.2">
      <c r="A6" s="19" t="s">
        <v>109</v>
      </c>
      <c r="B6" s="19" t="s">
        <v>195</v>
      </c>
      <c r="C6" s="19" t="s">
        <v>196</v>
      </c>
      <c r="D6" s="19" t="s">
        <v>197</v>
      </c>
      <c r="E6" s="19">
        <v>0</v>
      </c>
      <c r="F6" s="27">
        <f>SUMIF(Party_Ledger!B$2:B$5000,A6,Party_Ledger!F$2:F$5000)</f>
        <v>0</v>
      </c>
      <c r="G6" s="27">
        <f>SUMIF(Party_Ledger!B$2:B$5000,A6,Party_Ledger!G$2:G$5000)</f>
        <v>0</v>
      </c>
      <c r="H6" s="23">
        <f t="shared" si="0"/>
        <v>0</v>
      </c>
      <c r="I6" s="19" t="str">
        <f t="shared" si="1"/>
        <v>Settled</v>
      </c>
    </row>
    <row r="7" spans="1:9" x14ac:dyDescent="0.2">
      <c r="A7" s="21" t="s">
        <v>92</v>
      </c>
      <c r="B7" s="21" t="s">
        <v>185</v>
      </c>
      <c r="C7" s="21" t="s">
        <v>198</v>
      </c>
      <c r="D7" s="21" t="s">
        <v>199</v>
      </c>
      <c r="E7" s="21">
        <v>0</v>
      </c>
      <c r="F7" s="28">
        <f>SUMIF(Party_Ledger!B$2:B$5000,A7,Party_Ledger!F$2:F$5000)</f>
        <v>0</v>
      </c>
      <c r="G7" s="28">
        <f>SUMIF(Party_Ledger!B$2:B$5000,A7,Party_Ledger!G$2:G$5000)</f>
        <v>0</v>
      </c>
      <c r="H7" s="22">
        <f t="shared" si="0"/>
        <v>0</v>
      </c>
      <c r="I7" s="21" t="str">
        <f t="shared" si="1"/>
        <v>Settled</v>
      </c>
    </row>
    <row r="8" spans="1:9" x14ac:dyDescent="0.2">
      <c r="A8" s="19" t="s">
        <v>117</v>
      </c>
      <c r="B8" s="19" t="s">
        <v>185</v>
      </c>
      <c r="C8" s="19" t="s">
        <v>200</v>
      </c>
      <c r="D8" s="19" t="s">
        <v>201</v>
      </c>
      <c r="E8" s="19">
        <v>8000</v>
      </c>
      <c r="F8" s="27">
        <f>SUMIF(Party_Ledger!B$2:B$5000,A8,Party_Ledger!F$2:F$5000)</f>
        <v>0</v>
      </c>
      <c r="G8" s="27">
        <f>SUMIF(Party_Ledger!B$2:B$5000,A8,Party_Ledger!G$2:G$5000)</f>
        <v>0</v>
      </c>
      <c r="H8" s="23">
        <f t="shared" si="0"/>
        <v>8000</v>
      </c>
      <c r="I8" s="19" t="str">
        <f t="shared" si="1"/>
        <v>Outstanding</v>
      </c>
    </row>
    <row r="9" spans="1:9" x14ac:dyDescent="0.2">
      <c r="A9" s="21" t="s">
        <v>136</v>
      </c>
      <c r="B9" s="21" t="s">
        <v>190</v>
      </c>
      <c r="C9" s="21" t="s">
        <v>202</v>
      </c>
      <c r="D9" s="21" t="s">
        <v>203</v>
      </c>
      <c r="E9" s="21">
        <v>25000</v>
      </c>
      <c r="F9" s="28">
        <f>SUMIF(Party_Ledger!B$2:B$5000,A9,Party_Ledger!F$2:F$5000)</f>
        <v>0</v>
      </c>
      <c r="G9" s="28">
        <f>SUMIF(Party_Ledger!B$2:B$5000,A9,Party_Ledger!G$2:G$5000)</f>
        <v>0</v>
      </c>
      <c r="H9" s="22">
        <f t="shared" si="0"/>
        <v>25000</v>
      </c>
      <c r="I9" s="21" t="str">
        <f t="shared" si="1"/>
        <v>Outstanding</v>
      </c>
    </row>
    <row r="10" spans="1:9" x14ac:dyDescent="0.2">
      <c r="A10" s="19" t="s">
        <v>138</v>
      </c>
      <c r="B10" s="19" t="s">
        <v>195</v>
      </c>
      <c r="C10" s="19" t="s">
        <v>204</v>
      </c>
      <c r="D10" s="19" t="s">
        <v>205</v>
      </c>
      <c r="E10" s="19">
        <v>0</v>
      </c>
      <c r="F10" s="27">
        <f>SUMIF(Party_Ledger!B$2:B$5000,A10,Party_Ledger!F$2:F$5000)</f>
        <v>0</v>
      </c>
      <c r="G10" s="27">
        <f>SUMIF(Party_Ledger!B$2:B$5000,A10,Party_Ledger!G$2:G$5000)</f>
        <v>0</v>
      </c>
      <c r="H10" s="23">
        <f t="shared" si="0"/>
        <v>0</v>
      </c>
      <c r="I10" s="19" t="str">
        <f t="shared" si="1"/>
        <v>Settled</v>
      </c>
    </row>
  </sheetData>
  <conditionalFormatting sqref="A2:J5000">
    <cfRule type="expression" dxfId="8" priority="1">
      <formula>$H2&gt;0</formula>
    </cfRule>
    <cfRule type="expression" dxfId="7" priority="2">
      <formula>$H2&lt;0</formula>
    </cfRule>
  </conditionalFormatting>
  <dataValidations count="1">
    <dataValidation type="list" allowBlank="1" showInputMessage="1" showErrorMessage="1" errorTitle="Party Type" error="Select party type" promptTitle="Party Type" prompt="Select party type from the list" sqref="B2:B5000" xr:uid="{00000000-0002-0000-0600-000000000000}">
      <formula1>"Customer,Supplier,Both"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E50"/>
  </sheetPr>
  <dimension ref="A1:I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3" width="16" customWidth="1"/>
    <col min="4" max="4" width="14" customWidth="1"/>
    <col min="5" max="5" width="30" customWidth="1"/>
    <col min="6" max="8" width="14" customWidth="1"/>
    <col min="9" max="9" width="22" customWidth="1"/>
  </cols>
  <sheetData>
    <row r="1" spans="1:9" ht="16" x14ac:dyDescent="0.2">
      <c r="A1" s="3" t="s">
        <v>44</v>
      </c>
      <c r="B1" s="3" t="s">
        <v>24</v>
      </c>
      <c r="C1" s="3" t="s">
        <v>206</v>
      </c>
      <c r="D1" s="3" t="s">
        <v>55</v>
      </c>
      <c r="E1" s="3" t="s">
        <v>207</v>
      </c>
      <c r="F1" s="3" t="s">
        <v>208</v>
      </c>
      <c r="G1" s="3" t="s">
        <v>107</v>
      </c>
      <c r="H1" s="3" t="s">
        <v>58</v>
      </c>
      <c r="I1" s="3" t="s">
        <v>102</v>
      </c>
    </row>
    <row r="2" spans="1:9" x14ac:dyDescent="0.2">
      <c r="A2" s="18">
        <v>46023</v>
      </c>
      <c r="B2" s="19" t="s">
        <v>62</v>
      </c>
      <c r="C2" s="19" t="s">
        <v>60</v>
      </c>
      <c r="D2" s="19"/>
      <c r="E2" s="19" t="s">
        <v>26</v>
      </c>
      <c r="F2" s="19">
        <v>15000</v>
      </c>
      <c r="G2" s="19">
        <v>0</v>
      </c>
      <c r="H2" s="19">
        <v>15000</v>
      </c>
      <c r="I2" s="19"/>
    </row>
    <row r="3" spans="1:9" x14ac:dyDescent="0.2">
      <c r="A3" s="20">
        <v>46210</v>
      </c>
      <c r="B3" s="21" t="s">
        <v>62</v>
      </c>
      <c r="C3" s="21" t="s">
        <v>63</v>
      </c>
      <c r="D3" s="21" t="s">
        <v>64</v>
      </c>
      <c r="E3" s="21" t="s">
        <v>209</v>
      </c>
      <c r="F3" s="21">
        <v>5800</v>
      </c>
      <c r="G3" s="21">
        <v>0</v>
      </c>
      <c r="H3" s="22">
        <f t="shared" ref="H3:H9" si="0">H2+F3-G3</f>
        <v>20800</v>
      </c>
      <c r="I3" s="21"/>
    </row>
    <row r="4" spans="1:9" x14ac:dyDescent="0.2">
      <c r="A4" s="18">
        <v>46212</v>
      </c>
      <c r="B4" s="19" t="s">
        <v>62</v>
      </c>
      <c r="C4" s="19" t="s">
        <v>83</v>
      </c>
      <c r="D4" s="19" t="s">
        <v>84</v>
      </c>
      <c r="E4" s="19" t="s">
        <v>210</v>
      </c>
      <c r="F4" s="19">
        <v>0</v>
      </c>
      <c r="G4" s="19">
        <v>10000</v>
      </c>
      <c r="H4" s="23">
        <f t="shared" si="0"/>
        <v>10800</v>
      </c>
      <c r="I4" s="19" t="s">
        <v>111</v>
      </c>
    </row>
    <row r="5" spans="1:9" x14ac:dyDescent="0.2">
      <c r="A5" s="20">
        <v>46214</v>
      </c>
      <c r="B5" s="21" t="s">
        <v>62</v>
      </c>
      <c r="C5" s="21" t="s">
        <v>63</v>
      </c>
      <c r="D5" s="21" t="s">
        <v>78</v>
      </c>
      <c r="E5" s="21" t="s">
        <v>211</v>
      </c>
      <c r="F5" s="21">
        <v>3250</v>
      </c>
      <c r="G5" s="21">
        <v>0</v>
      </c>
      <c r="H5" s="22">
        <f t="shared" si="0"/>
        <v>14050</v>
      </c>
      <c r="I5" s="21"/>
    </row>
    <row r="6" spans="1:9" x14ac:dyDescent="0.2">
      <c r="A6" s="18">
        <v>46023</v>
      </c>
      <c r="B6" s="19" t="s">
        <v>66</v>
      </c>
      <c r="C6" s="19" t="s">
        <v>60</v>
      </c>
      <c r="D6" s="19"/>
      <c r="E6" s="19" t="s">
        <v>26</v>
      </c>
      <c r="F6" s="19">
        <v>0</v>
      </c>
      <c r="G6" s="19">
        <v>50000</v>
      </c>
      <c r="H6" s="23">
        <f t="shared" si="0"/>
        <v>-35950</v>
      </c>
      <c r="I6" s="19"/>
    </row>
    <row r="7" spans="1:9" x14ac:dyDescent="0.2">
      <c r="A7" s="20">
        <v>46211</v>
      </c>
      <c r="B7" s="21" t="s">
        <v>66</v>
      </c>
      <c r="C7" s="21" t="s">
        <v>67</v>
      </c>
      <c r="D7" s="21" t="s">
        <v>68</v>
      </c>
      <c r="E7" s="21" t="s">
        <v>212</v>
      </c>
      <c r="F7" s="21">
        <v>0</v>
      </c>
      <c r="G7" s="21">
        <v>15300</v>
      </c>
      <c r="H7" s="22">
        <f t="shared" si="0"/>
        <v>-51250</v>
      </c>
      <c r="I7" s="21" t="s">
        <v>213</v>
      </c>
    </row>
    <row r="8" spans="1:9" x14ac:dyDescent="0.2">
      <c r="A8" s="18">
        <v>46213</v>
      </c>
      <c r="B8" s="19" t="s">
        <v>66</v>
      </c>
      <c r="C8" s="19" t="s">
        <v>74</v>
      </c>
      <c r="D8" s="19" t="s">
        <v>214</v>
      </c>
      <c r="E8" s="19" t="s">
        <v>215</v>
      </c>
      <c r="F8" s="19">
        <v>30000</v>
      </c>
      <c r="G8" s="19">
        <v>0</v>
      </c>
      <c r="H8" s="23">
        <f t="shared" si="0"/>
        <v>-21250</v>
      </c>
      <c r="I8" s="19" t="s">
        <v>111</v>
      </c>
    </row>
    <row r="9" spans="1:9" x14ac:dyDescent="0.2">
      <c r="A9" s="20">
        <v>46215</v>
      </c>
      <c r="B9" s="21" t="s">
        <v>66</v>
      </c>
      <c r="C9" s="21" t="s">
        <v>67</v>
      </c>
      <c r="D9" s="21" t="s">
        <v>90</v>
      </c>
      <c r="E9" s="21" t="s">
        <v>216</v>
      </c>
      <c r="F9" s="21">
        <v>0</v>
      </c>
      <c r="G9" s="21">
        <v>8400</v>
      </c>
      <c r="H9" s="22">
        <f t="shared" si="0"/>
        <v>-29650</v>
      </c>
      <c r="I9" s="21"/>
    </row>
  </sheetData>
  <conditionalFormatting sqref="A2:I5000">
    <cfRule type="expression" dxfId="6" priority="1">
      <formula>$H2&lt;0</formula>
    </cfRule>
    <cfRule type="expression" dxfId="5" priority="2">
      <formula>$H2&gt;0</formula>
    </cfRule>
  </conditionalFormatting>
  <dataValidations count="2">
    <dataValidation type="list" allowBlank="1" showInputMessage="1" showErrorMessage="1" errorTitle="Party Name" error="Select a party" promptTitle="Party Name" prompt="Select party name from the list" sqref="B2:B5000" xr:uid="{00000000-0002-0000-0700-000000000000}">
      <formula1>"Sharma Dairy Shop,Bhatbhateni Supermarket,Gurung Dairy Farm,Fresh Valley Suppliers,Patan Co-op,Hotel Annapurna,Khadgi Sweets,Pokhara Ghee House,Dairy Cooperative"</formula1>
    </dataValidation>
    <dataValidation type="list" allowBlank="1" showInputMessage="1" showErrorMessage="1" errorTitle="Transaction Type" error="Select type" promptTitle="Transaction Type" prompt="Select transaction type from the list" sqref="C2:C5000" xr:uid="{00000000-0002-0000-0700-000001000000}">
      <formula1>"Sale,Purchase,Receipt,Payment,Opening,Adjustment,Credit Note,Debit Note"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BC9C"/>
  </sheetPr>
  <dimension ref="A1:L14"/>
  <sheetViews>
    <sheetView workbookViewId="0">
      <pane ySplit="3" topLeftCell="A4" activePane="bottomLeft" state="frozen"/>
      <selection pane="bottomLeft" activeCell="N17" sqref="N17"/>
    </sheetView>
  </sheetViews>
  <sheetFormatPr baseColWidth="10" defaultColWidth="8.83203125" defaultRowHeight="15" x14ac:dyDescent="0.2"/>
  <cols>
    <col min="1" max="1" width="14" customWidth="1"/>
    <col min="2" max="8" width="12" customWidth="1"/>
    <col min="9" max="10" width="14" customWidth="1"/>
  </cols>
  <sheetData>
    <row r="1" spans="1:12" ht="24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2">
      <c r="A2" s="55" t="s">
        <v>217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6" x14ac:dyDescent="0.2">
      <c r="A3" s="3" t="s">
        <v>44</v>
      </c>
      <c r="B3" s="3" t="s">
        <v>218</v>
      </c>
      <c r="C3" s="3" t="s">
        <v>219</v>
      </c>
      <c r="D3" s="3" t="s">
        <v>220</v>
      </c>
      <c r="E3" s="3" t="s">
        <v>221</v>
      </c>
      <c r="F3" s="3" t="s">
        <v>222</v>
      </c>
      <c r="G3" s="3" t="s">
        <v>223</v>
      </c>
      <c r="H3" s="3" t="s">
        <v>224</v>
      </c>
      <c r="I3" s="3" t="s">
        <v>225</v>
      </c>
      <c r="J3" s="3" t="s">
        <v>226</v>
      </c>
    </row>
    <row r="4" spans="1:12" x14ac:dyDescent="0.2">
      <c r="A4" s="18">
        <v>46217</v>
      </c>
      <c r="B4" s="19">
        <v>10</v>
      </c>
      <c r="C4" s="19">
        <v>15</v>
      </c>
      <c r="D4" s="19">
        <v>8</v>
      </c>
      <c r="E4" s="19">
        <v>5</v>
      </c>
      <c r="F4" s="19">
        <v>12</v>
      </c>
      <c r="G4" s="19">
        <v>3</v>
      </c>
      <c r="H4" s="19">
        <v>2</v>
      </c>
      <c r="I4" s="19">
        <v>50</v>
      </c>
      <c r="J4" s="30">
        <f t="shared" ref="J4:J13" si="0">B4*5 + C4*10 + D4*20 + E4*50 + F4*100 + G4*500 + H4*1000 + I4</f>
        <v>5360</v>
      </c>
    </row>
    <row r="5" spans="1:12" x14ac:dyDescent="0.2">
      <c r="A5" s="20">
        <v>46216</v>
      </c>
      <c r="B5" s="21">
        <v>15</v>
      </c>
      <c r="C5" s="21">
        <v>18</v>
      </c>
      <c r="D5" s="21">
        <v>10</v>
      </c>
      <c r="E5" s="21">
        <v>6</v>
      </c>
      <c r="F5" s="21">
        <v>14</v>
      </c>
      <c r="G5" s="21">
        <v>4</v>
      </c>
      <c r="H5" s="21">
        <v>3</v>
      </c>
      <c r="I5" s="21">
        <v>65</v>
      </c>
      <c r="J5" s="32">
        <f t="shared" si="0"/>
        <v>7220</v>
      </c>
    </row>
    <row r="6" spans="1:12" x14ac:dyDescent="0.2">
      <c r="A6" s="18">
        <v>46215</v>
      </c>
      <c r="B6" s="19">
        <v>20</v>
      </c>
      <c r="C6" s="19">
        <v>21</v>
      </c>
      <c r="D6" s="19">
        <v>12</v>
      </c>
      <c r="E6" s="19">
        <v>7</v>
      </c>
      <c r="F6" s="19">
        <v>16</v>
      </c>
      <c r="G6" s="19">
        <v>5</v>
      </c>
      <c r="H6" s="19">
        <v>4</v>
      </c>
      <c r="I6" s="19">
        <v>80</v>
      </c>
      <c r="J6" s="30">
        <f t="shared" si="0"/>
        <v>9080</v>
      </c>
    </row>
    <row r="7" spans="1:12" x14ac:dyDescent="0.2">
      <c r="A7" s="20">
        <v>46214</v>
      </c>
      <c r="B7" s="21">
        <v>25</v>
      </c>
      <c r="C7" s="21">
        <v>24</v>
      </c>
      <c r="D7" s="21">
        <v>14</v>
      </c>
      <c r="E7" s="21">
        <v>8</v>
      </c>
      <c r="F7" s="21">
        <v>18</v>
      </c>
      <c r="G7" s="21">
        <v>6</v>
      </c>
      <c r="H7" s="21">
        <v>5</v>
      </c>
      <c r="I7" s="21">
        <v>95</v>
      </c>
      <c r="J7" s="32">
        <f t="shared" si="0"/>
        <v>10940</v>
      </c>
    </row>
    <row r="8" spans="1:12" x14ac:dyDescent="0.2">
      <c r="A8" s="18">
        <v>46213</v>
      </c>
      <c r="B8" s="19">
        <v>30</v>
      </c>
      <c r="C8" s="19">
        <v>27</v>
      </c>
      <c r="D8" s="19">
        <v>16</v>
      </c>
      <c r="E8" s="19">
        <v>9</v>
      </c>
      <c r="F8" s="19">
        <v>20</v>
      </c>
      <c r="G8" s="19">
        <v>7</v>
      </c>
      <c r="H8" s="19">
        <v>6</v>
      </c>
      <c r="I8" s="19">
        <v>110</v>
      </c>
      <c r="J8" s="30">
        <f t="shared" si="0"/>
        <v>12800</v>
      </c>
    </row>
    <row r="9" spans="1:12" x14ac:dyDescent="0.2">
      <c r="A9" s="20">
        <v>46212</v>
      </c>
      <c r="B9" s="21">
        <v>35</v>
      </c>
      <c r="C9" s="21">
        <v>30</v>
      </c>
      <c r="D9" s="21">
        <v>18</v>
      </c>
      <c r="E9" s="21">
        <v>10</v>
      </c>
      <c r="F9" s="21">
        <v>22</v>
      </c>
      <c r="G9" s="21">
        <v>8</v>
      </c>
      <c r="H9" s="21">
        <v>7</v>
      </c>
      <c r="I9" s="21">
        <v>125</v>
      </c>
      <c r="J9" s="32">
        <f t="shared" si="0"/>
        <v>14660</v>
      </c>
    </row>
    <row r="10" spans="1:12" x14ac:dyDescent="0.2">
      <c r="A10" s="18">
        <v>46211</v>
      </c>
      <c r="B10" s="19">
        <v>40</v>
      </c>
      <c r="C10" s="19">
        <v>33</v>
      </c>
      <c r="D10" s="19">
        <v>20</v>
      </c>
      <c r="E10" s="19">
        <v>11</v>
      </c>
      <c r="F10" s="19">
        <v>24</v>
      </c>
      <c r="G10" s="19">
        <v>9</v>
      </c>
      <c r="H10" s="19">
        <v>8</v>
      </c>
      <c r="I10" s="19">
        <v>140</v>
      </c>
      <c r="J10" s="30">
        <f t="shared" si="0"/>
        <v>16520</v>
      </c>
    </row>
    <row r="11" spans="1:12" x14ac:dyDescent="0.2">
      <c r="A11" s="20">
        <v>46210</v>
      </c>
      <c r="B11" s="21">
        <v>45</v>
      </c>
      <c r="C11" s="21">
        <v>36</v>
      </c>
      <c r="D11" s="21">
        <v>22</v>
      </c>
      <c r="E11" s="21">
        <v>12</v>
      </c>
      <c r="F11" s="21">
        <v>26</v>
      </c>
      <c r="G11" s="21">
        <v>10</v>
      </c>
      <c r="H11" s="21">
        <v>9</v>
      </c>
      <c r="I11" s="21">
        <v>155</v>
      </c>
      <c r="J11" s="32">
        <f t="shared" si="0"/>
        <v>18380</v>
      </c>
    </row>
    <row r="12" spans="1:12" x14ac:dyDescent="0.2">
      <c r="A12" s="18">
        <v>46209</v>
      </c>
      <c r="B12" s="19">
        <v>50</v>
      </c>
      <c r="C12" s="19">
        <v>39</v>
      </c>
      <c r="D12" s="19">
        <v>24</v>
      </c>
      <c r="E12" s="19">
        <v>13</v>
      </c>
      <c r="F12" s="19">
        <v>28</v>
      </c>
      <c r="G12" s="19">
        <v>11</v>
      </c>
      <c r="H12" s="19">
        <v>10</v>
      </c>
      <c r="I12" s="19">
        <v>170</v>
      </c>
      <c r="J12" s="30">
        <f t="shared" si="0"/>
        <v>20240</v>
      </c>
    </row>
    <row r="13" spans="1:12" x14ac:dyDescent="0.2">
      <c r="A13" s="20">
        <v>46208</v>
      </c>
      <c r="B13" s="21">
        <v>55</v>
      </c>
      <c r="C13" s="21">
        <v>42</v>
      </c>
      <c r="D13" s="21">
        <v>26</v>
      </c>
      <c r="E13" s="21">
        <v>14</v>
      </c>
      <c r="F13" s="21">
        <v>30</v>
      </c>
      <c r="G13" s="21">
        <v>12</v>
      </c>
      <c r="H13" s="21">
        <v>11</v>
      </c>
      <c r="I13" s="21">
        <v>185</v>
      </c>
      <c r="J13" s="32">
        <f t="shared" si="0"/>
        <v>22100</v>
      </c>
    </row>
    <row r="14" spans="1:12" x14ac:dyDescent="0.2">
      <c r="A14" s="25" t="s">
        <v>95</v>
      </c>
      <c r="B14" s="33">
        <f t="shared" ref="B14:J14" si="1">SUM(B4:B13)</f>
        <v>325</v>
      </c>
      <c r="C14" s="33">
        <f t="shared" si="1"/>
        <v>285</v>
      </c>
      <c r="D14" s="33">
        <f t="shared" si="1"/>
        <v>170</v>
      </c>
      <c r="E14" s="33">
        <f t="shared" si="1"/>
        <v>95</v>
      </c>
      <c r="F14" s="33">
        <f t="shared" si="1"/>
        <v>210</v>
      </c>
      <c r="G14" s="33">
        <f t="shared" si="1"/>
        <v>75</v>
      </c>
      <c r="H14" s="33">
        <f t="shared" si="1"/>
        <v>65</v>
      </c>
      <c r="I14" s="33">
        <f t="shared" si="1"/>
        <v>1175</v>
      </c>
      <c r="J14" s="33">
        <f t="shared" si="1"/>
        <v>137300</v>
      </c>
    </row>
  </sheetData>
  <mergeCells count="2">
    <mergeCell ref="A2:L2"/>
    <mergeCell ref="A1:L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BC9C"/>
  </sheetPr>
  <dimension ref="A1:K29"/>
  <sheetViews>
    <sheetView workbookViewId="0">
      <pane ySplit="8" topLeftCell="A9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2" width="14" customWidth="1"/>
    <col min="3" max="3" width="24" customWidth="1"/>
    <col min="4" max="4" width="20" customWidth="1"/>
    <col min="5" max="6" width="10" customWidth="1"/>
    <col min="7" max="7" width="14" customWidth="1"/>
    <col min="8" max="8" width="12" customWidth="1"/>
    <col min="9" max="10" width="14" customWidth="1"/>
    <col min="11" max="11" width="12" customWidth="1"/>
  </cols>
  <sheetData>
    <row r="1" spans="1:11" ht="24" x14ac:dyDescent="0.3">
      <c r="A1" s="59" t="s">
        <v>227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spans="1:11" ht="16" x14ac:dyDescent="0.2">
      <c r="A3" s="16" t="s">
        <v>228</v>
      </c>
      <c r="E3" s="16" t="s">
        <v>229</v>
      </c>
    </row>
    <row r="4" spans="1:11" x14ac:dyDescent="0.2">
      <c r="A4" s="34" t="s">
        <v>230</v>
      </c>
      <c r="B4" s="35" t="e">
        <f>1-Jul-2026</f>
        <v>#NAME?</v>
      </c>
      <c r="E4" s="34" t="s">
        <v>231</v>
      </c>
      <c r="F4" s="34">
        <f>COUNTIFS(Sales_Entry!A$2:A$5000,"&gt;="&amp;B4,Sales_Entry!A$2:A$5000,"&lt;="&amp;B5)</f>
        <v>0</v>
      </c>
    </row>
    <row r="5" spans="1:11" x14ac:dyDescent="0.2">
      <c r="A5" s="34" t="s">
        <v>232</v>
      </c>
      <c r="B5" s="35" t="e">
        <f>14-Jul-2026</f>
        <v>#NAME?</v>
      </c>
      <c r="E5" s="34" t="s">
        <v>233</v>
      </c>
      <c r="F5" s="36">
        <f>SUMIFS(Sales_Entry!J$2:J$5000,Sales_Entry!A$2:A$5000,"&gt;="&amp;B4,Sales_Entry!A$2:A$5000,"&lt;="&amp;B5)</f>
        <v>0</v>
      </c>
    </row>
    <row r="6" spans="1:11" x14ac:dyDescent="0.2">
      <c r="A6" s="34" t="s">
        <v>234</v>
      </c>
      <c r="B6" s="37" t="s">
        <v>235</v>
      </c>
      <c r="E6" s="34" t="s">
        <v>236</v>
      </c>
      <c r="F6" s="38">
        <f>SUMIFS(Sales_Entry!J$2:J$5000,Sales_Entry!A$2:A$5000,"&gt;="&amp;B4,Sales_Entry!A$2:A$5000,"&lt;="&amp;B5,Sales_Entry!K$2:K$5000,"Unpaid")+SUMIFS(Sales_Entry!J$2:J$5000,Sales_Entry!A$2:A$5000,"&gt;="&amp;B4,Sales_Entry!A$2:A$5000,"&lt;="&amp;B5,Sales_Entry!K$2:K$5000,"Partial")</f>
        <v>0</v>
      </c>
    </row>
    <row r="8" spans="1:11" ht="16" x14ac:dyDescent="0.2">
      <c r="A8" s="3" t="s">
        <v>44</v>
      </c>
      <c r="B8" s="3" t="s">
        <v>96</v>
      </c>
      <c r="C8" s="3" t="s">
        <v>24</v>
      </c>
      <c r="D8" s="3" t="s">
        <v>40</v>
      </c>
      <c r="E8" s="3" t="s">
        <v>97</v>
      </c>
      <c r="F8" s="3" t="s">
        <v>98</v>
      </c>
      <c r="G8" s="3" t="s">
        <v>47</v>
      </c>
      <c r="H8" s="3" t="s">
        <v>99</v>
      </c>
      <c r="I8" s="3" t="s">
        <v>100</v>
      </c>
      <c r="J8" s="3" t="s">
        <v>101</v>
      </c>
      <c r="K8" s="3" t="s">
        <v>30</v>
      </c>
    </row>
    <row r="9" spans="1:11" x14ac:dyDescent="0.2">
      <c r="A9" s="39">
        <f>IFERROR(INDEX(Sales_Entry!A$2:A$5000,2),"")</f>
        <v>46216</v>
      </c>
      <c r="B9" s="2" t="str">
        <f>IFERROR(INDEX(Sales_Entry!B$2:B$5000,2),"")</f>
        <v>INV-1002</v>
      </c>
      <c r="C9" s="2" t="str">
        <f>IFERROR(INDEX(Sales_Entry!C$2:C$5000,2),"")</f>
        <v>Bhatbhateni Supermarket</v>
      </c>
      <c r="D9" s="2" t="str">
        <f>IFERROR(INDEX(Sales_Entry!D$2:D$5000,2),"")</f>
        <v>Cow Milk</v>
      </c>
      <c r="E9" s="5">
        <f>IFERROR(INDEX(Sales_Entry!E$2:E$5000,2),"")</f>
        <v>7.8</v>
      </c>
      <c r="F9" s="5">
        <f>IFERROR(INDEX(Sales_Entry!F$2:F$5000,2),"")</f>
        <v>65</v>
      </c>
      <c r="G9" s="5">
        <f>IFERROR(INDEX(Sales_Entry!G$2:G$5000,2),"")</f>
        <v>507</v>
      </c>
      <c r="H9" s="2">
        <f>IFERROR(INDEX(Sales_Entry!H$2:H$5000,2),"")</f>
        <v>2.5</v>
      </c>
      <c r="I9" s="5">
        <f>IFERROR(INDEX(Sales_Entry!I$2:I$5000,2),"")</f>
        <v>494.32499999999999</v>
      </c>
      <c r="J9" s="2" t="str">
        <f>IFERROR(INDEX(Sales_Entry!J$2:J$5000,2),"")</f>
        <v>Credit</v>
      </c>
      <c r="K9" s="2" t="str">
        <f>IFERROR(INDEX(Sales_Entry!K$2:K$5000,2),"")</f>
        <v>Unpaid</v>
      </c>
    </row>
    <row r="10" spans="1:11" x14ac:dyDescent="0.2">
      <c r="A10" s="39">
        <f>IFERROR(INDEX(Sales_Entry!A$2:A$5000,3),"")</f>
        <v>46215</v>
      </c>
      <c r="B10" s="2" t="str">
        <f>IFERROR(INDEX(Sales_Entry!B$2:B$5000,3),"")</f>
        <v>INV-1003</v>
      </c>
      <c r="C10" s="2" t="str">
        <f>IFERROR(INDEX(Sales_Entry!C$2:C$5000,3),"")</f>
        <v>Patan Co-op</v>
      </c>
      <c r="D10" s="2" t="str">
        <f>IFERROR(INDEX(Sales_Entry!D$2:D$5000,3),"")</f>
        <v>Curd (Dahi)</v>
      </c>
      <c r="E10" s="5">
        <f>IFERROR(INDEX(Sales_Entry!E$2:E$5000,3),"")</f>
        <v>10.6</v>
      </c>
      <c r="F10" s="5">
        <f>IFERROR(INDEX(Sales_Entry!F$2:F$5000,3),"")</f>
        <v>100</v>
      </c>
      <c r="G10" s="5">
        <f>IFERROR(INDEX(Sales_Entry!G$2:G$5000,3),"")</f>
        <v>1060</v>
      </c>
      <c r="H10" s="2">
        <f>IFERROR(INDEX(Sales_Entry!H$2:H$5000,3),"")</f>
        <v>2.5</v>
      </c>
      <c r="I10" s="5">
        <f>IFERROR(INDEX(Sales_Entry!I$2:I$5000,3),"")</f>
        <v>1033.5</v>
      </c>
      <c r="J10" s="2" t="str">
        <f>IFERROR(INDEX(Sales_Entry!J$2:J$5000,3),"")</f>
        <v>Bank Transfer</v>
      </c>
      <c r="K10" s="2" t="str">
        <f>IFERROR(INDEX(Sales_Entry!K$2:K$5000,3),"")</f>
        <v>Partial</v>
      </c>
    </row>
    <row r="11" spans="1:11" x14ac:dyDescent="0.2">
      <c r="A11" s="39">
        <f>IFERROR(INDEX(Sales_Entry!A$2:A$5000,4),"")</f>
        <v>46214</v>
      </c>
      <c r="B11" s="2" t="str">
        <f>IFERROR(INDEX(Sales_Entry!B$2:B$5000,4),"")</f>
        <v>INV-1004</v>
      </c>
      <c r="C11" s="2" t="str">
        <f>IFERROR(INDEX(Sales_Entry!C$2:C$5000,4),"")</f>
        <v>Hotel Annapurna</v>
      </c>
      <c r="D11" s="2" t="str">
        <f>IFERROR(INDEX(Sales_Entry!D$2:D$5000,4),"")</f>
        <v>Ghee</v>
      </c>
      <c r="E11" s="5">
        <f>IFERROR(INDEX(Sales_Entry!E$2:E$5000,4),"")</f>
        <v>13.4</v>
      </c>
      <c r="F11" s="5">
        <f>IFERROR(INDEX(Sales_Entry!F$2:F$5000,4),"")</f>
        <v>650</v>
      </c>
      <c r="G11" s="5">
        <f>IFERROR(INDEX(Sales_Entry!G$2:G$5000,4),"")</f>
        <v>8710</v>
      </c>
      <c r="H11" s="2">
        <f>IFERROR(INDEX(Sales_Entry!H$2:H$5000,4),"")</f>
        <v>2.5</v>
      </c>
      <c r="I11" s="5">
        <f>IFERROR(INDEX(Sales_Entry!I$2:I$5000,4),"")</f>
        <v>8492.25</v>
      </c>
      <c r="J11" s="2" t="str">
        <f>IFERROR(INDEX(Sales_Entry!J$2:J$5000,4),"")</f>
        <v>UPI</v>
      </c>
      <c r="K11" s="2" t="str">
        <f>IFERROR(INDEX(Sales_Entry!K$2:K$5000,4),"")</f>
        <v>Paid</v>
      </c>
    </row>
    <row r="12" spans="1:11" x14ac:dyDescent="0.2">
      <c r="A12" s="39">
        <f>IFERROR(INDEX(Sales_Entry!A$2:A$5000,5),"")</f>
        <v>46213</v>
      </c>
      <c r="B12" s="2" t="str">
        <f>IFERROR(INDEX(Sales_Entry!B$2:B$5000,5),"")</f>
        <v>INV-1005</v>
      </c>
      <c r="C12" s="2" t="str">
        <f>IFERROR(INDEX(Sales_Entry!C$2:C$5000,5),"")</f>
        <v>Khadgi Sweets</v>
      </c>
      <c r="D12" s="2" t="str">
        <f>IFERROR(INDEX(Sales_Entry!D$2:D$5000,5),"")</f>
        <v>Paneer</v>
      </c>
      <c r="E12" s="5">
        <f>IFERROR(INDEX(Sales_Entry!E$2:E$5000,5),"")</f>
        <v>16.2</v>
      </c>
      <c r="F12" s="5">
        <f>IFERROR(INDEX(Sales_Entry!F$2:F$5000,5),"")</f>
        <v>350</v>
      </c>
      <c r="G12" s="5">
        <f>IFERROR(INDEX(Sales_Entry!G$2:G$5000,5),"")</f>
        <v>5670</v>
      </c>
      <c r="H12" s="2">
        <f>IFERROR(INDEX(Sales_Entry!H$2:H$5000,5),"")</f>
        <v>0</v>
      </c>
      <c r="I12" s="5">
        <f>IFERROR(INDEX(Sales_Entry!I$2:I$5000,5),"")</f>
        <v>5670</v>
      </c>
      <c r="J12" s="2" t="str">
        <f>IFERROR(INDEX(Sales_Entry!J$2:J$5000,5),"")</f>
        <v>Cheque</v>
      </c>
      <c r="K12" s="2" t="str">
        <f>IFERROR(INDEX(Sales_Entry!K$2:K$5000,5),"")</f>
        <v>Unpaid</v>
      </c>
    </row>
    <row r="13" spans="1:11" x14ac:dyDescent="0.2">
      <c r="A13" s="39">
        <f>IFERROR(INDEX(Sales_Entry!A$2:A$5000,6),"")</f>
        <v>46212</v>
      </c>
      <c r="B13" s="2" t="str">
        <f>IFERROR(INDEX(Sales_Entry!B$2:B$5000,6),"")</f>
        <v>INV-1006</v>
      </c>
      <c r="C13" s="2" t="str">
        <f>IFERROR(INDEX(Sales_Entry!C$2:C$5000,6),"")</f>
        <v>Sharma Dairy Shop</v>
      </c>
      <c r="D13" s="2" t="str">
        <f>IFERROR(INDEX(Sales_Entry!D$2:D$5000,6),"")</f>
        <v>Raw Milk</v>
      </c>
      <c r="E13" s="5">
        <f>IFERROR(INDEX(Sales_Entry!E$2:E$5000,6),"")</f>
        <v>19</v>
      </c>
      <c r="F13" s="5">
        <f>IFERROR(INDEX(Sales_Entry!F$2:F$5000,6),"")</f>
        <v>60</v>
      </c>
      <c r="G13" s="5">
        <f>IFERROR(INDEX(Sales_Entry!G$2:G$5000,6),"")</f>
        <v>1140</v>
      </c>
      <c r="H13" s="2">
        <f>IFERROR(INDEX(Sales_Entry!H$2:H$5000,6),"")</f>
        <v>2.5</v>
      </c>
      <c r="I13" s="5">
        <f>IFERROR(INDEX(Sales_Entry!I$2:I$5000,6),"")</f>
        <v>1111.5</v>
      </c>
      <c r="J13" s="2" t="str">
        <f>IFERROR(INDEX(Sales_Entry!J$2:J$5000,6),"")</f>
        <v>Cash</v>
      </c>
      <c r="K13" s="2" t="str">
        <f>IFERROR(INDEX(Sales_Entry!K$2:K$5000,6),"")</f>
        <v>Partial</v>
      </c>
    </row>
    <row r="14" spans="1:11" x14ac:dyDescent="0.2">
      <c r="A14" s="39">
        <f>IFERROR(INDEX(Sales_Entry!A$2:A$5000,7),"")</f>
        <v>46211</v>
      </c>
      <c r="B14" s="2" t="str">
        <f>IFERROR(INDEX(Sales_Entry!B$2:B$5000,7),"")</f>
        <v>INV-1007</v>
      </c>
      <c r="C14" s="2" t="str">
        <f>IFERROR(INDEX(Sales_Entry!C$2:C$5000,7),"")</f>
        <v>Bhatbhateni Supermarket</v>
      </c>
      <c r="D14" s="2" t="str">
        <f>IFERROR(INDEX(Sales_Entry!D$2:D$5000,7),"")</f>
        <v>Cow Milk</v>
      </c>
      <c r="E14" s="5">
        <f>IFERROR(INDEX(Sales_Entry!E$2:E$5000,7),"")</f>
        <v>21.8</v>
      </c>
      <c r="F14" s="5">
        <f>IFERROR(INDEX(Sales_Entry!F$2:F$5000,7),"")</f>
        <v>65</v>
      </c>
      <c r="G14" s="5">
        <f>IFERROR(INDEX(Sales_Entry!G$2:G$5000,7),"")</f>
        <v>1417</v>
      </c>
      <c r="H14" s="2">
        <f>IFERROR(INDEX(Sales_Entry!H$2:H$5000,7),"")</f>
        <v>2.5</v>
      </c>
      <c r="I14" s="5">
        <f>IFERROR(INDEX(Sales_Entry!I$2:I$5000,7),"")</f>
        <v>1381.575</v>
      </c>
      <c r="J14" s="2" t="str">
        <f>IFERROR(INDEX(Sales_Entry!J$2:J$5000,7),"")</f>
        <v>Credit</v>
      </c>
      <c r="K14" s="2" t="str">
        <f>IFERROR(INDEX(Sales_Entry!K$2:K$5000,7),"")</f>
        <v>Paid</v>
      </c>
    </row>
    <row r="15" spans="1:11" x14ac:dyDescent="0.2">
      <c r="A15" s="39">
        <f>IFERROR(INDEX(Sales_Entry!A$2:A$5000,8),"")</f>
        <v>46210</v>
      </c>
      <c r="B15" s="2" t="str">
        <f>IFERROR(INDEX(Sales_Entry!B$2:B$5000,8),"")</f>
        <v>INV-1008</v>
      </c>
      <c r="C15" s="2" t="str">
        <f>IFERROR(INDEX(Sales_Entry!C$2:C$5000,8),"")</f>
        <v>Patan Co-op</v>
      </c>
      <c r="D15" s="2" t="str">
        <f>IFERROR(INDEX(Sales_Entry!D$2:D$5000,8),"")</f>
        <v>Curd (Dahi)</v>
      </c>
      <c r="E15" s="5">
        <f>IFERROR(INDEX(Sales_Entry!E$2:E$5000,8),"")</f>
        <v>24.6</v>
      </c>
      <c r="F15" s="5">
        <f>IFERROR(INDEX(Sales_Entry!F$2:F$5000,8),"")</f>
        <v>100</v>
      </c>
      <c r="G15" s="5">
        <f>IFERROR(INDEX(Sales_Entry!G$2:G$5000,8),"")</f>
        <v>2460</v>
      </c>
      <c r="H15" s="2">
        <f>IFERROR(INDEX(Sales_Entry!H$2:H$5000,8),"")</f>
        <v>2.5</v>
      </c>
      <c r="I15" s="5">
        <f>IFERROR(INDEX(Sales_Entry!I$2:I$5000,8),"")</f>
        <v>2398.5</v>
      </c>
      <c r="J15" s="2" t="str">
        <f>IFERROR(INDEX(Sales_Entry!J$2:J$5000,8),"")</f>
        <v>Bank Transfer</v>
      </c>
      <c r="K15" s="2" t="str">
        <f>IFERROR(INDEX(Sales_Entry!K$2:K$5000,8),"")</f>
        <v>Unpaid</v>
      </c>
    </row>
    <row r="16" spans="1:11" x14ac:dyDescent="0.2">
      <c r="A16" s="39">
        <f>IFERROR(INDEX(Sales_Entry!A$2:A$5000,9),"")</f>
        <v>46209</v>
      </c>
      <c r="B16" s="2" t="str">
        <f>IFERROR(INDEX(Sales_Entry!B$2:B$5000,9),"")</f>
        <v>INV-1009</v>
      </c>
      <c r="C16" s="2" t="str">
        <f>IFERROR(INDEX(Sales_Entry!C$2:C$5000,9),"")</f>
        <v>Hotel Annapurna</v>
      </c>
      <c r="D16" s="2" t="str">
        <f>IFERROR(INDEX(Sales_Entry!D$2:D$5000,9),"")</f>
        <v>Ghee</v>
      </c>
      <c r="E16" s="5">
        <f>IFERROR(INDEX(Sales_Entry!E$2:E$5000,9),"")</f>
        <v>27.4</v>
      </c>
      <c r="F16" s="5">
        <f>IFERROR(INDEX(Sales_Entry!F$2:F$5000,9),"")</f>
        <v>650</v>
      </c>
      <c r="G16" s="5">
        <f>IFERROR(INDEX(Sales_Entry!G$2:G$5000,9),"")</f>
        <v>17810</v>
      </c>
      <c r="H16" s="2">
        <f>IFERROR(INDEX(Sales_Entry!H$2:H$5000,9),"")</f>
        <v>0</v>
      </c>
      <c r="I16" s="5">
        <f>IFERROR(INDEX(Sales_Entry!I$2:I$5000,9),"")</f>
        <v>17810</v>
      </c>
      <c r="J16" s="2" t="str">
        <f>IFERROR(INDEX(Sales_Entry!J$2:J$5000,9),"")</f>
        <v>UPI</v>
      </c>
      <c r="K16" s="2" t="str">
        <f>IFERROR(INDEX(Sales_Entry!K$2:K$5000,9),"")</f>
        <v>Partial</v>
      </c>
    </row>
    <row r="17" spans="1:11" x14ac:dyDescent="0.2">
      <c r="A17" s="39">
        <f>IFERROR(INDEX(Sales_Entry!A$2:A$5000,10),"")</f>
        <v>46208</v>
      </c>
      <c r="B17" s="2" t="str">
        <f>IFERROR(INDEX(Sales_Entry!B$2:B$5000,10),"")</f>
        <v>INV-1010</v>
      </c>
      <c r="C17" s="2" t="str">
        <f>IFERROR(INDEX(Sales_Entry!C$2:C$5000,10),"")</f>
        <v>Khadgi Sweets</v>
      </c>
      <c r="D17" s="2" t="str">
        <f>IFERROR(INDEX(Sales_Entry!D$2:D$5000,10),"")</f>
        <v>Paneer</v>
      </c>
      <c r="E17" s="5">
        <f>IFERROR(INDEX(Sales_Entry!E$2:E$5000,10),"")</f>
        <v>30.2</v>
      </c>
      <c r="F17" s="5">
        <f>IFERROR(INDEX(Sales_Entry!F$2:F$5000,10),"")</f>
        <v>350</v>
      </c>
      <c r="G17" s="5">
        <f>IFERROR(INDEX(Sales_Entry!G$2:G$5000,10),"")</f>
        <v>10570</v>
      </c>
      <c r="H17" s="2">
        <f>IFERROR(INDEX(Sales_Entry!H$2:H$5000,10),"")</f>
        <v>2.5</v>
      </c>
      <c r="I17" s="5">
        <f>IFERROR(INDEX(Sales_Entry!I$2:I$5000,10),"")</f>
        <v>10305.75</v>
      </c>
      <c r="J17" s="2" t="str">
        <f>IFERROR(INDEX(Sales_Entry!J$2:J$5000,10),"")</f>
        <v>Cheque</v>
      </c>
      <c r="K17" s="2" t="str">
        <f>IFERROR(INDEX(Sales_Entry!K$2:K$5000,10),"")</f>
        <v>Paid</v>
      </c>
    </row>
    <row r="18" spans="1:11" x14ac:dyDescent="0.2">
      <c r="A18" s="39">
        <f>IFERROR(INDEX(Sales_Entry!A$2:A$5000,11),"")</f>
        <v>0</v>
      </c>
      <c r="B18" s="2">
        <f>IFERROR(INDEX(Sales_Entry!B$2:B$5000,11),"")</f>
        <v>0</v>
      </c>
      <c r="C18" s="2">
        <f>IFERROR(INDEX(Sales_Entry!C$2:C$5000,11),"")</f>
        <v>0</v>
      </c>
      <c r="D18" s="2">
        <f>IFERROR(INDEX(Sales_Entry!D$2:D$5000,11),"")</f>
        <v>0</v>
      </c>
      <c r="E18" s="5">
        <f>IFERROR(INDEX(Sales_Entry!E$2:E$5000,11),"")</f>
        <v>0</v>
      </c>
      <c r="F18" s="5">
        <f>IFERROR(INDEX(Sales_Entry!F$2:F$5000,11),"")</f>
        <v>0</v>
      </c>
      <c r="G18" s="5">
        <f>IFERROR(INDEX(Sales_Entry!G$2:G$5000,11),"")</f>
        <v>0</v>
      </c>
      <c r="H18" s="2">
        <f>IFERROR(INDEX(Sales_Entry!H$2:H$5000,11),"")</f>
        <v>0</v>
      </c>
      <c r="I18" s="5">
        <f>IFERROR(INDEX(Sales_Entry!I$2:I$5000,11),"")</f>
        <v>0</v>
      </c>
      <c r="J18" s="2">
        <f>IFERROR(INDEX(Sales_Entry!J$2:J$5000,11),"")</f>
        <v>0</v>
      </c>
      <c r="K18" s="2">
        <f>IFERROR(INDEX(Sales_Entry!K$2:K$5000,11),"")</f>
        <v>0</v>
      </c>
    </row>
    <row r="19" spans="1:11" x14ac:dyDescent="0.2">
      <c r="A19" s="39">
        <f>IFERROR(INDEX(Sales_Entry!A$2:A$5000,12),"")</f>
        <v>0</v>
      </c>
      <c r="B19" s="2">
        <f>IFERROR(INDEX(Sales_Entry!B$2:B$5000,12),"")</f>
        <v>0</v>
      </c>
      <c r="C19" s="2">
        <f>IFERROR(INDEX(Sales_Entry!C$2:C$5000,12),"")</f>
        <v>0</v>
      </c>
      <c r="D19" s="2">
        <f>IFERROR(INDEX(Sales_Entry!D$2:D$5000,12),"")</f>
        <v>0</v>
      </c>
      <c r="E19" s="5">
        <f>IFERROR(INDEX(Sales_Entry!E$2:E$5000,12),"")</f>
        <v>0</v>
      </c>
      <c r="F19" s="5">
        <f>IFERROR(INDEX(Sales_Entry!F$2:F$5000,12),"")</f>
        <v>0</v>
      </c>
      <c r="G19" s="5">
        <f>IFERROR(INDEX(Sales_Entry!G$2:G$5000,12),"")</f>
        <v>0</v>
      </c>
      <c r="H19" s="2">
        <f>IFERROR(INDEX(Sales_Entry!H$2:H$5000,12),"")</f>
        <v>0</v>
      </c>
      <c r="I19" s="5">
        <f>IFERROR(INDEX(Sales_Entry!I$2:I$5000,12),"")</f>
        <v>0</v>
      </c>
      <c r="J19" s="2">
        <f>IFERROR(INDEX(Sales_Entry!J$2:J$5000,12),"")</f>
        <v>0</v>
      </c>
      <c r="K19" s="2">
        <f>IFERROR(INDEX(Sales_Entry!K$2:K$5000,12),"")</f>
        <v>0</v>
      </c>
    </row>
    <row r="20" spans="1:11" x14ac:dyDescent="0.2">
      <c r="A20" s="39">
        <f>IFERROR(INDEX(Sales_Entry!A$2:A$5000,13),"")</f>
        <v>0</v>
      </c>
      <c r="B20" s="2">
        <f>IFERROR(INDEX(Sales_Entry!B$2:B$5000,13),"")</f>
        <v>0</v>
      </c>
      <c r="C20" s="2">
        <f>IFERROR(INDEX(Sales_Entry!C$2:C$5000,13),"")</f>
        <v>0</v>
      </c>
      <c r="D20" s="2">
        <f>IFERROR(INDEX(Sales_Entry!D$2:D$5000,13),"")</f>
        <v>0</v>
      </c>
      <c r="E20" s="5">
        <f>IFERROR(INDEX(Sales_Entry!E$2:E$5000,13),"")</f>
        <v>0</v>
      </c>
      <c r="F20" s="5">
        <f>IFERROR(INDEX(Sales_Entry!F$2:F$5000,13),"")</f>
        <v>0</v>
      </c>
      <c r="G20" s="5">
        <f>IFERROR(INDEX(Sales_Entry!G$2:G$5000,13),"")</f>
        <v>0</v>
      </c>
      <c r="H20" s="2">
        <f>IFERROR(INDEX(Sales_Entry!H$2:H$5000,13),"")</f>
        <v>0</v>
      </c>
      <c r="I20" s="5">
        <f>IFERROR(INDEX(Sales_Entry!I$2:I$5000,13),"")</f>
        <v>0</v>
      </c>
      <c r="J20" s="2">
        <f>IFERROR(INDEX(Sales_Entry!J$2:J$5000,13),"")</f>
        <v>0</v>
      </c>
      <c r="K20" s="2">
        <f>IFERROR(INDEX(Sales_Entry!K$2:K$5000,13),"")</f>
        <v>0</v>
      </c>
    </row>
    <row r="21" spans="1:11" x14ac:dyDescent="0.2">
      <c r="A21" s="39">
        <f>IFERROR(INDEX(Sales_Entry!A$2:A$5000,14),"")</f>
        <v>0</v>
      </c>
      <c r="B21" s="2">
        <f>IFERROR(INDEX(Sales_Entry!B$2:B$5000,14),"")</f>
        <v>0</v>
      </c>
      <c r="C21" s="2">
        <f>IFERROR(INDEX(Sales_Entry!C$2:C$5000,14),"")</f>
        <v>0</v>
      </c>
      <c r="D21" s="2">
        <f>IFERROR(INDEX(Sales_Entry!D$2:D$5000,14),"")</f>
        <v>0</v>
      </c>
      <c r="E21" s="5">
        <f>IFERROR(INDEX(Sales_Entry!E$2:E$5000,14),"")</f>
        <v>0</v>
      </c>
      <c r="F21" s="5">
        <f>IFERROR(INDEX(Sales_Entry!F$2:F$5000,14),"")</f>
        <v>0</v>
      </c>
      <c r="G21" s="5">
        <f>IFERROR(INDEX(Sales_Entry!G$2:G$5000,14),"")</f>
        <v>0</v>
      </c>
      <c r="H21" s="2">
        <f>IFERROR(INDEX(Sales_Entry!H$2:H$5000,14),"")</f>
        <v>0</v>
      </c>
      <c r="I21" s="5">
        <f>IFERROR(INDEX(Sales_Entry!I$2:I$5000,14),"")</f>
        <v>0</v>
      </c>
      <c r="J21" s="2">
        <f>IFERROR(INDEX(Sales_Entry!J$2:J$5000,14),"")</f>
        <v>0</v>
      </c>
      <c r="K21" s="2">
        <f>IFERROR(INDEX(Sales_Entry!K$2:K$5000,14),"")</f>
        <v>0</v>
      </c>
    </row>
    <row r="22" spans="1:11" x14ac:dyDescent="0.2">
      <c r="A22" s="39">
        <f>IFERROR(INDEX(Sales_Entry!A$2:A$5000,15),"")</f>
        <v>0</v>
      </c>
      <c r="B22" s="2">
        <f>IFERROR(INDEX(Sales_Entry!B$2:B$5000,15),"")</f>
        <v>0</v>
      </c>
      <c r="C22" s="2">
        <f>IFERROR(INDEX(Sales_Entry!C$2:C$5000,15),"")</f>
        <v>0</v>
      </c>
      <c r="D22" s="2">
        <f>IFERROR(INDEX(Sales_Entry!D$2:D$5000,15),"")</f>
        <v>0</v>
      </c>
      <c r="E22" s="5">
        <f>IFERROR(INDEX(Sales_Entry!E$2:E$5000,15),"")</f>
        <v>0</v>
      </c>
      <c r="F22" s="5">
        <f>IFERROR(INDEX(Sales_Entry!F$2:F$5000,15),"")</f>
        <v>0</v>
      </c>
      <c r="G22" s="5">
        <f>IFERROR(INDEX(Sales_Entry!G$2:G$5000,15),"")</f>
        <v>0</v>
      </c>
      <c r="H22" s="2">
        <f>IFERROR(INDEX(Sales_Entry!H$2:H$5000,15),"")</f>
        <v>0</v>
      </c>
      <c r="I22" s="5">
        <f>IFERROR(INDEX(Sales_Entry!I$2:I$5000,15),"")</f>
        <v>0</v>
      </c>
      <c r="J22" s="2">
        <f>IFERROR(INDEX(Sales_Entry!J$2:J$5000,15),"")</f>
        <v>0</v>
      </c>
      <c r="K22" s="2">
        <f>IFERROR(INDEX(Sales_Entry!K$2:K$5000,15),"")</f>
        <v>0</v>
      </c>
    </row>
    <row r="23" spans="1:11" x14ac:dyDescent="0.2">
      <c r="A23" s="39">
        <f>IFERROR(INDEX(Sales_Entry!A$2:A$5000,16),"")</f>
        <v>0</v>
      </c>
      <c r="B23" s="2">
        <f>IFERROR(INDEX(Sales_Entry!B$2:B$5000,16),"")</f>
        <v>0</v>
      </c>
      <c r="C23" s="2">
        <f>IFERROR(INDEX(Sales_Entry!C$2:C$5000,16),"")</f>
        <v>0</v>
      </c>
      <c r="D23" s="2">
        <f>IFERROR(INDEX(Sales_Entry!D$2:D$5000,16),"")</f>
        <v>0</v>
      </c>
      <c r="E23" s="5">
        <f>IFERROR(INDEX(Sales_Entry!E$2:E$5000,16),"")</f>
        <v>0</v>
      </c>
      <c r="F23" s="5">
        <f>IFERROR(INDEX(Sales_Entry!F$2:F$5000,16),"")</f>
        <v>0</v>
      </c>
      <c r="G23" s="5">
        <f>IFERROR(INDEX(Sales_Entry!G$2:G$5000,16),"")</f>
        <v>0</v>
      </c>
      <c r="H23" s="2">
        <f>IFERROR(INDEX(Sales_Entry!H$2:H$5000,16),"")</f>
        <v>0</v>
      </c>
      <c r="I23" s="5">
        <f>IFERROR(INDEX(Sales_Entry!I$2:I$5000,16),"")</f>
        <v>0</v>
      </c>
      <c r="J23" s="2">
        <f>IFERROR(INDEX(Sales_Entry!J$2:J$5000,16),"")</f>
        <v>0</v>
      </c>
      <c r="K23" s="2">
        <f>IFERROR(INDEX(Sales_Entry!K$2:K$5000,16),"")</f>
        <v>0</v>
      </c>
    </row>
    <row r="24" spans="1:11" x14ac:dyDescent="0.2">
      <c r="A24" s="39">
        <f>IFERROR(INDEX(Sales_Entry!A$2:A$5000,17),"")</f>
        <v>0</v>
      </c>
      <c r="B24" s="2">
        <f>IFERROR(INDEX(Sales_Entry!B$2:B$5000,17),"")</f>
        <v>0</v>
      </c>
      <c r="C24" s="2">
        <f>IFERROR(INDEX(Sales_Entry!C$2:C$5000,17),"")</f>
        <v>0</v>
      </c>
      <c r="D24" s="2">
        <f>IFERROR(INDEX(Sales_Entry!D$2:D$5000,17),"")</f>
        <v>0</v>
      </c>
      <c r="E24" s="5">
        <f>IFERROR(INDEX(Sales_Entry!E$2:E$5000,17),"")</f>
        <v>0</v>
      </c>
      <c r="F24" s="5">
        <f>IFERROR(INDEX(Sales_Entry!F$2:F$5000,17),"")</f>
        <v>0</v>
      </c>
      <c r="G24" s="5">
        <f>IFERROR(INDEX(Sales_Entry!G$2:G$5000,17),"")</f>
        <v>0</v>
      </c>
      <c r="H24" s="2">
        <f>IFERROR(INDEX(Sales_Entry!H$2:H$5000,17),"")</f>
        <v>0</v>
      </c>
      <c r="I24" s="5">
        <f>IFERROR(INDEX(Sales_Entry!I$2:I$5000,17),"")</f>
        <v>0</v>
      </c>
      <c r="J24" s="2">
        <f>IFERROR(INDEX(Sales_Entry!J$2:J$5000,17),"")</f>
        <v>0</v>
      </c>
      <c r="K24" s="2">
        <f>IFERROR(INDEX(Sales_Entry!K$2:K$5000,17),"")</f>
        <v>0</v>
      </c>
    </row>
    <row r="25" spans="1:11" x14ac:dyDescent="0.2">
      <c r="A25" s="39">
        <f>IFERROR(INDEX(Sales_Entry!A$2:A$5000,18),"")</f>
        <v>0</v>
      </c>
      <c r="B25" s="2">
        <f>IFERROR(INDEX(Sales_Entry!B$2:B$5000,18),"")</f>
        <v>0</v>
      </c>
      <c r="C25" s="2">
        <f>IFERROR(INDEX(Sales_Entry!C$2:C$5000,18),"")</f>
        <v>0</v>
      </c>
      <c r="D25" s="2">
        <f>IFERROR(INDEX(Sales_Entry!D$2:D$5000,18),"")</f>
        <v>0</v>
      </c>
      <c r="E25" s="5">
        <f>IFERROR(INDEX(Sales_Entry!E$2:E$5000,18),"")</f>
        <v>0</v>
      </c>
      <c r="F25" s="5">
        <f>IFERROR(INDEX(Sales_Entry!F$2:F$5000,18),"")</f>
        <v>0</v>
      </c>
      <c r="G25" s="5">
        <f>IFERROR(INDEX(Sales_Entry!G$2:G$5000,18),"")</f>
        <v>0</v>
      </c>
      <c r="H25" s="2">
        <f>IFERROR(INDEX(Sales_Entry!H$2:H$5000,18),"")</f>
        <v>0</v>
      </c>
      <c r="I25" s="5">
        <f>IFERROR(INDEX(Sales_Entry!I$2:I$5000,18),"")</f>
        <v>0</v>
      </c>
      <c r="J25" s="2">
        <f>IFERROR(INDEX(Sales_Entry!J$2:J$5000,18),"")</f>
        <v>0</v>
      </c>
      <c r="K25" s="2">
        <f>IFERROR(INDEX(Sales_Entry!K$2:K$5000,18),"")</f>
        <v>0</v>
      </c>
    </row>
    <row r="26" spans="1:11" x14ac:dyDescent="0.2">
      <c r="A26" s="39">
        <f>IFERROR(INDEX(Sales_Entry!A$2:A$5000,19),"")</f>
        <v>0</v>
      </c>
      <c r="B26" s="2">
        <f>IFERROR(INDEX(Sales_Entry!B$2:B$5000,19),"")</f>
        <v>0</v>
      </c>
      <c r="C26" s="2">
        <f>IFERROR(INDEX(Sales_Entry!C$2:C$5000,19),"")</f>
        <v>0</v>
      </c>
      <c r="D26" s="2">
        <f>IFERROR(INDEX(Sales_Entry!D$2:D$5000,19),"")</f>
        <v>0</v>
      </c>
      <c r="E26" s="5">
        <f>IFERROR(INDEX(Sales_Entry!E$2:E$5000,19),"")</f>
        <v>0</v>
      </c>
      <c r="F26" s="5">
        <f>IFERROR(INDEX(Sales_Entry!F$2:F$5000,19),"")</f>
        <v>0</v>
      </c>
      <c r="G26" s="5">
        <f>IFERROR(INDEX(Sales_Entry!G$2:G$5000,19),"")</f>
        <v>0</v>
      </c>
      <c r="H26" s="2">
        <f>IFERROR(INDEX(Sales_Entry!H$2:H$5000,19),"")</f>
        <v>0</v>
      </c>
      <c r="I26" s="5">
        <f>IFERROR(INDEX(Sales_Entry!I$2:I$5000,19),"")</f>
        <v>0</v>
      </c>
      <c r="J26" s="2">
        <f>IFERROR(INDEX(Sales_Entry!J$2:J$5000,19),"")</f>
        <v>0</v>
      </c>
      <c r="K26" s="2">
        <f>IFERROR(INDEX(Sales_Entry!K$2:K$5000,19),"")</f>
        <v>0</v>
      </c>
    </row>
    <row r="27" spans="1:11" x14ac:dyDescent="0.2">
      <c r="A27" s="39">
        <f>IFERROR(INDEX(Sales_Entry!A$2:A$5000,20),"")</f>
        <v>0</v>
      </c>
      <c r="B27" s="2">
        <f>IFERROR(INDEX(Sales_Entry!B$2:B$5000,20),"")</f>
        <v>0</v>
      </c>
      <c r="C27" s="2">
        <f>IFERROR(INDEX(Sales_Entry!C$2:C$5000,20),"")</f>
        <v>0</v>
      </c>
      <c r="D27" s="2">
        <f>IFERROR(INDEX(Sales_Entry!D$2:D$5000,20),"")</f>
        <v>0</v>
      </c>
      <c r="E27" s="5">
        <f>IFERROR(INDEX(Sales_Entry!E$2:E$5000,20),"")</f>
        <v>0</v>
      </c>
      <c r="F27" s="5">
        <f>IFERROR(INDEX(Sales_Entry!F$2:F$5000,20),"")</f>
        <v>0</v>
      </c>
      <c r="G27" s="5">
        <f>IFERROR(INDEX(Sales_Entry!G$2:G$5000,20),"")</f>
        <v>0</v>
      </c>
      <c r="H27" s="2">
        <f>IFERROR(INDEX(Sales_Entry!H$2:H$5000,20),"")</f>
        <v>0</v>
      </c>
      <c r="I27" s="5">
        <f>IFERROR(INDEX(Sales_Entry!I$2:I$5000,20),"")</f>
        <v>0</v>
      </c>
      <c r="J27" s="2">
        <f>IFERROR(INDEX(Sales_Entry!J$2:J$5000,20),"")</f>
        <v>0</v>
      </c>
      <c r="K27" s="2">
        <f>IFERROR(INDEX(Sales_Entry!K$2:K$5000,20),"")</f>
        <v>0</v>
      </c>
    </row>
    <row r="28" spans="1:11" x14ac:dyDescent="0.2">
      <c r="A28" s="39">
        <f>IFERROR(INDEX(Sales_Entry!A$2:A$5000,21),"")</f>
        <v>0</v>
      </c>
      <c r="B28" s="2">
        <f>IFERROR(INDEX(Sales_Entry!B$2:B$5000,21),"")</f>
        <v>0</v>
      </c>
      <c r="C28" s="2">
        <f>IFERROR(INDEX(Sales_Entry!C$2:C$5000,21),"")</f>
        <v>0</v>
      </c>
      <c r="D28" s="2">
        <f>IFERROR(INDEX(Sales_Entry!D$2:D$5000,21),"")</f>
        <v>0</v>
      </c>
      <c r="E28" s="5">
        <f>IFERROR(INDEX(Sales_Entry!E$2:E$5000,21),"")</f>
        <v>0</v>
      </c>
      <c r="F28" s="5">
        <f>IFERROR(INDEX(Sales_Entry!F$2:F$5000,21),"")</f>
        <v>0</v>
      </c>
      <c r="G28" s="5">
        <f>IFERROR(INDEX(Sales_Entry!G$2:G$5000,21),"")</f>
        <v>0</v>
      </c>
      <c r="H28" s="2">
        <f>IFERROR(INDEX(Sales_Entry!H$2:H$5000,21),"")</f>
        <v>0</v>
      </c>
      <c r="I28" s="5">
        <f>IFERROR(INDEX(Sales_Entry!I$2:I$5000,21),"")</f>
        <v>0</v>
      </c>
      <c r="J28" s="2">
        <f>IFERROR(INDEX(Sales_Entry!J$2:J$5000,21),"")</f>
        <v>0</v>
      </c>
      <c r="K28" s="2">
        <f>IFERROR(INDEX(Sales_Entry!K$2:K$5000,21),"")</f>
        <v>0</v>
      </c>
    </row>
    <row r="29" spans="1:11" x14ac:dyDescent="0.2">
      <c r="A29" s="4" t="s">
        <v>95</v>
      </c>
      <c r="G29" s="6">
        <f>SUM(G9:G28)</f>
        <v>49344</v>
      </c>
      <c r="I29" s="40">
        <f>SUM(I9:I28)</f>
        <v>48697.4</v>
      </c>
    </row>
  </sheetData>
  <autoFilter ref="A8:K28" xr:uid="{00000000-0009-0000-0000-000009000000}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K29"/>
  <sheetViews>
    <sheetView workbookViewId="0">
      <pane ySplit="8" topLeftCell="A9" activePane="bottomLeft" state="frozen"/>
      <selection pane="bottomLeft" activeCell="K10" sqref="K10"/>
    </sheetView>
  </sheetViews>
  <sheetFormatPr baseColWidth="10" defaultColWidth="8.83203125" defaultRowHeight="15" x14ac:dyDescent="0.2"/>
  <cols>
    <col min="1" max="2" width="14" customWidth="1"/>
    <col min="3" max="3" width="24" customWidth="1"/>
    <col min="4" max="4" width="20" customWidth="1"/>
    <col min="5" max="6" width="10" customWidth="1"/>
    <col min="7" max="7" width="14" customWidth="1"/>
    <col min="8" max="8" width="12" customWidth="1"/>
    <col min="9" max="10" width="14" customWidth="1"/>
    <col min="11" max="11" width="12" customWidth="1"/>
  </cols>
  <sheetData>
    <row r="1" spans="1:11" ht="24" x14ac:dyDescent="0.3">
      <c r="A1" s="59" t="s">
        <v>237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spans="1:11" ht="16" x14ac:dyDescent="0.2">
      <c r="A3" s="16" t="s">
        <v>228</v>
      </c>
      <c r="E3" s="16" t="s">
        <v>229</v>
      </c>
    </row>
    <row r="4" spans="1:11" x14ac:dyDescent="0.2">
      <c r="A4" s="34" t="s">
        <v>230</v>
      </c>
      <c r="B4" s="41" t="e">
        <f>1-Jul-2026</f>
        <v>#NAME?</v>
      </c>
      <c r="E4" s="34" t="s">
        <v>238</v>
      </c>
      <c r="F4">
        <f>COUNTIFS(Purchase_Entry!A$2:A$5000,"&gt;="&amp;B4,Purchase_Entry!A$2:A$5000,"&lt;="&amp;B5)</f>
        <v>0</v>
      </c>
    </row>
    <row r="5" spans="1:11" x14ac:dyDescent="0.2">
      <c r="A5" s="34" t="s">
        <v>232</v>
      </c>
      <c r="B5" s="41" t="e">
        <f>14-Jul-2026</f>
        <v>#NAME?</v>
      </c>
      <c r="E5" s="34" t="s">
        <v>233</v>
      </c>
      <c r="F5" s="42">
        <f>SUMIFS(Purchase_Entry!N$2:N$5000,Purchase_Entry!A$2:A$5000,"&gt;="&amp;B4,Purchase_Entry!A$2:A$5000,"&lt;="&amp;B5)</f>
        <v>0</v>
      </c>
    </row>
    <row r="6" spans="1:11" x14ac:dyDescent="0.2">
      <c r="A6" s="34" t="s">
        <v>239</v>
      </c>
      <c r="B6" s="37" t="s">
        <v>235</v>
      </c>
      <c r="E6" s="34" t="s">
        <v>240</v>
      </c>
      <c r="F6" s="38">
        <f>SUMIFS(Purchase_Entry!N$2:N$5000,Purchase_Entry!A$2:A$5000,"&gt;="&amp;B4,Purchase_Entry!A$2:A$5000,"&lt;="&amp;B5,Purchase_Entry!P$2:P$5000,"Unpaid")+SUMIFS(Purchase_Entry!N$2:N$5000,Purchase_Entry!A$2:A$5000,"&gt;="&amp;B4,Purchase_Entry!A$2:A$5000,"&lt;="&amp;B5,Purchase_Entry!P$2:P$5000,"Partial")</f>
        <v>0</v>
      </c>
    </row>
    <row r="8" spans="1:11" ht="16" x14ac:dyDescent="0.2">
      <c r="A8" s="3" t="s">
        <v>44</v>
      </c>
      <c r="B8" s="3" t="s">
        <v>125</v>
      </c>
      <c r="C8" s="3" t="s">
        <v>190</v>
      </c>
      <c r="D8" s="3" t="s">
        <v>40</v>
      </c>
      <c r="E8" s="3" t="s">
        <v>97</v>
      </c>
      <c r="F8" s="3" t="s">
        <v>98</v>
      </c>
      <c r="G8" s="3" t="s">
        <v>47</v>
      </c>
      <c r="H8" s="3" t="s">
        <v>80</v>
      </c>
      <c r="I8" s="3" t="s">
        <v>100</v>
      </c>
      <c r="J8" s="3" t="s">
        <v>101</v>
      </c>
      <c r="K8" s="3" t="s">
        <v>30</v>
      </c>
    </row>
    <row r="9" spans="1:11" x14ac:dyDescent="0.2">
      <c r="A9" s="14">
        <f>IFERROR(INDEX(Purchase_Entry!A$2:A$5000,2),"")</f>
        <v>46216</v>
      </c>
      <c r="B9" s="2" t="str">
        <f>IF(A9="","",INDEX(Purchase_Entry!B$2:B$5000,2))</f>
        <v>BILL-5002</v>
      </c>
      <c r="C9" s="2" t="str">
        <f>IF(A9="","",INDEX(Purchase_Entry!C$2:C$5000,2))</f>
        <v>Fresh Valley Suppliers</v>
      </c>
      <c r="D9" s="2" t="str">
        <f>IF(A9="","",INDEX(Purchase_Entry!D$2:D$5000,2))</f>
        <v>Raw Milk</v>
      </c>
      <c r="E9" s="5">
        <f>IF(A9="","",INDEX(Purchase_Entry!K$2:K$5000,2))</f>
        <v>62.5</v>
      </c>
      <c r="F9" s="5">
        <f>IF(A9="","",INDEX(Purchase_Entry!J$2:J$5000,2))</f>
        <v>65.642500000000013</v>
      </c>
      <c r="G9" s="5">
        <f>IF(A9="","",INDEX(Purchase_Entry!L$2:L$5000,2))</f>
        <v>4102.6562500000009</v>
      </c>
      <c r="H9" s="5">
        <f>IF(A9="","",INDEX(Purchase_Entry!M$2:M$5000,2))</f>
        <v>340</v>
      </c>
      <c r="I9" s="5">
        <f>IF(A9="","",INDEX(Purchase_Entry!N$2:N$5000,2))</f>
        <v>4442.6562500000009</v>
      </c>
      <c r="J9" s="2" t="str">
        <f>IF(A9="","",INDEX(Purchase_Entry!O$2:O$5000,2))</f>
        <v>Credit</v>
      </c>
      <c r="K9" s="2" t="str">
        <f>IF(A9="","",INDEX(Purchase_Entry!P$2:P$5000,2))</f>
        <v>Unpaid</v>
      </c>
    </row>
    <row r="10" spans="1:11" x14ac:dyDescent="0.2">
      <c r="A10" s="14">
        <f>IFERROR(INDEX(Purchase_Entry!A$2:A$5000,3),"")</f>
        <v>46215</v>
      </c>
      <c r="B10" s="2" t="str">
        <f>IF(A10="","",INDEX(Purchase_Entry!B$2:B$5000,3))</f>
        <v>BILL-5003</v>
      </c>
      <c r="C10" s="2" t="str">
        <f>IF(A10="","",INDEX(Purchase_Entry!C$2:C$5000,3))</f>
        <v>Patan Co-op</v>
      </c>
      <c r="D10" s="2" t="str">
        <f>IF(A10="","",INDEX(Purchase_Entry!D$2:D$5000,3))</f>
        <v>Raw Milk</v>
      </c>
      <c r="E10" s="5">
        <f>IF(A10="","",INDEX(Purchase_Entry!K$2:K$5000,3))</f>
        <v>75</v>
      </c>
      <c r="F10" s="5">
        <f>IF(A10="","",INDEX(Purchase_Entry!J$2:J$5000,3))</f>
        <v>65.584999999999994</v>
      </c>
      <c r="G10" s="5">
        <f>IF(A10="","",INDEX(Purchase_Entry!L$2:L$5000,3))</f>
        <v>4918.8749999999991</v>
      </c>
      <c r="H10" s="5">
        <f>IF(A10="","",INDEX(Purchase_Entry!M$2:M$5000,3))</f>
        <v>380</v>
      </c>
      <c r="I10" s="5">
        <f>IF(A10="","",INDEX(Purchase_Entry!N$2:N$5000,3))</f>
        <v>5298.8749999999991</v>
      </c>
      <c r="J10" s="2" t="str">
        <f>IF(A10="","",INDEX(Purchase_Entry!O$2:O$5000,3))</f>
        <v>Bank Transfer</v>
      </c>
      <c r="K10" s="2" t="str">
        <f>IF(A10="","",INDEX(Purchase_Entry!P$2:P$5000,3))</f>
        <v>Partial</v>
      </c>
    </row>
    <row r="11" spans="1:11" x14ac:dyDescent="0.2">
      <c r="A11" s="14">
        <f>IFERROR(INDEX(Purchase_Entry!A$2:A$5000,4),"")</f>
        <v>46214</v>
      </c>
      <c r="B11" s="2" t="str">
        <f>IF(A11="","",INDEX(Purchase_Entry!B$2:B$5000,4))</f>
        <v>BILL-5004</v>
      </c>
      <c r="C11" s="2" t="str">
        <f>IF(A11="","",INDEX(Purchase_Entry!C$2:C$5000,4))</f>
        <v>Pokhara Ghee House</v>
      </c>
      <c r="D11" s="2" t="str">
        <f>IF(A11="","",INDEX(Purchase_Entry!D$2:D$5000,4))</f>
        <v>Raw Milk</v>
      </c>
      <c r="E11" s="5">
        <f>IF(A11="","",INDEX(Purchase_Entry!K$2:K$5000,4))</f>
        <v>87.5</v>
      </c>
      <c r="F11" s="5">
        <f>IF(A11="","",INDEX(Purchase_Entry!J$2:J$5000,4))</f>
        <v>68.527500000000003</v>
      </c>
      <c r="G11" s="5">
        <f>IF(A11="","",INDEX(Purchase_Entry!L$2:L$5000,4))</f>
        <v>5996.15625</v>
      </c>
      <c r="H11" s="5">
        <f>IF(A11="","",INDEX(Purchase_Entry!M$2:M$5000,4))</f>
        <v>420</v>
      </c>
      <c r="I11" s="5">
        <f>IF(A11="","",INDEX(Purchase_Entry!N$2:N$5000,4))</f>
        <v>6416.15625</v>
      </c>
      <c r="J11" s="2" t="str">
        <f>IF(A11="","",INDEX(Purchase_Entry!O$2:O$5000,4))</f>
        <v>Cheque</v>
      </c>
      <c r="K11" s="2" t="str">
        <f>IF(A11="","",INDEX(Purchase_Entry!P$2:P$5000,4))</f>
        <v>Paid</v>
      </c>
    </row>
    <row r="12" spans="1:11" x14ac:dyDescent="0.2">
      <c r="A12" s="14">
        <f>IFERROR(INDEX(Purchase_Entry!A$2:A$5000,5),"")</f>
        <v>46213</v>
      </c>
      <c r="B12" s="2" t="str">
        <f>IF(A12="","",INDEX(Purchase_Entry!B$2:B$5000,5))</f>
        <v>BILL-5005</v>
      </c>
      <c r="C12" s="2" t="str">
        <f>IF(A12="","",INDEX(Purchase_Entry!C$2:C$5000,5))</f>
        <v>Dairy Cooperative</v>
      </c>
      <c r="D12" s="2" t="str">
        <f>IF(A12="","",INDEX(Purchase_Entry!D$2:D$5000,5))</f>
        <v>Ghee</v>
      </c>
      <c r="E12" s="5">
        <f>IF(A12="","",INDEX(Purchase_Entry!K$2:K$5000,5))</f>
        <v>100</v>
      </c>
      <c r="F12" s="5">
        <f>IF(A12="","",INDEX(Purchase_Entry!J$2:J$5000,5))</f>
        <v>1</v>
      </c>
      <c r="G12" s="5">
        <f>IF(A12="","",INDEX(Purchase_Entry!L$2:L$5000,5))</f>
        <v>100</v>
      </c>
      <c r="H12" s="5">
        <f>IF(A12="","",INDEX(Purchase_Entry!M$2:M$5000,5))</f>
        <v>460</v>
      </c>
      <c r="I12" s="5">
        <f>IF(A12="","",INDEX(Purchase_Entry!N$2:N$5000,5))</f>
        <v>560</v>
      </c>
      <c r="J12" s="2" t="str">
        <f>IF(A12="","",INDEX(Purchase_Entry!O$2:O$5000,5))</f>
        <v>UPI</v>
      </c>
      <c r="K12" s="2" t="str">
        <f>IF(A12="","",INDEX(Purchase_Entry!P$2:P$5000,5))</f>
        <v>Unpaid</v>
      </c>
    </row>
    <row r="13" spans="1:11" x14ac:dyDescent="0.2">
      <c r="A13" s="14">
        <f>IFERROR(INDEX(Purchase_Entry!A$2:A$5000,6),"")</f>
        <v>46212</v>
      </c>
      <c r="B13" s="2" t="str">
        <f>IF(A13="","",INDEX(Purchase_Entry!B$2:B$5000,6))</f>
        <v>BILL-5006</v>
      </c>
      <c r="C13" s="2" t="str">
        <f>IF(A13="","",INDEX(Purchase_Entry!C$2:C$5000,6))</f>
        <v>Gurung Dairy Farm</v>
      </c>
      <c r="D13" s="2" t="str">
        <f>IF(A13="","",INDEX(Purchase_Entry!D$2:D$5000,6))</f>
        <v>Raw Milk</v>
      </c>
      <c r="E13" s="5">
        <f>IF(A13="","",INDEX(Purchase_Entry!K$2:K$5000,6))</f>
        <v>112.5</v>
      </c>
      <c r="F13" s="5">
        <f>IF(A13="","",INDEX(Purchase_Entry!J$2:J$5000,6))</f>
        <v>68.412499999999994</v>
      </c>
      <c r="G13" s="5">
        <f>IF(A13="","",INDEX(Purchase_Entry!L$2:L$5000,6))</f>
        <v>7696.4062499999991</v>
      </c>
      <c r="H13" s="5">
        <f>IF(A13="","",INDEX(Purchase_Entry!M$2:M$5000,6))</f>
        <v>500</v>
      </c>
      <c r="I13" s="5">
        <f>IF(A13="","",INDEX(Purchase_Entry!N$2:N$5000,6))</f>
        <v>8196.40625</v>
      </c>
      <c r="J13" s="2" t="str">
        <f>IF(A13="","",INDEX(Purchase_Entry!O$2:O$5000,6))</f>
        <v>Cash</v>
      </c>
      <c r="K13" s="2" t="str">
        <f>IF(A13="","",INDEX(Purchase_Entry!P$2:P$5000,6))</f>
        <v>Partial</v>
      </c>
    </row>
    <row r="14" spans="1:11" x14ac:dyDescent="0.2">
      <c r="A14" s="14">
        <f>IFERROR(INDEX(Purchase_Entry!A$2:A$5000,7),"")</f>
        <v>46211</v>
      </c>
      <c r="B14" s="2" t="str">
        <f>IF(A14="","",INDEX(Purchase_Entry!B$2:B$5000,7))</f>
        <v>BILL-5007</v>
      </c>
      <c r="C14" s="2" t="str">
        <f>IF(A14="","",INDEX(Purchase_Entry!C$2:C$5000,7))</f>
        <v>Fresh Valley Suppliers</v>
      </c>
      <c r="D14" s="2" t="str">
        <f>IF(A14="","",INDEX(Purchase_Entry!D$2:D$5000,7))</f>
        <v>Cow Milk</v>
      </c>
      <c r="E14" s="5">
        <f>IF(A14="","",INDEX(Purchase_Entry!K$2:K$5000,7))</f>
        <v>125</v>
      </c>
      <c r="F14" s="5">
        <f>IF(A14="","",INDEX(Purchase_Entry!J$2:J$5000,7))</f>
        <v>62</v>
      </c>
      <c r="G14" s="5">
        <f>IF(A14="","",INDEX(Purchase_Entry!L$2:L$5000,7))</f>
        <v>7750</v>
      </c>
      <c r="H14" s="5">
        <f>IF(A14="","",INDEX(Purchase_Entry!M$2:M$5000,7))</f>
        <v>540</v>
      </c>
      <c r="I14" s="5">
        <f>IF(A14="","",INDEX(Purchase_Entry!N$2:N$5000,7))</f>
        <v>8290</v>
      </c>
      <c r="J14" s="2" t="str">
        <f>IF(A14="","",INDEX(Purchase_Entry!O$2:O$5000,7))</f>
        <v>Credit</v>
      </c>
      <c r="K14" s="2" t="str">
        <f>IF(A14="","",INDEX(Purchase_Entry!P$2:P$5000,7))</f>
        <v>Paid</v>
      </c>
    </row>
    <row r="15" spans="1:11" x14ac:dyDescent="0.2">
      <c r="A15" s="14">
        <f>IFERROR(INDEX(Purchase_Entry!A$2:A$5000,8),"")</f>
        <v>46210</v>
      </c>
      <c r="B15" s="2" t="str">
        <f>IF(A15="","",INDEX(Purchase_Entry!B$2:B$5000,8))</f>
        <v>BILL-5008</v>
      </c>
      <c r="C15" s="2" t="str">
        <f>IF(A15="","",INDEX(Purchase_Entry!C$2:C$5000,8))</f>
        <v>Patan Co-op</v>
      </c>
      <c r="D15" s="2" t="str">
        <f>IF(A15="","",INDEX(Purchase_Entry!D$2:D$5000,8))</f>
        <v>Buffalo Milk</v>
      </c>
      <c r="E15" s="5">
        <f>IF(A15="","",INDEX(Purchase_Entry!K$2:K$5000,8))</f>
        <v>137.5</v>
      </c>
      <c r="F15" s="5">
        <f>IF(A15="","",INDEX(Purchase_Entry!J$2:J$5000,8))</f>
        <v>64</v>
      </c>
      <c r="G15" s="5">
        <f>IF(A15="","",INDEX(Purchase_Entry!L$2:L$5000,8))</f>
        <v>8800</v>
      </c>
      <c r="H15" s="5">
        <f>IF(A15="","",INDEX(Purchase_Entry!M$2:M$5000,8))</f>
        <v>580</v>
      </c>
      <c r="I15" s="5">
        <f>IF(A15="","",INDEX(Purchase_Entry!N$2:N$5000,8))</f>
        <v>9380</v>
      </c>
      <c r="J15" s="2" t="str">
        <f>IF(A15="","",INDEX(Purchase_Entry!O$2:O$5000,8))</f>
        <v>Bank Transfer</v>
      </c>
      <c r="K15" s="2" t="str">
        <f>IF(A15="","",INDEX(Purchase_Entry!P$2:P$5000,8))</f>
        <v>Unpaid</v>
      </c>
    </row>
    <row r="16" spans="1:11" x14ac:dyDescent="0.2">
      <c r="A16" s="14">
        <f>IFERROR(INDEX(Purchase_Entry!A$2:A$5000,9),"")</f>
        <v>0</v>
      </c>
      <c r="B16" s="2">
        <f>IF(A16="","",INDEX(Purchase_Entry!B$2:B$5000,9))</f>
        <v>0</v>
      </c>
      <c r="C16" s="2">
        <f>IF(A16="","",INDEX(Purchase_Entry!C$2:C$5000,9))</f>
        <v>0</v>
      </c>
      <c r="D16" s="2">
        <f>IF(A16="","",INDEX(Purchase_Entry!D$2:D$5000,9))</f>
        <v>0</v>
      </c>
      <c r="E16" s="5">
        <f>IF(A16="","",INDEX(Purchase_Entry!K$2:K$5000,9))</f>
        <v>0</v>
      </c>
      <c r="F16" s="5">
        <f>IF(A16="","",INDEX(Purchase_Entry!J$2:J$5000,9))</f>
        <v>0</v>
      </c>
      <c r="G16" s="5">
        <f>IF(A16="","",INDEX(Purchase_Entry!L$2:L$5000,9))</f>
        <v>0</v>
      </c>
      <c r="H16" s="5">
        <f>IF(A16="","",INDEX(Purchase_Entry!M$2:M$5000,9))</f>
        <v>0</v>
      </c>
      <c r="I16" s="5">
        <f>IF(A16="","",INDEX(Purchase_Entry!N$2:N$5000,9))</f>
        <v>0</v>
      </c>
      <c r="J16" s="2">
        <f>IF(A16="","",INDEX(Purchase_Entry!O$2:O$5000,9))</f>
        <v>0</v>
      </c>
      <c r="K16" s="2">
        <f>IF(A16="","",INDEX(Purchase_Entry!P$2:P$5000,9))</f>
        <v>0</v>
      </c>
    </row>
    <row r="17" spans="1:11" x14ac:dyDescent="0.2">
      <c r="A17" s="14">
        <f>IFERROR(INDEX(Purchase_Entry!A$2:A$5000,10),"")</f>
        <v>0</v>
      </c>
      <c r="B17" s="2">
        <f>IF(A17="","",INDEX(Purchase_Entry!B$2:B$5000,10))</f>
        <v>0</v>
      </c>
      <c r="C17" s="2">
        <f>IF(A17="","",INDEX(Purchase_Entry!C$2:C$5000,10))</f>
        <v>0</v>
      </c>
      <c r="D17" s="2">
        <f>IF(A17="","",INDEX(Purchase_Entry!D$2:D$5000,10))</f>
        <v>0</v>
      </c>
      <c r="E17" s="5">
        <f>IF(A17="","",INDEX(Purchase_Entry!K$2:K$5000,10))</f>
        <v>0</v>
      </c>
      <c r="F17" s="5">
        <f>IF(A17="","",INDEX(Purchase_Entry!J$2:J$5000,10))</f>
        <v>0</v>
      </c>
      <c r="G17" s="5">
        <f>IF(A17="","",INDEX(Purchase_Entry!L$2:L$5000,10))</f>
        <v>0</v>
      </c>
      <c r="H17" s="5">
        <f>IF(A17="","",INDEX(Purchase_Entry!M$2:M$5000,10))</f>
        <v>0</v>
      </c>
      <c r="I17" s="5">
        <f>IF(A17="","",INDEX(Purchase_Entry!N$2:N$5000,10))</f>
        <v>0</v>
      </c>
      <c r="J17" s="2">
        <f>IF(A17="","",INDEX(Purchase_Entry!O$2:O$5000,10))</f>
        <v>0</v>
      </c>
      <c r="K17" s="2">
        <f>IF(A17="","",INDEX(Purchase_Entry!P$2:P$5000,10))</f>
        <v>0</v>
      </c>
    </row>
    <row r="18" spans="1:11" x14ac:dyDescent="0.2">
      <c r="A18" s="14" t="str">
        <f>IFERROR(INDEX(Purchase_Entry!A$2:A$5000,11),"")</f>
        <v>📌 MILK PURCHASE PRICING RULES</v>
      </c>
      <c r="B18" s="2">
        <f>IF(A18="","",INDEX(Purchase_Entry!B$2:B$5000,11))</f>
        <v>0</v>
      </c>
      <c r="C18" s="2">
        <f>IF(A18="","",INDEX(Purchase_Entry!C$2:C$5000,11))</f>
        <v>0</v>
      </c>
      <c r="D18" s="2">
        <f>IF(A18="","",INDEX(Purchase_Entry!D$2:D$5000,11))</f>
        <v>0</v>
      </c>
      <c r="E18" s="5">
        <f>IF(A18="","",INDEX(Purchase_Entry!K$2:K$5000,11))</f>
        <v>0</v>
      </c>
      <c r="F18" s="5">
        <f>IF(A18="","",INDEX(Purchase_Entry!J$2:J$5000,11))</f>
        <v>0</v>
      </c>
      <c r="G18" s="5">
        <f>IF(A18="","",INDEX(Purchase_Entry!L$2:L$5000,11))</f>
        <v>0</v>
      </c>
      <c r="H18" s="5">
        <f>IF(A18="","",INDEX(Purchase_Entry!M$2:M$5000,11))</f>
        <v>0</v>
      </c>
      <c r="I18" s="5">
        <f>IF(A18="","",INDEX(Purchase_Entry!N$2:N$5000,11))</f>
        <v>0</v>
      </c>
      <c r="J18" s="2">
        <f>IF(A18="","",INDEX(Purchase_Entry!O$2:O$5000,11))</f>
        <v>0</v>
      </c>
      <c r="K18" s="2">
        <f>IF(A18="","",INDEX(Purchase_Entry!P$2:P$5000,11))</f>
        <v>0</v>
      </c>
    </row>
    <row r="19" spans="1:11" x14ac:dyDescent="0.2">
      <c r="A19" s="14" t="str">
        <f>IFERROR(INDEX(Purchase_Entry!A$2:A$5000,12),"")</f>
        <v>Rate Per Unit = (FAT % × 7.15) + (SNF % × 4.55) + Extra Per Unit   when Rate Type = "FORMULA"</v>
      </c>
      <c r="B19" s="2">
        <f>IF(A19="","",INDEX(Purchase_Entry!B$2:B$5000,12))</f>
        <v>0</v>
      </c>
      <c r="C19" s="2">
        <f>IF(A19="","",INDEX(Purchase_Entry!C$2:C$5000,12))</f>
        <v>0</v>
      </c>
      <c r="D19" s="2">
        <f>IF(A19="","",INDEX(Purchase_Entry!D$2:D$5000,12))</f>
        <v>0</v>
      </c>
      <c r="E19" s="5">
        <f>IF(A19="","",INDEX(Purchase_Entry!K$2:K$5000,12))</f>
        <v>0</v>
      </c>
      <c r="F19" s="5">
        <f>IF(A19="","",INDEX(Purchase_Entry!J$2:J$5000,12))</f>
        <v>0</v>
      </c>
      <c r="G19" s="5">
        <f>IF(A19="","",INDEX(Purchase_Entry!L$2:L$5000,12))</f>
        <v>0</v>
      </c>
      <c r="H19" s="5">
        <f>IF(A19="","",INDEX(Purchase_Entry!M$2:M$5000,12))</f>
        <v>0</v>
      </c>
      <c r="I19" s="5">
        <f>IF(A19="","",INDEX(Purchase_Entry!N$2:N$5000,12))</f>
        <v>0</v>
      </c>
      <c r="J19" s="2">
        <f>IF(A19="","",INDEX(Purchase_Entry!O$2:O$5000,12))</f>
        <v>0</v>
      </c>
      <c r="K19" s="2">
        <f>IF(A19="","",INDEX(Purchase_Entry!P$2:P$5000,12))</f>
        <v>0</v>
      </c>
    </row>
    <row r="20" spans="1:11" x14ac:dyDescent="0.2">
      <c r="A20" s="14" t="str">
        <f>IFERROR(INDEX(Purchase_Entry!A$2:A$5000,13),"")</f>
        <v>Rate Per Unit = Fixed Rate Per Unit                                 when Rate Type = "FIXED"</v>
      </c>
      <c r="B20" s="2">
        <f>IF(A20="","",INDEX(Purchase_Entry!B$2:B$5000,13))</f>
        <v>0</v>
      </c>
      <c r="C20" s="2">
        <f>IF(A20="","",INDEX(Purchase_Entry!C$2:C$5000,13))</f>
        <v>0</v>
      </c>
      <c r="D20" s="2">
        <f>IF(A20="","",INDEX(Purchase_Entry!D$2:D$5000,13))</f>
        <v>0</v>
      </c>
      <c r="E20" s="5">
        <f>IF(A20="","",INDEX(Purchase_Entry!K$2:K$5000,13))</f>
        <v>0</v>
      </c>
      <c r="F20" s="5">
        <f>IF(A20="","",INDEX(Purchase_Entry!J$2:J$5000,13))</f>
        <v>0</v>
      </c>
      <c r="G20" s="5">
        <f>IF(A20="","",INDEX(Purchase_Entry!L$2:L$5000,13))</f>
        <v>0</v>
      </c>
      <c r="H20" s="5">
        <f>IF(A20="","",INDEX(Purchase_Entry!M$2:M$5000,13))</f>
        <v>0</v>
      </c>
      <c r="I20" s="5">
        <f>IF(A20="","",INDEX(Purchase_Entry!N$2:N$5000,13))</f>
        <v>0</v>
      </c>
      <c r="J20" s="2">
        <f>IF(A20="","",INDEX(Purchase_Entry!O$2:O$5000,13))</f>
        <v>0</v>
      </c>
      <c r="K20" s="2">
        <f>IF(A20="","",INDEX(Purchase_Entry!P$2:P$5000,13))</f>
        <v>0</v>
      </c>
    </row>
    <row r="21" spans="1:11" x14ac:dyDescent="0.2">
      <c r="A21" s="14" t="str">
        <f>IFERROR(INDEX(Purchase_Entry!A$2:A$5000,14),"")</f>
        <v>Amount = Quantity × Rate Per Unit</v>
      </c>
      <c r="B21" s="2">
        <f>IF(A21="","",INDEX(Purchase_Entry!B$2:B$5000,14))</f>
        <v>0</v>
      </c>
      <c r="C21" s="2">
        <f>IF(A21="","",INDEX(Purchase_Entry!C$2:C$5000,14))</f>
        <v>0</v>
      </c>
      <c r="D21" s="2">
        <f>IF(A21="","",INDEX(Purchase_Entry!D$2:D$5000,14))</f>
        <v>0</v>
      </c>
      <c r="E21" s="5">
        <f>IF(A21="","",INDEX(Purchase_Entry!K$2:K$5000,14))</f>
        <v>0</v>
      </c>
      <c r="F21" s="5">
        <f>IF(A21="","",INDEX(Purchase_Entry!J$2:J$5000,14))</f>
        <v>0</v>
      </c>
      <c r="G21" s="5">
        <f>IF(A21="","",INDEX(Purchase_Entry!L$2:L$5000,14))</f>
        <v>0</v>
      </c>
      <c r="H21" s="5">
        <f>IF(A21="","",INDEX(Purchase_Entry!M$2:M$5000,14))</f>
        <v>0</v>
      </c>
      <c r="I21" s="5">
        <f>IF(A21="","",INDEX(Purchase_Entry!N$2:N$5000,14))</f>
        <v>0</v>
      </c>
      <c r="J21" s="2">
        <f>IF(A21="","",INDEX(Purchase_Entry!O$2:O$5000,14))</f>
        <v>0</v>
      </c>
      <c r="K21" s="2">
        <f>IF(A21="","",INDEX(Purchase_Entry!P$2:P$5000,14))</f>
        <v>0</v>
      </c>
    </row>
    <row r="22" spans="1:11" x14ac:dyDescent="0.2">
      <c r="A22" s="14" t="str">
        <f>IFERROR(INDEX(Purchase_Entry!A$2:A$5000,15),"")</f>
        <v>Net Amount = Amount + Transport Charges</v>
      </c>
      <c r="B22" s="2">
        <f>IF(A22="","",INDEX(Purchase_Entry!B$2:B$5000,15))</f>
        <v>0</v>
      </c>
      <c r="C22" s="2">
        <f>IF(A22="","",INDEX(Purchase_Entry!C$2:C$5000,15))</f>
        <v>0</v>
      </c>
      <c r="D22" s="2">
        <f>IF(A22="","",INDEX(Purchase_Entry!D$2:D$5000,15))</f>
        <v>0</v>
      </c>
      <c r="E22" s="5">
        <f>IF(A22="","",INDEX(Purchase_Entry!K$2:K$5000,15))</f>
        <v>0</v>
      </c>
      <c r="F22" s="5">
        <f>IF(A22="","",INDEX(Purchase_Entry!J$2:J$5000,15))</f>
        <v>0</v>
      </c>
      <c r="G22" s="5">
        <f>IF(A22="","",INDEX(Purchase_Entry!L$2:L$5000,15))</f>
        <v>0</v>
      </c>
      <c r="H22" s="5">
        <f>IF(A22="","",INDEX(Purchase_Entry!M$2:M$5000,15))</f>
        <v>0</v>
      </c>
      <c r="I22" s="5">
        <f>IF(A22="","",INDEX(Purchase_Entry!N$2:N$5000,15))</f>
        <v>0</v>
      </c>
      <c r="J22" s="2">
        <f>IF(A22="","",INDEX(Purchase_Entry!O$2:O$5000,15))</f>
        <v>0</v>
      </c>
      <c r="K22" s="2">
        <f>IF(A22="","",INDEX(Purchase_Entry!P$2:P$5000,15))</f>
        <v>0</v>
      </c>
    </row>
    <row r="23" spans="1:11" x14ac:dyDescent="0.2">
      <c r="A23" s="14" t="str">
        <f>IFERROR(INDEX(Purchase_Entry!A$2:A$5000,16),"")</f>
        <v>FAT Rate Multiplier: 7.15 per unit | SNF Rate Multiplier: 4.55 per unit</v>
      </c>
      <c r="B23" s="2">
        <f>IF(A23="","",INDEX(Purchase_Entry!B$2:B$5000,16))</f>
        <v>0</v>
      </c>
      <c r="C23" s="2">
        <f>IF(A23="","",INDEX(Purchase_Entry!C$2:C$5000,16))</f>
        <v>0</v>
      </c>
      <c r="D23" s="2">
        <f>IF(A23="","",INDEX(Purchase_Entry!D$2:D$5000,16))</f>
        <v>0</v>
      </c>
      <c r="E23" s="5">
        <f>IF(A23="","",INDEX(Purchase_Entry!K$2:K$5000,16))</f>
        <v>0</v>
      </c>
      <c r="F23" s="5">
        <f>IF(A23="","",INDEX(Purchase_Entry!J$2:J$5000,16))</f>
        <v>0</v>
      </c>
      <c r="G23" s="5">
        <f>IF(A23="","",INDEX(Purchase_Entry!L$2:L$5000,16))</f>
        <v>0</v>
      </c>
      <c r="H23" s="5">
        <f>IF(A23="","",INDEX(Purchase_Entry!M$2:M$5000,16))</f>
        <v>0</v>
      </c>
      <c r="I23" s="5">
        <f>IF(A23="","",INDEX(Purchase_Entry!N$2:N$5000,16))</f>
        <v>0</v>
      </c>
      <c r="J23" s="2">
        <f>IF(A23="","",INDEX(Purchase_Entry!O$2:O$5000,16))</f>
        <v>0</v>
      </c>
      <c r="K23" s="2">
        <f>IF(A23="","",INDEX(Purchase_Entry!P$2:P$5000,16))</f>
        <v>0</v>
      </c>
    </row>
    <row r="24" spans="1:11" x14ac:dyDescent="0.2">
      <c r="A24" s="14" t="str">
        <f>IFERROR(INDEX(Purchase_Entry!A$2:A$5000,17),"")</f>
        <v>Extra Per Unit is any additional contract amount (e.g., +2 per liter)</v>
      </c>
      <c r="B24" s="2">
        <f>IF(A24="","",INDEX(Purchase_Entry!B$2:B$5000,17))</f>
        <v>0</v>
      </c>
      <c r="C24" s="2">
        <f>IF(A24="","",INDEX(Purchase_Entry!C$2:C$5000,17))</f>
        <v>0</v>
      </c>
      <c r="D24" s="2">
        <f>IF(A24="","",INDEX(Purchase_Entry!D$2:D$5000,17))</f>
        <v>0</v>
      </c>
      <c r="E24" s="5">
        <f>IF(A24="","",INDEX(Purchase_Entry!K$2:K$5000,17))</f>
        <v>0</v>
      </c>
      <c r="F24" s="5">
        <f>IF(A24="","",INDEX(Purchase_Entry!J$2:J$5000,17))</f>
        <v>0</v>
      </c>
      <c r="G24" s="5">
        <f>IF(A24="","",INDEX(Purchase_Entry!L$2:L$5000,17))</f>
        <v>0</v>
      </c>
      <c r="H24" s="5">
        <f>IF(A24="","",INDEX(Purchase_Entry!M$2:M$5000,17))</f>
        <v>0</v>
      </c>
      <c r="I24" s="5">
        <f>IF(A24="","",INDEX(Purchase_Entry!N$2:N$5000,17))</f>
        <v>0</v>
      </c>
      <c r="J24" s="2">
        <f>IF(A24="","",INDEX(Purchase_Entry!O$2:O$5000,17))</f>
        <v>0</v>
      </c>
      <c r="K24" s="2">
        <f>IF(A24="","",INDEX(Purchase_Entry!P$2:P$5000,17))</f>
        <v>0</v>
      </c>
    </row>
    <row r="25" spans="1:11" x14ac:dyDescent="0.2">
      <c r="A25" s="14" t="str">
        <f>IFERROR(INDEX(Purchase_Entry!A$2:A$5000,18),"")</f>
        <v>💡 Select Rate Type = FIXED for simple flat-rate purchases (e.g., Rs. 50/liter)</v>
      </c>
      <c r="B25" s="2">
        <f>IF(A25="","",INDEX(Purchase_Entry!B$2:B$5000,18))</f>
        <v>0</v>
      </c>
      <c r="C25" s="2">
        <f>IF(A25="","",INDEX(Purchase_Entry!C$2:C$5000,18))</f>
        <v>0</v>
      </c>
      <c r="D25" s="2">
        <f>IF(A25="","",INDEX(Purchase_Entry!D$2:D$5000,18))</f>
        <v>0</v>
      </c>
      <c r="E25" s="5">
        <f>IF(A25="","",INDEX(Purchase_Entry!K$2:K$5000,18))</f>
        <v>0</v>
      </c>
      <c r="F25" s="5">
        <f>IF(A25="","",INDEX(Purchase_Entry!J$2:J$5000,18))</f>
        <v>0</v>
      </c>
      <c r="G25" s="5">
        <f>IF(A25="","",INDEX(Purchase_Entry!L$2:L$5000,18))</f>
        <v>0</v>
      </c>
      <c r="H25" s="5">
        <f>IF(A25="","",INDEX(Purchase_Entry!M$2:M$5000,18))</f>
        <v>0</v>
      </c>
      <c r="I25" s="5">
        <f>IF(A25="","",INDEX(Purchase_Entry!N$2:N$5000,18))</f>
        <v>0</v>
      </c>
      <c r="J25" s="2">
        <f>IF(A25="","",INDEX(Purchase_Entry!O$2:O$5000,18))</f>
        <v>0</v>
      </c>
      <c r="K25" s="2">
        <f>IF(A25="","",INDEX(Purchase_Entry!P$2:P$5000,18))</f>
        <v>0</v>
      </c>
    </row>
    <row r="26" spans="1:11" x14ac:dyDescent="0.2">
      <c r="A26" s="14">
        <f>IFERROR(INDEX(Purchase_Entry!A$2:A$5000,19),"")</f>
        <v>0</v>
      </c>
      <c r="B26" s="2">
        <f>IF(A26="","",INDEX(Purchase_Entry!B$2:B$5000,19))</f>
        <v>0</v>
      </c>
      <c r="C26" s="2">
        <f>IF(A26="","",INDEX(Purchase_Entry!C$2:C$5000,19))</f>
        <v>0</v>
      </c>
      <c r="D26" s="2">
        <f>IF(A26="","",INDEX(Purchase_Entry!D$2:D$5000,19))</f>
        <v>0</v>
      </c>
      <c r="E26" s="5">
        <f>IF(A26="","",INDEX(Purchase_Entry!K$2:K$5000,19))</f>
        <v>0</v>
      </c>
      <c r="F26" s="5">
        <f>IF(A26="","",INDEX(Purchase_Entry!J$2:J$5000,19))</f>
        <v>0</v>
      </c>
      <c r="G26" s="5">
        <f>IF(A26="","",INDEX(Purchase_Entry!L$2:L$5000,19))</f>
        <v>0</v>
      </c>
      <c r="H26" s="5">
        <f>IF(A26="","",INDEX(Purchase_Entry!M$2:M$5000,19))</f>
        <v>0</v>
      </c>
      <c r="I26" s="5">
        <f>IF(A26="","",INDEX(Purchase_Entry!N$2:N$5000,19))</f>
        <v>0</v>
      </c>
      <c r="J26" s="2">
        <f>IF(A26="","",INDEX(Purchase_Entry!O$2:O$5000,19))</f>
        <v>0</v>
      </c>
      <c r="K26" s="2">
        <f>IF(A26="","",INDEX(Purchase_Entry!P$2:P$5000,19))</f>
        <v>0</v>
      </c>
    </row>
    <row r="27" spans="1:11" x14ac:dyDescent="0.2">
      <c r="A27" s="14">
        <f>IFERROR(INDEX(Purchase_Entry!A$2:A$5000,20),"")</f>
        <v>0</v>
      </c>
      <c r="B27" s="2">
        <f>IF(A27="","",INDEX(Purchase_Entry!B$2:B$5000,20))</f>
        <v>0</v>
      </c>
      <c r="C27" s="2">
        <f>IF(A27="","",INDEX(Purchase_Entry!C$2:C$5000,20))</f>
        <v>0</v>
      </c>
      <c r="D27" s="2">
        <f>IF(A27="","",INDEX(Purchase_Entry!D$2:D$5000,20))</f>
        <v>0</v>
      </c>
      <c r="E27" s="5">
        <f>IF(A27="","",INDEX(Purchase_Entry!K$2:K$5000,20))</f>
        <v>0</v>
      </c>
      <c r="F27" s="5">
        <f>IF(A27="","",INDEX(Purchase_Entry!J$2:J$5000,20))</f>
        <v>0</v>
      </c>
      <c r="G27" s="5">
        <f>IF(A27="","",INDEX(Purchase_Entry!L$2:L$5000,20))</f>
        <v>0</v>
      </c>
      <c r="H27" s="5">
        <f>IF(A27="","",INDEX(Purchase_Entry!M$2:M$5000,20))</f>
        <v>0</v>
      </c>
      <c r="I27" s="5">
        <f>IF(A27="","",INDEX(Purchase_Entry!N$2:N$5000,20))</f>
        <v>0</v>
      </c>
      <c r="J27" s="2">
        <f>IF(A27="","",INDEX(Purchase_Entry!O$2:O$5000,20))</f>
        <v>0</v>
      </c>
      <c r="K27" s="2">
        <f>IF(A27="","",INDEX(Purchase_Entry!P$2:P$5000,20))</f>
        <v>0</v>
      </c>
    </row>
    <row r="28" spans="1:11" x14ac:dyDescent="0.2">
      <c r="A28" s="14">
        <f>IFERROR(INDEX(Purchase_Entry!A$2:A$5000,21),"")</f>
        <v>0</v>
      </c>
      <c r="B28" s="2">
        <f>IF(A28="","",INDEX(Purchase_Entry!B$2:B$5000,21))</f>
        <v>0</v>
      </c>
      <c r="C28" s="2">
        <f>IF(A28="","",INDEX(Purchase_Entry!C$2:C$5000,21))</f>
        <v>0</v>
      </c>
      <c r="D28" s="2">
        <f>IF(A28="","",INDEX(Purchase_Entry!D$2:D$5000,21))</f>
        <v>0</v>
      </c>
      <c r="E28" s="5">
        <f>IF(A28="","",INDEX(Purchase_Entry!K$2:K$5000,21))</f>
        <v>0</v>
      </c>
      <c r="F28" s="5">
        <f>IF(A28="","",INDEX(Purchase_Entry!J$2:J$5000,21))</f>
        <v>0</v>
      </c>
      <c r="G28" s="5">
        <f>IF(A28="","",INDEX(Purchase_Entry!L$2:L$5000,21))</f>
        <v>0</v>
      </c>
      <c r="H28" s="5">
        <f>IF(A28="","",INDEX(Purchase_Entry!M$2:M$5000,21))</f>
        <v>0</v>
      </c>
      <c r="I28" s="5">
        <f>IF(A28="","",INDEX(Purchase_Entry!N$2:N$5000,21))</f>
        <v>0</v>
      </c>
      <c r="J28" s="2">
        <f>IF(A28="","",INDEX(Purchase_Entry!O$2:O$5000,21))</f>
        <v>0</v>
      </c>
      <c r="K28" s="2">
        <f>IF(A28="","",INDEX(Purchase_Entry!P$2:P$5000,21))</f>
        <v>0</v>
      </c>
    </row>
    <row r="29" spans="1:11" x14ac:dyDescent="0.2">
      <c r="A29" s="4" t="s">
        <v>95</v>
      </c>
      <c r="G29" s="6">
        <f>SUM(G9:G28)</f>
        <v>39364.09375</v>
      </c>
      <c r="H29" s="6">
        <f>SUM(H9:H28)</f>
        <v>3220</v>
      </c>
      <c r="I29" s="40">
        <f>SUM(I9:I28)</f>
        <v>42584.09375</v>
      </c>
    </row>
  </sheetData>
  <autoFilter ref="A8:K28" xr:uid="{00000000-0009-0000-0000-00000A000000}"/>
  <mergeCells count="1">
    <mergeCell ref="A1:K1"/>
  </mergeCells>
  <conditionalFormatting sqref="A9:K28">
    <cfRule type="expression" dxfId="4" priority="1">
      <formula>$K9="Unpaid"</formula>
    </cfRule>
    <cfRule type="expression" dxfId="3" priority="2">
      <formula>$K9="Partial"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498DB"/>
  </sheetPr>
  <dimension ref="A1:I29"/>
  <sheetViews>
    <sheetView tabSelected="1" workbookViewId="0">
      <pane ySplit="8" topLeftCell="A9" activePane="bottomLeft" state="frozen"/>
      <selection pane="bottomLeft" activeCell="D34" sqref="D34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6" width="12" customWidth="1"/>
    <col min="7" max="9" width="14" customWidth="1"/>
  </cols>
  <sheetData>
    <row r="1" spans="1:9" ht="24" x14ac:dyDescent="0.3">
      <c r="A1" s="59" t="s">
        <v>241</v>
      </c>
      <c r="B1" s="48"/>
      <c r="C1" s="48"/>
      <c r="D1" s="48"/>
      <c r="E1" s="48"/>
      <c r="F1" s="48"/>
      <c r="G1" s="48"/>
      <c r="H1" s="48"/>
    </row>
    <row r="3" spans="1:9" ht="16" x14ac:dyDescent="0.2">
      <c r="A3" s="16" t="s">
        <v>242</v>
      </c>
    </row>
    <row r="4" spans="1:9" x14ac:dyDescent="0.2">
      <c r="A4" s="34" t="s">
        <v>243</v>
      </c>
      <c r="B4">
        <f>COUNTA(Stock_Master!A$2:A$5000)</f>
        <v>8</v>
      </c>
    </row>
    <row r="5" spans="1:9" x14ac:dyDescent="0.2">
      <c r="A5" s="34" t="s">
        <v>244</v>
      </c>
      <c r="B5" s="42">
        <f>SUMPRODUCT((Stock_Master!F$2:F$5000)*(Stock_Master!H$2:H$5000))</f>
        <v>208131</v>
      </c>
    </row>
    <row r="6" spans="1:9" x14ac:dyDescent="0.2">
      <c r="A6" s="34" t="s">
        <v>245</v>
      </c>
      <c r="B6" s="43">
        <f>COUNTIF(Stock_Master!J$2:J$5000,"Reorder")</f>
        <v>1</v>
      </c>
    </row>
    <row r="8" spans="1:9" ht="16" x14ac:dyDescent="0.2">
      <c r="A8" s="3" t="s">
        <v>40</v>
      </c>
      <c r="B8" s="3" t="s">
        <v>171</v>
      </c>
      <c r="C8" s="3" t="s">
        <v>60</v>
      </c>
      <c r="D8" s="3" t="s">
        <v>13</v>
      </c>
      <c r="E8" s="3" t="s">
        <v>12</v>
      </c>
      <c r="F8" s="3" t="s">
        <v>246</v>
      </c>
      <c r="G8" s="3" t="s">
        <v>42</v>
      </c>
      <c r="H8" s="3" t="s">
        <v>176</v>
      </c>
      <c r="I8" s="3" t="s">
        <v>30</v>
      </c>
    </row>
    <row r="9" spans="1:9" x14ac:dyDescent="0.2">
      <c r="A9" s="2" t="str">
        <f>IFERROR(INDEX(Stock_Master!A$2:A$5000,2),"")</f>
        <v>Cow Milk</v>
      </c>
      <c r="B9" s="2" t="str">
        <f>IF(A9="","",INDEX(Stock_Master!B$2:B$5000,2))</f>
        <v>Liter</v>
      </c>
      <c r="C9" s="2">
        <f>IF(A9="","",INDEX(Stock_Master!C$2:C$5000,2))</f>
        <v>500</v>
      </c>
      <c r="D9" s="2">
        <f>IF(A9="","",INDEX(Stock_Master!D$2:D$5000,2))</f>
        <v>125</v>
      </c>
      <c r="E9" s="2">
        <f>IF(A9="","",INDEX(Stock_Master!E$2:E$5000,2))</f>
        <v>29.6</v>
      </c>
      <c r="F9" s="4">
        <f>IF(A9="","",INDEX(Stock_Master!F$2:F$5000,2))</f>
        <v>595.4</v>
      </c>
      <c r="G9" s="2">
        <f>IF(A9="","",INDEX(Stock_Master!G$2:G$5000,2))</f>
        <v>100</v>
      </c>
      <c r="H9" s="5">
        <f>IF(A9="","",INDEX(Stock_Master!I$2:I$5000,2))</f>
        <v>38701</v>
      </c>
      <c r="I9" s="2" t="str">
        <f>IF(A9="","",INDEX(Stock_Master!J$2:J$5000,2))</f>
        <v>In Stock</v>
      </c>
    </row>
    <row r="10" spans="1:9" x14ac:dyDescent="0.2">
      <c r="A10" s="2" t="str">
        <f>IFERROR(INDEX(Stock_Master!A$2:A$5000,3),"")</f>
        <v>Curd (Dahi)</v>
      </c>
      <c r="B10" s="2" t="str">
        <f>IF(A10="","",INDEX(Stock_Master!B$2:B$5000,3))</f>
        <v>Kg</v>
      </c>
      <c r="C10" s="2">
        <f>IF(A10="","",INDEX(Stock_Master!C$2:C$5000,3))</f>
        <v>100</v>
      </c>
      <c r="D10" s="2">
        <f>IF(A10="","",INDEX(Stock_Master!D$2:D$5000,3))</f>
        <v>0</v>
      </c>
      <c r="E10" s="2">
        <f>IF(A10="","",INDEX(Stock_Master!E$2:E$5000,3))</f>
        <v>35.200000000000003</v>
      </c>
      <c r="F10" s="4">
        <f>IF(A10="","",INDEX(Stock_Master!F$2:F$5000,3))</f>
        <v>64.8</v>
      </c>
      <c r="G10" s="2">
        <f>IF(A10="","",INDEX(Stock_Master!G$2:G$5000,3))</f>
        <v>20</v>
      </c>
      <c r="H10" s="5">
        <f>IF(A10="","",INDEX(Stock_Master!I$2:I$5000,3))</f>
        <v>6480</v>
      </c>
      <c r="I10" s="2" t="str">
        <f>IF(A10="","",INDEX(Stock_Master!J$2:J$5000,3))</f>
        <v>In Stock</v>
      </c>
    </row>
    <row r="11" spans="1:9" x14ac:dyDescent="0.2">
      <c r="A11" s="2" t="str">
        <f>IFERROR(INDEX(Stock_Master!A$2:A$5000,4),"")</f>
        <v>Ghee</v>
      </c>
      <c r="B11" s="2" t="str">
        <f>IF(A11="","",INDEX(Stock_Master!B$2:B$5000,4))</f>
        <v>Kg</v>
      </c>
      <c r="C11" s="2">
        <f>IF(A11="","",INDEX(Stock_Master!C$2:C$5000,4))</f>
        <v>50</v>
      </c>
      <c r="D11" s="2">
        <f>IF(A11="","",INDEX(Stock_Master!D$2:D$5000,4))</f>
        <v>100</v>
      </c>
      <c r="E11" s="2">
        <f>IF(A11="","",INDEX(Stock_Master!E$2:E$5000,4))</f>
        <v>40.799999999999997</v>
      </c>
      <c r="F11" s="4">
        <f>IF(A11="","",INDEX(Stock_Master!F$2:F$5000,4))</f>
        <v>109.2</v>
      </c>
      <c r="G11" s="2">
        <f>IF(A11="","",INDEX(Stock_Master!G$2:G$5000,4))</f>
        <v>10</v>
      </c>
      <c r="H11" s="5">
        <f>IF(A11="","",INDEX(Stock_Master!I$2:I$5000,4))</f>
        <v>70980</v>
      </c>
      <c r="I11" s="2" t="str">
        <f>IF(A11="","",INDEX(Stock_Master!J$2:J$5000,4))</f>
        <v>In Stock</v>
      </c>
    </row>
    <row r="12" spans="1:9" x14ac:dyDescent="0.2">
      <c r="A12" s="2" t="str">
        <f>IFERROR(INDEX(Stock_Master!A$2:A$5000,5),"")</f>
        <v>Paneer</v>
      </c>
      <c r="B12" s="2" t="str">
        <f>IF(A12="","",INDEX(Stock_Master!B$2:B$5000,5))</f>
        <v>Kg</v>
      </c>
      <c r="C12" s="2">
        <f>IF(A12="","",INDEX(Stock_Master!C$2:C$5000,5))</f>
        <v>30</v>
      </c>
      <c r="D12" s="2">
        <f>IF(A12="","",INDEX(Stock_Master!D$2:D$5000,5))</f>
        <v>0</v>
      </c>
      <c r="E12" s="2">
        <f>IF(A12="","",INDEX(Stock_Master!E$2:E$5000,5))</f>
        <v>46.4</v>
      </c>
      <c r="F12" s="4">
        <f>IF(A12="","",INDEX(Stock_Master!F$2:F$5000,5))</f>
        <v>-16.399999999999999</v>
      </c>
      <c r="G12" s="2">
        <f>IF(A12="","",INDEX(Stock_Master!G$2:G$5000,5))</f>
        <v>5</v>
      </c>
      <c r="H12" s="5">
        <f>IF(A12="","",INDEX(Stock_Master!I$2:I$5000,5))</f>
        <v>-5739.9999999999991</v>
      </c>
      <c r="I12" s="2" t="str">
        <f>IF(A12="","",INDEX(Stock_Master!J$2:J$5000,5))</f>
        <v>Reorder</v>
      </c>
    </row>
    <row r="13" spans="1:9" x14ac:dyDescent="0.2">
      <c r="A13" s="2" t="str">
        <f>IFERROR(INDEX(Stock_Master!A$2:A$5000,6),"")</f>
        <v>Butter</v>
      </c>
      <c r="B13" s="2" t="str">
        <f>IF(A13="","",INDEX(Stock_Master!B$2:B$5000,6))</f>
        <v>Kg</v>
      </c>
      <c r="C13" s="2">
        <f>IF(A13="","",INDEX(Stock_Master!C$2:C$5000,6))</f>
        <v>20</v>
      </c>
      <c r="D13" s="2">
        <f>IF(A13="","",INDEX(Stock_Master!D$2:D$5000,6))</f>
        <v>0</v>
      </c>
      <c r="E13" s="2">
        <f>IF(A13="","",INDEX(Stock_Master!E$2:E$5000,6))</f>
        <v>0</v>
      </c>
      <c r="F13" s="4">
        <f>IF(A13="","",INDEX(Stock_Master!F$2:F$5000,6))</f>
        <v>20</v>
      </c>
      <c r="G13" s="2">
        <f>IF(A13="","",INDEX(Stock_Master!G$2:G$5000,6))</f>
        <v>5</v>
      </c>
      <c r="H13" s="5">
        <f>IF(A13="","",INDEX(Stock_Master!I$2:I$5000,6))</f>
        <v>9000</v>
      </c>
      <c r="I13" s="2" t="str">
        <f>IF(A13="","",INDEX(Stock_Master!J$2:J$5000,6))</f>
        <v>In Stock</v>
      </c>
    </row>
    <row r="14" spans="1:9" x14ac:dyDescent="0.2">
      <c r="A14" s="2" t="str">
        <f>IFERROR(INDEX(Stock_Master!A$2:A$5000,7),"")</f>
        <v>Buttermilk</v>
      </c>
      <c r="B14" s="2" t="str">
        <f>IF(A14="","",INDEX(Stock_Master!B$2:B$5000,7))</f>
        <v>Liter</v>
      </c>
      <c r="C14" s="2">
        <f>IF(A14="","",INDEX(Stock_Master!C$2:C$5000,7))</f>
        <v>60</v>
      </c>
      <c r="D14" s="2">
        <f>IF(A14="","",INDEX(Stock_Master!D$2:D$5000,7))</f>
        <v>0</v>
      </c>
      <c r="E14" s="2">
        <f>IF(A14="","",INDEX(Stock_Master!E$2:E$5000,7))</f>
        <v>0</v>
      </c>
      <c r="F14" s="4">
        <f>IF(A14="","",INDEX(Stock_Master!F$2:F$5000,7))</f>
        <v>60</v>
      </c>
      <c r="G14" s="2">
        <f>IF(A14="","",INDEX(Stock_Master!G$2:G$5000,7))</f>
        <v>15</v>
      </c>
      <c r="H14" s="5">
        <f>IF(A14="","",INDEX(Stock_Master!I$2:I$5000,7))</f>
        <v>2400</v>
      </c>
      <c r="I14" s="2" t="str">
        <f>IF(A14="","",INDEX(Stock_Master!J$2:J$5000,7))</f>
        <v>In Stock</v>
      </c>
    </row>
    <row r="15" spans="1:9" x14ac:dyDescent="0.2">
      <c r="A15" s="2" t="str">
        <f>IFERROR(INDEX(Stock_Master!A$2:A$5000,8),"")</f>
        <v>Khoya</v>
      </c>
      <c r="B15" s="2" t="str">
        <f>IF(A15="","",INDEX(Stock_Master!B$2:B$5000,8))</f>
        <v>Kg</v>
      </c>
      <c r="C15" s="2">
        <f>IF(A15="","",INDEX(Stock_Master!C$2:C$5000,8))</f>
        <v>15</v>
      </c>
      <c r="D15" s="2">
        <f>IF(A15="","",INDEX(Stock_Master!D$2:D$5000,8))</f>
        <v>0</v>
      </c>
      <c r="E15" s="2">
        <f>IF(A15="","",INDEX(Stock_Master!E$2:E$5000,8))</f>
        <v>0</v>
      </c>
      <c r="F15" s="4">
        <f>IF(A15="","",INDEX(Stock_Master!F$2:F$5000,8))</f>
        <v>15</v>
      </c>
      <c r="G15" s="2">
        <f>IF(A15="","",INDEX(Stock_Master!G$2:G$5000,8))</f>
        <v>5</v>
      </c>
      <c r="H15" s="5">
        <f>IF(A15="","",INDEX(Stock_Master!I$2:I$5000,8))</f>
        <v>4500</v>
      </c>
      <c r="I15" s="2" t="str">
        <f>IF(A15="","",INDEX(Stock_Master!J$2:J$5000,8))</f>
        <v>In Stock</v>
      </c>
    </row>
    <row r="16" spans="1:9" x14ac:dyDescent="0.2">
      <c r="A16" s="2">
        <f>IFERROR(INDEX(Stock_Master!A$2:A$5000,9),"")</f>
        <v>0</v>
      </c>
      <c r="B16" s="2">
        <f>IF(A16="","",INDEX(Stock_Master!B$2:B$5000,9))</f>
        <v>0</v>
      </c>
      <c r="C16" s="2">
        <f>IF(A16="","",INDEX(Stock_Master!C$2:C$5000,9))</f>
        <v>0</v>
      </c>
      <c r="D16" s="2">
        <f>IF(A16="","",INDEX(Stock_Master!D$2:D$5000,9))</f>
        <v>0</v>
      </c>
      <c r="E16" s="2">
        <f>IF(A16="","",INDEX(Stock_Master!E$2:E$5000,9))</f>
        <v>0</v>
      </c>
      <c r="F16" s="4">
        <f>IF(A16="","",INDEX(Stock_Master!F$2:F$5000,9))</f>
        <v>0</v>
      </c>
      <c r="G16" s="2">
        <f>IF(A16="","",INDEX(Stock_Master!G$2:G$5000,9))</f>
        <v>0</v>
      </c>
      <c r="H16" s="5">
        <f>IF(A16="","",INDEX(Stock_Master!I$2:I$5000,9))</f>
        <v>0</v>
      </c>
      <c r="I16" s="2">
        <f>IF(A16="","",INDEX(Stock_Master!J$2:J$5000,9))</f>
        <v>0</v>
      </c>
    </row>
    <row r="17" spans="1:9" x14ac:dyDescent="0.2">
      <c r="A17" s="2">
        <f>IFERROR(INDEX(Stock_Master!A$2:A$5000,10),"")</f>
        <v>0</v>
      </c>
      <c r="B17" s="2">
        <f>IF(A17="","",INDEX(Stock_Master!B$2:B$5000,10))</f>
        <v>0</v>
      </c>
      <c r="C17" s="2">
        <f>IF(A17="","",INDEX(Stock_Master!C$2:C$5000,10))</f>
        <v>0</v>
      </c>
      <c r="D17" s="2">
        <f>IF(A17="","",INDEX(Stock_Master!D$2:D$5000,10))</f>
        <v>0</v>
      </c>
      <c r="E17" s="2">
        <f>IF(A17="","",INDEX(Stock_Master!E$2:E$5000,10))</f>
        <v>0</v>
      </c>
      <c r="F17" s="4">
        <f>IF(A17="","",INDEX(Stock_Master!F$2:F$5000,10))</f>
        <v>0</v>
      </c>
      <c r="G17" s="2">
        <f>IF(A17="","",INDEX(Stock_Master!G$2:G$5000,10))</f>
        <v>0</v>
      </c>
      <c r="H17" s="5">
        <f>IF(A17="","",INDEX(Stock_Master!I$2:I$5000,10))</f>
        <v>0</v>
      </c>
      <c r="I17" s="2">
        <f>IF(A17="","",INDEX(Stock_Master!J$2:J$5000,10))</f>
        <v>0</v>
      </c>
    </row>
    <row r="18" spans="1:9" x14ac:dyDescent="0.2">
      <c r="A18" s="2">
        <f>IFERROR(INDEX(Stock_Master!A$2:A$5000,11),"")</f>
        <v>0</v>
      </c>
      <c r="B18" s="2">
        <f>IF(A18="","",INDEX(Stock_Master!B$2:B$5000,11))</f>
        <v>0</v>
      </c>
      <c r="C18" s="2">
        <f>IF(A18="","",INDEX(Stock_Master!C$2:C$5000,11))</f>
        <v>0</v>
      </c>
      <c r="D18" s="2">
        <f>IF(A18="","",INDEX(Stock_Master!D$2:D$5000,11))</f>
        <v>0</v>
      </c>
      <c r="E18" s="2">
        <f>IF(A18="","",INDEX(Stock_Master!E$2:E$5000,11))</f>
        <v>0</v>
      </c>
      <c r="F18" s="4">
        <f>IF(A18="","",INDEX(Stock_Master!F$2:F$5000,11))</f>
        <v>0</v>
      </c>
      <c r="G18" s="2">
        <f>IF(A18="","",INDEX(Stock_Master!G$2:G$5000,11))</f>
        <v>0</v>
      </c>
      <c r="H18" s="5">
        <f>IF(A18="","",INDEX(Stock_Master!I$2:I$5000,11))</f>
        <v>0</v>
      </c>
      <c r="I18" s="2">
        <f>IF(A18="","",INDEX(Stock_Master!J$2:J$5000,11))</f>
        <v>0</v>
      </c>
    </row>
    <row r="19" spans="1:9" x14ac:dyDescent="0.2">
      <c r="A19" s="2">
        <f>IFERROR(INDEX(Stock_Master!A$2:A$5000,12),"")</f>
        <v>0</v>
      </c>
      <c r="B19" s="2">
        <f>IF(A19="","",INDEX(Stock_Master!B$2:B$5000,12))</f>
        <v>0</v>
      </c>
      <c r="C19" s="2">
        <f>IF(A19="","",INDEX(Stock_Master!C$2:C$5000,12))</f>
        <v>0</v>
      </c>
      <c r="D19" s="2">
        <f>IF(A19="","",INDEX(Stock_Master!D$2:D$5000,12))</f>
        <v>0</v>
      </c>
      <c r="E19" s="2">
        <f>IF(A19="","",INDEX(Stock_Master!E$2:E$5000,12))</f>
        <v>0</v>
      </c>
      <c r="F19" s="4">
        <f>IF(A19="","",INDEX(Stock_Master!F$2:F$5000,12))</f>
        <v>0</v>
      </c>
      <c r="G19" s="2">
        <f>IF(A19="","",INDEX(Stock_Master!G$2:G$5000,12))</f>
        <v>0</v>
      </c>
      <c r="H19" s="5">
        <f>IF(A19="","",INDEX(Stock_Master!I$2:I$5000,12))</f>
        <v>0</v>
      </c>
      <c r="I19" s="2">
        <f>IF(A19="","",INDEX(Stock_Master!J$2:J$5000,12))</f>
        <v>0</v>
      </c>
    </row>
    <row r="20" spans="1:9" x14ac:dyDescent="0.2">
      <c r="A20" s="2">
        <f>IFERROR(INDEX(Stock_Master!A$2:A$5000,13),"")</f>
        <v>0</v>
      </c>
      <c r="B20" s="2">
        <f>IF(A20="","",INDEX(Stock_Master!B$2:B$5000,13))</f>
        <v>0</v>
      </c>
      <c r="C20" s="2">
        <f>IF(A20="","",INDEX(Stock_Master!C$2:C$5000,13))</f>
        <v>0</v>
      </c>
      <c r="D20" s="2">
        <f>IF(A20="","",INDEX(Stock_Master!D$2:D$5000,13))</f>
        <v>0</v>
      </c>
      <c r="E20" s="2">
        <f>IF(A20="","",INDEX(Stock_Master!E$2:E$5000,13))</f>
        <v>0</v>
      </c>
      <c r="F20" s="4">
        <f>IF(A20="","",INDEX(Stock_Master!F$2:F$5000,13))</f>
        <v>0</v>
      </c>
      <c r="G20" s="2">
        <f>IF(A20="","",INDEX(Stock_Master!G$2:G$5000,13))</f>
        <v>0</v>
      </c>
      <c r="H20" s="5">
        <f>IF(A20="","",INDEX(Stock_Master!I$2:I$5000,13))</f>
        <v>0</v>
      </c>
      <c r="I20" s="2">
        <f>IF(A20="","",INDEX(Stock_Master!J$2:J$5000,13))</f>
        <v>0</v>
      </c>
    </row>
    <row r="21" spans="1:9" x14ac:dyDescent="0.2">
      <c r="A21" s="2">
        <f>IFERROR(INDEX(Stock_Master!A$2:A$5000,14),"")</f>
        <v>0</v>
      </c>
      <c r="B21" s="2">
        <f>IF(A21="","",INDEX(Stock_Master!B$2:B$5000,14))</f>
        <v>0</v>
      </c>
      <c r="C21" s="2">
        <f>IF(A21="","",INDEX(Stock_Master!C$2:C$5000,14))</f>
        <v>0</v>
      </c>
      <c r="D21" s="2">
        <f>IF(A21="","",INDEX(Stock_Master!D$2:D$5000,14))</f>
        <v>0</v>
      </c>
      <c r="E21" s="2">
        <f>IF(A21="","",INDEX(Stock_Master!E$2:E$5000,14))</f>
        <v>0</v>
      </c>
      <c r="F21" s="4">
        <f>IF(A21="","",INDEX(Stock_Master!F$2:F$5000,14))</f>
        <v>0</v>
      </c>
      <c r="G21" s="2">
        <f>IF(A21="","",INDEX(Stock_Master!G$2:G$5000,14))</f>
        <v>0</v>
      </c>
      <c r="H21" s="5">
        <f>IF(A21="","",INDEX(Stock_Master!I$2:I$5000,14))</f>
        <v>0</v>
      </c>
      <c r="I21" s="2">
        <f>IF(A21="","",INDEX(Stock_Master!J$2:J$5000,14))</f>
        <v>0</v>
      </c>
    </row>
    <row r="22" spans="1:9" x14ac:dyDescent="0.2">
      <c r="A22" s="2">
        <f>IFERROR(INDEX(Stock_Master!A$2:A$5000,15),"")</f>
        <v>0</v>
      </c>
      <c r="B22" s="2">
        <f>IF(A22="","",INDEX(Stock_Master!B$2:B$5000,15))</f>
        <v>0</v>
      </c>
      <c r="C22" s="2">
        <f>IF(A22="","",INDEX(Stock_Master!C$2:C$5000,15))</f>
        <v>0</v>
      </c>
      <c r="D22" s="2">
        <f>IF(A22="","",INDEX(Stock_Master!D$2:D$5000,15))</f>
        <v>0</v>
      </c>
      <c r="E22" s="2">
        <f>IF(A22="","",INDEX(Stock_Master!E$2:E$5000,15))</f>
        <v>0</v>
      </c>
      <c r="F22" s="4">
        <f>IF(A22="","",INDEX(Stock_Master!F$2:F$5000,15))</f>
        <v>0</v>
      </c>
      <c r="G22" s="2">
        <f>IF(A22="","",INDEX(Stock_Master!G$2:G$5000,15))</f>
        <v>0</v>
      </c>
      <c r="H22" s="5">
        <f>IF(A22="","",INDEX(Stock_Master!I$2:I$5000,15))</f>
        <v>0</v>
      </c>
      <c r="I22" s="2">
        <f>IF(A22="","",INDEX(Stock_Master!J$2:J$5000,15))</f>
        <v>0</v>
      </c>
    </row>
    <row r="23" spans="1:9" x14ac:dyDescent="0.2">
      <c r="A23" s="2">
        <f>IFERROR(INDEX(Stock_Master!A$2:A$5000,16),"")</f>
        <v>0</v>
      </c>
      <c r="B23" s="2">
        <f>IF(A23="","",INDEX(Stock_Master!B$2:B$5000,16))</f>
        <v>0</v>
      </c>
      <c r="C23" s="2">
        <f>IF(A23="","",INDEX(Stock_Master!C$2:C$5000,16))</f>
        <v>0</v>
      </c>
      <c r="D23" s="2">
        <f>IF(A23="","",INDEX(Stock_Master!D$2:D$5000,16))</f>
        <v>0</v>
      </c>
      <c r="E23" s="2">
        <f>IF(A23="","",INDEX(Stock_Master!E$2:E$5000,16))</f>
        <v>0</v>
      </c>
      <c r="F23" s="4">
        <f>IF(A23="","",INDEX(Stock_Master!F$2:F$5000,16))</f>
        <v>0</v>
      </c>
      <c r="G23" s="2">
        <f>IF(A23="","",INDEX(Stock_Master!G$2:G$5000,16))</f>
        <v>0</v>
      </c>
      <c r="H23" s="5">
        <f>IF(A23="","",INDEX(Stock_Master!I$2:I$5000,16))</f>
        <v>0</v>
      </c>
      <c r="I23" s="2">
        <f>IF(A23="","",INDEX(Stock_Master!J$2:J$5000,16))</f>
        <v>0</v>
      </c>
    </row>
    <row r="24" spans="1:9" x14ac:dyDescent="0.2">
      <c r="A24" s="2">
        <f>IFERROR(INDEX(Stock_Master!A$2:A$5000,17),"")</f>
        <v>0</v>
      </c>
      <c r="B24" s="2">
        <f>IF(A24="","",INDEX(Stock_Master!B$2:B$5000,17))</f>
        <v>0</v>
      </c>
      <c r="C24" s="2">
        <f>IF(A24="","",INDEX(Stock_Master!C$2:C$5000,17))</f>
        <v>0</v>
      </c>
      <c r="D24" s="2">
        <f>IF(A24="","",INDEX(Stock_Master!D$2:D$5000,17))</f>
        <v>0</v>
      </c>
      <c r="E24" s="2">
        <f>IF(A24="","",INDEX(Stock_Master!E$2:E$5000,17))</f>
        <v>0</v>
      </c>
      <c r="F24" s="4">
        <f>IF(A24="","",INDEX(Stock_Master!F$2:F$5000,17))</f>
        <v>0</v>
      </c>
      <c r="G24" s="2">
        <f>IF(A24="","",INDEX(Stock_Master!G$2:G$5000,17))</f>
        <v>0</v>
      </c>
      <c r="H24" s="5">
        <f>IF(A24="","",INDEX(Stock_Master!I$2:I$5000,17))</f>
        <v>0</v>
      </c>
      <c r="I24" s="2">
        <f>IF(A24="","",INDEX(Stock_Master!J$2:J$5000,17))</f>
        <v>0</v>
      </c>
    </row>
    <row r="25" spans="1:9" x14ac:dyDescent="0.2">
      <c r="A25" s="2">
        <f>IFERROR(INDEX(Stock_Master!A$2:A$5000,18),"")</f>
        <v>0</v>
      </c>
      <c r="B25" s="2">
        <f>IF(A25="","",INDEX(Stock_Master!B$2:B$5000,18))</f>
        <v>0</v>
      </c>
      <c r="C25" s="2">
        <f>IF(A25="","",INDEX(Stock_Master!C$2:C$5000,18))</f>
        <v>0</v>
      </c>
      <c r="D25" s="2">
        <f>IF(A25="","",INDEX(Stock_Master!D$2:D$5000,18))</f>
        <v>0</v>
      </c>
      <c r="E25" s="2">
        <f>IF(A25="","",INDEX(Stock_Master!E$2:E$5000,18))</f>
        <v>0</v>
      </c>
      <c r="F25" s="4">
        <f>IF(A25="","",INDEX(Stock_Master!F$2:F$5000,18))</f>
        <v>0</v>
      </c>
      <c r="G25" s="2">
        <f>IF(A25="","",INDEX(Stock_Master!G$2:G$5000,18))</f>
        <v>0</v>
      </c>
      <c r="H25" s="5">
        <f>IF(A25="","",INDEX(Stock_Master!I$2:I$5000,18))</f>
        <v>0</v>
      </c>
      <c r="I25" s="2">
        <f>IF(A25="","",INDEX(Stock_Master!J$2:J$5000,18))</f>
        <v>0</v>
      </c>
    </row>
    <row r="26" spans="1:9" x14ac:dyDescent="0.2">
      <c r="A26" s="2">
        <f>IFERROR(INDEX(Stock_Master!A$2:A$5000,19),"")</f>
        <v>0</v>
      </c>
      <c r="B26" s="2">
        <f>IF(A26="","",INDEX(Stock_Master!B$2:B$5000,19))</f>
        <v>0</v>
      </c>
      <c r="C26" s="2">
        <f>IF(A26="","",INDEX(Stock_Master!C$2:C$5000,19))</f>
        <v>0</v>
      </c>
      <c r="D26" s="2">
        <f>IF(A26="","",INDEX(Stock_Master!D$2:D$5000,19))</f>
        <v>0</v>
      </c>
      <c r="E26" s="2">
        <f>IF(A26="","",INDEX(Stock_Master!E$2:E$5000,19))</f>
        <v>0</v>
      </c>
      <c r="F26" s="4">
        <f>IF(A26="","",INDEX(Stock_Master!F$2:F$5000,19))</f>
        <v>0</v>
      </c>
      <c r="G26" s="2">
        <f>IF(A26="","",INDEX(Stock_Master!G$2:G$5000,19))</f>
        <v>0</v>
      </c>
      <c r="H26" s="5">
        <f>IF(A26="","",INDEX(Stock_Master!I$2:I$5000,19))</f>
        <v>0</v>
      </c>
      <c r="I26" s="2">
        <f>IF(A26="","",INDEX(Stock_Master!J$2:J$5000,19))</f>
        <v>0</v>
      </c>
    </row>
    <row r="27" spans="1:9" x14ac:dyDescent="0.2">
      <c r="A27" s="2">
        <f>IFERROR(INDEX(Stock_Master!A$2:A$5000,20),"")</f>
        <v>0</v>
      </c>
      <c r="B27" s="2">
        <f>IF(A27="","",INDEX(Stock_Master!B$2:B$5000,20))</f>
        <v>0</v>
      </c>
      <c r="C27" s="2">
        <f>IF(A27="","",INDEX(Stock_Master!C$2:C$5000,20))</f>
        <v>0</v>
      </c>
      <c r="D27" s="2">
        <f>IF(A27="","",INDEX(Stock_Master!D$2:D$5000,20))</f>
        <v>0</v>
      </c>
      <c r="E27" s="2">
        <f>IF(A27="","",INDEX(Stock_Master!E$2:E$5000,20))</f>
        <v>0</v>
      </c>
      <c r="F27" s="4">
        <f>IF(A27="","",INDEX(Stock_Master!F$2:F$5000,20))</f>
        <v>0</v>
      </c>
      <c r="G27" s="2">
        <f>IF(A27="","",INDEX(Stock_Master!G$2:G$5000,20))</f>
        <v>0</v>
      </c>
      <c r="H27" s="5">
        <f>IF(A27="","",INDEX(Stock_Master!I$2:I$5000,20))</f>
        <v>0</v>
      </c>
      <c r="I27" s="2">
        <f>IF(A27="","",INDEX(Stock_Master!J$2:J$5000,20))</f>
        <v>0</v>
      </c>
    </row>
    <row r="28" spans="1:9" x14ac:dyDescent="0.2">
      <c r="A28" s="2">
        <f>IFERROR(INDEX(Stock_Master!A$2:A$5000,21),"")</f>
        <v>0</v>
      </c>
      <c r="B28" s="2">
        <f>IF(A28="","",INDEX(Stock_Master!B$2:B$5000,21))</f>
        <v>0</v>
      </c>
      <c r="C28" s="2">
        <f>IF(A28="","",INDEX(Stock_Master!C$2:C$5000,21))</f>
        <v>0</v>
      </c>
      <c r="D28" s="2">
        <f>IF(A28="","",INDEX(Stock_Master!D$2:D$5000,21))</f>
        <v>0</v>
      </c>
      <c r="E28" s="2">
        <f>IF(A28="","",INDEX(Stock_Master!E$2:E$5000,21))</f>
        <v>0</v>
      </c>
      <c r="F28" s="4">
        <f>IF(A28="","",INDEX(Stock_Master!F$2:F$5000,21))</f>
        <v>0</v>
      </c>
      <c r="G28" s="2">
        <f>IF(A28="","",INDEX(Stock_Master!G$2:G$5000,21))</f>
        <v>0</v>
      </c>
      <c r="H28" s="5">
        <f>IF(A28="","",INDEX(Stock_Master!I$2:I$5000,21))</f>
        <v>0</v>
      </c>
      <c r="I28" s="2">
        <f>IF(A28="","",INDEX(Stock_Master!J$2:J$5000,21))</f>
        <v>0</v>
      </c>
    </row>
    <row r="29" spans="1:9" x14ac:dyDescent="0.2">
      <c r="A29" s="4" t="s">
        <v>95</v>
      </c>
      <c r="F29" s="4">
        <f>SUM(F9:F28)</f>
        <v>848</v>
      </c>
      <c r="H29" s="6">
        <f>SUM(H9:H28)</f>
        <v>126321</v>
      </c>
    </row>
  </sheetData>
  <autoFilter ref="A8:I28" xr:uid="{00000000-0009-0000-0000-00000B000000}"/>
  <mergeCells count="1">
    <mergeCell ref="A1:H1"/>
  </mergeCells>
  <conditionalFormatting sqref="A9:I28">
    <cfRule type="expression" dxfId="2" priority="1">
      <formula>$I9="Reorder"</formula>
    </cfRule>
    <cfRule type="expression" dxfId="1" priority="2">
      <formula>$I9="Low Stock"</formula>
    </cfRule>
    <cfRule type="expression" dxfId="0" priority="3">
      <formula>$I9="In Stock"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B59B6"/>
  </sheetPr>
  <dimension ref="A1:H28"/>
  <sheetViews>
    <sheetView workbookViewId="0">
      <pane ySplit="13" topLeftCell="A14" activePane="bottomLeft" state="frozen"/>
      <selection pane="bottomLeft" sqref="A1:G1"/>
    </sheetView>
  </sheetViews>
  <sheetFormatPr baseColWidth="10" defaultColWidth="8.83203125" defaultRowHeight="15" x14ac:dyDescent="0.2"/>
  <cols>
    <col min="1" max="1" width="6" customWidth="1"/>
    <col min="2" max="2" width="28" customWidth="1"/>
    <col min="3" max="4" width="10" customWidth="1"/>
    <col min="5" max="5" width="12" customWidth="1"/>
    <col min="6" max="7" width="14" customWidth="1"/>
    <col min="8" max="8" width="16" customWidth="1"/>
  </cols>
  <sheetData>
    <row r="1" spans="1:8" ht="26" x14ac:dyDescent="0.3">
      <c r="A1" s="61" t="s">
        <v>247</v>
      </c>
      <c r="B1" s="48"/>
      <c r="C1" s="48"/>
      <c r="D1" s="48"/>
      <c r="E1" s="48"/>
      <c r="F1" s="48"/>
      <c r="G1" s="48"/>
    </row>
    <row r="2" spans="1:8" x14ac:dyDescent="0.2">
      <c r="A2" s="62" t="s">
        <v>248</v>
      </c>
      <c r="B2" s="48"/>
      <c r="C2" s="48"/>
      <c r="D2" s="48"/>
      <c r="E2" s="48"/>
      <c r="F2" s="48"/>
      <c r="G2" s="48"/>
    </row>
    <row r="3" spans="1:8" x14ac:dyDescent="0.2">
      <c r="A3" s="62" t="s">
        <v>249</v>
      </c>
      <c r="B3" s="48"/>
      <c r="C3" s="48"/>
      <c r="D3" s="48"/>
      <c r="E3" s="48"/>
      <c r="F3" s="48"/>
      <c r="G3" s="48"/>
    </row>
    <row r="5" spans="1:8" x14ac:dyDescent="0.2">
      <c r="A5" s="65"/>
      <c r="B5" s="48"/>
      <c r="C5" s="48"/>
      <c r="D5" s="48"/>
      <c r="E5" s="48"/>
      <c r="F5" s="48"/>
      <c r="G5" s="48"/>
    </row>
    <row r="6" spans="1:8" ht="36" customHeight="1" x14ac:dyDescent="0.2">
      <c r="A6" s="63" t="s">
        <v>250</v>
      </c>
      <c r="B6" s="64"/>
      <c r="C6" s="64"/>
      <c r="D6" s="64"/>
      <c r="E6" s="64"/>
      <c r="F6" s="64"/>
      <c r="G6" s="64"/>
    </row>
    <row r="8" spans="1:8" x14ac:dyDescent="0.2">
      <c r="A8" s="34" t="s">
        <v>251</v>
      </c>
      <c r="B8" s="37" t="s">
        <v>252</v>
      </c>
      <c r="D8" s="60" t="s">
        <v>253</v>
      </c>
      <c r="E8" s="48"/>
      <c r="F8" s="48"/>
      <c r="G8" s="48"/>
    </row>
    <row r="9" spans="1:8" x14ac:dyDescent="0.2">
      <c r="A9" s="34" t="s">
        <v>254</v>
      </c>
      <c r="B9" s="41">
        <f ca="1">TODAY()</f>
        <v>46218</v>
      </c>
      <c r="D9" s="37" t="s">
        <v>255</v>
      </c>
    </row>
    <row r="10" spans="1:8" x14ac:dyDescent="0.2">
      <c r="D10" s="37" t="s">
        <v>256</v>
      </c>
    </row>
    <row r="11" spans="1:8" x14ac:dyDescent="0.2">
      <c r="D11" s="37" t="s">
        <v>257</v>
      </c>
    </row>
    <row r="13" spans="1:8" ht="16" x14ac:dyDescent="0.2">
      <c r="A13" s="3" t="s">
        <v>258</v>
      </c>
      <c r="B13" s="3" t="s">
        <v>170</v>
      </c>
      <c r="C13" s="3" t="s">
        <v>97</v>
      </c>
      <c r="D13" s="3" t="s">
        <v>171</v>
      </c>
      <c r="E13" s="3" t="s">
        <v>98</v>
      </c>
      <c r="F13" s="3" t="s">
        <v>47</v>
      </c>
      <c r="G13" s="3" t="s">
        <v>259</v>
      </c>
      <c r="H13" s="3" t="s">
        <v>100</v>
      </c>
    </row>
    <row r="14" spans="1:8" x14ac:dyDescent="0.2">
      <c r="A14" s="2">
        <v>1</v>
      </c>
      <c r="B14" s="2"/>
      <c r="C14" s="2"/>
      <c r="D14" s="2"/>
      <c r="E14" s="5"/>
      <c r="F14" s="5"/>
      <c r="G14" s="5"/>
      <c r="H14" s="6"/>
    </row>
    <row r="15" spans="1:8" x14ac:dyDescent="0.2">
      <c r="A15" s="2">
        <v>2</v>
      </c>
      <c r="B15" s="2"/>
      <c r="C15" s="2"/>
      <c r="D15" s="2"/>
      <c r="E15" s="5"/>
      <c r="F15" s="5"/>
      <c r="G15" s="5"/>
      <c r="H15" s="6"/>
    </row>
    <row r="16" spans="1:8" x14ac:dyDescent="0.2">
      <c r="A16" s="2">
        <v>3</v>
      </c>
      <c r="B16" s="2"/>
      <c r="C16" s="2"/>
      <c r="D16" s="2"/>
      <c r="E16" s="5"/>
      <c r="F16" s="5"/>
      <c r="G16" s="5"/>
      <c r="H16" s="6"/>
    </row>
    <row r="17" spans="1:8" x14ac:dyDescent="0.2">
      <c r="A17" s="2">
        <v>4</v>
      </c>
      <c r="B17" s="2"/>
      <c r="C17" s="2"/>
      <c r="D17" s="2"/>
      <c r="E17" s="5"/>
      <c r="F17" s="5"/>
      <c r="G17" s="5"/>
      <c r="H17" s="6"/>
    </row>
    <row r="18" spans="1:8" x14ac:dyDescent="0.2">
      <c r="A18" s="2">
        <v>5</v>
      </c>
      <c r="B18" s="2"/>
      <c r="C18" s="2"/>
      <c r="D18" s="2"/>
      <c r="E18" s="5"/>
      <c r="F18" s="5"/>
      <c r="G18" s="5"/>
      <c r="H18" s="6"/>
    </row>
    <row r="19" spans="1:8" x14ac:dyDescent="0.2">
      <c r="G19" s="4" t="s">
        <v>260</v>
      </c>
      <c r="H19" s="6">
        <f>SUM(F14:F18)</f>
        <v>0</v>
      </c>
    </row>
    <row r="20" spans="1:8" x14ac:dyDescent="0.2">
      <c r="G20" s="4" t="s">
        <v>261</v>
      </c>
      <c r="H20" s="6">
        <f>SUM(G14:G18)</f>
        <v>0</v>
      </c>
    </row>
    <row r="21" spans="1:8" ht="16" x14ac:dyDescent="0.2">
      <c r="A21" s="24"/>
      <c r="B21" s="24"/>
      <c r="C21" s="24"/>
      <c r="D21" s="24"/>
      <c r="E21" s="24"/>
      <c r="F21" s="24"/>
      <c r="G21" s="44" t="s">
        <v>262</v>
      </c>
      <c r="H21" s="45">
        <f>SUM(H14:H18)</f>
        <v>0</v>
      </c>
    </row>
    <row r="23" spans="1:8" x14ac:dyDescent="0.2">
      <c r="A23" s="34" t="s">
        <v>263</v>
      </c>
      <c r="B23" s="65" t="s">
        <v>264</v>
      </c>
      <c r="C23" s="48"/>
      <c r="D23" s="48"/>
      <c r="E23" s="48"/>
      <c r="F23" s="48"/>
      <c r="G23" s="48"/>
    </row>
    <row r="25" spans="1:8" x14ac:dyDescent="0.2">
      <c r="A25" s="34" t="s">
        <v>265</v>
      </c>
      <c r="F25" s="60" t="s">
        <v>266</v>
      </c>
      <c r="G25" s="48"/>
      <c r="H25" s="48"/>
    </row>
    <row r="26" spans="1:8" x14ac:dyDescent="0.2">
      <c r="A26" s="17" t="s">
        <v>267</v>
      </c>
    </row>
    <row r="27" spans="1:8" x14ac:dyDescent="0.2">
      <c r="A27" s="17" t="s">
        <v>268</v>
      </c>
      <c r="F27" s="37" t="s">
        <v>269</v>
      </c>
    </row>
    <row r="28" spans="1:8" x14ac:dyDescent="0.2">
      <c r="A28" s="17" t="s">
        <v>270</v>
      </c>
    </row>
  </sheetData>
  <mergeCells count="8">
    <mergeCell ref="F25:H25"/>
    <mergeCell ref="A1:G1"/>
    <mergeCell ref="A3:G3"/>
    <mergeCell ref="A6:G6"/>
    <mergeCell ref="D8:G8"/>
    <mergeCell ref="B23:G23"/>
    <mergeCell ref="A2:G2"/>
    <mergeCell ref="A5:G5"/>
  </mergeCells>
  <pageMargins left="0.5" right="0.5" top="0.5" bottom="0.5" header="0.5" footer="0.5"/>
  <pageSetup paperSize="9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4495E"/>
  </sheetPr>
  <dimension ref="A1:H32"/>
  <sheetViews>
    <sheetView workbookViewId="0">
      <pane ySplit="11" topLeftCell="A12" activePane="bottomLeft" state="frozen"/>
      <selection pane="bottomLeft" activeCell="A2" sqref="A2:H2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4" customWidth="1"/>
    <col min="4" max="4" width="30" customWidth="1"/>
    <col min="5" max="7" width="14" customWidth="1"/>
    <col min="8" max="8" width="12" customWidth="1"/>
  </cols>
  <sheetData>
    <row r="1" spans="1:8" ht="26" x14ac:dyDescent="0.3">
      <c r="A1" s="61" t="s">
        <v>247</v>
      </c>
      <c r="B1" s="48"/>
      <c r="C1" s="48"/>
      <c r="D1" s="48"/>
      <c r="E1" s="48"/>
      <c r="F1" s="48"/>
      <c r="G1" s="48"/>
      <c r="H1" s="48"/>
    </row>
    <row r="2" spans="1:8" x14ac:dyDescent="0.2">
      <c r="A2" s="62" t="s">
        <v>271</v>
      </c>
      <c r="B2" s="48"/>
      <c r="C2" s="48"/>
      <c r="D2" s="48"/>
      <c r="E2" s="48"/>
      <c r="F2" s="48"/>
      <c r="G2" s="48"/>
      <c r="H2" s="48"/>
    </row>
    <row r="4" spans="1:8" ht="21" x14ac:dyDescent="0.25">
      <c r="A4" s="66" t="s">
        <v>272</v>
      </c>
      <c r="B4" s="48"/>
      <c r="C4" s="48"/>
      <c r="D4" s="48"/>
      <c r="E4" s="48"/>
      <c r="F4" s="48"/>
      <c r="G4" s="48"/>
      <c r="H4" s="48"/>
    </row>
    <row r="6" spans="1:8" x14ac:dyDescent="0.2">
      <c r="A6" s="34" t="s">
        <v>273</v>
      </c>
      <c r="B6" s="37" t="s">
        <v>274</v>
      </c>
    </row>
    <row r="7" spans="1:8" x14ac:dyDescent="0.2">
      <c r="A7" s="34" t="s">
        <v>275</v>
      </c>
      <c r="B7" s="37" t="str">
        <f ca="1">TEXT(DATE(YEAR(TODAY()),MONTH(TODAY()),1),"DD-MMM-YYYY")&amp;" To "&amp;TEXT(TODAY(),"DD-MMM-YYYY")</f>
        <v>01-Jul-2026 To 15-Jul-2026</v>
      </c>
    </row>
    <row r="9" spans="1:8" x14ac:dyDescent="0.2">
      <c r="A9" s="60" t="s">
        <v>276</v>
      </c>
      <c r="B9" s="48"/>
      <c r="C9" s="36">
        <v>0</v>
      </c>
    </row>
    <row r="11" spans="1:8" ht="16" x14ac:dyDescent="0.2">
      <c r="A11" s="3" t="s">
        <v>44</v>
      </c>
      <c r="B11" s="3" t="s">
        <v>206</v>
      </c>
      <c r="C11" s="3" t="s">
        <v>277</v>
      </c>
      <c r="D11" s="3" t="s">
        <v>207</v>
      </c>
      <c r="E11" s="3" t="s">
        <v>208</v>
      </c>
      <c r="F11" s="3" t="s">
        <v>107</v>
      </c>
      <c r="G11" s="3" t="s">
        <v>58</v>
      </c>
    </row>
    <row r="12" spans="1:8" x14ac:dyDescent="0.2">
      <c r="A12" s="14"/>
      <c r="B12" s="2"/>
      <c r="C12" s="2"/>
      <c r="D12" s="2"/>
      <c r="E12" s="5"/>
      <c r="F12" s="5"/>
      <c r="G12" s="6"/>
    </row>
    <row r="13" spans="1:8" x14ac:dyDescent="0.2">
      <c r="A13" s="14"/>
      <c r="B13" s="2"/>
      <c r="C13" s="2"/>
      <c r="D13" s="2"/>
      <c r="E13" s="5"/>
      <c r="F13" s="5"/>
      <c r="G13" s="6"/>
    </row>
    <row r="14" spans="1:8" x14ac:dyDescent="0.2">
      <c r="A14" s="14"/>
      <c r="B14" s="2"/>
      <c r="C14" s="2"/>
      <c r="D14" s="2"/>
      <c r="E14" s="5"/>
      <c r="F14" s="5"/>
      <c r="G14" s="6"/>
    </row>
    <row r="15" spans="1:8" x14ac:dyDescent="0.2">
      <c r="A15" s="14"/>
      <c r="B15" s="2"/>
      <c r="C15" s="2"/>
      <c r="D15" s="2"/>
      <c r="E15" s="5"/>
      <c r="F15" s="5"/>
      <c r="G15" s="6"/>
    </row>
    <row r="16" spans="1:8" x14ac:dyDescent="0.2">
      <c r="A16" s="14"/>
      <c r="B16" s="2"/>
      <c r="C16" s="2"/>
      <c r="D16" s="2"/>
      <c r="E16" s="5"/>
      <c r="F16" s="5"/>
      <c r="G16" s="6"/>
    </row>
    <row r="17" spans="1:8" x14ac:dyDescent="0.2">
      <c r="A17" s="14"/>
      <c r="B17" s="2"/>
      <c r="C17" s="2"/>
      <c r="D17" s="2"/>
      <c r="E17" s="5"/>
      <c r="F17" s="5"/>
      <c r="G17" s="6"/>
    </row>
    <row r="18" spans="1:8" x14ac:dyDescent="0.2">
      <c r="A18" s="14"/>
      <c r="B18" s="2"/>
      <c r="C18" s="2"/>
      <c r="D18" s="2"/>
      <c r="E18" s="5"/>
      <c r="F18" s="5"/>
      <c r="G18" s="6"/>
    </row>
    <row r="19" spans="1:8" x14ac:dyDescent="0.2">
      <c r="A19" s="14"/>
      <c r="B19" s="2"/>
      <c r="C19" s="2"/>
      <c r="D19" s="2"/>
      <c r="E19" s="5"/>
      <c r="F19" s="5"/>
      <c r="G19" s="6"/>
    </row>
    <row r="20" spans="1:8" x14ac:dyDescent="0.2">
      <c r="A20" s="14"/>
      <c r="B20" s="2"/>
      <c r="C20" s="2"/>
      <c r="D20" s="2"/>
      <c r="E20" s="5"/>
      <c r="F20" s="5"/>
      <c r="G20" s="6"/>
    </row>
    <row r="21" spans="1:8" x14ac:dyDescent="0.2">
      <c r="A21" s="14"/>
      <c r="B21" s="2"/>
      <c r="C21" s="2"/>
      <c r="D21" s="2"/>
      <c r="E21" s="5"/>
      <c r="F21" s="5"/>
      <c r="G21" s="6"/>
    </row>
    <row r="22" spans="1:8" x14ac:dyDescent="0.2">
      <c r="A22" s="14"/>
      <c r="B22" s="2"/>
      <c r="C22" s="2"/>
      <c r="D22" s="2"/>
      <c r="E22" s="5"/>
      <c r="F22" s="5"/>
      <c r="G22" s="6"/>
    </row>
    <row r="23" spans="1:8" x14ac:dyDescent="0.2">
      <c r="A23" s="14"/>
      <c r="B23" s="2"/>
      <c r="C23" s="2"/>
      <c r="D23" s="2"/>
      <c r="E23" s="5"/>
      <c r="F23" s="5"/>
      <c r="G23" s="6"/>
    </row>
    <row r="24" spans="1:8" x14ac:dyDescent="0.2">
      <c r="A24" s="14"/>
      <c r="B24" s="2"/>
      <c r="C24" s="2"/>
      <c r="D24" s="2"/>
      <c r="E24" s="5"/>
      <c r="F24" s="5"/>
      <c r="G24" s="6"/>
    </row>
    <row r="25" spans="1:8" x14ac:dyDescent="0.2">
      <c r="A25" s="14"/>
      <c r="B25" s="2"/>
      <c r="C25" s="2"/>
      <c r="D25" s="2"/>
      <c r="E25" s="5"/>
      <c r="F25" s="5"/>
      <c r="G25" s="6"/>
    </row>
    <row r="26" spans="1:8" x14ac:dyDescent="0.2">
      <c r="A26" s="14"/>
      <c r="B26" s="2"/>
      <c r="C26" s="2"/>
      <c r="D26" s="2"/>
      <c r="E26" s="5"/>
      <c r="F26" s="5"/>
      <c r="G26" s="6"/>
    </row>
    <row r="27" spans="1:8" x14ac:dyDescent="0.2">
      <c r="A27" s="24"/>
      <c r="B27" s="24"/>
      <c r="C27" s="24"/>
      <c r="D27" s="25" t="s">
        <v>278</v>
      </c>
      <c r="E27" s="26">
        <f>SUM(E12:E26)</f>
        <v>0</v>
      </c>
      <c r="F27" s="26">
        <f>SUM(F12:F26)</f>
        <v>0</v>
      </c>
      <c r="G27" s="26">
        <f>SUM(G12:G26)</f>
        <v>0</v>
      </c>
    </row>
    <row r="29" spans="1:8" x14ac:dyDescent="0.2">
      <c r="A29" s="46" t="s">
        <v>279</v>
      </c>
      <c r="B29" s="2"/>
      <c r="C29" s="2"/>
      <c r="D29" s="2"/>
      <c r="E29" s="2"/>
      <c r="F29" s="2"/>
      <c r="G29" s="40">
        <f>C9+E27-F27</f>
        <v>0</v>
      </c>
    </row>
    <row r="32" spans="1:8" x14ac:dyDescent="0.2">
      <c r="F32" s="60" t="s">
        <v>280</v>
      </c>
      <c r="G32" s="48"/>
      <c r="H32" s="48"/>
    </row>
  </sheetData>
  <mergeCells count="5">
    <mergeCell ref="A4:H4"/>
    <mergeCell ref="A2:H2"/>
    <mergeCell ref="F32:H32"/>
    <mergeCell ref="A1:H1"/>
    <mergeCell ref="A9:B9"/>
  </mergeCells>
  <pageMargins left="0.5" right="0.5" top="0.5" bottom="0.5" header="0.5" footer="0.5"/>
  <pageSetup paperSize="9"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F8C8D"/>
  </sheetPr>
  <dimension ref="A1:L90"/>
  <sheetViews>
    <sheetView workbookViewId="0">
      <pane ySplit="59" topLeftCell="A60" activePane="bottomLeft" state="frozen"/>
      <selection pane="bottomLeft" activeCell="B5" sqref="B5:D5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8" width="18" customWidth="1"/>
  </cols>
  <sheetData>
    <row r="1" spans="1:12" ht="24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2">
      <c r="A2" s="55" t="s">
        <v>281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4" spans="1:12" ht="16" x14ac:dyDescent="0.2">
      <c r="A4" s="16" t="s">
        <v>282</v>
      </c>
    </row>
    <row r="5" spans="1:12" x14ac:dyDescent="0.2">
      <c r="A5" s="4" t="s">
        <v>283</v>
      </c>
      <c r="B5" s="67" t="s">
        <v>284</v>
      </c>
      <c r="C5" s="68"/>
      <c r="D5" s="69"/>
    </row>
    <row r="6" spans="1:12" x14ac:dyDescent="0.2">
      <c r="A6" s="4" t="s">
        <v>285</v>
      </c>
      <c r="B6" s="67" t="s">
        <v>256</v>
      </c>
      <c r="C6" s="68"/>
      <c r="D6" s="69"/>
    </row>
    <row r="7" spans="1:12" x14ac:dyDescent="0.2">
      <c r="A7" s="4" t="s">
        <v>286</v>
      </c>
      <c r="B7" s="67" t="s">
        <v>287</v>
      </c>
      <c r="C7" s="68"/>
      <c r="D7" s="69"/>
    </row>
    <row r="8" spans="1:12" x14ac:dyDescent="0.2">
      <c r="A8" s="4" t="s">
        <v>288</v>
      </c>
      <c r="B8" s="67" t="s">
        <v>289</v>
      </c>
      <c r="C8" s="68"/>
      <c r="D8" s="69"/>
    </row>
    <row r="9" spans="1:12" x14ac:dyDescent="0.2">
      <c r="A9" s="4" t="s">
        <v>290</v>
      </c>
      <c r="B9" s="67" t="s">
        <v>291</v>
      </c>
      <c r="C9" s="68"/>
      <c r="D9" s="69"/>
    </row>
    <row r="10" spans="1:12" x14ac:dyDescent="0.2">
      <c r="A10" s="4" t="s">
        <v>292</v>
      </c>
      <c r="B10" s="67" t="s">
        <v>293</v>
      </c>
      <c r="C10" s="68"/>
      <c r="D10" s="69"/>
    </row>
    <row r="11" spans="1:12" x14ac:dyDescent="0.2">
      <c r="A11" s="4" t="s">
        <v>294</v>
      </c>
      <c r="B11" s="67" t="s">
        <v>295</v>
      </c>
      <c r="C11" s="68"/>
      <c r="D11" s="69"/>
    </row>
    <row r="12" spans="1:12" x14ac:dyDescent="0.2">
      <c r="A12" s="4" t="s">
        <v>296</v>
      </c>
      <c r="B12" s="67" t="s">
        <v>297</v>
      </c>
      <c r="C12" s="68"/>
      <c r="D12" s="69"/>
    </row>
    <row r="15" spans="1:12" ht="16" x14ac:dyDescent="0.2">
      <c r="A15" s="16" t="s">
        <v>298</v>
      </c>
    </row>
    <row r="16" spans="1:12" ht="16" x14ac:dyDescent="0.2">
      <c r="A16" s="3" t="s">
        <v>258</v>
      </c>
      <c r="B16" s="3" t="s">
        <v>299</v>
      </c>
    </row>
    <row r="17" spans="1:2" x14ac:dyDescent="0.2">
      <c r="A17" s="2">
        <v>1</v>
      </c>
      <c r="B17" s="13" t="s">
        <v>177</v>
      </c>
    </row>
    <row r="18" spans="1:2" x14ac:dyDescent="0.2">
      <c r="A18" s="2">
        <v>2</v>
      </c>
      <c r="B18" s="13" t="s">
        <v>178</v>
      </c>
    </row>
    <row r="19" spans="1:2" x14ac:dyDescent="0.2">
      <c r="A19" s="2">
        <v>3</v>
      </c>
      <c r="B19" s="13" t="s">
        <v>300</v>
      </c>
    </row>
    <row r="20" spans="1:2" x14ac:dyDescent="0.2">
      <c r="A20" s="2">
        <v>4</v>
      </c>
      <c r="B20" s="13" t="s">
        <v>301</v>
      </c>
    </row>
    <row r="21" spans="1:2" x14ac:dyDescent="0.2">
      <c r="A21" s="2">
        <v>5</v>
      </c>
      <c r="B21" s="13" t="s">
        <v>302</v>
      </c>
    </row>
    <row r="22" spans="1:2" x14ac:dyDescent="0.2">
      <c r="A22" s="2">
        <v>6</v>
      </c>
      <c r="B22" s="13" t="s">
        <v>303</v>
      </c>
    </row>
    <row r="23" spans="1:2" x14ac:dyDescent="0.2">
      <c r="A23" s="2">
        <v>7</v>
      </c>
      <c r="B23" s="13" t="s">
        <v>304</v>
      </c>
    </row>
    <row r="24" spans="1:2" x14ac:dyDescent="0.2">
      <c r="A24" s="2">
        <v>8</v>
      </c>
      <c r="B24" s="13" t="s">
        <v>305</v>
      </c>
    </row>
    <row r="26" spans="1:2" ht="16" x14ac:dyDescent="0.2">
      <c r="A26" s="16" t="s">
        <v>306</v>
      </c>
    </row>
    <row r="27" spans="1:2" ht="16" x14ac:dyDescent="0.2">
      <c r="A27" s="3" t="s">
        <v>258</v>
      </c>
      <c r="B27" s="3" t="s">
        <v>101</v>
      </c>
    </row>
    <row r="28" spans="1:2" x14ac:dyDescent="0.2">
      <c r="A28" s="2">
        <v>1</v>
      </c>
      <c r="B28" s="13" t="s">
        <v>104</v>
      </c>
    </row>
    <row r="29" spans="1:2" x14ac:dyDescent="0.2">
      <c r="A29" s="2">
        <v>2</v>
      </c>
      <c r="B29" s="13" t="s">
        <v>107</v>
      </c>
    </row>
    <row r="30" spans="1:2" x14ac:dyDescent="0.2">
      <c r="A30" s="2">
        <v>3</v>
      </c>
      <c r="B30" s="13" t="s">
        <v>111</v>
      </c>
    </row>
    <row r="31" spans="1:2" x14ac:dyDescent="0.2">
      <c r="A31" s="2">
        <v>4</v>
      </c>
      <c r="B31" s="13" t="s">
        <v>115</v>
      </c>
    </row>
    <row r="32" spans="1:2" x14ac:dyDescent="0.2">
      <c r="A32" s="2">
        <v>5</v>
      </c>
      <c r="B32" s="13" t="s">
        <v>119</v>
      </c>
    </row>
    <row r="33" spans="1:2" x14ac:dyDescent="0.2">
      <c r="A33" s="2">
        <v>6</v>
      </c>
      <c r="B33" s="13" t="s">
        <v>307</v>
      </c>
    </row>
    <row r="34" spans="1:2" x14ac:dyDescent="0.2">
      <c r="A34" s="2">
        <v>7</v>
      </c>
      <c r="B34" s="13" t="s">
        <v>308</v>
      </c>
    </row>
    <row r="36" spans="1:2" ht="16" x14ac:dyDescent="0.2">
      <c r="A36" s="16" t="s">
        <v>309</v>
      </c>
    </row>
    <row r="37" spans="1:2" ht="16" x14ac:dyDescent="0.2">
      <c r="A37" s="3" t="s">
        <v>258</v>
      </c>
      <c r="B37" s="3" t="s">
        <v>206</v>
      </c>
    </row>
    <row r="38" spans="1:2" x14ac:dyDescent="0.2">
      <c r="A38" s="2">
        <v>1</v>
      </c>
      <c r="B38" s="13" t="s">
        <v>63</v>
      </c>
    </row>
    <row r="39" spans="1:2" x14ac:dyDescent="0.2">
      <c r="A39" s="2">
        <v>2</v>
      </c>
      <c r="B39" s="13" t="s">
        <v>67</v>
      </c>
    </row>
    <row r="40" spans="1:2" x14ac:dyDescent="0.2">
      <c r="A40" s="2">
        <v>3</v>
      </c>
      <c r="B40" s="13" t="s">
        <v>83</v>
      </c>
    </row>
    <row r="41" spans="1:2" x14ac:dyDescent="0.2">
      <c r="A41" s="2">
        <v>4</v>
      </c>
      <c r="B41" s="13" t="s">
        <v>74</v>
      </c>
    </row>
    <row r="42" spans="1:2" x14ac:dyDescent="0.2">
      <c r="A42" s="2">
        <v>5</v>
      </c>
      <c r="B42" s="13" t="s">
        <v>60</v>
      </c>
    </row>
    <row r="43" spans="1:2" x14ac:dyDescent="0.2">
      <c r="A43" s="2">
        <v>6</v>
      </c>
      <c r="B43" s="13" t="s">
        <v>310</v>
      </c>
    </row>
    <row r="44" spans="1:2" x14ac:dyDescent="0.2">
      <c r="A44" s="2">
        <v>7</v>
      </c>
      <c r="B44" s="13" t="s">
        <v>311</v>
      </c>
    </row>
    <row r="45" spans="1:2" x14ac:dyDescent="0.2">
      <c r="A45" s="2">
        <v>8</v>
      </c>
      <c r="B45" s="13" t="s">
        <v>312</v>
      </c>
    </row>
    <row r="47" spans="1:2" ht="16" x14ac:dyDescent="0.2">
      <c r="A47" s="16" t="s">
        <v>313</v>
      </c>
    </row>
    <row r="48" spans="1:2" ht="16" x14ac:dyDescent="0.2">
      <c r="A48" s="3" t="s">
        <v>258</v>
      </c>
      <c r="B48" s="3" t="s">
        <v>314</v>
      </c>
    </row>
    <row r="49" spans="1:2" x14ac:dyDescent="0.2">
      <c r="A49" s="2">
        <v>1</v>
      </c>
      <c r="B49" s="13" t="s">
        <v>315</v>
      </c>
    </row>
    <row r="50" spans="1:2" x14ac:dyDescent="0.2">
      <c r="A50" s="2">
        <v>2</v>
      </c>
      <c r="B50" s="13" t="s">
        <v>316</v>
      </c>
    </row>
    <row r="51" spans="1:2" x14ac:dyDescent="0.2">
      <c r="A51" s="2">
        <v>3</v>
      </c>
      <c r="B51" s="13" t="s">
        <v>114</v>
      </c>
    </row>
    <row r="52" spans="1:2" x14ac:dyDescent="0.2">
      <c r="A52" s="2">
        <v>4</v>
      </c>
      <c r="B52" s="13" t="s">
        <v>118</v>
      </c>
    </row>
    <row r="53" spans="1:2" x14ac:dyDescent="0.2">
      <c r="A53" s="2">
        <v>5</v>
      </c>
      <c r="B53" s="13" t="s">
        <v>179</v>
      </c>
    </row>
    <row r="54" spans="1:2" x14ac:dyDescent="0.2">
      <c r="A54" s="2">
        <v>6</v>
      </c>
      <c r="B54" s="13" t="s">
        <v>180</v>
      </c>
    </row>
    <row r="55" spans="1:2" x14ac:dyDescent="0.2">
      <c r="A55" s="2">
        <v>7</v>
      </c>
      <c r="B55" s="13" t="s">
        <v>181</v>
      </c>
    </row>
    <row r="56" spans="1:2" x14ac:dyDescent="0.2">
      <c r="A56" s="2">
        <v>8</v>
      </c>
      <c r="B56" s="13" t="s">
        <v>317</v>
      </c>
    </row>
    <row r="58" spans="1:2" ht="16" x14ac:dyDescent="0.2">
      <c r="A58" s="16" t="s">
        <v>318</v>
      </c>
    </row>
    <row r="59" spans="1:2" ht="16" x14ac:dyDescent="0.2">
      <c r="A59" s="3" t="s">
        <v>258</v>
      </c>
      <c r="B59" s="3" t="s">
        <v>30</v>
      </c>
    </row>
    <row r="60" spans="1:2" x14ac:dyDescent="0.2">
      <c r="A60" s="2">
        <v>1</v>
      </c>
      <c r="B60" s="13" t="s">
        <v>105</v>
      </c>
    </row>
    <row r="61" spans="1:2" x14ac:dyDescent="0.2">
      <c r="A61" s="2">
        <v>2</v>
      </c>
      <c r="B61" s="13" t="s">
        <v>108</v>
      </c>
    </row>
    <row r="62" spans="1:2" x14ac:dyDescent="0.2">
      <c r="A62" s="2">
        <v>3</v>
      </c>
      <c r="B62" s="13" t="s">
        <v>112</v>
      </c>
    </row>
    <row r="63" spans="1:2" x14ac:dyDescent="0.2">
      <c r="A63" s="2">
        <v>4</v>
      </c>
      <c r="B63" s="13" t="s">
        <v>319</v>
      </c>
    </row>
    <row r="64" spans="1:2" x14ac:dyDescent="0.2">
      <c r="A64" s="2">
        <v>5</v>
      </c>
      <c r="B64" s="13" t="s">
        <v>320</v>
      </c>
    </row>
    <row r="65" spans="1:8" x14ac:dyDescent="0.2">
      <c r="A65" s="2">
        <v>6</v>
      </c>
      <c r="B65" s="13" t="s">
        <v>321</v>
      </c>
    </row>
    <row r="68" spans="1:8" ht="16" x14ac:dyDescent="0.2">
      <c r="A68" s="56" t="s">
        <v>322</v>
      </c>
      <c r="B68" s="48"/>
      <c r="C68" s="48"/>
      <c r="D68" s="48"/>
      <c r="E68" s="48"/>
      <c r="F68" s="48"/>
      <c r="G68" s="48"/>
      <c r="H68" s="48"/>
    </row>
    <row r="69" spans="1:8" x14ac:dyDescent="0.2">
      <c r="A69" s="4" t="s">
        <v>323</v>
      </c>
      <c r="B69" s="67" t="s">
        <v>324</v>
      </c>
      <c r="C69" s="68"/>
      <c r="D69" s="68"/>
      <c r="E69" s="68"/>
      <c r="F69" s="68"/>
      <c r="G69" s="68"/>
      <c r="H69" s="69"/>
    </row>
    <row r="70" spans="1:8" x14ac:dyDescent="0.2">
      <c r="A70" s="4" t="s">
        <v>325</v>
      </c>
      <c r="B70" s="67" t="s">
        <v>326</v>
      </c>
      <c r="C70" s="68"/>
      <c r="D70" s="68"/>
      <c r="E70" s="68"/>
      <c r="F70" s="68"/>
      <c r="G70" s="68"/>
      <c r="H70" s="69"/>
    </row>
    <row r="71" spans="1:8" x14ac:dyDescent="0.2">
      <c r="A71" s="4" t="s">
        <v>327</v>
      </c>
      <c r="B71" s="67" t="s">
        <v>328</v>
      </c>
      <c r="C71" s="68"/>
      <c r="D71" s="68"/>
      <c r="E71" s="68"/>
      <c r="F71" s="68"/>
      <c r="G71" s="68"/>
      <c r="H71" s="69"/>
    </row>
    <row r="72" spans="1:8" x14ac:dyDescent="0.2">
      <c r="A72" s="4" t="s">
        <v>329</v>
      </c>
      <c r="B72" s="67" t="s">
        <v>330</v>
      </c>
      <c r="C72" s="68"/>
      <c r="D72" s="68"/>
      <c r="E72" s="68"/>
      <c r="F72" s="68"/>
      <c r="G72" s="68"/>
      <c r="H72" s="69"/>
    </row>
    <row r="73" spans="1:8" x14ac:dyDescent="0.2">
      <c r="A73" s="4" t="s">
        <v>331</v>
      </c>
      <c r="B73" s="67" t="s">
        <v>332</v>
      </c>
      <c r="C73" s="68"/>
      <c r="D73" s="68"/>
      <c r="E73" s="68"/>
      <c r="F73" s="68"/>
      <c r="G73" s="68"/>
      <c r="H73" s="69"/>
    </row>
    <row r="74" spans="1:8" x14ac:dyDescent="0.2">
      <c r="A74" s="4" t="s">
        <v>333</v>
      </c>
      <c r="B74" s="67" t="s">
        <v>147</v>
      </c>
      <c r="C74" s="68"/>
      <c r="D74" s="68"/>
      <c r="E74" s="68"/>
      <c r="F74" s="68"/>
      <c r="G74" s="68"/>
      <c r="H74" s="69"/>
    </row>
    <row r="75" spans="1:8" x14ac:dyDescent="0.2">
      <c r="A75" s="4" t="s">
        <v>334</v>
      </c>
      <c r="B75" s="67" t="s">
        <v>335</v>
      </c>
      <c r="C75" s="68"/>
      <c r="D75" s="68"/>
      <c r="E75" s="68"/>
      <c r="F75" s="68"/>
      <c r="G75" s="68"/>
      <c r="H75" s="69"/>
    </row>
    <row r="78" spans="1:8" ht="16" x14ac:dyDescent="0.2">
      <c r="A78" s="16" t="s">
        <v>336</v>
      </c>
    </row>
    <row r="79" spans="1:8" x14ac:dyDescent="0.2">
      <c r="A79" s="65" t="s">
        <v>337</v>
      </c>
      <c r="B79" s="48"/>
      <c r="C79" s="48"/>
      <c r="D79" s="48"/>
      <c r="E79" s="48"/>
      <c r="F79" s="48"/>
      <c r="G79" s="48"/>
      <c r="H79" s="48"/>
    </row>
    <row r="80" spans="1:8" x14ac:dyDescent="0.2">
      <c r="A80" s="65" t="s">
        <v>338</v>
      </c>
      <c r="B80" s="48"/>
      <c r="C80" s="48"/>
      <c r="D80" s="48"/>
      <c r="E80" s="48"/>
      <c r="F80" s="48"/>
      <c r="G80" s="48"/>
      <c r="H80" s="48"/>
    </row>
    <row r="81" spans="1:8" x14ac:dyDescent="0.2">
      <c r="A81" s="65" t="s">
        <v>339</v>
      </c>
      <c r="B81" s="48"/>
      <c r="C81" s="48"/>
      <c r="D81" s="48"/>
      <c r="E81" s="48"/>
      <c r="F81" s="48"/>
      <c r="G81" s="48"/>
      <c r="H81" s="48"/>
    </row>
    <row r="82" spans="1:8" x14ac:dyDescent="0.2">
      <c r="A82" s="65" t="s">
        <v>340</v>
      </c>
      <c r="B82" s="48"/>
      <c r="C82" s="48"/>
      <c r="D82" s="48"/>
      <c r="E82" s="48"/>
      <c r="F82" s="48"/>
      <c r="G82" s="48"/>
      <c r="H82" s="48"/>
    </row>
    <row r="83" spans="1:8" x14ac:dyDescent="0.2">
      <c r="A83" s="65" t="s">
        <v>341</v>
      </c>
      <c r="B83" s="48"/>
      <c r="C83" s="48"/>
      <c r="D83" s="48"/>
      <c r="E83" s="48"/>
      <c r="F83" s="48"/>
      <c r="G83" s="48"/>
      <c r="H83" s="48"/>
    </row>
    <row r="84" spans="1:8" x14ac:dyDescent="0.2">
      <c r="A84" s="65" t="s">
        <v>342</v>
      </c>
      <c r="B84" s="48"/>
      <c r="C84" s="48"/>
      <c r="D84" s="48"/>
      <c r="E84" s="48"/>
      <c r="F84" s="48"/>
      <c r="G84" s="48"/>
      <c r="H84" s="48"/>
    </row>
    <row r="85" spans="1:8" x14ac:dyDescent="0.2">
      <c r="A85" s="65" t="s">
        <v>343</v>
      </c>
      <c r="B85" s="48"/>
      <c r="C85" s="48"/>
      <c r="D85" s="48"/>
      <c r="E85" s="48"/>
      <c r="F85" s="48"/>
      <c r="G85" s="48"/>
      <c r="H85" s="48"/>
    </row>
    <row r="86" spans="1:8" x14ac:dyDescent="0.2">
      <c r="A86" s="65" t="s">
        <v>344</v>
      </c>
      <c r="B86" s="48"/>
      <c r="C86" s="48"/>
      <c r="D86" s="48"/>
      <c r="E86" s="48"/>
      <c r="F86" s="48"/>
      <c r="G86" s="48"/>
      <c r="H86" s="48"/>
    </row>
    <row r="87" spans="1:8" x14ac:dyDescent="0.2">
      <c r="A87" s="65" t="s">
        <v>345</v>
      </c>
      <c r="B87" s="48"/>
      <c r="C87" s="48"/>
      <c r="D87" s="48"/>
      <c r="E87" s="48"/>
      <c r="F87" s="48"/>
      <c r="G87" s="48"/>
      <c r="H87" s="48"/>
    </row>
    <row r="88" spans="1:8" x14ac:dyDescent="0.2">
      <c r="A88" s="65"/>
      <c r="B88" s="48"/>
      <c r="C88" s="48"/>
      <c r="D88" s="48"/>
      <c r="E88" s="48"/>
      <c r="F88" s="48"/>
      <c r="G88" s="48"/>
      <c r="H88" s="48"/>
    </row>
    <row r="89" spans="1:8" x14ac:dyDescent="0.2">
      <c r="A89" s="65" t="s">
        <v>346</v>
      </c>
      <c r="B89" s="48"/>
      <c r="C89" s="48"/>
      <c r="D89" s="48"/>
      <c r="E89" s="48"/>
      <c r="F89" s="48"/>
      <c r="G89" s="48"/>
      <c r="H89" s="48"/>
    </row>
    <row r="90" spans="1:8" x14ac:dyDescent="0.2">
      <c r="A90" s="65" t="s">
        <v>347</v>
      </c>
      <c r="B90" s="48"/>
      <c r="C90" s="48"/>
      <c r="D90" s="48"/>
      <c r="E90" s="48"/>
      <c r="F90" s="48"/>
      <c r="G90" s="48"/>
      <c r="H90" s="48"/>
    </row>
  </sheetData>
  <mergeCells count="30">
    <mergeCell ref="A83:H83"/>
    <mergeCell ref="B74:H74"/>
    <mergeCell ref="B8:D8"/>
    <mergeCell ref="A82:H82"/>
    <mergeCell ref="A79:H79"/>
    <mergeCell ref="A90:H90"/>
    <mergeCell ref="B72:H72"/>
    <mergeCell ref="A80:H80"/>
    <mergeCell ref="A84:H84"/>
    <mergeCell ref="B6:D6"/>
    <mergeCell ref="A89:H89"/>
    <mergeCell ref="A86:H86"/>
    <mergeCell ref="B71:H71"/>
    <mergeCell ref="A85:H85"/>
    <mergeCell ref="B70:H70"/>
    <mergeCell ref="B7:D7"/>
    <mergeCell ref="A81:H81"/>
    <mergeCell ref="A88:H88"/>
    <mergeCell ref="B10:D10"/>
    <mergeCell ref="A87:H87"/>
    <mergeCell ref="B75:H75"/>
    <mergeCell ref="A1:L1"/>
    <mergeCell ref="B73:H73"/>
    <mergeCell ref="B69:H69"/>
    <mergeCell ref="A68:H68"/>
    <mergeCell ref="B12:D12"/>
    <mergeCell ref="A2:L2"/>
    <mergeCell ref="B9:D9"/>
    <mergeCell ref="B5:D5"/>
    <mergeCell ref="B11:D1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5A5A6"/>
  </sheetPr>
  <dimension ref="A1:H52"/>
  <sheetViews>
    <sheetView topLeftCell="A16" workbookViewId="0">
      <selection sqref="A1:H1"/>
    </sheetView>
  </sheetViews>
  <sheetFormatPr baseColWidth="10" defaultColWidth="8.83203125" defaultRowHeight="15" x14ac:dyDescent="0.2"/>
  <cols>
    <col min="1" max="1" width="24" customWidth="1"/>
    <col min="2" max="8" width="18" customWidth="1"/>
  </cols>
  <sheetData>
    <row r="1" spans="1:8" ht="24" x14ac:dyDescent="0.3">
      <c r="A1" s="59" t="s">
        <v>348</v>
      </c>
      <c r="B1" s="48"/>
      <c r="C1" s="48"/>
      <c r="D1" s="48"/>
      <c r="E1" s="48"/>
      <c r="F1" s="48"/>
      <c r="G1" s="48"/>
      <c r="H1" s="48"/>
    </row>
    <row r="2" spans="1:8" x14ac:dyDescent="0.2">
      <c r="A2" s="55" t="s">
        <v>349</v>
      </c>
      <c r="B2" s="48"/>
      <c r="C2" s="48"/>
      <c r="D2" s="48"/>
      <c r="E2" s="48"/>
      <c r="F2" s="48"/>
      <c r="G2" s="48"/>
      <c r="H2" s="48"/>
    </row>
    <row r="4" spans="1:8" ht="28" customHeight="1" x14ac:dyDescent="0.2">
      <c r="A4" s="56" t="s">
        <v>350</v>
      </c>
      <c r="B4" s="48"/>
      <c r="C4" s="48"/>
      <c r="D4" s="48"/>
      <c r="E4" s="48"/>
      <c r="F4" s="48"/>
      <c r="G4" s="48"/>
      <c r="H4" s="48"/>
    </row>
    <row r="5" spans="1:8" ht="22" customHeight="1" x14ac:dyDescent="0.2">
      <c r="A5" s="34" t="s">
        <v>351</v>
      </c>
      <c r="B5" s="70" t="s">
        <v>352</v>
      </c>
      <c r="C5" s="48"/>
      <c r="D5" s="48"/>
      <c r="E5" s="48"/>
      <c r="F5" s="48"/>
      <c r="G5" s="48"/>
      <c r="H5" s="48"/>
    </row>
    <row r="6" spans="1:8" ht="22" customHeight="1" x14ac:dyDescent="0.2">
      <c r="A6" s="34" t="s">
        <v>353</v>
      </c>
      <c r="B6" s="70" t="s">
        <v>354</v>
      </c>
      <c r="C6" s="48"/>
      <c r="D6" s="48"/>
      <c r="E6" s="48"/>
      <c r="F6" s="48"/>
      <c r="G6" s="48"/>
      <c r="H6" s="48"/>
    </row>
    <row r="7" spans="1:8" ht="22" customHeight="1" x14ac:dyDescent="0.2">
      <c r="A7" s="34" t="s">
        <v>355</v>
      </c>
      <c r="B7" s="70" t="s">
        <v>356</v>
      </c>
      <c r="C7" s="48"/>
      <c r="D7" s="48"/>
      <c r="E7" s="48"/>
      <c r="F7" s="48"/>
      <c r="G7" s="48"/>
      <c r="H7" s="48"/>
    </row>
    <row r="8" spans="1:8" ht="22" customHeight="1" x14ac:dyDescent="0.2">
      <c r="A8" s="34" t="s">
        <v>357</v>
      </c>
      <c r="B8" s="70" t="s">
        <v>358</v>
      </c>
      <c r="C8" s="48"/>
      <c r="D8" s="48"/>
      <c r="E8" s="48"/>
      <c r="F8" s="48"/>
      <c r="G8" s="48"/>
      <c r="H8" s="48"/>
    </row>
    <row r="9" spans="1:8" ht="22" customHeight="1" x14ac:dyDescent="0.2">
      <c r="A9" s="34" t="s">
        <v>359</v>
      </c>
      <c r="B9" s="70" t="s">
        <v>360</v>
      </c>
      <c r="C9" s="48"/>
      <c r="D9" s="48"/>
      <c r="E9" s="48"/>
      <c r="F9" s="48"/>
      <c r="G9" s="48"/>
      <c r="H9" s="48"/>
    </row>
    <row r="10" spans="1:8" ht="22" customHeight="1" x14ac:dyDescent="0.2">
      <c r="A10" s="34" t="s">
        <v>361</v>
      </c>
      <c r="B10" s="70" t="s">
        <v>362</v>
      </c>
      <c r="C10" s="48"/>
      <c r="D10" s="48"/>
      <c r="E10" s="48"/>
      <c r="F10" s="48"/>
      <c r="G10" s="48"/>
      <c r="H10" s="48"/>
    </row>
    <row r="11" spans="1:8" ht="22" customHeight="1" x14ac:dyDescent="0.2">
      <c r="A11" s="34" t="s">
        <v>363</v>
      </c>
      <c r="B11" s="70" t="s">
        <v>364</v>
      </c>
      <c r="C11" s="48"/>
      <c r="D11" s="48"/>
      <c r="E11" s="48"/>
      <c r="F11" s="48"/>
      <c r="G11" s="48"/>
      <c r="H11" s="48"/>
    </row>
    <row r="12" spans="1:8" ht="22" customHeight="1" x14ac:dyDescent="0.2">
      <c r="A12" s="34" t="s">
        <v>365</v>
      </c>
      <c r="B12" s="70" t="s">
        <v>366</v>
      </c>
      <c r="C12" s="48"/>
      <c r="D12" s="48"/>
      <c r="E12" s="48"/>
      <c r="F12" s="48"/>
      <c r="G12" s="48"/>
      <c r="H12" s="48"/>
    </row>
    <row r="13" spans="1:8" ht="22" customHeight="1" x14ac:dyDescent="0.2">
      <c r="A13" s="34" t="s">
        <v>367</v>
      </c>
      <c r="B13" s="70" t="s">
        <v>368</v>
      </c>
      <c r="C13" s="48"/>
      <c r="D13" s="48"/>
      <c r="E13" s="48"/>
      <c r="F13" s="48"/>
      <c r="G13" s="48"/>
      <c r="H13" s="48"/>
    </row>
    <row r="14" spans="1:8" ht="22" customHeight="1" x14ac:dyDescent="0.2">
      <c r="A14" s="34" t="s">
        <v>369</v>
      </c>
      <c r="B14" s="70" t="s">
        <v>370</v>
      </c>
      <c r="C14" s="48"/>
      <c r="D14" s="48"/>
      <c r="E14" s="48"/>
      <c r="F14" s="48"/>
      <c r="G14" s="48"/>
      <c r="H14" s="48"/>
    </row>
    <row r="15" spans="1:8" ht="22" customHeight="1" x14ac:dyDescent="0.2">
      <c r="A15" s="34" t="s">
        <v>371</v>
      </c>
      <c r="B15" s="70" t="s">
        <v>372</v>
      </c>
      <c r="C15" s="48"/>
      <c r="D15" s="48"/>
      <c r="E15" s="48"/>
      <c r="F15" s="48"/>
      <c r="G15" s="48"/>
      <c r="H15" s="48"/>
    </row>
    <row r="16" spans="1:8" ht="22" customHeight="1" x14ac:dyDescent="0.2">
      <c r="A16" s="34" t="s">
        <v>373</v>
      </c>
      <c r="B16" s="70" t="s">
        <v>374</v>
      </c>
      <c r="C16" s="48"/>
      <c r="D16" s="48"/>
      <c r="E16" s="48"/>
      <c r="F16" s="48"/>
      <c r="G16" s="48"/>
      <c r="H16" s="48"/>
    </row>
    <row r="17" spans="1:8" ht="22" customHeight="1" x14ac:dyDescent="0.2">
      <c r="A17" s="34" t="s">
        <v>375</v>
      </c>
      <c r="B17" s="70" t="s">
        <v>376</v>
      </c>
      <c r="C17" s="48"/>
      <c r="D17" s="48"/>
      <c r="E17" s="48"/>
      <c r="F17" s="48"/>
      <c r="G17" s="48"/>
      <c r="H17" s="48"/>
    </row>
    <row r="18" spans="1:8" ht="22" customHeight="1" x14ac:dyDescent="0.2">
      <c r="A18" s="34" t="s">
        <v>377</v>
      </c>
      <c r="B18" s="70" t="s">
        <v>378</v>
      </c>
      <c r="C18" s="48"/>
      <c r="D18" s="48"/>
      <c r="E18" s="48"/>
      <c r="F18" s="48"/>
      <c r="G18" s="48"/>
      <c r="H18" s="48"/>
    </row>
    <row r="19" spans="1:8" ht="22" customHeight="1" x14ac:dyDescent="0.2">
      <c r="A19" s="34" t="s">
        <v>379</v>
      </c>
      <c r="B19" s="70" t="s">
        <v>380</v>
      </c>
      <c r="C19" s="48"/>
      <c r="D19" s="48"/>
      <c r="E19" s="48"/>
      <c r="F19" s="48"/>
      <c r="G19" s="48"/>
      <c r="H19" s="48"/>
    </row>
    <row r="20" spans="1:8" ht="22" customHeight="1" x14ac:dyDescent="0.2">
      <c r="A20" s="34" t="s">
        <v>381</v>
      </c>
      <c r="B20" s="70" t="s">
        <v>382</v>
      </c>
      <c r="C20" s="48"/>
      <c r="D20" s="48"/>
      <c r="E20" s="48"/>
      <c r="F20" s="48"/>
      <c r="G20" s="48"/>
      <c r="H20" s="48"/>
    </row>
    <row r="22" spans="1:8" ht="28" customHeight="1" x14ac:dyDescent="0.2">
      <c r="A22" s="56" t="s">
        <v>383</v>
      </c>
      <c r="B22" s="48"/>
      <c r="C22" s="48"/>
      <c r="D22" s="48"/>
      <c r="E22" s="48"/>
      <c r="F22" s="48"/>
      <c r="G22" s="48"/>
      <c r="H22" s="48"/>
    </row>
    <row r="23" spans="1:8" ht="22" customHeight="1" x14ac:dyDescent="0.2">
      <c r="A23" s="34" t="s">
        <v>384</v>
      </c>
      <c r="B23" s="70" t="s">
        <v>330</v>
      </c>
      <c r="C23" s="48"/>
      <c r="D23" s="48"/>
      <c r="E23" s="48"/>
      <c r="F23" s="48"/>
      <c r="G23" s="48"/>
      <c r="H23" s="48"/>
    </row>
    <row r="24" spans="1:8" ht="22" customHeight="1" x14ac:dyDescent="0.2">
      <c r="A24" s="34" t="s">
        <v>385</v>
      </c>
      <c r="B24" s="70" t="s">
        <v>386</v>
      </c>
      <c r="C24" s="48"/>
      <c r="D24" s="48"/>
      <c r="E24" s="48"/>
      <c r="F24" s="48"/>
      <c r="G24" s="48"/>
      <c r="H24" s="48"/>
    </row>
    <row r="25" spans="1:8" ht="22" customHeight="1" x14ac:dyDescent="0.2">
      <c r="A25" s="34" t="s">
        <v>387</v>
      </c>
      <c r="B25" s="70" t="s">
        <v>388</v>
      </c>
      <c r="C25" s="48"/>
      <c r="D25" s="48"/>
      <c r="E25" s="48"/>
      <c r="F25" s="48"/>
      <c r="G25" s="48"/>
      <c r="H25" s="48"/>
    </row>
    <row r="26" spans="1:8" ht="22" customHeight="1" x14ac:dyDescent="0.2">
      <c r="A26" s="34" t="s">
        <v>389</v>
      </c>
      <c r="B26" s="70" t="s">
        <v>390</v>
      </c>
      <c r="C26" s="48"/>
      <c r="D26" s="48"/>
      <c r="E26" s="48"/>
      <c r="F26" s="48"/>
      <c r="G26" s="48"/>
      <c r="H26" s="48"/>
    </row>
    <row r="27" spans="1:8" ht="22" customHeight="1" x14ac:dyDescent="0.2">
      <c r="A27" s="34" t="s">
        <v>391</v>
      </c>
      <c r="B27" s="70" t="s">
        <v>392</v>
      </c>
      <c r="C27" s="48"/>
      <c r="D27" s="48"/>
      <c r="E27" s="48"/>
      <c r="F27" s="48"/>
      <c r="G27" s="48"/>
      <c r="H27" s="48"/>
    </row>
    <row r="29" spans="1:8" ht="28" customHeight="1" x14ac:dyDescent="0.2">
      <c r="A29" s="56" t="s">
        <v>393</v>
      </c>
      <c r="B29" s="48"/>
      <c r="C29" s="48"/>
      <c r="D29" s="48"/>
      <c r="E29" s="48"/>
      <c r="F29" s="48"/>
      <c r="G29" s="48"/>
      <c r="H29" s="48"/>
    </row>
    <row r="30" spans="1:8" ht="22" customHeight="1" x14ac:dyDescent="0.2">
      <c r="A30" s="34" t="s">
        <v>394</v>
      </c>
      <c r="B30" s="70" t="s">
        <v>395</v>
      </c>
      <c r="C30" s="48"/>
      <c r="D30" s="48"/>
      <c r="E30" s="48"/>
      <c r="F30" s="48"/>
      <c r="G30" s="48"/>
      <c r="H30" s="48"/>
    </row>
    <row r="31" spans="1:8" ht="22" customHeight="1" x14ac:dyDescent="0.2">
      <c r="A31" s="34" t="s">
        <v>396</v>
      </c>
      <c r="B31" s="70" t="s">
        <v>397</v>
      </c>
      <c r="C31" s="48"/>
      <c r="D31" s="48"/>
      <c r="E31" s="48"/>
      <c r="F31" s="48"/>
      <c r="G31" s="48"/>
      <c r="H31" s="48"/>
    </row>
    <row r="32" spans="1:8" ht="22" customHeight="1" x14ac:dyDescent="0.2">
      <c r="A32" s="34" t="s">
        <v>398</v>
      </c>
      <c r="B32" s="70" t="s">
        <v>399</v>
      </c>
      <c r="C32" s="48"/>
      <c r="D32" s="48"/>
      <c r="E32" s="48"/>
      <c r="F32" s="48"/>
      <c r="G32" s="48"/>
      <c r="H32" s="48"/>
    </row>
    <row r="33" spans="1:8" ht="22" customHeight="1" x14ac:dyDescent="0.2">
      <c r="A33" s="34" t="s">
        <v>400</v>
      </c>
      <c r="B33" s="70" t="s">
        <v>401</v>
      </c>
      <c r="C33" s="48"/>
      <c r="D33" s="48"/>
      <c r="E33" s="48"/>
      <c r="F33" s="48"/>
      <c r="G33" s="48"/>
      <c r="H33" s="48"/>
    </row>
    <row r="34" spans="1:8" ht="22" customHeight="1" x14ac:dyDescent="0.2">
      <c r="A34" s="34" t="s">
        <v>402</v>
      </c>
      <c r="B34" s="70" t="s">
        <v>403</v>
      </c>
      <c r="C34" s="48"/>
      <c r="D34" s="48"/>
      <c r="E34" s="48"/>
      <c r="F34" s="48"/>
      <c r="G34" s="48"/>
      <c r="H34" s="48"/>
    </row>
    <row r="35" spans="1:8" ht="22" customHeight="1" x14ac:dyDescent="0.2">
      <c r="A35" s="34" t="s">
        <v>404</v>
      </c>
      <c r="B35" s="70" t="s">
        <v>405</v>
      </c>
      <c r="C35" s="48"/>
      <c r="D35" s="48"/>
      <c r="E35" s="48"/>
      <c r="F35" s="48"/>
      <c r="G35" s="48"/>
      <c r="H35" s="48"/>
    </row>
    <row r="37" spans="1:8" ht="28" customHeight="1" x14ac:dyDescent="0.2">
      <c r="A37" s="56" t="s">
        <v>406</v>
      </c>
      <c r="B37" s="48"/>
      <c r="C37" s="48"/>
      <c r="D37" s="48"/>
      <c r="E37" s="48"/>
      <c r="F37" s="48"/>
      <c r="G37" s="48"/>
      <c r="H37" s="48"/>
    </row>
    <row r="38" spans="1:8" ht="22" customHeight="1" x14ac:dyDescent="0.2">
      <c r="A38" s="34" t="s">
        <v>407</v>
      </c>
      <c r="B38" s="70" t="s">
        <v>408</v>
      </c>
      <c r="C38" s="48"/>
      <c r="D38" s="48"/>
      <c r="E38" s="48"/>
      <c r="F38" s="48"/>
      <c r="G38" s="48"/>
      <c r="H38" s="48"/>
    </row>
    <row r="39" spans="1:8" ht="22" customHeight="1" x14ac:dyDescent="0.2">
      <c r="A39" s="34" t="s">
        <v>409</v>
      </c>
      <c r="B39" s="70" t="s">
        <v>410</v>
      </c>
      <c r="C39" s="48"/>
      <c r="D39" s="48"/>
      <c r="E39" s="48"/>
      <c r="F39" s="48"/>
      <c r="G39" s="48"/>
      <c r="H39" s="48"/>
    </row>
    <row r="40" spans="1:8" ht="22" customHeight="1" x14ac:dyDescent="0.2">
      <c r="A40" s="34" t="s">
        <v>411</v>
      </c>
      <c r="B40" s="70" t="s">
        <v>412</v>
      </c>
      <c r="C40" s="48"/>
      <c r="D40" s="48"/>
      <c r="E40" s="48"/>
      <c r="F40" s="48"/>
      <c r="G40" s="48"/>
      <c r="H40" s="48"/>
    </row>
    <row r="41" spans="1:8" ht="22" customHeight="1" x14ac:dyDescent="0.2">
      <c r="A41" s="34" t="s">
        <v>413</v>
      </c>
      <c r="B41" s="70" t="s">
        <v>414</v>
      </c>
      <c r="C41" s="48"/>
      <c r="D41" s="48"/>
      <c r="E41" s="48"/>
      <c r="F41" s="48"/>
      <c r="G41" s="48"/>
      <c r="H41" s="48"/>
    </row>
    <row r="42" spans="1:8" ht="22" customHeight="1" x14ac:dyDescent="0.2">
      <c r="A42" s="34" t="s">
        <v>415</v>
      </c>
      <c r="B42" s="70" t="s">
        <v>416</v>
      </c>
      <c r="C42" s="48"/>
      <c r="D42" s="48"/>
      <c r="E42" s="48"/>
      <c r="F42" s="48"/>
      <c r="G42" s="48"/>
      <c r="H42" s="48"/>
    </row>
    <row r="43" spans="1:8" ht="22" customHeight="1" x14ac:dyDescent="0.2">
      <c r="A43" s="34" t="s">
        <v>417</v>
      </c>
      <c r="B43" s="70" t="s">
        <v>418</v>
      </c>
      <c r="C43" s="48"/>
      <c r="D43" s="48"/>
      <c r="E43" s="48"/>
      <c r="F43" s="48"/>
      <c r="G43" s="48"/>
      <c r="H43" s="48"/>
    </row>
    <row r="44" spans="1:8" ht="22" customHeight="1" x14ac:dyDescent="0.2">
      <c r="A44" s="34" t="s">
        <v>419</v>
      </c>
      <c r="B44" s="70" t="s">
        <v>420</v>
      </c>
      <c r="C44" s="48"/>
      <c r="D44" s="48"/>
      <c r="E44" s="48"/>
      <c r="F44" s="48"/>
      <c r="G44" s="48"/>
      <c r="H44" s="48"/>
    </row>
    <row r="46" spans="1:8" ht="28" customHeight="1" x14ac:dyDescent="0.2">
      <c r="A46" s="56" t="s">
        <v>421</v>
      </c>
      <c r="B46" s="48"/>
      <c r="C46" s="48"/>
      <c r="D46" s="48"/>
      <c r="E46" s="48"/>
      <c r="F46" s="48"/>
      <c r="G46" s="48"/>
      <c r="H46" s="48"/>
    </row>
    <row r="47" spans="1:8" ht="22" customHeight="1" x14ac:dyDescent="0.2">
      <c r="A47" s="34" t="s">
        <v>422</v>
      </c>
      <c r="B47" s="70" t="s">
        <v>423</v>
      </c>
      <c r="C47" s="48"/>
      <c r="D47" s="48"/>
      <c r="E47" s="48"/>
      <c r="F47" s="48"/>
      <c r="G47" s="48"/>
      <c r="H47" s="48"/>
    </row>
    <row r="48" spans="1:8" ht="22" customHeight="1" x14ac:dyDescent="0.2">
      <c r="A48" s="34" t="s">
        <v>424</v>
      </c>
      <c r="B48" s="70" t="s">
        <v>425</v>
      </c>
      <c r="C48" s="48"/>
      <c r="D48" s="48"/>
      <c r="E48" s="48"/>
      <c r="F48" s="48"/>
      <c r="G48" s="48"/>
      <c r="H48" s="48"/>
    </row>
    <row r="49" spans="1:8" ht="22" customHeight="1" x14ac:dyDescent="0.2">
      <c r="A49" s="34" t="s">
        <v>426</v>
      </c>
      <c r="B49" s="70" t="s">
        <v>427</v>
      </c>
      <c r="C49" s="48"/>
      <c r="D49" s="48"/>
      <c r="E49" s="48"/>
      <c r="F49" s="48"/>
      <c r="G49" s="48"/>
      <c r="H49" s="48"/>
    </row>
    <row r="50" spans="1:8" ht="22" customHeight="1" x14ac:dyDescent="0.2">
      <c r="A50" s="34" t="s">
        <v>428</v>
      </c>
      <c r="B50" s="70" t="s">
        <v>429</v>
      </c>
      <c r="C50" s="48"/>
      <c r="D50" s="48"/>
      <c r="E50" s="48"/>
      <c r="F50" s="48"/>
      <c r="G50" s="48"/>
      <c r="H50" s="48"/>
    </row>
    <row r="51" spans="1:8" ht="22" customHeight="1" x14ac:dyDescent="0.2">
      <c r="A51" s="34" t="s">
        <v>430</v>
      </c>
      <c r="B51" s="70" t="s">
        <v>431</v>
      </c>
      <c r="C51" s="48"/>
      <c r="D51" s="48"/>
      <c r="E51" s="48"/>
      <c r="F51" s="48"/>
      <c r="G51" s="48"/>
      <c r="H51" s="48"/>
    </row>
    <row r="52" spans="1:8" ht="22" customHeight="1" x14ac:dyDescent="0.2">
      <c r="A52" s="34" t="s">
        <v>432</v>
      </c>
      <c r="B52" s="70" t="s">
        <v>433</v>
      </c>
      <c r="C52" s="48"/>
      <c r="D52" s="48"/>
      <c r="E52" s="48"/>
      <c r="F52" s="48"/>
      <c r="G52" s="48"/>
      <c r="H52" s="48"/>
    </row>
  </sheetData>
  <mergeCells count="47">
    <mergeCell ref="B40:H40"/>
    <mergeCell ref="B9:H9"/>
    <mergeCell ref="B49:H49"/>
    <mergeCell ref="B6:H6"/>
    <mergeCell ref="B24:H24"/>
    <mergeCell ref="B30:H30"/>
    <mergeCell ref="B15:H15"/>
    <mergeCell ref="B33:H33"/>
    <mergeCell ref="B18:H18"/>
    <mergeCell ref="B27:H27"/>
    <mergeCell ref="B44:H44"/>
    <mergeCell ref="B38:H38"/>
    <mergeCell ref="B10:H10"/>
    <mergeCell ref="B19:H19"/>
    <mergeCell ref="B34:H34"/>
    <mergeCell ref="A1:H1"/>
    <mergeCell ref="B5:H5"/>
    <mergeCell ref="B20:H20"/>
    <mergeCell ref="B51:H51"/>
    <mergeCell ref="B32:H32"/>
    <mergeCell ref="B50:H50"/>
    <mergeCell ref="B26:H26"/>
    <mergeCell ref="B41:H41"/>
    <mergeCell ref="B35:H35"/>
    <mergeCell ref="B47:H47"/>
    <mergeCell ref="B16:H16"/>
    <mergeCell ref="B7:H7"/>
    <mergeCell ref="B25:H25"/>
    <mergeCell ref="A37:H37"/>
    <mergeCell ref="A46:H46"/>
    <mergeCell ref="B31:H31"/>
    <mergeCell ref="B52:H52"/>
    <mergeCell ref="A2:H2"/>
    <mergeCell ref="B43:H43"/>
    <mergeCell ref="B12:H12"/>
    <mergeCell ref="B39:H39"/>
    <mergeCell ref="B48:H48"/>
    <mergeCell ref="B11:H11"/>
    <mergeCell ref="B42:H42"/>
    <mergeCell ref="A22:H22"/>
    <mergeCell ref="B23:H23"/>
    <mergeCell ref="A4:H4"/>
    <mergeCell ref="B8:H8"/>
    <mergeCell ref="B14:H14"/>
    <mergeCell ref="B17:H17"/>
    <mergeCell ref="A29:H29"/>
    <mergeCell ref="B13:H1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Daybook</vt:lpstr>
      <vt:lpstr>Sales_Entry</vt:lpstr>
      <vt:lpstr>Purchase_Entry</vt:lpstr>
      <vt:lpstr>Cash_Collection</vt:lpstr>
      <vt:lpstr>Stock_Master</vt:lpstr>
      <vt:lpstr>Party_Master</vt:lpstr>
      <vt:lpstr>Party_Ledger</vt:lpstr>
      <vt:lpstr>Denomination_Count</vt:lpstr>
      <vt:lpstr>Sales_Report</vt:lpstr>
      <vt:lpstr>Purchase_Report</vt:lpstr>
      <vt:lpstr>Stock_Report</vt:lpstr>
      <vt:lpstr>Printable_Invoice</vt:lpstr>
      <vt:lpstr>Printable_Ledger</vt:lpstr>
      <vt:lpstr>Settings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Sushil Gautam</cp:lastModifiedBy>
  <dcterms:created xsi:type="dcterms:W3CDTF">2026-07-14T17:10:08Z</dcterms:created>
  <dcterms:modified xsi:type="dcterms:W3CDTF">2026-07-15T16:13:25Z</dcterms:modified>
</cp:coreProperties>
</file>
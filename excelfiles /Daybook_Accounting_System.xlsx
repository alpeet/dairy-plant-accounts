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ushilgautam/Desktop/6+/dairy-plant-accounts/excelfiles /"/>
    </mc:Choice>
  </mc:AlternateContent>
  <xr:revisionPtr revIDLastSave="0" documentId="13_ncr:1_{635E4935-938C-C243-8AC3-2D0D05B2F991}" xr6:coauthVersionLast="47" xr6:coauthVersionMax="47" xr10:uidLastSave="{00000000-0000-0000-0000-000000000000}"/>
  <bookViews>
    <workbookView xWindow="4940" yWindow="720" windowWidth="38400" windowHeight="19560" activeTab="8" xr2:uid="{00000000-000D-0000-FFFF-FFFF00000000}"/>
  </bookViews>
  <sheets>
    <sheet name="Daily Sales" sheetId="1" r:id="rId1"/>
    <sheet name="Cash Collection" sheetId="2" r:id="rId2"/>
    <sheet name="Day Book" sheetId="3" r:id="rId3"/>
    <sheet name="Denomination Count" sheetId="4" r:id="rId4"/>
    <sheet name="Summary Dashboard" sheetId="5" r:id="rId5"/>
    <sheet name="Invoice" sheetId="6" r:id="rId6"/>
    <sheet name="Supplier Payments" sheetId="7" r:id="rId7"/>
    <sheet name="Stock Management" sheetId="8" r:id="rId8"/>
    <sheet name="Stock Valuation" sheetId="9" r:id="rId9"/>
  </sheets>
  <definedNames>
    <definedName name="_xlnm._FilterDatabase" localSheetId="1" hidden="1">'Cash Collection'!$A$1:$I$32</definedName>
    <definedName name="_xlnm._FilterDatabase" localSheetId="0" hidden="1">'Daily Sales'!$A$1:$K$32</definedName>
    <definedName name="_xlnm._FilterDatabase" localSheetId="2" hidden="1">'Day Book'!$A$1:$X$32</definedName>
    <definedName name="_xlnm._FilterDatabase" localSheetId="3" hidden="1">'Denomination Count'!$A$1:$Q$32</definedName>
    <definedName name="_xlnm._FilterDatabase" localSheetId="7" hidden="1">'Stock Management'!$A$1:$K$32</definedName>
    <definedName name="_xlnm._FilterDatabase" localSheetId="6" hidden="1">'Supplier Payments'!$A$1:$I$32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9" l="1"/>
  <c r="F32" i="9"/>
  <c r="D32" i="9"/>
  <c r="F31" i="9"/>
  <c r="D31" i="9"/>
  <c r="F30" i="9"/>
  <c r="D30" i="9"/>
  <c r="F29" i="9"/>
  <c r="D29" i="9"/>
  <c r="F28" i="9"/>
  <c r="D28" i="9"/>
  <c r="F27" i="9"/>
  <c r="D27" i="9"/>
  <c r="F26" i="9"/>
  <c r="D26" i="9"/>
  <c r="F25" i="9"/>
  <c r="D25" i="9"/>
  <c r="F24" i="9"/>
  <c r="D24" i="9"/>
  <c r="F23" i="9"/>
  <c r="D23" i="9"/>
  <c r="F22" i="9"/>
  <c r="D22" i="9"/>
  <c r="F21" i="9"/>
  <c r="D21" i="9"/>
  <c r="F20" i="9"/>
  <c r="D20" i="9"/>
  <c r="F19" i="9"/>
  <c r="D19" i="9"/>
  <c r="F18" i="9"/>
  <c r="D18" i="9"/>
  <c r="F17" i="9"/>
  <c r="D17" i="9"/>
  <c r="F16" i="9"/>
  <c r="D16" i="9"/>
  <c r="F15" i="9"/>
  <c r="D15" i="9"/>
  <c r="F14" i="9"/>
  <c r="D14" i="9"/>
  <c r="F13" i="9"/>
  <c r="D13" i="9"/>
  <c r="F12" i="9"/>
  <c r="D12" i="9"/>
  <c r="F11" i="9"/>
  <c r="D11" i="9"/>
  <c r="F10" i="9"/>
  <c r="D10" i="9"/>
  <c r="F9" i="9"/>
  <c r="D9" i="9"/>
  <c r="F8" i="9"/>
  <c r="D8" i="9"/>
  <c r="F7" i="9"/>
  <c r="D7" i="9"/>
  <c r="F6" i="9"/>
  <c r="D6" i="9"/>
  <c r="F5" i="9"/>
  <c r="D5" i="9"/>
  <c r="F4" i="9"/>
  <c r="D4" i="9"/>
  <c r="F3" i="9"/>
  <c r="D3" i="9"/>
  <c r="F2" i="9"/>
  <c r="D2" i="9"/>
  <c r="D34" i="9" s="1"/>
  <c r="D33" i="8"/>
  <c r="C33" i="8"/>
  <c r="I32" i="8"/>
  <c r="F32" i="8"/>
  <c r="E32" i="8"/>
  <c r="I31" i="8"/>
  <c r="F31" i="8"/>
  <c r="E31" i="8"/>
  <c r="I30" i="8"/>
  <c r="F30" i="8"/>
  <c r="E30" i="8"/>
  <c r="I29" i="8"/>
  <c r="F29" i="8"/>
  <c r="E29" i="8"/>
  <c r="I28" i="8"/>
  <c r="F28" i="8"/>
  <c r="E28" i="8"/>
  <c r="I27" i="8"/>
  <c r="F27" i="8"/>
  <c r="E27" i="8"/>
  <c r="I26" i="8"/>
  <c r="F26" i="8"/>
  <c r="E26" i="8"/>
  <c r="I25" i="8"/>
  <c r="F25" i="8"/>
  <c r="E25" i="8"/>
  <c r="I24" i="8"/>
  <c r="F24" i="8"/>
  <c r="E24" i="8"/>
  <c r="I23" i="8"/>
  <c r="F23" i="8"/>
  <c r="E23" i="8"/>
  <c r="I22" i="8"/>
  <c r="F22" i="8"/>
  <c r="E22" i="8"/>
  <c r="I21" i="8"/>
  <c r="F21" i="8"/>
  <c r="E21" i="8"/>
  <c r="I20" i="8"/>
  <c r="F20" i="8"/>
  <c r="E20" i="8"/>
  <c r="I19" i="8"/>
  <c r="F19" i="8"/>
  <c r="E19" i="8"/>
  <c r="I18" i="8"/>
  <c r="F18" i="8"/>
  <c r="E18" i="8"/>
  <c r="I17" i="8"/>
  <c r="F17" i="8"/>
  <c r="E17" i="8"/>
  <c r="I16" i="8"/>
  <c r="F16" i="8"/>
  <c r="E16" i="8"/>
  <c r="I15" i="8"/>
  <c r="E15" i="8"/>
  <c r="F15" i="8" s="1"/>
  <c r="I14" i="8"/>
  <c r="E14" i="8"/>
  <c r="F14" i="8" s="1"/>
  <c r="I13" i="8"/>
  <c r="E13" i="8"/>
  <c r="F13" i="8" s="1"/>
  <c r="I12" i="8"/>
  <c r="E12" i="8"/>
  <c r="F12" i="8" s="1"/>
  <c r="I11" i="8"/>
  <c r="E11" i="8"/>
  <c r="F11" i="8" s="1"/>
  <c r="I10" i="8"/>
  <c r="E10" i="8"/>
  <c r="F10" i="8" s="1"/>
  <c r="I9" i="8"/>
  <c r="E9" i="8"/>
  <c r="F9" i="8" s="1"/>
  <c r="I8" i="8"/>
  <c r="F8" i="8"/>
  <c r="E8" i="8"/>
  <c r="I7" i="8"/>
  <c r="E7" i="8"/>
  <c r="F7" i="8" s="1"/>
  <c r="I6" i="8"/>
  <c r="E6" i="8"/>
  <c r="F6" i="8" s="1"/>
  <c r="I5" i="8"/>
  <c r="E5" i="8"/>
  <c r="F5" i="8" s="1"/>
  <c r="I4" i="8"/>
  <c r="F4" i="8"/>
  <c r="E4" i="8"/>
  <c r="I3" i="8"/>
  <c r="E3" i="8"/>
  <c r="F3" i="8" s="1"/>
  <c r="I2" i="8"/>
  <c r="I33" i="8" s="1"/>
  <c r="E2" i="8"/>
  <c r="F2" i="8" s="1"/>
  <c r="E33" i="7"/>
  <c r="E22" i="6"/>
  <c r="E21" i="6"/>
  <c r="E20" i="6"/>
  <c r="F7" i="6"/>
  <c r="B7" i="6"/>
  <c r="F6" i="6"/>
  <c r="A43" i="5"/>
  <c r="A42" i="5"/>
  <c r="D41" i="5"/>
  <c r="C41" i="5"/>
  <c r="A41" i="5"/>
  <c r="A40" i="5"/>
  <c r="A39" i="5"/>
  <c r="A38" i="5"/>
  <c r="B37" i="5"/>
  <c r="A37" i="5"/>
  <c r="A36" i="5"/>
  <c r="A35" i="5"/>
  <c r="A34" i="5"/>
  <c r="A33" i="5"/>
  <c r="A32" i="5"/>
  <c r="A31" i="5"/>
  <c r="A30" i="5"/>
  <c r="B29" i="5"/>
  <c r="A29" i="5"/>
  <c r="A28" i="5"/>
  <c r="B27" i="5"/>
  <c r="A27" i="5"/>
  <c r="A26" i="5"/>
  <c r="C25" i="5"/>
  <c r="A25" i="5"/>
  <c r="A24" i="5"/>
  <c r="D23" i="5"/>
  <c r="A23" i="5"/>
  <c r="A22" i="5"/>
  <c r="D21" i="5"/>
  <c r="C21" i="5"/>
  <c r="A21" i="5"/>
  <c r="A20" i="5"/>
  <c r="B19" i="5"/>
  <c r="A19" i="5"/>
  <c r="A18" i="5"/>
  <c r="C17" i="5"/>
  <c r="A17" i="5"/>
  <c r="A16" i="5"/>
  <c r="A15" i="5"/>
  <c r="A14" i="5"/>
  <c r="B11" i="5"/>
  <c r="B7" i="5"/>
  <c r="B6" i="5"/>
  <c r="B5" i="5"/>
  <c r="B4" i="5"/>
  <c r="P33" i="4"/>
  <c r="N33" i="4"/>
  <c r="L33" i="4"/>
  <c r="J33" i="4"/>
  <c r="H33" i="4"/>
  <c r="F33" i="4"/>
  <c r="D33" i="4"/>
  <c r="B33" i="4"/>
  <c r="Q32" i="4"/>
  <c r="O32" i="4"/>
  <c r="M32" i="4"/>
  <c r="K32" i="4"/>
  <c r="I32" i="4"/>
  <c r="G32" i="4"/>
  <c r="E32" i="4"/>
  <c r="C32" i="4"/>
  <c r="Q31" i="4"/>
  <c r="O31" i="4"/>
  <c r="M31" i="4"/>
  <c r="K31" i="4"/>
  <c r="I31" i="4"/>
  <c r="G31" i="4"/>
  <c r="E31" i="4"/>
  <c r="C31" i="4"/>
  <c r="Q30" i="4"/>
  <c r="O30" i="4"/>
  <c r="M30" i="4"/>
  <c r="K30" i="4"/>
  <c r="I30" i="4"/>
  <c r="G30" i="4"/>
  <c r="E30" i="4"/>
  <c r="C30" i="4"/>
  <c r="Q29" i="4"/>
  <c r="O29" i="4"/>
  <c r="M29" i="4"/>
  <c r="K29" i="4"/>
  <c r="I29" i="4"/>
  <c r="G29" i="4"/>
  <c r="E29" i="4"/>
  <c r="C29" i="4"/>
  <c r="Q28" i="4"/>
  <c r="O28" i="4"/>
  <c r="M28" i="4"/>
  <c r="K28" i="4"/>
  <c r="I28" i="4"/>
  <c r="G28" i="4"/>
  <c r="E28" i="4"/>
  <c r="C28" i="4"/>
  <c r="Q27" i="4"/>
  <c r="O27" i="4"/>
  <c r="M27" i="4"/>
  <c r="K27" i="4"/>
  <c r="I27" i="4"/>
  <c r="G27" i="4"/>
  <c r="E27" i="4"/>
  <c r="C27" i="4"/>
  <c r="Q26" i="4"/>
  <c r="O26" i="4"/>
  <c r="M26" i="4"/>
  <c r="K26" i="4"/>
  <c r="I26" i="4"/>
  <c r="G26" i="4"/>
  <c r="E26" i="4"/>
  <c r="C26" i="4"/>
  <c r="Q25" i="4"/>
  <c r="O25" i="4"/>
  <c r="M25" i="4"/>
  <c r="K25" i="4"/>
  <c r="I25" i="4"/>
  <c r="G25" i="4"/>
  <c r="E25" i="4"/>
  <c r="C25" i="4"/>
  <c r="Q24" i="4"/>
  <c r="O24" i="4"/>
  <c r="M24" i="4"/>
  <c r="K24" i="4"/>
  <c r="I24" i="4"/>
  <c r="G24" i="4"/>
  <c r="E24" i="4"/>
  <c r="C24" i="4"/>
  <c r="Q23" i="4"/>
  <c r="O23" i="4"/>
  <c r="M23" i="4"/>
  <c r="K23" i="4"/>
  <c r="I23" i="4"/>
  <c r="G23" i="4"/>
  <c r="E23" i="4"/>
  <c r="C23" i="4"/>
  <c r="Q22" i="4"/>
  <c r="O22" i="4"/>
  <c r="M22" i="4"/>
  <c r="K22" i="4"/>
  <c r="I22" i="4"/>
  <c r="G22" i="4"/>
  <c r="E22" i="4"/>
  <c r="C22" i="4"/>
  <c r="Q21" i="4"/>
  <c r="O21" i="4"/>
  <c r="M21" i="4"/>
  <c r="K21" i="4"/>
  <c r="I21" i="4"/>
  <c r="G21" i="4"/>
  <c r="E21" i="4"/>
  <c r="C21" i="4"/>
  <c r="Q20" i="4"/>
  <c r="O20" i="4"/>
  <c r="M20" i="4"/>
  <c r="K20" i="4"/>
  <c r="I20" i="4"/>
  <c r="G20" i="4"/>
  <c r="E20" i="4"/>
  <c r="C20" i="4"/>
  <c r="Q19" i="4"/>
  <c r="O19" i="4"/>
  <c r="M19" i="4"/>
  <c r="K19" i="4"/>
  <c r="I19" i="4"/>
  <c r="G19" i="4"/>
  <c r="E19" i="4"/>
  <c r="C19" i="4"/>
  <c r="Q18" i="4"/>
  <c r="O18" i="4"/>
  <c r="M18" i="4"/>
  <c r="K18" i="4"/>
  <c r="I18" i="4"/>
  <c r="G18" i="4"/>
  <c r="E18" i="4"/>
  <c r="C18" i="4"/>
  <c r="Q17" i="4"/>
  <c r="O17" i="4"/>
  <c r="M17" i="4"/>
  <c r="K17" i="4"/>
  <c r="I17" i="4"/>
  <c r="G17" i="4"/>
  <c r="E17" i="4"/>
  <c r="C17" i="4"/>
  <c r="Q16" i="4"/>
  <c r="O16" i="4"/>
  <c r="M16" i="4"/>
  <c r="K16" i="4"/>
  <c r="I16" i="4"/>
  <c r="G16" i="4"/>
  <c r="E16" i="4"/>
  <c r="C16" i="4"/>
  <c r="Q15" i="4"/>
  <c r="O15" i="4"/>
  <c r="M15" i="4"/>
  <c r="K15" i="4"/>
  <c r="I15" i="4"/>
  <c r="G15" i="4"/>
  <c r="E15" i="4"/>
  <c r="C15" i="4"/>
  <c r="Q14" i="4"/>
  <c r="O14" i="4"/>
  <c r="M14" i="4"/>
  <c r="K14" i="4"/>
  <c r="I14" i="4"/>
  <c r="G14" i="4"/>
  <c r="E14" i="4"/>
  <c r="C14" i="4"/>
  <c r="Q13" i="4"/>
  <c r="O13" i="4"/>
  <c r="M13" i="4"/>
  <c r="K13" i="4"/>
  <c r="I13" i="4"/>
  <c r="G13" i="4"/>
  <c r="E13" i="4"/>
  <c r="C13" i="4"/>
  <c r="Q12" i="4"/>
  <c r="O12" i="4"/>
  <c r="M12" i="4"/>
  <c r="K12" i="4"/>
  <c r="I12" i="4"/>
  <c r="G12" i="4"/>
  <c r="E12" i="4"/>
  <c r="C12" i="4"/>
  <c r="Q11" i="4"/>
  <c r="O11" i="4"/>
  <c r="M11" i="4"/>
  <c r="K11" i="4"/>
  <c r="I11" i="4"/>
  <c r="G11" i="4"/>
  <c r="E11" i="4"/>
  <c r="C11" i="4"/>
  <c r="Q10" i="4"/>
  <c r="O10" i="4"/>
  <c r="M10" i="4"/>
  <c r="K10" i="4"/>
  <c r="I10" i="4"/>
  <c r="G10" i="4"/>
  <c r="E10" i="4"/>
  <c r="C10" i="4"/>
  <c r="Q9" i="4"/>
  <c r="O9" i="4"/>
  <c r="M9" i="4"/>
  <c r="K9" i="4"/>
  <c r="I9" i="4"/>
  <c r="G9" i="4"/>
  <c r="E9" i="4"/>
  <c r="C9" i="4"/>
  <c r="Q8" i="4"/>
  <c r="O8" i="4"/>
  <c r="M8" i="4"/>
  <c r="K8" i="4"/>
  <c r="I8" i="4"/>
  <c r="G8" i="4"/>
  <c r="E8" i="4"/>
  <c r="C8" i="4"/>
  <c r="Q7" i="4"/>
  <c r="O7" i="4"/>
  <c r="M7" i="4"/>
  <c r="K7" i="4"/>
  <c r="I7" i="4"/>
  <c r="G7" i="4"/>
  <c r="E7" i="4"/>
  <c r="C7" i="4"/>
  <c r="O6" i="4"/>
  <c r="M6" i="4"/>
  <c r="K6" i="4"/>
  <c r="I6" i="4"/>
  <c r="G6" i="4"/>
  <c r="E6" i="4"/>
  <c r="C6" i="4"/>
  <c r="O5" i="4"/>
  <c r="M5" i="4"/>
  <c r="K5" i="4"/>
  <c r="I5" i="4"/>
  <c r="Q5" i="4" s="1"/>
  <c r="G5" i="4"/>
  <c r="E5" i="4"/>
  <c r="C5" i="4"/>
  <c r="O4" i="4"/>
  <c r="M4" i="4"/>
  <c r="K4" i="4"/>
  <c r="I4" i="4"/>
  <c r="G4" i="4"/>
  <c r="E4" i="4"/>
  <c r="E33" i="4" s="1"/>
  <c r="C4" i="4"/>
  <c r="Q4" i="4" s="1"/>
  <c r="O3" i="4"/>
  <c r="M3" i="4"/>
  <c r="K3" i="4"/>
  <c r="I3" i="4"/>
  <c r="I33" i="4" s="1"/>
  <c r="G3" i="4"/>
  <c r="E3" i="4"/>
  <c r="C3" i="4"/>
  <c r="Q3" i="4" s="1"/>
  <c r="O2" i="4"/>
  <c r="Q2" i="4" s="1"/>
  <c r="M2" i="4"/>
  <c r="K2" i="4"/>
  <c r="K33" i="4" s="1"/>
  <c r="I2" i="4"/>
  <c r="G2" i="4"/>
  <c r="E2" i="4"/>
  <c r="C2" i="4"/>
  <c r="T33" i="3"/>
  <c r="R33" i="3"/>
  <c r="Q33" i="3"/>
  <c r="P33" i="3"/>
  <c r="O33" i="3"/>
  <c r="N33" i="3"/>
  <c r="M33" i="3"/>
  <c r="L33" i="3"/>
  <c r="K33" i="3"/>
  <c r="J33" i="3"/>
  <c r="I33" i="3"/>
  <c r="H33" i="3"/>
  <c r="F33" i="3"/>
  <c r="V32" i="3"/>
  <c r="W32" i="3" s="1"/>
  <c r="S32" i="3"/>
  <c r="H32" i="3"/>
  <c r="E32" i="3"/>
  <c r="D32" i="3"/>
  <c r="C32" i="3"/>
  <c r="V31" i="3"/>
  <c r="F43" i="5" s="1"/>
  <c r="S31" i="3"/>
  <c r="D43" i="5" s="1"/>
  <c r="H31" i="3"/>
  <c r="E31" i="3"/>
  <c r="C43" i="5" s="1"/>
  <c r="D31" i="3"/>
  <c r="C31" i="3"/>
  <c r="B43" i="5" s="1"/>
  <c r="V30" i="3"/>
  <c r="F42" i="5" s="1"/>
  <c r="S30" i="3"/>
  <c r="D42" i="5" s="1"/>
  <c r="H30" i="3"/>
  <c r="E30" i="3"/>
  <c r="C42" i="5" s="1"/>
  <c r="D30" i="3"/>
  <c r="B42" i="5" s="1"/>
  <c r="C30" i="3"/>
  <c r="V29" i="3"/>
  <c r="F41" i="5" s="1"/>
  <c r="S29" i="3"/>
  <c r="H29" i="3"/>
  <c r="E29" i="3"/>
  <c r="D29" i="3"/>
  <c r="B41" i="5" s="1"/>
  <c r="C29" i="3"/>
  <c r="V28" i="3"/>
  <c r="F40" i="5" s="1"/>
  <c r="S28" i="3"/>
  <c r="D40" i="5" s="1"/>
  <c r="H28" i="3"/>
  <c r="E28" i="3"/>
  <c r="C40" i="5" s="1"/>
  <c r="D28" i="3"/>
  <c r="B40" i="5" s="1"/>
  <c r="C28" i="3"/>
  <c r="V27" i="3"/>
  <c r="W27" i="3" s="1"/>
  <c r="G39" i="5" s="1"/>
  <c r="S27" i="3"/>
  <c r="D39" i="5" s="1"/>
  <c r="H27" i="3"/>
  <c r="E27" i="3"/>
  <c r="C39" i="5" s="1"/>
  <c r="D27" i="3"/>
  <c r="B39" i="5" s="1"/>
  <c r="C27" i="3"/>
  <c r="V26" i="3"/>
  <c r="F38" i="5" s="1"/>
  <c r="S26" i="3"/>
  <c r="D38" i="5" s="1"/>
  <c r="H26" i="3"/>
  <c r="E26" i="3"/>
  <c r="C38" i="5" s="1"/>
  <c r="D26" i="3"/>
  <c r="B38" i="5" s="1"/>
  <c r="C26" i="3"/>
  <c r="V25" i="3"/>
  <c r="F37" i="5" s="1"/>
  <c r="S25" i="3"/>
  <c r="D37" i="5" s="1"/>
  <c r="H25" i="3"/>
  <c r="E25" i="3"/>
  <c r="C37" i="5" s="1"/>
  <c r="D25" i="3"/>
  <c r="C25" i="3"/>
  <c r="V24" i="3"/>
  <c r="F36" i="5" s="1"/>
  <c r="S24" i="3"/>
  <c r="D36" i="5" s="1"/>
  <c r="H24" i="3"/>
  <c r="E24" i="3"/>
  <c r="C36" i="5" s="1"/>
  <c r="D24" i="3"/>
  <c r="B36" i="5" s="1"/>
  <c r="C24" i="3"/>
  <c r="V23" i="3"/>
  <c r="F35" i="5" s="1"/>
  <c r="S23" i="3"/>
  <c r="D35" i="5" s="1"/>
  <c r="H23" i="3"/>
  <c r="E23" i="3"/>
  <c r="C35" i="5" s="1"/>
  <c r="D23" i="3"/>
  <c r="B35" i="5" s="1"/>
  <c r="C23" i="3"/>
  <c r="V22" i="3"/>
  <c r="F34" i="5" s="1"/>
  <c r="S22" i="3"/>
  <c r="D34" i="5" s="1"/>
  <c r="H22" i="3"/>
  <c r="E22" i="3"/>
  <c r="C34" i="5" s="1"/>
  <c r="D22" i="3"/>
  <c r="B34" i="5" s="1"/>
  <c r="C22" i="3"/>
  <c r="V21" i="3"/>
  <c r="F33" i="5" s="1"/>
  <c r="S21" i="3"/>
  <c r="D33" i="5" s="1"/>
  <c r="H21" i="3"/>
  <c r="E21" i="3"/>
  <c r="C33" i="5" s="1"/>
  <c r="D21" i="3"/>
  <c r="C21" i="3"/>
  <c r="B33" i="5" s="1"/>
  <c r="V20" i="3"/>
  <c r="F32" i="5" s="1"/>
  <c r="S20" i="3"/>
  <c r="D32" i="5" s="1"/>
  <c r="H20" i="3"/>
  <c r="E20" i="3"/>
  <c r="C32" i="5" s="1"/>
  <c r="D20" i="3"/>
  <c r="B32" i="5" s="1"/>
  <c r="C20" i="3"/>
  <c r="V19" i="3"/>
  <c r="F31" i="5" s="1"/>
  <c r="S19" i="3"/>
  <c r="D31" i="5" s="1"/>
  <c r="H19" i="3"/>
  <c r="E19" i="3"/>
  <c r="C31" i="5" s="1"/>
  <c r="D19" i="3"/>
  <c r="B31" i="5" s="1"/>
  <c r="C19" i="3"/>
  <c r="V18" i="3"/>
  <c r="F30" i="5" s="1"/>
  <c r="S18" i="3"/>
  <c r="D30" i="5" s="1"/>
  <c r="H18" i="3"/>
  <c r="E18" i="3"/>
  <c r="C30" i="5" s="1"/>
  <c r="D18" i="3"/>
  <c r="B30" i="5" s="1"/>
  <c r="C18" i="3"/>
  <c r="V17" i="3"/>
  <c r="W17" i="3" s="1"/>
  <c r="G29" i="5" s="1"/>
  <c r="S17" i="3"/>
  <c r="D29" i="5" s="1"/>
  <c r="H17" i="3"/>
  <c r="E17" i="3"/>
  <c r="C29" i="5" s="1"/>
  <c r="D17" i="3"/>
  <c r="C17" i="3"/>
  <c r="W16" i="3"/>
  <c r="G28" i="5" s="1"/>
  <c r="V16" i="3"/>
  <c r="F28" i="5" s="1"/>
  <c r="S16" i="3"/>
  <c r="D28" i="5" s="1"/>
  <c r="H16" i="3"/>
  <c r="E16" i="3"/>
  <c r="C28" i="5" s="1"/>
  <c r="D16" i="3"/>
  <c r="B28" i="5" s="1"/>
  <c r="C16" i="3"/>
  <c r="V15" i="3"/>
  <c r="W15" i="3" s="1"/>
  <c r="G27" i="5" s="1"/>
  <c r="S15" i="3"/>
  <c r="D27" i="5" s="1"/>
  <c r="H15" i="3"/>
  <c r="E15" i="3"/>
  <c r="C27" i="5" s="1"/>
  <c r="D15" i="3"/>
  <c r="C15" i="3"/>
  <c r="V14" i="3"/>
  <c r="F26" i="5" s="1"/>
  <c r="S14" i="3"/>
  <c r="D26" i="5" s="1"/>
  <c r="H14" i="3"/>
  <c r="E14" i="3"/>
  <c r="C26" i="5" s="1"/>
  <c r="D14" i="3"/>
  <c r="B26" i="5" s="1"/>
  <c r="C14" i="3"/>
  <c r="V13" i="3"/>
  <c r="W13" i="3" s="1"/>
  <c r="G25" i="5" s="1"/>
  <c r="S13" i="3"/>
  <c r="S33" i="3" s="1"/>
  <c r="H13" i="3"/>
  <c r="E13" i="3"/>
  <c r="D13" i="3"/>
  <c r="B25" i="5" s="1"/>
  <c r="C13" i="3"/>
  <c r="V12" i="3"/>
  <c r="F24" i="5" s="1"/>
  <c r="S12" i="3"/>
  <c r="D24" i="5" s="1"/>
  <c r="H12" i="3"/>
  <c r="E12" i="3"/>
  <c r="C24" i="5" s="1"/>
  <c r="D12" i="3"/>
  <c r="B24" i="5" s="1"/>
  <c r="C12" i="3"/>
  <c r="V11" i="3"/>
  <c r="F23" i="5" s="1"/>
  <c r="S11" i="3"/>
  <c r="H11" i="3"/>
  <c r="E11" i="3"/>
  <c r="C23" i="5" s="1"/>
  <c r="D11" i="3"/>
  <c r="C11" i="3"/>
  <c r="B23" i="5" s="1"/>
  <c r="V10" i="3"/>
  <c r="F22" i="5" s="1"/>
  <c r="S10" i="3"/>
  <c r="D22" i="5" s="1"/>
  <c r="H10" i="3"/>
  <c r="E10" i="3"/>
  <c r="C22" i="5" s="1"/>
  <c r="D10" i="3"/>
  <c r="B22" i="5" s="1"/>
  <c r="C10" i="3"/>
  <c r="V9" i="3"/>
  <c r="F21" i="5" s="1"/>
  <c r="S9" i="3"/>
  <c r="H9" i="3"/>
  <c r="E9" i="3"/>
  <c r="D9" i="3"/>
  <c r="B21" i="5" s="1"/>
  <c r="C9" i="3"/>
  <c r="V8" i="3"/>
  <c r="F20" i="5" s="1"/>
  <c r="S8" i="3"/>
  <c r="D20" i="5" s="1"/>
  <c r="H8" i="3"/>
  <c r="E8" i="3"/>
  <c r="C20" i="5" s="1"/>
  <c r="D8" i="3"/>
  <c r="B20" i="5" s="1"/>
  <c r="C8" i="3"/>
  <c r="V7" i="3"/>
  <c r="W7" i="3" s="1"/>
  <c r="G19" i="5" s="1"/>
  <c r="S7" i="3"/>
  <c r="D19" i="5" s="1"/>
  <c r="H7" i="3"/>
  <c r="E7" i="3"/>
  <c r="C19" i="5" s="1"/>
  <c r="D7" i="3"/>
  <c r="C7" i="3"/>
  <c r="V6" i="3"/>
  <c r="F18" i="5" s="1"/>
  <c r="S6" i="3"/>
  <c r="D18" i="5" s="1"/>
  <c r="H6" i="3"/>
  <c r="E6" i="3"/>
  <c r="C18" i="5" s="1"/>
  <c r="V5" i="3"/>
  <c r="W5" i="3" s="1"/>
  <c r="G17" i="5" s="1"/>
  <c r="S5" i="3"/>
  <c r="D17" i="5" s="1"/>
  <c r="H5" i="3"/>
  <c r="E5" i="3"/>
  <c r="D5" i="3"/>
  <c r="V4" i="3"/>
  <c r="F16" i="5" s="1"/>
  <c r="S4" i="3"/>
  <c r="D16" i="5" s="1"/>
  <c r="H4" i="3"/>
  <c r="E4" i="3"/>
  <c r="C16" i="5" s="1"/>
  <c r="D4" i="3"/>
  <c r="V3" i="3"/>
  <c r="F15" i="5" s="1"/>
  <c r="S3" i="3"/>
  <c r="D15" i="5" s="1"/>
  <c r="H3" i="3"/>
  <c r="E3" i="3"/>
  <c r="C15" i="5" s="1"/>
  <c r="D3" i="3"/>
  <c r="V2" i="3"/>
  <c r="B9" i="5" s="1"/>
  <c r="S2" i="3"/>
  <c r="D14" i="5" s="1"/>
  <c r="H2" i="3"/>
  <c r="E2" i="3"/>
  <c r="E33" i="3" s="1"/>
  <c r="F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33" i="1"/>
  <c r="G32" i="1"/>
  <c r="I32" i="1" s="1"/>
  <c r="G31" i="1"/>
  <c r="I31" i="1" s="1"/>
  <c r="G30" i="1"/>
  <c r="I30" i="1" s="1"/>
  <c r="G29" i="1"/>
  <c r="I29" i="1" s="1"/>
  <c r="I28" i="1"/>
  <c r="G28" i="1"/>
  <c r="G27" i="1"/>
  <c r="I27" i="1" s="1"/>
  <c r="G26" i="1"/>
  <c r="I26" i="1" s="1"/>
  <c r="G25" i="1"/>
  <c r="I25" i="1" s="1"/>
  <c r="G24" i="1"/>
  <c r="I24" i="1" s="1"/>
  <c r="G23" i="1"/>
  <c r="I23" i="1" s="1"/>
  <c r="G22" i="1"/>
  <c r="I22" i="1" s="1"/>
  <c r="G21" i="1"/>
  <c r="I21" i="1" s="1"/>
  <c r="G20" i="1"/>
  <c r="I20" i="1" s="1"/>
  <c r="I19" i="1"/>
  <c r="G19" i="1"/>
  <c r="G18" i="1"/>
  <c r="I18" i="1" s="1"/>
  <c r="G17" i="1"/>
  <c r="I17" i="1" s="1"/>
  <c r="G16" i="1"/>
  <c r="I16" i="1" s="1"/>
  <c r="G15" i="1"/>
  <c r="I15" i="1" s="1"/>
  <c r="I14" i="1"/>
  <c r="G14" i="1"/>
  <c r="I13" i="1"/>
  <c r="G13" i="1"/>
  <c r="G12" i="1"/>
  <c r="I12" i="1" s="1"/>
  <c r="G11" i="1"/>
  <c r="I11" i="1" s="1"/>
  <c r="G10" i="1"/>
  <c r="I10" i="1" s="1"/>
  <c r="I9" i="1"/>
  <c r="C6" i="3" s="1"/>
  <c r="G9" i="1"/>
  <c r="I8" i="1"/>
  <c r="D6" i="3" s="1"/>
  <c r="G8" i="1"/>
  <c r="G7" i="1"/>
  <c r="I7" i="1" s="1"/>
  <c r="C5" i="3" s="1"/>
  <c r="B17" i="5" s="1"/>
  <c r="G6" i="1"/>
  <c r="I6" i="1" s="1"/>
  <c r="C4" i="3" s="1"/>
  <c r="B16" i="5" s="1"/>
  <c r="G5" i="1"/>
  <c r="I5" i="1" s="1"/>
  <c r="G4" i="1"/>
  <c r="I4" i="1" s="1"/>
  <c r="C3" i="3" s="1"/>
  <c r="B15" i="5" s="1"/>
  <c r="I3" i="1"/>
  <c r="D2" i="3" s="1"/>
  <c r="G3" i="1"/>
  <c r="G33" i="1" s="1"/>
  <c r="G2" i="1"/>
  <c r="I2" i="1" s="1"/>
  <c r="C2" i="3" s="1"/>
  <c r="B14" i="5" s="1"/>
  <c r="W8" i="3" l="1"/>
  <c r="G20" i="5" s="1"/>
  <c r="W30" i="3"/>
  <c r="G42" i="5" s="1"/>
  <c r="W18" i="3"/>
  <c r="G30" i="5" s="1"/>
  <c r="W20" i="3"/>
  <c r="G32" i="5" s="1"/>
  <c r="W28" i="3"/>
  <c r="G40" i="5" s="1"/>
  <c r="W3" i="3"/>
  <c r="G15" i="5" s="1"/>
  <c r="W10" i="3"/>
  <c r="G22" i="5" s="1"/>
  <c r="W2" i="3"/>
  <c r="G14" i="5" s="1"/>
  <c r="W6" i="3"/>
  <c r="G18" i="5" s="1"/>
  <c r="W26" i="3"/>
  <c r="G38" i="5" s="1"/>
  <c r="B18" i="5"/>
  <c r="B44" i="5" s="1"/>
  <c r="D33" i="3"/>
  <c r="D25" i="5"/>
  <c r="D44" i="5" s="1"/>
  <c r="F17" i="5"/>
  <c r="F19" i="5"/>
  <c r="V33" i="3"/>
  <c r="B2" i="5"/>
  <c r="C14" i="5"/>
  <c r="C44" i="5" s="1"/>
  <c r="F25" i="5"/>
  <c r="F39" i="5"/>
  <c r="O33" i="4"/>
  <c r="B1" i="5"/>
  <c r="W4" i="3"/>
  <c r="G16" i="5" s="1"/>
  <c r="W12" i="3"/>
  <c r="G24" i="5" s="1"/>
  <c r="W22" i="3"/>
  <c r="G34" i="5" s="1"/>
  <c r="C33" i="4"/>
  <c r="B3" i="5"/>
  <c r="F27" i="5"/>
  <c r="F29" i="5"/>
  <c r="F33" i="8"/>
  <c r="W14" i="3"/>
  <c r="G26" i="5" s="1"/>
  <c r="W24" i="3"/>
  <c r="G36" i="5" s="1"/>
  <c r="W23" i="3"/>
  <c r="G35" i="5" s="1"/>
  <c r="W11" i="3"/>
  <c r="G23" i="5" s="1"/>
  <c r="W21" i="3"/>
  <c r="G33" i="5" s="1"/>
  <c r="W31" i="3"/>
  <c r="G43" i="5" s="1"/>
  <c r="Q6" i="4"/>
  <c r="Q33" i="4" s="1"/>
  <c r="F14" i="5"/>
  <c r="G33" i="4"/>
  <c r="W25" i="3"/>
  <c r="G37" i="5" s="1"/>
  <c r="W9" i="3"/>
  <c r="G21" i="5" s="1"/>
  <c r="W19" i="3"/>
  <c r="G31" i="5" s="1"/>
  <c r="W29" i="3"/>
  <c r="G41" i="5" s="1"/>
  <c r="C33" i="3"/>
  <c r="G2" i="3"/>
  <c r="I33" i="1"/>
  <c r="M33" i="4"/>
  <c r="E33" i="8"/>
  <c r="D33" i="9"/>
  <c r="G44" i="5" l="1"/>
  <c r="W33" i="3"/>
  <c r="U2" i="3"/>
  <c r="F44" i="5"/>
  <c r="B10" i="5"/>
  <c r="E14" i="5" l="1"/>
  <c r="B3" i="3"/>
  <c r="G3" i="3" l="1"/>
  <c r="U3" i="3" l="1"/>
  <c r="B4" i="3" l="1"/>
  <c r="E15" i="5"/>
  <c r="G4" i="3" l="1"/>
  <c r="U4" i="3" l="1"/>
  <c r="E16" i="5" l="1"/>
  <c r="B5" i="3"/>
  <c r="G5" i="3" l="1"/>
  <c r="U5" i="3" l="1"/>
  <c r="B6" i="3" l="1"/>
  <c r="E17" i="5"/>
  <c r="G6" i="3" l="1"/>
  <c r="U6" i="3" l="1"/>
  <c r="E18" i="5" l="1"/>
  <c r="B7" i="3"/>
  <c r="G7" i="3" l="1"/>
  <c r="U7" i="3" s="1"/>
  <c r="B8" i="3" l="1"/>
  <c r="G8" i="3" s="1"/>
  <c r="U8" i="3" s="1"/>
  <c r="E19" i="5"/>
  <c r="B9" i="3" l="1"/>
  <c r="G9" i="3" s="1"/>
  <c r="U9" i="3" s="1"/>
  <c r="E20" i="5"/>
  <c r="B10" i="3" l="1"/>
  <c r="G10" i="3" s="1"/>
  <c r="U10" i="3" s="1"/>
  <c r="E21" i="5"/>
  <c r="B11" i="3" l="1"/>
  <c r="G11" i="3" s="1"/>
  <c r="U11" i="3" s="1"/>
  <c r="E22" i="5"/>
  <c r="E23" i="5" l="1"/>
  <c r="B12" i="3"/>
  <c r="G12" i="3" s="1"/>
  <c r="U12" i="3" s="1"/>
  <c r="E24" i="5" l="1"/>
  <c r="B13" i="3"/>
  <c r="G13" i="3" s="1"/>
  <c r="U13" i="3" s="1"/>
  <c r="B14" i="3" l="1"/>
  <c r="G14" i="3" s="1"/>
  <c r="U14" i="3" s="1"/>
  <c r="E25" i="5"/>
  <c r="E26" i="5" l="1"/>
  <c r="B15" i="3"/>
  <c r="G15" i="3" s="1"/>
  <c r="U15" i="3" s="1"/>
  <c r="B16" i="3" l="1"/>
  <c r="G16" i="3" s="1"/>
  <c r="U16" i="3" s="1"/>
  <c r="E27" i="5"/>
  <c r="E28" i="5" l="1"/>
  <c r="B17" i="3"/>
  <c r="G17" i="3" s="1"/>
  <c r="U17" i="3" s="1"/>
  <c r="E29" i="5" l="1"/>
  <c r="B18" i="3"/>
  <c r="G18" i="3" s="1"/>
  <c r="U18" i="3" s="1"/>
  <c r="E30" i="5" l="1"/>
  <c r="B19" i="3"/>
  <c r="G19" i="3" s="1"/>
  <c r="U19" i="3" s="1"/>
  <c r="B20" i="3" l="1"/>
  <c r="G20" i="3" s="1"/>
  <c r="U20" i="3" s="1"/>
  <c r="E31" i="5"/>
  <c r="E32" i="5" l="1"/>
  <c r="B21" i="3"/>
  <c r="G21" i="3" s="1"/>
  <c r="U21" i="3" s="1"/>
  <c r="E33" i="5" l="1"/>
  <c r="B22" i="3"/>
  <c r="G22" i="3" s="1"/>
  <c r="U22" i="3" s="1"/>
  <c r="E34" i="5" l="1"/>
  <c r="B23" i="3"/>
  <c r="G23" i="3" s="1"/>
  <c r="U23" i="3" s="1"/>
  <c r="E35" i="5" l="1"/>
  <c r="B24" i="3"/>
  <c r="G24" i="3" s="1"/>
  <c r="U24" i="3" s="1"/>
  <c r="E36" i="5" l="1"/>
  <c r="B25" i="3"/>
  <c r="G25" i="3" s="1"/>
  <c r="U25" i="3" s="1"/>
  <c r="B26" i="3" l="1"/>
  <c r="G26" i="3" s="1"/>
  <c r="U26" i="3" s="1"/>
  <c r="E37" i="5"/>
  <c r="E38" i="5" l="1"/>
  <c r="B27" i="3"/>
  <c r="G27" i="3" s="1"/>
  <c r="U27" i="3" s="1"/>
  <c r="E39" i="5" l="1"/>
  <c r="B28" i="3"/>
  <c r="G28" i="3" s="1"/>
  <c r="U28" i="3" s="1"/>
  <c r="E40" i="5" l="1"/>
  <c r="B29" i="3"/>
  <c r="G29" i="3" s="1"/>
  <c r="U29" i="3" s="1"/>
  <c r="B30" i="3" l="1"/>
  <c r="G30" i="3" s="1"/>
  <c r="U30" i="3" s="1"/>
  <c r="E41" i="5"/>
  <c r="B31" i="3" l="1"/>
  <c r="G31" i="3" s="1"/>
  <c r="U31" i="3" s="1"/>
  <c r="E42" i="5"/>
  <c r="E43" i="5" l="1"/>
  <c r="E44" i="5" s="1"/>
  <c r="B32" i="3"/>
  <c r="G32" i="3" l="1"/>
  <c r="B33" i="3"/>
  <c r="U32" i="3" l="1"/>
  <c r="G33" i="3"/>
  <c r="U33" i="3" l="1"/>
  <c r="B8" i="5"/>
</calcChain>
</file>

<file path=xl/sharedStrings.xml><?xml version="1.0" encoding="utf-8"?>
<sst xmlns="http://schemas.openxmlformats.org/spreadsheetml/2006/main" count="272" uniqueCount="172">
  <si>
    <t>Date</t>
  </si>
  <si>
    <t>Bill No</t>
  </si>
  <si>
    <t>Customer Name</t>
  </si>
  <si>
    <t>Item / Particular</t>
  </si>
  <si>
    <t>Quantity</t>
  </si>
  <si>
    <t>Rate</t>
  </si>
  <si>
    <t>Gross Amount</t>
  </si>
  <si>
    <t>Discount</t>
  </si>
  <si>
    <t>Net Sales</t>
  </si>
  <si>
    <t>Payment Type</t>
  </si>
  <si>
    <t>Remarks</t>
  </si>
  <si>
    <t>B001</t>
  </si>
  <si>
    <t>Krishna Store</t>
  </si>
  <si>
    <t>Milk (1L Pouch)</t>
  </si>
  <si>
    <t>Cash</t>
  </si>
  <si>
    <t>Morning supply</t>
  </si>
  <si>
    <t>B002</t>
  </si>
  <si>
    <t>Ganesh Dairy</t>
  </si>
  <si>
    <t>Curd (500g)</t>
  </si>
  <si>
    <t>Credit</t>
  </si>
  <si>
    <t>B003</t>
  </si>
  <si>
    <t>Shiva Hotel</t>
  </si>
  <si>
    <t>Paneer (1kg)</t>
  </si>
  <si>
    <t>B004</t>
  </si>
  <si>
    <t>Annapurna Foods</t>
  </si>
  <si>
    <t>Ghee (1L Tin)</t>
  </si>
  <si>
    <t>Bank</t>
  </si>
  <si>
    <t>Bulk order</t>
  </si>
  <si>
    <t>B005</t>
  </si>
  <si>
    <t>B006</t>
  </si>
  <si>
    <t>Himalaya Mart</t>
  </si>
  <si>
    <t>Butter (500g)</t>
  </si>
  <si>
    <t>B007</t>
  </si>
  <si>
    <t>Patan Traders</t>
  </si>
  <si>
    <t>Milk Powder (1kg)</t>
  </si>
  <si>
    <t>B008</t>
  </si>
  <si>
    <t>Cheese (200g)</t>
  </si>
  <si>
    <t>B009</t>
  </si>
  <si>
    <t>TOTAL</t>
  </si>
  <si>
    <t>Receipt No</t>
  </si>
  <si>
    <t>Against Bill No</t>
  </si>
  <si>
    <t>Opening Due</t>
  </si>
  <si>
    <t>Collected Amount</t>
  </si>
  <si>
    <t>Payment Mode</t>
  </si>
  <si>
    <t>Closing Due</t>
  </si>
  <si>
    <t>R001</t>
  </si>
  <si>
    <t>R002</t>
  </si>
  <si>
    <t>Partial</t>
  </si>
  <si>
    <t>R003</t>
  </si>
  <si>
    <t>Full paid</t>
  </si>
  <si>
    <t>R004</t>
  </si>
  <si>
    <t>Online</t>
  </si>
  <si>
    <t>Advance</t>
  </si>
  <si>
    <t>R005</t>
  </si>
  <si>
    <t>Opening Cash</t>
  </si>
  <si>
    <t>Cash Sales</t>
  </si>
  <si>
    <t>Credit Sales</t>
  </si>
  <si>
    <t>Cash Collection</t>
  </si>
  <si>
    <t>Other Income</t>
  </si>
  <si>
    <t>Total In</t>
  </si>
  <si>
    <t>Purchase Expense</t>
  </si>
  <si>
    <t>Salary/Wages</t>
  </si>
  <si>
    <t>Transport</t>
  </si>
  <si>
    <t>Driver Advance</t>
  </si>
  <si>
    <t>Fuel/Diesel</t>
  </si>
  <si>
    <t>Misc Expense</t>
  </si>
  <si>
    <t>Electricity</t>
  </si>
  <si>
    <t>Rent</t>
  </si>
  <si>
    <t>Marketing</t>
  </si>
  <si>
    <t>Petty Cash</t>
  </si>
  <si>
    <t>Commission</t>
  </si>
  <si>
    <t>Total Out</t>
  </si>
  <si>
    <t>Bank Deposit</t>
  </si>
  <si>
    <t>Expected Closing Cash</t>
  </si>
  <si>
    <t>Physical Cash Count</t>
  </si>
  <si>
    <t>Difference</t>
  </si>
  <si>
    <t>5 Count</t>
  </si>
  <si>
    <t>5 Total</t>
  </si>
  <si>
    <t>10 Count</t>
  </si>
  <si>
    <t>10 Total</t>
  </si>
  <si>
    <t>20 Count</t>
  </si>
  <si>
    <t>20 Total</t>
  </si>
  <si>
    <t>50 Count</t>
  </si>
  <si>
    <t>50 Total</t>
  </si>
  <si>
    <t>100 Count</t>
  </si>
  <si>
    <t>100 Total</t>
  </si>
  <si>
    <t>500 Count</t>
  </si>
  <si>
    <t>500 Total</t>
  </si>
  <si>
    <t>1000 Count</t>
  </si>
  <si>
    <t>1000 Total</t>
  </si>
  <si>
    <t>Other Cash</t>
  </si>
  <si>
    <t>Grand Total</t>
  </si>
  <si>
    <t>Total Sales</t>
  </si>
  <si>
    <t>Total Cash Sales</t>
  </si>
  <si>
    <t>Total Credit Sales</t>
  </si>
  <si>
    <t>Total Cash Collection</t>
  </si>
  <si>
    <t>Total Expenses</t>
  </si>
  <si>
    <t>Total Supplier Pymts</t>
  </si>
  <si>
    <t>Total Bank Deposit</t>
  </si>
  <si>
    <t>Total Expected Closing</t>
  </si>
  <si>
    <t>Total Physical Cash</t>
  </si>
  <si>
    <t>Total Difference</t>
  </si>
  <si>
    <t>Stock Valuation Total</t>
  </si>
  <si>
    <t>Physical Cash</t>
  </si>
  <si>
    <t>YOUR BUSINESS NAME</t>
  </si>
  <si>
    <t>Address • Phone • Email</t>
  </si>
  <si>
    <t>INVOICE</t>
  </si>
  <si>
    <t>Bill No:</t>
  </si>
  <si>
    <t>Date:</t>
  </si>
  <si>
    <t>Customer:</t>
  </si>
  <si>
    <t>#</t>
  </si>
  <si>
    <t>Qty</t>
  </si>
  <si>
    <t>Net Amount</t>
  </si>
  <si>
    <t>Subtotal (Gross Total):</t>
  </si>
  <si>
    <t>Total Discount:</t>
  </si>
  <si>
    <t>Grand Total (Net Amount):</t>
  </si>
  <si>
    <t>Terms &amp; Conditions:</t>
  </si>
  <si>
    <t>1. Goods once sold will not be taken back. 2. Payment due within 15 days. 3. Subject to local jurisdiction.</t>
  </si>
  <si>
    <t>Authorised Signature</t>
  </si>
  <si>
    <t>Thank you for your business!</t>
  </si>
  <si>
    <t>Supplier/Vendor</t>
  </si>
  <si>
    <t>Voucher No</t>
  </si>
  <si>
    <t>Invoice Ref</t>
  </si>
  <si>
    <t>Payment Amount</t>
  </si>
  <si>
    <t>Category</t>
  </si>
  <si>
    <t>Description</t>
  </si>
  <si>
    <t>Nepal Dairy</t>
  </si>
  <si>
    <t>V001</t>
  </si>
  <si>
    <t>INV-1001</t>
  </si>
  <si>
    <t>Purchase</t>
  </si>
  <si>
    <t>Milk supply</t>
  </si>
  <si>
    <t>Amul Agency</t>
  </si>
  <si>
    <t>V002</t>
  </si>
  <si>
    <t>INV-1002</t>
  </si>
  <si>
    <t>Butter order</t>
  </si>
  <si>
    <t>Sagar Suppliers</t>
  </si>
  <si>
    <t>V003</t>
  </si>
  <si>
    <t>INV-1003</t>
  </si>
  <si>
    <t>Raw Material</t>
  </si>
  <si>
    <t>Paneer supply</t>
  </si>
  <si>
    <t>V004</t>
  </si>
  <si>
    <t>INV-1004</t>
  </si>
  <si>
    <t>Arrow Trans</t>
  </si>
  <si>
    <t>V005</t>
  </si>
  <si>
    <t>INV-1005</t>
  </si>
  <si>
    <t>Delivery charges</t>
  </si>
  <si>
    <t>V006</t>
  </si>
  <si>
    <t>INV-1006</t>
  </si>
  <si>
    <t>Butter restock</t>
  </si>
  <si>
    <t>Product</t>
  </si>
  <si>
    <t>Opening Stock</t>
  </si>
  <si>
    <t>Production / In</t>
  </si>
  <si>
    <t>Sales Out (Qty)</t>
  </si>
  <si>
    <t>Closing Stock</t>
  </si>
  <si>
    <t>Unit</t>
  </si>
  <si>
    <t>Unit Cost</t>
  </si>
  <si>
    <t>Production Cost</t>
  </si>
  <si>
    <t>Reorder Level</t>
  </si>
  <si>
    <t>Pkt</t>
  </si>
  <si>
    <t>Morning production</t>
  </si>
  <si>
    <t>Kg</t>
  </si>
  <si>
    <t>Fresh batch</t>
  </si>
  <si>
    <t>Pcs</t>
  </si>
  <si>
    <t>Ltr</t>
  </si>
  <si>
    <t>Current Stock</t>
  </si>
  <si>
    <t>Stock Value (NPR)</t>
  </si>
  <si>
    <t>Status</t>
  </si>
  <si>
    <t>Daily supply</t>
  </si>
  <si>
    <t>Premium product</t>
  </si>
  <si>
    <t>High value item</t>
  </si>
  <si>
    <t>Popular item</t>
  </si>
  <si>
    <t>Total Stock Valuation (NPR):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</si>
</sst>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rgb="FF1F4E79"/>
      <name val="Calibri"/>
      <family val="2"/>
    </font>
    <font>
      <b/>
      <sz val="14"/>
      <color rgb="FF1F4E79"/>
      <name val="Calibri"/>
      <family val="2"/>
    </font>
    <font>
      <b/>
      <sz val="18"/>
      <color rgb="FF1F4E79"/>
      <name val="Calibri"/>
      <family val="2"/>
    </font>
    <font>
      <sz val="10"/>
      <color rgb="FF555555"/>
      <name val="Calibri"/>
      <family val="2"/>
    </font>
    <font>
      <b/>
      <sz val="16"/>
      <color rgb="FF1F4E79"/>
      <name val="Calibri"/>
      <family val="2"/>
    </font>
    <font>
      <b/>
      <sz val="10"/>
      <color rgb="FF1F4E79"/>
      <name val="Calibri"/>
      <family val="2"/>
    </font>
    <font>
      <b/>
      <sz val="12"/>
      <name val="Calibri"/>
      <family val="2"/>
    </font>
    <font>
      <b/>
      <sz val="12"/>
      <color rgb="FF1F4E79"/>
      <name val="Calibri"/>
      <family val="2"/>
    </font>
    <font>
      <b/>
      <sz val="9"/>
      <color rgb="FF555555"/>
      <name val="Calibri"/>
      <family val="2"/>
    </font>
    <font>
      <sz val="8"/>
      <color rgb="FF888888"/>
      <name val="Calibri"/>
      <family val="2"/>
    </font>
    <font>
      <sz val="9"/>
      <color rgb="FF555555"/>
      <name val="Calibri"/>
      <family val="2"/>
    </font>
    <font>
      <i/>
      <sz val="9"/>
      <color rgb="FF88888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8F0FE"/>
      </patternFill>
    </fill>
    <fill>
      <patternFill patternType="solid">
        <fgColor rgb="FFF2F7FB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/>
      <bottom style="medium">
        <color rgb="FF1F4E79"/>
      </bottom>
      <diagonal/>
    </border>
    <border>
      <left style="medium">
        <color rgb="FF1F4E79"/>
      </left>
      <right style="thin">
        <color auto="1"/>
      </right>
      <top style="thin">
        <color auto="1"/>
      </top>
      <bottom style="medium">
        <color rgb="FF1F4E79"/>
      </bottom>
      <diagonal/>
    </border>
    <border>
      <left style="thin">
        <color auto="1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0" fillId="0" borderId="1" xfId="0" applyBorder="1"/>
    <xf numFmtId="0" fontId="10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/>
    <xf numFmtId="0" fontId="5" fillId="6" borderId="5" xfId="0" applyFont="1" applyFill="1" applyBorder="1" applyAlignment="1">
      <alignment horizontal="center" vertical="center"/>
    </xf>
    <xf numFmtId="0" fontId="0" fillId="6" borderId="5" xfId="0" applyFill="1" applyBorder="1"/>
    <xf numFmtId="3" fontId="2" fillId="0" borderId="1" xfId="0" applyNumberFormat="1" applyFont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3" fontId="5" fillId="4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/>
    <xf numFmtId="0" fontId="11" fillId="0" borderId="4" xfId="0" applyFont="1" applyBorder="1" applyAlignment="1">
      <alignment horizontal="right" vertical="center"/>
    </xf>
    <xf numFmtId="0" fontId="0" fillId="6" borderId="0" xfId="0" applyFill="1"/>
    <xf numFmtId="0" fontId="9" fillId="0" borderId="1" xfId="0" applyFont="1" applyBorder="1" applyAlignment="1">
      <alignment horizontal="right" vertical="center"/>
    </xf>
    <xf numFmtId="0" fontId="8" fillId="0" borderId="3" xfId="0" applyFont="1" applyBorder="1" applyAlignment="1">
      <alignment horizontal="center"/>
    </xf>
    <xf numFmtId="0" fontId="13" fillId="0" borderId="0" xfId="0" applyFont="1"/>
    <xf numFmtId="0" fontId="7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0" borderId="1" xfId="0" applyBorder="1"/>
    <xf numFmtId="0" fontId="15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2" fillId="0" borderId="0" xfId="0" applyFont="1"/>
    <xf numFmtId="0" fontId="10" fillId="6" borderId="1" xfId="0" applyFont="1" applyFill="1" applyBorder="1" applyAlignment="1">
      <alignment horizontal="center"/>
    </xf>
    <xf numFmtId="0" fontId="0" fillId="6" borderId="1" xfId="0" applyFill="1" applyBorder="1"/>
    <xf numFmtId="0" fontId="11" fillId="4" borderId="1" xfId="0" applyFont="1" applyFill="1" applyBorder="1" applyAlignment="1">
      <alignment horizontal="right" vertical="center"/>
    </xf>
    <xf numFmtId="0" fontId="0" fillId="4" borderId="1" xfId="0" applyFill="1" applyBorder="1"/>
  </cellXfs>
  <cellStyles count="1">
    <cellStyle name="Normal" xfId="0" builtinId="0"/>
  </cellStyles>
  <dxfs count="7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Daily Sales, Cash Collection &amp; Expenses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'Summary Dashboard'!$B$13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numRef>
              <c:f>'Summary Dashboard'!$A$14:$A$43</c:f>
              <c:numCache>
                <c:formatCode>dd\-mmm\-yyyy</c:formatCode>
                <c:ptCount val="3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'Summary Dashboard'!$B$14:$B$43</c:f>
              <c:numCache>
                <c:formatCode>General</c:formatCode>
                <c:ptCount val="30"/>
                <c:pt idx="0">
                  <c:v>5440</c:v>
                </c:pt>
                <c:pt idx="1">
                  <c:v>6770</c:v>
                </c:pt>
                <c:pt idx="2">
                  <c:v>6340</c:v>
                </c:pt>
                <c:pt idx="3">
                  <c:v>5475</c:v>
                </c:pt>
                <c:pt idx="4">
                  <c:v>13530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7C1-304C-B78C-B999EBE8CB79}"/>
            </c:ext>
          </c:extLst>
        </c:ser>
        <c:ser>
          <c:idx val="1"/>
          <c:order val="1"/>
          <c:tx>
            <c:strRef>
              <c:f>'Summary Dashboard'!$C$13</c:f>
              <c:strCache>
                <c:ptCount val="1"/>
                <c:pt idx="0">
                  <c:v>Cash Collection</c:v>
                </c:pt>
              </c:strCache>
            </c:strRef>
          </c:tx>
          <c:spPr>
            <a:solidFill>
              <a:srgbClr val="548235"/>
            </a:solidFill>
            <a:ln>
              <a:prstDash val="solid"/>
            </a:ln>
          </c:spPr>
          <c:invertIfNegative val="1"/>
          <c:cat>
            <c:numRef>
              <c:f>'Summary Dashboard'!$A$14:$A$43</c:f>
              <c:numCache>
                <c:formatCode>dd\-mmm\-yyyy</c:formatCode>
                <c:ptCount val="3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'Summary Dashboard'!$C$14:$C$43</c:f>
              <c:numCache>
                <c:formatCode>General</c:formatCode>
                <c:ptCount val="30"/>
                <c:pt idx="0">
                  <c:v>7000</c:v>
                </c:pt>
                <c:pt idx="1">
                  <c:v>8200</c:v>
                </c:pt>
                <c:pt idx="2">
                  <c:v>1500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7C1-304C-B78C-B999EBE8CB79}"/>
            </c:ext>
          </c:extLst>
        </c:ser>
        <c:ser>
          <c:idx val="2"/>
          <c:order val="2"/>
          <c:tx>
            <c:strRef>
              <c:f>'Summary Dashboard'!$D$13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BF8F00"/>
            </a:solidFill>
            <a:ln>
              <a:prstDash val="solid"/>
            </a:ln>
          </c:spPr>
          <c:invertIfNegative val="1"/>
          <c:cat>
            <c:numRef>
              <c:f>'Summary Dashboard'!$A$14:$A$43</c:f>
              <c:numCache>
                <c:formatCode>dd\-mmm\-yyyy</c:formatCode>
                <c:ptCount val="3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'Summary Dashboard'!$D$14:$D$43</c:f>
              <c:numCache>
                <c:formatCode>General</c:formatCode>
                <c:ptCount val="30"/>
                <c:pt idx="0">
                  <c:v>8600</c:v>
                </c:pt>
                <c:pt idx="1">
                  <c:v>7250</c:v>
                </c:pt>
                <c:pt idx="2">
                  <c:v>6500</c:v>
                </c:pt>
                <c:pt idx="3">
                  <c:v>5450</c:v>
                </c:pt>
                <c:pt idx="4">
                  <c:v>6200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7C1-304C-B78C-B999EBE8C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1"/>
        </c:title>
        <c:numFmt formatCode="dd\-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Cash Position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'Summary Dashboard'!$E$13</c:f>
              <c:strCache>
                <c:ptCount val="1"/>
                <c:pt idx="0">
                  <c:v>Expected Closing Cash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'Summary Dashboard'!$A$14:$A$43</c:f>
              <c:numCache>
                <c:formatCode>dd\-mmm\-yyyy</c:formatCode>
                <c:ptCount val="3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'Summary Dashboard'!$E$14:$E$43</c:f>
              <c:numCache>
                <c:formatCode>General</c:formatCode>
                <c:ptCount val="30"/>
                <c:pt idx="0">
                  <c:v>7860</c:v>
                </c:pt>
                <c:pt idx="1">
                  <c:v>3380</c:v>
                </c:pt>
                <c:pt idx="2">
                  <c:v>-8280</c:v>
                </c:pt>
                <c:pt idx="3">
                  <c:v>-22355</c:v>
                </c:pt>
                <c:pt idx="4">
                  <c:v>-36795</c:v>
                </c:pt>
                <c:pt idx="5">
                  <c:v>-36795</c:v>
                </c:pt>
                <c:pt idx="6">
                  <c:v>-36795</c:v>
                </c:pt>
                <c:pt idx="7">
                  <c:v>-36795</c:v>
                </c:pt>
                <c:pt idx="8">
                  <c:v>-36795</c:v>
                </c:pt>
                <c:pt idx="9">
                  <c:v>-36795</c:v>
                </c:pt>
                <c:pt idx="10">
                  <c:v>-36795</c:v>
                </c:pt>
                <c:pt idx="11">
                  <c:v>-36795</c:v>
                </c:pt>
                <c:pt idx="12">
                  <c:v>-36795</c:v>
                </c:pt>
                <c:pt idx="13">
                  <c:v>-36795</c:v>
                </c:pt>
                <c:pt idx="14">
                  <c:v>-36795</c:v>
                </c:pt>
                <c:pt idx="15">
                  <c:v>-36795</c:v>
                </c:pt>
                <c:pt idx="16">
                  <c:v>-36795</c:v>
                </c:pt>
                <c:pt idx="17">
                  <c:v>-36795</c:v>
                </c:pt>
                <c:pt idx="18">
                  <c:v>-36795</c:v>
                </c:pt>
                <c:pt idx="19">
                  <c:v>-36795</c:v>
                </c:pt>
                <c:pt idx="20">
                  <c:v>-36795</c:v>
                </c:pt>
                <c:pt idx="21">
                  <c:v>-36795</c:v>
                </c:pt>
                <c:pt idx="22">
                  <c:v>-36795</c:v>
                </c:pt>
                <c:pt idx="23">
                  <c:v>-36795</c:v>
                </c:pt>
                <c:pt idx="24">
                  <c:v>-36795</c:v>
                </c:pt>
                <c:pt idx="25">
                  <c:v>-36795</c:v>
                </c:pt>
                <c:pt idx="26">
                  <c:v>-36795</c:v>
                </c:pt>
                <c:pt idx="27">
                  <c:v>-36795</c:v>
                </c:pt>
                <c:pt idx="28">
                  <c:v>-36795</c:v>
                </c:pt>
                <c:pt idx="29">
                  <c:v>-36795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25-854A-9043-BAC001193365}"/>
            </c:ext>
          </c:extLst>
        </c:ser>
        <c:ser>
          <c:idx val="1"/>
          <c:order val="1"/>
          <c:tx>
            <c:strRef>
              <c:f>'Summary Dashboard'!$F$13</c:f>
              <c:strCache>
                <c:ptCount val="1"/>
                <c:pt idx="0">
                  <c:v>Physical Cash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'Summary Dashboard'!$A$14:$A$43</c:f>
              <c:numCache>
                <c:formatCode>dd\-mmm\-yyyy</c:formatCode>
                <c:ptCount val="3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'Summary Dashboard'!$F$14:$F$43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25-854A-9043-BAC001193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1"/>
        </c:title>
        <c:numFmt formatCode="dd\-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45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61</xdr:row>
      <xdr:rowOff>0</xdr:rowOff>
    </xdr:from>
    <xdr:ext cx="792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K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8" customWidth="1"/>
    <col min="5" max="6" width="10" customWidth="1"/>
    <col min="7" max="7" width="14" customWidth="1"/>
    <col min="8" max="8" width="10" customWidth="1"/>
    <col min="9" max="10" width="14" customWidth="1"/>
    <col min="11" max="11" width="18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46082</v>
      </c>
      <c r="B2" s="3" t="s">
        <v>11</v>
      </c>
      <c r="C2" s="3" t="s">
        <v>12</v>
      </c>
      <c r="D2" s="3" t="s">
        <v>13</v>
      </c>
      <c r="E2" s="3">
        <v>50</v>
      </c>
      <c r="F2" s="3">
        <v>80</v>
      </c>
      <c r="G2" s="3">
        <f t="shared" ref="G2:G10" si="0">E2*F2</f>
        <v>4000</v>
      </c>
      <c r="H2" s="3">
        <v>40</v>
      </c>
      <c r="I2" s="3">
        <f t="shared" ref="I2:I10" si="1">G2-H2</f>
        <v>3960</v>
      </c>
      <c r="J2" s="3" t="s">
        <v>14</v>
      </c>
      <c r="K2" s="3" t="s">
        <v>15</v>
      </c>
    </row>
    <row r="3" spans="1:11" x14ac:dyDescent="0.2">
      <c r="A3" s="2">
        <v>46082</v>
      </c>
      <c r="B3" s="3" t="s">
        <v>16</v>
      </c>
      <c r="C3" s="3" t="s">
        <v>17</v>
      </c>
      <c r="D3" s="3" t="s">
        <v>18</v>
      </c>
      <c r="E3" s="3">
        <v>30</v>
      </c>
      <c r="F3" s="3">
        <v>50</v>
      </c>
      <c r="G3" s="3">
        <f t="shared" si="0"/>
        <v>1500</v>
      </c>
      <c r="H3" s="3">
        <v>20</v>
      </c>
      <c r="I3" s="3">
        <f t="shared" si="1"/>
        <v>1480</v>
      </c>
      <c r="J3" s="3" t="s">
        <v>19</v>
      </c>
      <c r="K3" s="3"/>
    </row>
    <row r="4" spans="1:11" x14ac:dyDescent="0.2">
      <c r="A4" s="2">
        <v>46083</v>
      </c>
      <c r="B4" s="3" t="s">
        <v>20</v>
      </c>
      <c r="C4" s="3" t="s">
        <v>21</v>
      </c>
      <c r="D4" s="3" t="s">
        <v>22</v>
      </c>
      <c r="E4" s="3">
        <v>20</v>
      </c>
      <c r="F4" s="3">
        <v>340</v>
      </c>
      <c r="G4" s="3">
        <f t="shared" si="0"/>
        <v>6800</v>
      </c>
      <c r="H4" s="3">
        <v>30</v>
      </c>
      <c r="I4" s="3">
        <f t="shared" si="1"/>
        <v>6770</v>
      </c>
      <c r="J4" s="3" t="s">
        <v>14</v>
      </c>
      <c r="K4" s="3"/>
    </row>
    <row r="5" spans="1:11" x14ac:dyDescent="0.2">
      <c r="A5" s="2">
        <v>46083</v>
      </c>
      <c r="B5" s="3" t="s">
        <v>23</v>
      </c>
      <c r="C5" s="3" t="s">
        <v>24</v>
      </c>
      <c r="D5" s="3" t="s">
        <v>25</v>
      </c>
      <c r="E5" s="3">
        <v>10</v>
      </c>
      <c r="F5" s="3">
        <v>620</v>
      </c>
      <c r="G5" s="3">
        <f t="shared" si="0"/>
        <v>6200</v>
      </c>
      <c r="H5" s="3">
        <v>50</v>
      </c>
      <c r="I5" s="3">
        <f t="shared" si="1"/>
        <v>6150</v>
      </c>
      <c r="J5" s="3" t="s">
        <v>26</v>
      </c>
      <c r="K5" s="3" t="s">
        <v>27</v>
      </c>
    </row>
    <row r="6" spans="1:11" x14ac:dyDescent="0.2">
      <c r="A6" s="2">
        <v>46084</v>
      </c>
      <c r="B6" s="3" t="s">
        <v>28</v>
      </c>
      <c r="C6" s="3" t="s">
        <v>12</v>
      </c>
      <c r="D6" s="3" t="s">
        <v>13</v>
      </c>
      <c r="E6" s="3">
        <v>80</v>
      </c>
      <c r="F6" s="3">
        <v>80</v>
      </c>
      <c r="G6" s="3">
        <f t="shared" si="0"/>
        <v>6400</v>
      </c>
      <c r="H6" s="3">
        <v>60</v>
      </c>
      <c r="I6" s="3">
        <f t="shared" si="1"/>
        <v>6340</v>
      </c>
      <c r="J6" s="3" t="s">
        <v>14</v>
      </c>
      <c r="K6" s="3"/>
    </row>
    <row r="7" spans="1:11" x14ac:dyDescent="0.2">
      <c r="A7" s="2">
        <v>46085</v>
      </c>
      <c r="B7" s="3" t="s">
        <v>29</v>
      </c>
      <c r="C7" s="3" t="s">
        <v>30</v>
      </c>
      <c r="D7" s="3" t="s">
        <v>31</v>
      </c>
      <c r="E7" s="3">
        <v>25</v>
      </c>
      <c r="F7" s="3">
        <v>220</v>
      </c>
      <c r="G7" s="3">
        <f t="shared" si="0"/>
        <v>5500</v>
      </c>
      <c r="H7" s="3">
        <v>25</v>
      </c>
      <c r="I7" s="3">
        <f t="shared" si="1"/>
        <v>5475</v>
      </c>
      <c r="J7" s="3" t="s">
        <v>14</v>
      </c>
      <c r="K7" s="3"/>
    </row>
    <row r="8" spans="1:11" x14ac:dyDescent="0.2">
      <c r="A8" s="2">
        <v>46086</v>
      </c>
      <c r="B8" s="3" t="s">
        <v>32</v>
      </c>
      <c r="C8" s="3" t="s">
        <v>33</v>
      </c>
      <c r="D8" s="3" t="s">
        <v>34</v>
      </c>
      <c r="E8" s="3">
        <v>15</v>
      </c>
      <c r="F8" s="3">
        <v>480</v>
      </c>
      <c r="G8" s="3">
        <f t="shared" si="0"/>
        <v>7200</v>
      </c>
      <c r="H8" s="3">
        <v>30</v>
      </c>
      <c r="I8" s="3">
        <f t="shared" si="1"/>
        <v>7170</v>
      </c>
      <c r="J8" s="3" t="s">
        <v>19</v>
      </c>
      <c r="K8" s="3"/>
    </row>
    <row r="9" spans="1:11" x14ac:dyDescent="0.2">
      <c r="A9" s="2">
        <v>46086</v>
      </c>
      <c r="B9" s="3" t="s">
        <v>35</v>
      </c>
      <c r="C9" s="3" t="s">
        <v>17</v>
      </c>
      <c r="D9" s="3" t="s">
        <v>36</v>
      </c>
      <c r="E9" s="3">
        <v>40</v>
      </c>
      <c r="F9" s="3">
        <v>160</v>
      </c>
      <c r="G9" s="3">
        <f t="shared" si="0"/>
        <v>6400</v>
      </c>
      <c r="H9" s="3">
        <v>40</v>
      </c>
      <c r="I9" s="3">
        <f t="shared" si="1"/>
        <v>6360</v>
      </c>
      <c r="J9" s="3" t="s">
        <v>14</v>
      </c>
      <c r="K9" s="3"/>
    </row>
    <row r="10" spans="1:11" x14ac:dyDescent="0.2">
      <c r="A10" s="2">
        <v>46086</v>
      </c>
      <c r="B10" s="3" t="s">
        <v>37</v>
      </c>
      <c r="C10" s="3" t="s">
        <v>21</v>
      </c>
      <c r="D10" s="3" t="s">
        <v>18</v>
      </c>
      <c r="E10" s="3">
        <v>35</v>
      </c>
      <c r="F10" s="3">
        <v>50</v>
      </c>
      <c r="G10" s="3">
        <f t="shared" si="0"/>
        <v>1750</v>
      </c>
      <c r="H10" s="3">
        <v>15</v>
      </c>
      <c r="I10" s="3">
        <f t="shared" si="1"/>
        <v>1735</v>
      </c>
      <c r="J10" s="3" t="s">
        <v>26</v>
      </c>
      <c r="K10" s="3"/>
    </row>
    <row r="11" spans="1:11" x14ac:dyDescent="0.2">
      <c r="A11" s="3"/>
      <c r="B11" s="3"/>
      <c r="C11" s="3"/>
      <c r="D11" s="3"/>
      <c r="E11" s="3"/>
      <c r="F11" s="3"/>
      <c r="G11" s="3" t="str">
        <f t="shared" ref="G11:G32" si="2">IF(E11="","",E11*F11)</f>
        <v/>
      </c>
      <c r="H11" s="3"/>
      <c r="I11" s="3" t="str">
        <f t="shared" ref="I11:I32" si="3">IF(G11="","",G11-H11)</f>
        <v/>
      </c>
      <c r="J11" s="3"/>
      <c r="K11" s="3"/>
    </row>
    <row r="12" spans="1:11" x14ac:dyDescent="0.2">
      <c r="A12" s="3"/>
      <c r="B12" s="3"/>
      <c r="C12" s="3"/>
      <c r="D12" s="3"/>
      <c r="E12" s="3"/>
      <c r="F12" s="3"/>
      <c r="G12" s="3" t="str">
        <f t="shared" si="2"/>
        <v/>
      </c>
      <c r="H12" s="3"/>
      <c r="I12" s="3" t="str">
        <f t="shared" si="3"/>
        <v/>
      </c>
      <c r="J12" s="3"/>
      <c r="K12" s="3"/>
    </row>
    <row r="13" spans="1:11" x14ac:dyDescent="0.2">
      <c r="A13" s="3"/>
      <c r="B13" s="3"/>
      <c r="C13" s="3"/>
      <c r="D13" s="3"/>
      <c r="E13" s="3"/>
      <c r="F13" s="3"/>
      <c r="G13" s="3" t="str">
        <f t="shared" si="2"/>
        <v/>
      </c>
      <c r="H13" s="3"/>
      <c r="I13" s="3" t="str">
        <f t="shared" si="3"/>
        <v/>
      </c>
      <c r="J13" s="3"/>
      <c r="K13" s="3"/>
    </row>
    <row r="14" spans="1:11" x14ac:dyDescent="0.2">
      <c r="A14" s="3"/>
      <c r="B14" s="3"/>
      <c r="C14" s="3"/>
      <c r="D14" s="3"/>
      <c r="E14" s="3"/>
      <c r="F14" s="3"/>
      <c r="G14" s="3" t="str">
        <f t="shared" si="2"/>
        <v/>
      </c>
      <c r="H14" s="3"/>
      <c r="I14" s="3" t="str">
        <f t="shared" si="3"/>
        <v/>
      </c>
      <c r="J14" s="3"/>
      <c r="K14" s="3"/>
    </row>
    <row r="15" spans="1:11" x14ac:dyDescent="0.2">
      <c r="A15" s="3"/>
      <c r="B15" s="3"/>
      <c r="C15" s="3"/>
      <c r="D15" s="3"/>
      <c r="E15" s="3"/>
      <c r="F15" s="3"/>
      <c r="G15" s="3" t="str">
        <f t="shared" si="2"/>
        <v/>
      </c>
      <c r="H15" s="3"/>
      <c r="I15" s="3" t="str">
        <f t="shared" si="3"/>
        <v/>
      </c>
      <c r="J15" s="3"/>
      <c r="K15" s="3"/>
    </row>
    <row r="16" spans="1:11" x14ac:dyDescent="0.2">
      <c r="A16" s="3"/>
      <c r="B16" s="3"/>
      <c r="C16" s="3"/>
      <c r="D16" s="3"/>
      <c r="E16" s="3"/>
      <c r="F16" s="3"/>
      <c r="G16" s="3" t="str">
        <f t="shared" si="2"/>
        <v/>
      </c>
      <c r="H16" s="3"/>
      <c r="I16" s="3" t="str">
        <f t="shared" si="3"/>
        <v/>
      </c>
      <c r="J16" s="3"/>
      <c r="K16" s="3"/>
    </row>
    <row r="17" spans="1:11" x14ac:dyDescent="0.2">
      <c r="A17" s="3"/>
      <c r="B17" s="3"/>
      <c r="C17" s="3"/>
      <c r="D17" s="3"/>
      <c r="E17" s="3"/>
      <c r="F17" s="3"/>
      <c r="G17" s="3" t="str">
        <f t="shared" si="2"/>
        <v/>
      </c>
      <c r="H17" s="3"/>
      <c r="I17" s="3" t="str">
        <f t="shared" si="3"/>
        <v/>
      </c>
      <c r="J17" s="3"/>
      <c r="K17" s="3"/>
    </row>
    <row r="18" spans="1:11" x14ac:dyDescent="0.2">
      <c r="A18" s="3"/>
      <c r="B18" s="3"/>
      <c r="C18" s="3"/>
      <c r="D18" s="3"/>
      <c r="E18" s="3"/>
      <c r="F18" s="3"/>
      <c r="G18" s="3" t="str">
        <f t="shared" si="2"/>
        <v/>
      </c>
      <c r="H18" s="3"/>
      <c r="I18" s="3" t="str">
        <f t="shared" si="3"/>
        <v/>
      </c>
      <c r="J18" s="3"/>
      <c r="K18" s="3"/>
    </row>
    <row r="19" spans="1:11" x14ac:dyDescent="0.2">
      <c r="A19" s="3"/>
      <c r="B19" s="3"/>
      <c r="C19" s="3"/>
      <c r="D19" s="3"/>
      <c r="E19" s="3"/>
      <c r="F19" s="3"/>
      <c r="G19" s="3" t="str">
        <f t="shared" si="2"/>
        <v/>
      </c>
      <c r="H19" s="3"/>
      <c r="I19" s="3" t="str">
        <f t="shared" si="3"/>
        <v/>
      </c>
      <c r="J19" s="3"/>
      <c r="K19" s="3"/>
    </row>
    <row r="20" spans="1:11" x14ac:dyDescent="0.2">
      <c r="A20" s="3"/>
      <c r="B20" s="3"/>
      <c r="C20" s="3"/>
      <c r="D20" s="3"/>
      <c r="E20" s="3"/>
      <c r="F20" s="3"/>
      <c r="G20" s="3" t="str">
        <f t="shared" si="2"/>
        <v/>
      </c>
      <c r="H20" s="3"/>
      <c r="I20" s="3" t="str">
        <f t="shared" si="3"/>
        <v/>
      </c>
      <c r="J20" s="3"/>
      <c r="K20" s="3"/>
    </row>
    <row r="21" spans="1:11" x14ac:dyDescent="0.2">
      <c r="A21" s="3"/>
      <c r="B21" s="3"/>
      <c r="C21" s="3"/>
      <c r="D21" s="3"/>
      <c r="E21" s="3"/>
      <c r="F21" s="3"/>
      <c r="G21" s="3" t="str">
        <f t="shared" si="2"/>
        <v/>
      </c>
      <c r="H21" s="3"/>
      <c r="I21" s="3" t="str">
        <f t="shared" si="3"/>
        <v/>
      </c>
      <c r="J21" s="3"/>
      <c r="K21" s="3"/>
    </row>
    <row r="22" spans="1:11" x14ac:dyDescent="0.2">
      <c r="A22" s="3"/>
      <c r="B22" s="3"/>
      <c r="C22" s="3"/>
      <c r="D22" s="3"/>
      <c r="E22" s="3"/>
      <c r="F22" s="3"/>
      <c r="G22" s="3" t="str">
        <f t="shared" si="2"/>
        <v/>
      </c>
      <c r="H22" s="3"/>
      <c r="I22" s="3" t="str">
        <f t="shared" si="3"/>
        <v/>
      </c>
      <c r="J22" s="3"/>
      <c r="K22" s="3"/>
    </row>
    <row r="23" spans="1:11" x14ac:dyDescent="0.2">
      <c r="A23" s="3"/>
      <c r="B23" s="3"/>
      <c r="C23" s="3"/>
      <c r="D23" s="3"/>
      <c r="E23" s="3"/>
      <c r="F23" s="3"/>
      <c r="G23" s="3" t="str">
        <f t="shared" si="2"/>
        <v/>
      </c>
      <c r="H23" s="3"/>
      <c r="I23" s="3" t="str">
        <f t="shared" si="3"/>
        <v/>
      </c>
      <c r="J23" s="3"/>
      <c r="K23" s="3"/>
    </row>
    <row r="24" spans="1:11" x14ac:dyDescent="0.2">
      <c r="A24" s="3"/>
      <c r="B24" s="3"/>
      <c r="C24" s="3"/>
      <c r="D24" s="3"/>
      <c r="E24" s="3"/>
      <c r="F24" s="3"/>
      <c r="G24" s="3" t="str">
        <f t="shared" si="2"/>
        <v/>
      </c>
      <c r="H24" s="3"/>
      <c r="I24" s="3" t="str">
        <f t="shared" si="3"/>
        <v/>
      </c>
      <c r="J24" s="3"/>
      <c r="K24" s="3"/>
    </row>
    <row r="25" spans="1:11" x14ac:dyDescent="0.2">
      <c r="A25" s="3"/>
      <c r="B25" s="3"/>
      <c r="C25" s="3"/>
      <c r="D25" s="3"/>
      <c r="E25" s="3"/>
      <c r="F25" s="3"/>
      <c r="G25" s="3" t="str">
        <f t="shared" si="2"/>
        <v/>
      </c>
      <c r="H25" s="3"/>
      <c r="I25" s="3" t="str">
        <f t="shared" si="3"/>
        <v/>
      </c>
      <c r="J25" s="3"/>
      <c r="K25" s="3"/>
    </row>
    <row r="26" spans="1:11" x14ac:dyDescent="0.2">
      <c r="A26" s="3"/>
      <c r="B26" s="3"/>
      <c r="C26" s="3"/>
      <c r="D26" s="3"/>
      <c r="E26" s="3"/>
      <c r="F26" s="3"/>
      <c r="G26" s="3" t="str">
        <f t="shared" si="2"/>
        <v/>
      </c>
      <c r="H26" s="3"/>
      <c r="I26" s="3" t="str">
        <f t="shared" si="3"/>
        <v/>
      </c>
      <c r="J26" s="3"/>
      <c r="K26" s="3"/>
    </row>
    <row r="27" spans="1:11" x14ac:dyDescent="0.2">
      <c r="A27" s="3"/>
      <c r="B27" s="3"/>
      <c r="C27" s="3"/>
      <c r="D27" s="3"/>
      <c r="E27" s="3"/>
      <c r="F27" s="3"/>
      <c r="G27" s="3" t="str">
        <f t="shared" si="2"/>
        <v/>
      </c>
      <c r="H27" s="3"/>
      <c r="I27" s="3" t="str">
        <f t="shared" si="3"/>
        <v/>
      </c>
      <c r="J27" s="3"/>
      <c r="K27" s="3"/>
    </row>
    <row r="28" spans="1:11" x14ac:dyDescent="0.2">
      <c r="A28" s="3"/>
      <c r="B28" s="3"/>
      <c r="C28" s="3"/>
      <c r="D28" s="3"/>
      <c r="E28" s="3"/>
      <c r="F28" s="3"/>
      <c r="G28" s="3" t="str">
        <f t="shared" si="2"/>
        <v/>
      </c>
      <c r="H28" s="3"/>
      <c r="I28" s="3" t="str">
        <f t="shared" si="3"/>
        <v/>
      </c>
      <c r="J28" s="3"/>
      <c r="K28" s="3"/>
    </row>
    <row r="29" spans="1:11" x14ac:dyDescent="0.2">
      <c r="A29" s="3"/>
      <c r="B29" s="3"/>
      <c r="C29" s="3"/>
      <c r="D29" s="3"/>
      <c r="E29" s="3"/>
      <c r="F29" s="3"/>
      <c r="G29" s="3" t="str">
        <f t="shared" si="2"/>
        <v/>
      </c>
      <c r="H29" s="3"/>
      <c r="I29" s="3" t="str">
        <f t="shared" si="3"/>
        <v/>
      </c>
      <c r="J29" s="3"/>
      <c r="K29" s="3"/>
    </row>
    <row r="30" spans="1:11" x14ac:dyDescent="0.2">
      <c r="A30" s="3"/>
      <c r="B30" s="3"/>
      <c r="C30" s="3"/>
      <c r="D30" s="3"/>
      <c r="E30" s="3"/>
      <c r="F30" s="3"/>
      <c r="G30" s="3" t="str">
        <f t="shared" si="2"/>
        <v/>
      </c>
      <c r="H30" s="3"/>
      <c r="I30" s="3" t="str">
        <f t="shared" si="3"/>
        <v/>
      </c>
      <c r="J30" s="3"/>
      <c r="K30" s="3"/>
    </row>
    <row r="31" spans="1:11" x14ac:dyDescent="0.2">
      <c r="A31" s="3"/>
      <c r="B31" s="3"/>
      <c r="C31" s="3"/>
      <c r="D31" s="3"/>
      <c r="E31" s="3"/>
      <c r="F31" s="3"/>
      <c r="G31" s="3" t="str">
        <f t="shared" si="2"/>
        <v/>
      </c>
      <c r="H31" s="3"/>
      <c r="I31" s="3" t="str">
        <f t="shared" si="3"/>
        <v/>
      </c>
      <c r="J31" s="3"/>
      <c r="K31" s="3"/>
    </row>
    <row r="32" spans="1:11" x14ac:dyDescent="0.2">
      <c r="A32" s="3"/>
      <c r="B32" s="3"/>
      <c r="C32" s="3"/>
      <c r="D32" s="3"/>
      <c r="E32" s="3"/>
      <c r="F32" s="3"/>
      <c r="G32" s="3" t="str">
        <f t="shared" si="2"/>
        <v/>
      </c>
      <c r="H32" s="3"/>
      <c r="I32" s="3" t="str">
        <f t="shared" si="3"/>
        <v/>
      </c>
      <c r="J32" s="3"/>
      <c r="K32" s="3"/>
    </row>
    <row r="33" spans="1:11" x14ac:dyDescent="0.2">
      <c r="A33" s="4" t="s">
        <v>38</v>
      </c>
      <c r="B33" s="5"/>
      <c r="C33" s="5"/>
      <c r="D33" s="5"/>
      <c r="E33" s="5"/>
      <c r="F33" s="5"/>
      <c r="G33" s="5">
        <f>SUM(G2:G32)</f>
        <v>45750</v>
      </c>
      <c r="H33" s="5">
        <f>SUM(H2:H32)</f>
        <v>310</v>
      </c>
      <c r="I33" s="5">
        <f>SUM(I2:I32)</f>
        <v>45440</v>
      </c>
      <c r="J33" s="5"/>
      <c r="K33" s="5"/>
    </row>
  </sheetData>
  <autoFilter ref="A1:K32" xr:uid="{00000000-0009-0000-0000-000000000000}"/>
  <dataValidations count="3">
    <dataValidation type="list" allowBlank="1" error="Select a valid payment type." prompt="Choose: Cash, Credit, Bank, Other" sqref="J2:J32" xr:uid="{00000000-0002-0000-0000-000000000000}">
      <formula1>"Cash,Credit,Bank,Other"</formula1>
    </dataValidation>
    <dataValidation type="custom" allowBlank="1" errorTitle="Invalid Date" error="Please enter a date that is today or earlier (no future dates)." promptTitle="Date" prompt="Enter a date (today or earlier)" sqref="A2:A32" xr:uid="{00000000-0002-0000-0000-000001000000}">
      <formula1>A2&lt;=TODAY()</formula1>
    </dataValidation>
    <dataValidation type="custom" allowBlank="1" errorTitle="Duplicate Bill Number" error="This bill number already exists. Please enter a unique value." promptTitle="Bill Number" prompt="Enter a unique bill number" sqref="B2:B32" xr:uid="{00000000-0002-0000-0000-000002000000}">
      <formula1>COUNTIF(B:B,B2)=1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I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4" width="16" customWidth="1"/>
    <col min="5" max="5" width="14" customWidth="1"/>
    <col min="6" max="6" width="16" customWidth="1"/>
    <col min="7" max="8" width="14" customWidth="1"/>
    <col min="9" max="9" width="18" customWidth="1"/>
  </cols>
  <sheetData>
    <row r="1" spans="1:9" ht="16" x14ac:dyDescent="0.2">
      <c r="A1" s="1" t="s">
        <v>0</v>
      </c>
      <c r="B1" s="1" t="s">
        <v>39</v>
      </c>
      <c r="C1" s="1" t="s">
        <v>2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10</v>
      </c>
    </row>
    <row r="2" spans="1:9" x14ac:dyDescent="0.2">
      <c r="A2" s="2">
        <v>46082</v>
      </c>
      <c r="B2" s="3" t="s">
        <v>45</v>
      </c>
      <c r="C2" s="3" t="s">
        <v>12</v>
      </c>
      <c r="D2" s="3" t="s">
        <v>11</v>
      </c>
      <c r="E2" s="3">
        <v>4000</v>
      </c>
      <c r="F2" s="3">
        <v>4000</v>
      </c>
      <c r="G2" s="3" t="s">
        <v>14</v>
      </c>
      <c r="H2" s="3">
        <f>E2-F2</f>
        <v>0</v>
      </c>
      <c r="I2" s="3"/>
    </row>
    <row r="3" spans="1:9" x14ac:dyDescent="0.2">
      <c r="A3" s="2">
        <v>46082</v>
      </c>
      <c r="B3" s="3" t="s">
        <v>46</v>
      </c>
      <c r="C3" s="3" t="s">
        <v>21</v>
      </c>
      <c r="D3" s="3" t="s">
        <v>20</v>
      </c>
      <c r="E3" s="3">
        <v>6800</v>
      </c>
      <c r="F3" s="3">
        <v>3000</v>
      </c>
      <c r="G3" s="3" t="s">
        <v>26</v>
      </c>
      <c r="H3" s="3">
        <f>E3-F3</f>
        <v>3800</v>
      </c>
      <c r="I3" s="3" t="s">
        <v>47</v>
      </c>
    </row>
    <row r="4" spans="1:9" x14ac:dyDescent="0.2">
      <c r="A4" s="2">
        <v>46083</v>
      </c>
      <c r="B4" s="3" t="s">
        <v>48</v>
      </c>
      <c r="C4" s="3" t="s">
        <v>24</v>
      </c>
      <c r="D4" s="3" t="s">
        <v>23</v>
      </c>
      <c r="E4" s="3">
        <v>6200</v>
      </c>
      <c r="F4" s="3">
        <v>6200</v>
      </c>
      <c r="G4" s="3" t="s">
        <v>14</v>
      </c>
      <c r="H4" s="3">
        <f>E4-F4</f>
        <v>0</v>
      </c>
      <c r="I4" s="3" t="s">
        <v>49</v>
      </c>
    </row>
    <row r="5" spans="1:9" x14ac:dyDescent="0.2">
      <c r="A5" s="2">
        <v>46083</v>
      </c>
      <c r="B5" s="3" t="s">
        <v>50</v>
      </c>
      <c r="C5" s="3" t="s">
        <v>33</v>
      </c>
      <c r="D5" s="3" t="s">
        <v>32</v>
      </c>
      <c r="E5" s="3">
        <v>7200</v>
      </c>
      <c r="F5" s="3">
        <v>2000</v>
      </c>
      <c r="G5" s="3" t="s">
        <v>51</v>
      </c>
      <c r="H5" s="3">
        <f>E5-F5</f>
        <v>5200</v>
      </c>
      <c r="I5" s="3" t="s">
        <v>52</v>
      </c>
    </row>
    <row r="6" spans="1:9" x14ac:dyDescent="0.2">
      <c r="A6" s="2">
        <v>46084</v>
      </c>
      <c r="B6" s="3" t="s">
        <v>53</v>
      </c>
      <c r="C6" s="3" t="s">
        <v>17</v>
      </c>
      <c r="D6" s="3"/>
      <c r="E6" s="3">
        <v>1500</v>
      </c>
      <c r="F6" s="3">
        <v>1500</v>
      </c>
      <c r="G6" s="3" t="s">
        <v>14</v>
      </c>
      <c r="H6" s="3">
        <f>E6-F6</f>
        <v>0</v>
      </c>
      <c r="I6" s="3"/>
    </row>
    <row r="7" spans="1:9" x14ac:dyDescent="0.2">
      <c r="A7" s="3"/>
      <c r="B7" s="3"/>
      <c r="C7" s="3"/>
      <c r="D7" s="3"/>
      <c r="E7" s="3"/>
      <c r="F7" s="3"/>
      <c r="G7" s="3"/>
      <c r="H7" s="3" t="str">
        <f t="shared" ref="H7:H32" si="0">IF(E7="","",E7-F7)</f>
        <v/>
      </c>
      <c r="I7" s="3"/>
    </row>
    <row r="8" spans="1:9" x14ac:dyDescent="0.2">
      <c r="A8" s="3"/>
      <c r="B8" s="3"/>
      <c r="C8" s="3"/>
      <c r="D8" s="3"/>
      <c r="E8" s="3"/>
      <c r="F8" s="3"/>
      <c r="G8" s="3"/>
      <c r="H8" s="3" t="str">
        <f t="shared" si="0"/>
        <v/>
      </c>
      <c r="I8" s="3"/>
    </row>
    <row r="9" spans="1:9" x14ac:dyDescent="0.2">
      <c r="A9" s="3"/>
      <c r="B9" s="3"/>
      <c r="C9" s="3"/>
      <c r="D9" s="3"/>
      <c r="E9" s="3"/>
      <c r="F9" s="3"/>
      <c r="G9" s="3"/>
      <c r="H9" s="3" t="str">
        <f t="shared" si="0"/>
        <v/>
      </c>
      <c r="I9" s="3"/>
    </row>
    <row r="10" spans="1:9" x14ac:dyDescent="0.2">
      <c r="A10" s="3"/>
      <c r="B10" s="3"/>
      <c r="C10" s="3"/>
      <c r="D10" s="3"/>
      <c r="E10" s="3"/>
      <c r="F10" s="3"/>
      <c r="G10" s="3"/>
      <c r="H10" s="3" t="str">
        <f t="shared" si="0"/>
        <v/>
      </c>
      <c r="I10" s="3"/>
    </row>
    <row r="11" spans="1:9" x14ac:dyDescent="0.2">
      <c r="A11" s="3"/>
      <c r="B11" s="3"/>
      <c r="C11" s="3"/>
      <c r="D11" s="3"/>
      <c r="E11" s="3"/>
      <c r="F11" s="3"/>
      <c r="G11" s="3"/>
      <c r="H11" s="3" t="str">
        <f t="shared" si="0"/>
        <v/>
      </c>
      <c r="I11" s="3"/>
    </row>
    <row r="12" spans="1:9" x14ac:dyDescent="0.2">
      <c r="A12" s="3"/>
      <c r="B12" s="3"/>
      <c r="C12" s="3"/>
      <c r="D12" s="3"/>
      <c r="E12" s="3"/>
      <c r="F12" s="3"/>
      <c r="G12" s="3"/>
      <c r="H12" s="3" t="str">
        <f t="shared" si="0"/>
        <v/>
      </c>
      <c r="I12" s="3"/>
    </row>
    <row r="13" spans="1:9" x14ac:dyDescent="0.2">
      <c r="A13" s="3"/>
      <c r="B13" s="3"/>
      <c r="C13" s="3"/>
      <c r="D13" s="3"/>
      <c r="E13" s="3"/>
      <c r="F13" s="3"/>
      <c r="G13" s="3"/>
      <c r="H13" s="3" t="str">
        <f t="shared" si="0"/>
        <v/>
      </c>
      <c r="I13" s="3"/>
    </row>
    <row r="14" spans="1:9" x14ac:dyDescent="0.2">
      <c r="A14" s="3"/>
      <c r="B14" s="3"/>
      <c r="C14" s="3"/>
      <c r="D14" s="3"/>
      <c r="E14" s="3"/>
      <c r="F14" s="3"/>
      <c r="G14" s="3"/>
      <c r="H14" s="3" t="str">
        <f t="shared" si="0"/>
        <v/>
      </c>
      <c r="I14" s="3"/>
    </row>
    <row r="15" spans="1:9" x14ac:dyDescent="0.2">
      <c r="A15" s="3"/>
      <c r="B15" s="3"/>
      <c r="C15" s="3"/>
      <c r="D15" s="3"/>
      <c r="E15" s="3"/>
      <c r="F15" s="3"/>
      <c r="G15" s="3"/>
      <c r="H15" s="3" t="str">
        <f t="shared" si="0"/>
        <v/>
      </c>
      <c r="I15" s="3"/>
    </row>
    <row r="16" spans="1:9" x14ac:dyDescent="0.2">
      <c r="A16" s="3"/>
      <c r="B16" s="3"/>
      <c r="C16" s="3"/>
      <c r="D16" s="3"/>
      <c r="E16" s="3"/>
      <c r="F16" s="3"/>
      <c r="G16" s="3"/>
      <c r="H16" s="3" t="str">
        <f t="shared" si="0"/>
        <v/>
      </c>
      <c r="I16" s="3"/>
    </row>
    <row r="17" spans="1:9" x14ac:dyDescent="0.2">
      <c r="A17" s="3"/>
      <c r="B17" s="3"/>
      <c r="C17" s="3"/>
      <c r="D17" s="3"/>
      <c r="E17" s="3"/>
      <c r="F17" s="3"/>
      <c r="G17" s="3"/>
      <c r="H17" s="3" t="str">
        <f t="shared" si="0"/>
        <v/>
      </c>
      <c r="I17" s="3"/>
    </row>
    <row r="18" spans="1:9" x14ac:dyDescent="0.2">
      <c r="A18" s="3"/>
      <c r="B18" s="3"/>
      <c r="C18" s="3"/>
      <c r="D18" s="3"/>
      <c r="E18" s="3"/>
      <c r="F18" s="3"/>
      <c r="G18" s="3"/>
      <c r="H18" s="3" t="str">
        <f t="shared" si="0"/>
        <v/>
      </c>
      <c r="I18" s="3"/>
    </row>
    <row r="19" spans="1:9" x14ac:dyDescent="0.2">
      <c r="A19" s="3"/>
      <c r="B19" s="3"/>
      <c r="C19" s="3"/>
      <c r="D19" s="3"/>
      <c r="E19" s="3"/>
      <c r="F19" s="3"/>
      <c r="G19" s="3"/>
      <c r="H19" s="3" t="str">
        <f t="shared" si="0"/>
        <v/>
      </c>
      <c r="I19" s="3"/>
    </row>
    <row r="20" spans="1:9" x14ac:dyDescent="0.2">
      <c r="A20" s="3"/>
      <c r="B20" s="3"/>
      <c r="C20" s="3"/>
      <c r="D20" s="3"/>
      <c r="E20" s="3"/>
      <c r="F20" s="3"/>
      <c r="G20" s="3"/>
      <c r="H20" s="3" t="str">
        <f t="shared" si="0"/>
        <v/>
      </c>
      <c r="I20" s="3"/>
    </row>
    <row r="21" spans="1:9" x14ac:dyDescent="0.2">
      <c r="A21" s="3"/>
      <c r="B21" s="3"/>
      <c r="C21" s="3"/>
      <c r="D21" s="3"/>
      <c r="E21" s="3"/>
      <c r="F21" s="3"/>
      <c r="G21" s="3"/>
      <c r="H21" s="3" t="str">
        <f t="shared" si="0"/>
        <v/>
      </c>
      <c r="I21" s="3"/>
    </row>
    <row r="22" spans="1:9" x14ac:dyDescent="0.2">
      <c r="A22" s="3"/>
      <c r="B22" s="3"/>
      <c r="C22" s="3"/>
      <c r="D22" s="3"/>
      <c r="E22" s="3"/>
      <c r="F22" s="3"/>
      <c r="G22" s="3"/>
      <c r="H22" s="3" t="str">
        <f t="shared" si="0"/>
        <v/>
      </c>
      <c r="I22" s="3"/>
    </row>
    <row r="23" spans="1:9" x14ac:dyDescent="0.2">
      <c r="A23" s="3"/>
      <c r="B23" s="3"/>
      <c r="C23" s="3"/>
      <c r="D23" s="3"/>
      <c r="E23" s="3"/>
      <c r="F23" s="3"/>
      <c r="G23" s="3"/>
      <c r="H23" s="3" t="str">
        <f t="shared" si="0"/>
        <v/>
      </c>
      <c r="I23" s="3"/>
    </row>
    <row r="24" spans="1:9" x14ac:dyDescent="0.2">
      <c r="A24" s="3"/>
      <c r="B24" s="3"/>
      <c r="C24" s="3"/>
      <c r="D24" s="3"/>
      <c r="E24" s="3"/>
      <c r="F24" s="3"/>
      <c r="G24" s="3"/>
      <c r="H24" s="3" t="str">
        <f t="shared" si="0"/>
        <v/>
      </c>
      <c r="I24" s="3"/>
    </row>
    <row r="25" spans="1:9" x14ac:dyDescent="0.2">
      <c r="A25" s="3"/>
      <c r="B25" s="3"/>
      <c r="C25" s="3"/>
      <c r="D25" s="3"/>
      <c r="E25" s="3"/>
      <c r="F25" s="3"/>
      <c r="G25" s="3"/>
      <c r="H25" s="3" t="str">
        <f t="shared" si="0"/>
        <v/>
      </c>
      <c r="I25" s="3"/>
    </row>
    <row r="26" spans="1:9" x14ac:dyDescent="0.2">
      <c r="A26" s="3"/>
      <c r="B26" s="3"/>
      <c r="C26" s="3"/>
      <c r="D26" s="3"/>
      <c r="E26" s="3"/>
      <c r="F26" s="3"/>
      <c r="G26" s="3"/>
      <c r="H26" s="3" t="str">
        <f t="shared" si="0"/>
        <v/>
      </c>
      <c r="I26" s="3"/>
    </row>
    <row r="27" spans="1:9" x14ac:dyDescent="0.2">
      <c r="A27" s="3"/>
      <c r="B27" s="3"/>
      <c r="C27" s="3"/>
      <c r="D27" s="3"/>
      <c r="E27" s="3"/>
      <c r="F27" s="3"/>
      <c r="G27" s="3"/>
      <c r="H27" s="3" t="str">
        <f t="shared" si="0"/>
        <v/>
      </c>
      <c r="I27" s="3"/>
    </row>
    <row r="28" spans="1:9" x14ac:dyDescent="0.2">
      <c r="A28" s="3"/>
      <c r="B28" s="3"/>
      <c r="C28" s="3"/>
      <c r="D28" s="3"/>
      <c r="E28" s="3"/>
      <c r="F28" s="3"/>
      <c r="G28" s="3"/>
      <c r="H28" s="3" t="str">
        <f t="shared" si="0"/>
        <v/>
      </c>
      <c r="I28" s="3"/>
    </row>
    <row r="29" spans="1:9" x14ac:dyDescent="0.2">
      <c r="A29" s="3"/>
      <c r="B29" s="3"/>
      <c r="C29" s="3"/>
      <c r="D29" s="3"/>
      <c r="E29" s="3"/>
      <c r="F29" s="3"/>
      <c r="G29" s="3"/>
      <c r="H29" s="3" t="str">
        <f t="shared" si="0"/>
        <v/>
      </c>
      <c r="I29" s="3"/>
    </row>
    <row r="30" spans="1:9" x14ac:dyDescent="0.2">
      <c r="A30" s="3"/>
      <c r="B30" s="3"/>
      <c r="C30" s="3"/>
      <c r="D30" s="3"/>
      <c r="E30" s="3"/>
      <c r="F30" s="3"/>
      <c r="G30" s="3"/>
      <c r="H30" s="3" t="str">
        <f t="shared" si="0"/>
        <v/>
      </c>
      <c r="I30" s="3"/>
    </row>
    <row r="31" spans="1:9" x14ac:dyDescent="0.2">
      <c r="A31" s="3"/>
      <c r="B31" s="3"/>
      <c r="C31" s="3"/>
      <c r="D31" s="3"/>
      <c r="E31" s="3"/>
      <c r="F31" s="3"/>
      <c r="G31" s="3"/>
      <c r="H31" s="3" t="str">
        <f t="shared" si="0"/>
        <v/>
      </c>
      <c r="I31" s="3"/>
    </row>
    <row r="32" spans="1:9" x14ac:dyDescent="0.2">
      <c r="A32" s="3"/>
      <c r="B32" s="3"/>
      <c r="C32" s="3"/>
      <c r="D32" s="3"/>
      <c r="E32" s="3"/>
      <c r="F32" s="3"/>
      <c r="G32" s="3"/>
      <c r="H32" s="3" t="str">
        <f t="shared" si="0"/>
        <v/>
      </c>
      <c r="I32" s="3"/>
    </row>
    <row r="33" spans="1:9" x14ac:dyDescent="0.2">
      <c r="A33" s="4" t="s">
        <v>38</v>
      </c>
      <c r="B33" s="5"/>
      <c r="C33" s="5"/>
      <c r="D33" s="5"/>
      <c r="E33" s="5"/>
      <c r="F33" s="5">
        <f>SUM(F2:F32)</f>
        <v>16700</v>
      </c>
      <c r="G33" s="5"/>
      <c r="H33" s="5"/>
      <c r="I33" s="5"/>
    </row>
  </sheetData>
  <autoFilter ref="A1:I32" xr:uid="{00000000-0009-0000-0000-000001000000}"/>
  <dataValidations count="3">
    <dataValidation type="list" allowBlank="1" error="Select a valid payment mode." sqref="G2:G32" xr:uid="{00000000-0002-0000-0100-000000000000}">
      <formula1>"Cash,Bank,Online,Other"</formula1>
    </dataValidation>
    <dataValidation type="custom" allowBlank="1" errorTitle="Invalid Date" error="Please enter a date that is today or earlier (no future dates)." promptTitle="Date" prompt="Enter a date (today or earlier)" sqref="A2:A32" xr:uid="{00000000-0002-0000-0100-000001000000}">
      <formula1>A2&lt;=TODAY()</formula1>
    </dataValidation>
    <dataValidation type="custom" allowBlank="1" errorTitle="Duplicate Receipt Number" error="This receipt number already exists. Please enter a unique value." promptTitle="Receipt Number" prompt="Enter a unique receipt number" sqref="B2:B32" xr:uid="{00000000-0002-0000-0100-000002000000}">
      <formula1>COUNTIF(B:B,B2)=1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X33"/>
  <sheetViews>
    <sheetView workbookViewId="0">
      <pane ySplit="1" topLeftCell="A2" activePane="bottomLeft" state="frozen"/>
      <selection pane="bottomLeft" activeCell="I2" sqref="I2"/>
    </sheetView>
  </sheetViews>
  <sheetFormatPr baseColWidth="10" defaultColWidth="8.83203125" defaultRowHeight="15" x14ac:dyDescent="0.2"/>
  <cols>
    <col min="1" max="1" width="15" customWidth="1"/>
    <col min="2" max="5" width="14" customWidth="1"/>
    <col min="6" max="6" width="12" customWidth="1"/>
    <col min="7" max="9" width="14" customWidth="1"/>
    <col min="10" max="18" width="12" customWidth="1"/>
    <col min="19" max="20" width="14" customWidth="1"/>
    <col min="21" max="22" width="18" customWidth="1"/>
    <col min="23" max="23" width="12" customWidth="1"/>
    <col min="24" max="24" width="20" customWidth="1"/>
  </cols>
  <sheetData>
    <row r="1" spans="1:24" ht="32" x14ac:dyDescent="0.2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10</v>
      </c>
    </row>
    <row r="2" spans="1:24" x14ac:dyDescent="0.2">
      <c r="A2" s="2">
        <v>46082</v>
      </c>
      <c r="B2" s="3">
        <v>10000</v>
      </c>
      <c r="C2" s="3">
        <f>SUMIFS('Daily Sales'!I:I,'Daily Sales'!A:A,A2,'Daily Sales'!J:J,"Cash")</f>
        <v>3960</v>
      </c>
      <c r="D2" s="3">
        <f>SUMIFS('Daily Sales'!I:I,'Daily Sales'!A:A,A2,'Daily Sales'!J:J,"Credit")</f>
        <v>1480</v>
      </c>
      <c r="E2" s="3">
        <f>SUMIFS('Cash Collection'!F:F,'Cash Collection'!A:A,A2)</f>
        <v>7000</v>
      </c>
      <c r="F2" s="3">
        <v>500</v>
      </c>
      <c r="G2" s="3">
        <f t="shared" ref="G2:G32" si="0">B2+C2+E2+F2</f>
        <v>21460</v>
      </c>
      <c r="H2" s="3">
        <f>SUMIFS('Supplier Payments'!E:E,'Supplier Payments'!A:A,A2)</f>
        <v>3500</v>
      </c>
      <c r="I2" s="3">
        <v>1500</v>
      </c>
      <c r="J2" s="3">
        <v>800</v>
      </c>
      <c r="K2" s="3">
        <v>0</v>
      </c>
      <c r="L2" s="3">
        <v>1200</v>
      </c>
      <c r="M2" s="3">
        <v>300</v>
      </c>
      <c r="N2" s="3">
        <v>400</v>
      </c>
      <c r="O2" s="3">
        <v>250</v>
      </c>
      <c r="P2" s="3">
        <v>300</v>
      </c>
      <c r="Q2" s="3">
        <v>200</v>
      </c>
      <c r="R2" s="3">
        <v>150</v>
      </c>
      <c r="S2" s="3">
        <f t="shared" ref="S2:S32" si="1">H2+I2+J2+K2+L2+M2+N2+O2+P2+Q2+R2</f>
        <v>8600</v>
      </c>
      <c r="T2" s="3">
        <v>5000</v>
      </c>
      <c r="U2" s="3">
        <f t="shared" ref="U2:U32" si="2">G2-S2-T2</f>
        <v>7860</v>
      </c>
      <c r="V2" s="3" t="e">
        <f ca="1">XLOOKUP(A2,'Denomination Count'!A:A,'Denomination Count'!Q:Q)</f>
        <v>#NAME?</v>
      </c>
      <c r="W2" s="3" t="str">
        <f t="shared" ref="W2:W32" ca="1" si="3">IF(ISNUMBER(V2),V2-U2,"")</f>
        <v/>
      </c>
      <c r="X2" s="3"/>
    </row>
    <row r="3" spans="1:24" x14ac:dyDescent="0.2">
      <c r="A3" s="2">
        <v>46083</v>
      </c>
      <c r="B3" s="3">
        <f t="shared" ref="B3:B32" si="4">IF(ISNUMBER(U2),U2,0)</f>
        <v>7860</v>
      </c>
      <c r="C3" s="3">
        <f>SUMIFS('Daily Sales'!I:I,'Daily Sales'!A:A,A3,'Daily Sales'!J:J,"Cash")</f>
        <v>6770</v>
      </c>
      <c r="D3" s="3">
        <f>SUMIFS('Daily Sales'!I:I,'Daily Sales'!A:A,A3,'Daily Sales'!J:J,"Credit")</f>
        <v>0</v>
      </c>
      <c r="E3" s="3">
        <f>SUMIFS('Cash Collection'!F:F,'Cash Collection'!A:A,A3)</f>
        <v>8200</v>
      </c>
      <c r="F3" s="3">
        <v>300</v>
      </c>
      <c r="G3" s="3">
        <f t="shared" si="0"/>
        <v>23130</v>
      </c>
      <c r="H3" s="3">
        <f>SUMIFS('Supplier Payments'!E:E,'Supplier Payments'!A:A,A3)</f>
        <v>3000</v>
      </c>
      <c r="I3" s="3">
        <v>1500</v>
      </c>
      <c r="J3" s="3">
        <v>600</v>
      </c>
      <c r="K3" s="3">
        <v>0</v>
      </c>
      <c r="L3" s="3">
        <v>1000</v>
      </c>
      <c r="M3" s="3">
        <v>200</v>
      </c>
      <c r="N3" s="3">
        <v>300</v>
      </c>
      <c r="O3" s="3">
        <v>250</v>
      </c>
      <c r="P3" s="3">
        <v>200</v>
      </c>
      <c r="Q3" s="3">
        <v>100</v>
      </c>
      <c r="R3" s="3">
        <v>100</v>
      </c>
      <c r="S3" s="3">
        <f t="shared" si="1"/>
        <v>7250</v>
      </c>
      <c r="T3" s="3">
        <v>12500</v>
      </c>
      <c r="U3" s="3">
        <f t="shared" si="2"/>
        <v>3380</v>
      </c>
      <c r="V3" s="3" t="e">
        <f ca="1">XLOOKUP(A3,'Denomination Count'!A:A,'Denomination Count'!Q:Q)</f>
        <v>#NAME?</v>
      </c>
      <c r="W3" s="3" t="str">
        <f t="shared" ca="1" si="3"/>
        <v/>
      </c>
      <c r="X3" s="3"/>
    </row>
    <row r="4" spans="1:24" x14ac:dyDescent="0.2">
      <c r="A4" s="2">
        <v>46084</v>
      </c>
      <c r="B4" s="3">
        <f t="shared" si="4"/>
        <v>3380</v>
      </c>
      <c r="C4" s="3">
        <f>SUMIFS('Daily Sales'!I:I,'Daily Sales'!A:A,A4,'Daily Sales'!J:J,"Cash")</f>
        <v>6340</v>
      </c>
      <c r="D4" s="3">
        <f>SUMIFS('Daily Sales'!I:I,'Daily Sales'!A:A,A4,'Daily Sales'!J:J,"Credit")</f>
        <v>0</v>
      </c>
      <c r="E4" s="3">
        <f>SUMIFS('Cash Collection'!F:F,'Cash Collection'!A:A,A4)</f>
        <v>1500</v>
      </c>
      <c r="F4" s="3">
        <v>200</v>
      </c>
      <c r="G4" s="3">
        <f t="shared" si="0"/>
        <v>11420</v>
      </c>
      <c r="H4" s="3">
        <f>SUMIFS('Supplier Payments'!E:E,'Supplier Payments'!A:A,A4)</f>
        <v>2500</v>
      </c>
      <c r="I4" s="3">
        <v>1500</v>
      </c>
      <c r="J4" s="3">
        <v>500</v>
      </c>
      <c r="K4" s="3">
        <v>200</v>
      </c>
      <c r="L4" s="3">
        <v>800</v>
      </c>
      <c r="M4" s="3">
        <v>150</v>
      </c>
      <c r="N4" s="3">
        <v>300</v>
      </c>
      <c r="O4" s="3">
        <v>250</v>
      </c>
      <c r="P4" s="3">
        <v>150</v>
      </c>
      <c r="Q4" s="3">
        <v>100</v>
      </c>
      <c r="R4" s="3">
        <v>50</v>
      </c>
      <c r="S4" s="3">
        <f t="shared" si="1"/>
        <v>6500</v>
      </c>
      <c r="T4" s="3">
        <v>13200</v>
      </c>
      <c r="U4" s="3">
        <f t="shared" si="2"/>
        <v>-8280</v>
      </c>
      <c r="V4" s="3" t="e">
        <f ca="1">XLOOKUP(A4,'Denomination Count'!A:A,'Denomination Count'!Q:Q)</f>
        <v>#NAME?</v>
      </c>
      <c r="W4" s="3" t="str">
        <f t="shared" ca="1" si="3"/>
        <v/>
      </c>
      <c r="X4" s="3"/>
    </row>
    <row r="5" spans="1:24" x14ac:dyDescent="0.2">
      <c r="A5" s="2">
        <v>46085</v>
      </c>
      <c r="B5" s="3">
        <f t="shared" si="4"/>
        <v>-8280</v>
      </c>
      <c r="C5" s="3">
        <f>SUMIFS('Daily Sales'!I:I,'Daily Sales'!A:A,A5,'Daily Sales'!J:J,"Cash")</f>
        <v>5475</v>
      </c>
      <c r="D5" s="3">
        <f>SUMIFS('Daily Sales'!I:I,'Daily Sales'!A:A,A5,'Daily Sales'!J:J,"Credit")</f>
        <v>0</v>
      </c>
      <c r="E5" s="3">
        <f>SUMIFS('Cash Collection'!F:F,'Cash Collection'!A:A,A5)</f>
        <v>0</v>
      </c>
      <c r="F5" s="3">
        <v>400</v>
      </c>
      <c r="G5" s="3">
        <f t="shared" si="0"/>
        <v>-2405</v>
      </c>
      <c r="H5" s="3">
        <f>SUMIFS('Supplier Payments'!E:E,'Supplier Payments'!A:A,A5)</f>
        <v>1200</v>
      </c>
      <c r="I5" s="3">
        <v>1500</v>
      </c>
      <c r="J5" s="3">
        <v>700</v>
      </c>
      <c r="K5" s="3">
        <v>0</v>
      </c>
      <c r="L5" s="3">
        <v>900</v>
      </c>
      <c r="M5" s="3">
        <v>100</v>
      </c>
      <c r="N5" s="3">
        <v>300</v>
      </c>
      <c r="O5" s="3">
        <v>250</v>
      </c>
      <c r="P5" s="3">
        <v>250</v>
      </c>
      <c r="Q5" s="3">
        <v>150</v>
      </c>
      <c r="R5" s="3">
        <v>100</v>
      </c>
      <c r="S5" s="3">
        <f t="shared" si="1"/>
        <v>5450</v>
      </c>
      <c r="T5" s="3">
        <v>14500</v>
      </c>
      <c r="U5" s="3">
        <f t="shared" si="2"/>
        <v>-22355</v>
      </c>
      <c r="V5" s="3" t="e">
        <f ca="1">XLOOKUP(A5,'Denomination Count'!A:A,'Denomination Count'!Q:Q)</f>
        <v>#NAME?</v>
      </c>
      <c r="W5" s="3" t="str">
        <f t="shared" ca="1" si="3"/>
        <v/>
      </c>
      <c r="X5" s="3"/>
    </row>
    <row r="6" spans="1:24" x14ac:dyDescent="0.2">
      <c r="A6" s="2">
        <v>46086</v>
      </c>
      <c r="B6" s="3">
        <f t="shared" si="4"/>
        <v>-22355</v>
      </c>
      <c r="C6" s="3">
        <f>SUMIFS('Daily Sales'!I:I,'Daily Sales'!A:A,A6,'Daily Sales'!J:J,"Cash")</f>
        <v>6360</v>
      </c>
      <c r="D6" s="3">
        <f>SUMIFS('Daily Sales'!I:I,'Daily Sales'!A:A,A6,'Daily Sales'!J:J,"Credit")</f>
        <v>7170</v>
      </c>
      <c r="E6" s="3">
        <f>SUMIFS('Cash Collection'!F:F,'Cash Collection'!A:A,A6)</f>
        <v>0</v>
      </c>
      <c r="F6" s="3">
        <v>500</v>
      </c>
      <c r="G6" s="3">
        <f t="shared" si="0"/>
        <v>-15495</v>
      </c>
      <c r="H6" s="3">
        <f>SUMIFS('Supplier Payments'!E:E,'Supplier Payments'!A:A,A6)</f>
        <v>1800</v>
      </c>
      <c r="I6" s="3">
        <v>1500</v>
      </c>
      <c r="J6" s="3">
        <v>500</v>
      </c>
      <c r="K6" s="3">
        <v>0</v>
      </c>
      <c r="L6" s="3">
        <v>1100</v>
      </c>
      <c r="M6" s="3">
        <v>200</v>
      </c>
      <c r="N6" s="3">
        <v>300</v>
      </c>
      <c r="O6" s="3">
        <v>250</v>
      </c>
      <c r="P6" s="3">
        <v>300</v>
      </c>
      <c r="Q6" s="3">
        <v>100</v>
      </c>
      <c r="R6" s="3">
        <v>150</v>
      </c>
      <c r="S6" s="3">
        <f t="shared" si="1"/>
        <v>6200</v>
      </c>
      <c r="T6" s="3">
        <v>15100</v>
      </c>
      <c r="U6" s="3">
        <f t="shared" si="2"/>
        <v>-36795</v>
      </c>
      <c r="V6" s="3" t="e">
        <f ca="1">XLOOKUP(A6,'Denomination Count'!A:A,'Denomination Count'!Q:Q)</f>
        <v>#NAME?</v>
      </c>
      <c r="W6" s="3" t="str">
        <f t="shared" ca="1" si="3"/>
        <v/>
      </c>
      <c r="X6" s="3"/>
    </row>
    <row r="7" spans="1:24" x14ac:dyDescent="0.2">
      <c r="A7" s="3"/>
      <c r="B7" s="3">
        <f t="shared" si="4"/>
        <v>-36795</v>
      </c>
      <c r="C7" s="3">
        <f>SUMIFS('Daily Sales'!I:I,'Daily Sales'!A:A,A7,'Daily Sales'!J:J,"Cash")</f>
        <v>0</v>
      </c>
      <c r="D7" s="3">
        <f>SUMIFS('Daily Sales'!I:I,'Daily Sales'!A:A,A7,'Daily Sales'!J:J,"Credit")</f>
        <v>0</v>
      </c>
      <c r="E7" s="3">
        <f>SUMIFS('Cash Collection'!F:F,'Cash Collection'!A:A,A7)</f>
        <v>0</v>
      </c>
      <c r="F7" s="3"/>
      <c r="G7" s="3">
        <f t="shared" si="0"/>
        <v>-36795</v>
      </c>
      <c r="H7" s="3">
        <f>SUMIFS('Supplier Payments'!E:E,'Supplier Payments'!A:A,A7)</f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f t="shared" si="1"/>
        <v>0</v>
      </c>
      <c r="T7" s="3"/>
      <c r="U7" s="3">
        <f t="shared" si="2"/>
        <v>-36795</v>
      </c>
      <c r="V7" s="3" t="e">
        <f ca="1">XLOOKUP(A7,'Denomination Count'!A:A,'Denomination Count'!Q:Q)</f>
        <v>#NAME?</v>
      </c>
      <c r="W7" s="3" t="str">
        <f t="shared" ca="1" si="3"/>
        <v/>
      </c>
      <c r="X7" s="3"/>
    </row>
    <row r="8" spans="1:24" x14ac:dyDescent="0.2">
      <c r="A8" s="3"/>
      <c r="B8" s="3">
        <f t="shared" si="4"/>
        <v>-36795</v>
      </c>
      <c r="C8" s="3">
        <f>SUMIFS('Daily Sales'!I:I,'Daily Sales'!A:A,A8,'Daily Sales'!J:J,"Cash")</f>
        <v>0</v>
      </c>
      <c r="D8" s="3">
        <f>SUMIFS('Daily Sales'!I:I,'Daily Sales'!A:A,A8,'Daily Sales'!J:J,"Credit")</f>
        <v>0</v>
      </c>
      <c r="E8" s="3">
        <f>SUMIFS('Cash Collection'!F:F,'Cash Collection'!A:A,A8)</f>
        <v>0</v>
      </c>
      <c r="F8" s="3"/>
      <c r="G8" s="3">
        <f t="shared" si="0"/>
        <v>-36795</v>
      </c>
      <c r="H8" s="3">
        <f>SUMIFS('Supplier Payments'!E:E,'Supplier Payments'!A:A,A8)</f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f t="shared" si="1"/>
        <v>0</v>
      </c>
      <c r="T8" s="3"/>
      <c r="U8" s="3">
        <f t="shared" si="2"/>
        <v>-36795</v>
      </c>
      <c r="V8" s="3" t="e">
        <f ca="1">XLOOKUP(A8,'Denomination Count'!A:A,'Denomination Count'!Q:Q)</f>
        <v>#NAME?</v>
      </c>
      <c r="W8" s="3" t="str">
        <f t="shared" ca="1" si="3"/>
        <v/>
      </c>
      <c r="X8" s="3"/>
    </row>
    <row r="9" spans="1:24" x14ac:dyDescent="0.2">
      <c r="A9" s="3"/>
      <c r="B9" s="3">
        <f t="shared" si="4"/>
        <v>-36795</v>
      </c>
      <c r="C9" s="3">
        <f>SUMIFS('Daily Sales'!I:I,'Daily Sales'!A:A,A9,'Daily Sales'!J:J,"Cash")</f>
        <v>0</v>
      </c>
      <c r="D9" s="3">
        <f>SUMIFS('Daily Sales'!I:I,'Daily Sales'!A:A,A9,'Daily Sales'!J:J,"Credit")</f>
        <v>0</v>
      </c>
      <c r="E9" s="3">
        <f>SUMIFS('Cash Collection'!F:F,'Cash Collection'!A:A,A9)</f>
        <v>0</v>
      </c>
      <c r="F9" s="3"/>
      <c r="G9" s="3">
        <f t="shared" si="0"/>
        <v>-36795</v>
      </c>
      <c r="H9" s="3">
        <f>SUMIFS('Supplier Payments'!E:E,'Supplier Payments'!A:A,A9)</f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f t="shared" si="1"/>
        <v>0</v>
      </c>
      <c r="T9" s="3"/>
      <c r="U9" s="3">
        <f t="shared" si="2"/>
        <v>-36795</v>
      </c>
      <c r="V9" s="3" t="e">
        <f ca="1">XLOOKUP(A9,'Denomination Count'!A:A,'Denomination Count'!Q:Q)</f>
        <v>#NAME?</v>
      </c>
      <c r="W9" s="3" t="str">
        <f t="shared" ca="1" si="3"/>
        <v/>
      </c>
      <c r="X9" s="3"/>
    </row>
    <row r="10" spans="1:24" x14ac:dyDescent="0.2">
      <c r="A10" s="3"/>
      <c r="B10" s="3">
        <f t="shared" si="4"/>
        <v>-36795</v>
      </c>
      <c r="C10" s="3">
        <f>SUMIFS('Daily Sales'!I:I,'Daily Sales'!A:A,A10,'Daily Sales'!J:J,"Cash")</f>
        <v>0</v>
      </c>
      <c r="D10" s="3">
        <f>SUMIFS('Daily Sales'!I:I,'Daily Sales'!A:A,A10,'Daily Sales'!J:J,"Credit")</f>
        <v>0</v>
      </c>
      <c r="E10" s="3">
        <f>SUMIFS('Cash Collection'!F:F,'Cash Collection'!A:A,A10)</f>
        <v>0</v>
      </c>
      <c r="F10" s="3"/>
      <c r="G10" s="3">
        <f t="shared" si="0"/>
        <v>-36795</v>
      </c>
      <c r="H10" s="3">
        <f>SUMIFS('Supplier Payments'!E:E,'Supplier Payments'!A:A,A10)</f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f t="shared" si="1"/>
        <v>0</v>
      </c>
      <c r="T10" s="3"/>
      <c r="U10" s="3">
        <f t="shared" si="2"/>
        <v>-36795</v>
      </c>
      <c r="V10" s="3" t="e">
        <f ca="1">XLOOKUP(A10,'Denomination Count'!A:A,'Denomination Count'!Q:Q)</f>
        <v>#NAME?</v>
      </c>
      <c r="W10" s="3" t="str">
        <f t="shared" ca="1" si="3"/>
        <v/>
      </c>
      <c r="X10" s="3"/>
    </row>
    <row r="11" spans="1:24" x14ac:dyDescent="0.2">
      <c r="A11" s="3"/>
      <c r="B11" s="3">
        <f t="shared" si="4"/>
        <v>-36795</v>
      </c>
      <c r="C11" s="3">
        <f>SUMIFS('Daily Sales'!I:I,'Daily Sales'!A:A,A11,'Daily Sales'!J:J,"Cash")</f>
        <v>0</v>
      </c>
      <c r="D11" s="3">
        <f>SUMIFS('Daily Sales'!I:I,'Daily Sales'!A:A,A11,'Daily Sales'!J:J,"Credit")</f>
        <v>0</v>
      </c>
      <c r="E11" s="3">
        <f>SUMIFS('Cash Collection'!F:F,'Cash Collection'!A:A,A11)</f>
        <v>0</v>
      </c>
      <c r="F11" s="3"/>
      <c r="G11" s="3">
        <f t="shared" si="0"/>
        <v>-36795</v>
      </c>
      <c r="H11" s="3">
        <f>SUMIFS('Supplier Payments'!E:E,'Supplier Payments'!A:A,A11)</f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f t="shared" si="1"/>
        <v>0</v>
      </c>
      <c r="T11" s="3"/>
      <c r="U11" s="3">
        <f t="shared" si="2"/>
        <v>-36795</v>
      </c>
      <c r="V11" s="3" t="e">
        <f ca="1">XLOOKUP(A11,'Denomination Count'!A:A,'Denomination Count'!Q:Q)</f>
        <v>#NAME?</v>
      </c>
      <c r="W11" s="3" t="str">
        <f t="shared" ca="1" si="3"/>
        <v/>
      </c>
      <c r="X11" s="3"/>
    </row>
    <row r="12" spans="1:24" x14ac:dyDescent="0.2">
      <c r="A12" s="3"/>
      <c r="B12" s="3">
        <f t="shared" si="4"/>
        <v>-36795</v>
      </c>
      <c r="C12" s="3">
        <f>SUMIFS('Daily Sales'!I:I,'Daily Sales'!A:A,A12,'Daily Sales'!J:J,"Cash")</f>
        <v>0</v>
      </c>
      <c r="D12" s="3">
        <f>SUMIFS('Daily Sales'!I:I,'Daily Sales'!A:A,A12,'Daily Sales'!J:J,"Credit")</f>
        <v>0</v>
      </c>
      <c r="E12" s="3">
        <f>SUMIFS('Cash Collection'!F:F,'Cash Collection'!A:A,A12)</f>
        <v>0</v>
      </c>
      <c r="F12" s="3"/>
      <c r="G12" s="3">
        <f t="shared" si="0"/>
        <v>-36795</v>
      </c>
      <c r="H12" s="3">
        <f>SUMIFS('Supplier Payments'!E:E,'Supplier Payments'!A:A,A12)</f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f t="shared" si="1"/>
        <v>0</v>
      </c>
      <c r="T12" s="3"/>
      <c r="U12" s="3">
        <f t="shared" si="2"/>
        <v>-36795</v>
      </c>
      <c r="V12" s="3" t="e">
        <f ca="1">XLOOKUP(A12,'Denomination Count'!A:A,'Denomination Count'!Q:Q)</f>
        <v>#NAME?</v>
      </c>
      <c r="W12" s="3" t="str">
        <f t="shared" ca="1" si="3"/>
        <v/>
      </c>
      <c r="X12" s="3"/>
    </row>
    <row r="13" spans="1:24" x14ac:dyDescent="0.2">
      <c r="A13" s="3"/>
      <c r="B13" s="3">
        <f t="shared" si="4"/>
        <v>-36795</v>
      </c>
      <c r="C13" s="3">
        <f>SUMIFS('Daily Sales'!I:I,'Daily Sales'!A:A,A13,'Daily Sales'!J:J,"Cash")</f>
        <v>0</v>
      </c>
      <c r="D13" s="3">
        <f>SUMIFS('Daily Sales'!I:I,'Daily Sales'!A:A,A13,'Daily Sales'!J:J,"Credit")</f>
        <v>0</v>
      </c>
      <c r="E13" s="3">
        <f>SUMIFS('Cash Collection'!F:F,'Cash Collection'!A:A,A13)</f>
        <v>0</v>
      </c>
      <c r="F13" s="3"/>
      <c r="G13" s="3">
        <f t="shared" si="0"/>
        <v>-36795</v>
      </c>
      <c r="H13" s="3">
        <f>SUMIFS('Supplier Payments'!E:E,'Supplier Payments'!A:A,A13)</f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f t="shared" si="1"/>
        <v>0</v>
      </c>
      <c r="T13" s="3"/>
      <c r="U13" s="3">
        <f t="shared" si="2"/>
        <v>-36795</v>
      </c>
      <c r="V13" s="3" t="e">
        <f ca="1">XLOOKUP(A13,'Denomination Count'!A:A,'Denomination Count'!Q:Q)</f>
        <v>#NAME?</v>
      </c>
      <c r="W13" s="3" t="str">
        <f t="shared" ca="1" si="3"/>
        <v/>
      </c>
      <c r="X13" s="3"/>
    </row>
    <row r="14" spans="1:24" x14ac:dyDescent="0.2">
      <c r="A14" s="3"/>
      <c r="B14" s="3">
        <f t="shared" si="4"/>
        <v>-36795</v>
      </c>
      <c r="C14" s="3">
        <f>SUMIFS('Daily Sales'!I:I,'Daily Sales'!A:A,A14,'Daily Sales'!J:J,"Cash")</f>
        <v>0</v>
      </c>
      <c r="D14" s="3">
        <f>SUMIFS('Daily Sales'!I:I,'Daily Sales'!A:A,A14,'Daily Sales'!J:J,"Credit")</f>
        <v>0</v>
      </c>
      <c r="E14" s="3">
        <f>SUMIFS('Cash Collection'!F:F,'Cash Collection'!A:A,A14)</f>
        <v>0</v>
      </c>
      <c r="F14" s="3"/>
      <c r="G14" s="3">
        <f t="shared" si="0"/>
        <v>-36795</v>
      </c>
      <c r="H14" s="3">
        <f>SUMIFS('Supplier Payments'!E:E,'Supplier Payments'!A:A,A14)</f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f t="shared" si="1"/>
        <v>0</v>
      </c>
      <c r="T14" s="3"/>
      <c r="U14" s="3">
        <f t="shared" si="2"/>
        <v>-36795</v>
      </c>
      <c r="V14" s="3" t="e">
        <f ca="1">XLOOKUP(A14,'Denomination Count'!A:A,'Denomination Count'!Q:Q)</f>
        <v>#NAME?</v>
      </c>
      <c r="W14" s="3" t="str">
        <f t="shared" ca="1" si="3"/>
        <v/>
      </c>
      <c r="X14" s="3"/>
    </row>
    <row r="15" spans="1:24" x14ac:dyDescent="0.2">
      <c r="A15" s="3"/>
      <c r="B15" s="3">
        <f t="shared" si="4"/>
        <v>-36795</v>
      </c>
      <c r="C15" s="3">
        <f>SUMIFS('Daily Sales'!I:I,'Daily Sales'!A:A,A15,'Daily Sales'!J:J,"Cash")</f>
        <v>0</v>
      </c>
      <c r="D15" s="3">
        <f>SUMIFS('Daily Sales'!I:I,'Daily Sales'!A:A,A15,'Daily Sales'!J:J,"Credit")</f>
        <v>0</v>
      </c>
      <c r="E15" s="3">
        <f>SUMIFS('Cash Collection'!F:F,'Cash Collection'!A:A,A15)</f>
        <v>0</v>
      </c>
      <c r="F15" s="3"/>
      <c r="G15" s="3">
        <f t="shared" si="0"/>
        <v>-36795</v>
      </c>
      <c r="H15" s="3">
        <f>SUMIFS('Supplier Payments'!E:E,'Supplier Payments'!A:A,A15)</f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f t="shared" si="1"/>
        <v>0</v>
      </c>
      <c r="T15" s="3"/>
      <c r="U15" s="3">
        <f t="shared" si="2"/>
        <v>-36795</v>
      </c>
      <c r="V15" s="3" t="e">
        <f ca="1">XLOOKUP(A15,'Denomination Count'!A:A,'Denomination Count'!Q:Q)</f>
        <v>#NAME?</v>
      </c>
      <c r="W15" s="3" t="str">
        <f t="shared" ca="1" si="3"/>
        <v/>
      </c>
      <c r="X15" s="3"/>
    </row>
    <row r="16" spans="1:24" x14ac:dyDescent="0.2">
      <c r="A16" s="3"/>
      <c r="B16" s="3">
        <f t="shared" si="4"/>
        <v>-36795</v>
      </c>
      <c r="C16" s="3">
        <f>SUMIFS('Daily Sales'!I:I,'Daily Sales'!A:A,A16,'Daily Sales'!J:J,"Cash")</f>
        <v>0</v>
      </c>
      <c r="D16" s="3">
        <f>SUMIFS('Daily Sales'!I:I,'Daily Sales'!A:A,A16,'Daily Sales'!J:J,"Credit")</f>
        <v>0</v>
      </c>
      <c r="E16" s="3">
        <f>SUMIFS('Cash Collection'!F:F,'Cash Collection'!A:A,A16)</f>
        <v>0</v>
      </c>
      <c r="F16" s="3"/>
      <c r="G16" s="3">
        <f t="shared" si="0"/>
        <v>-36795</v>
      </c>
      <c r="H16" s="3">
        <f>SUMIFS('Supplier Payments'!E:E,'Supplier Payments'!A:A,A16)</f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f t="shared" si="1"/>
        <v>0</v>
      </c>
      <c r="T16" s="3"/>
      <c r="U16" s="3">
        <f t="shared" si="2"/>
        <v>-36795</v>
      </c>
      <c r="V16" s="3" t="e">
        <f ca="1">XLOOKUP(A16,'Denomination Count'!A:A,'Denomination Count'!Q:Q)</f>
        <v>#NAME?</v>
      </c>
      <c r="W16" s="3" t="str">
        <f t="shared" ca="1" si="3"/>
        <v/>
      </c>
      <c r="X16" s="3"/>
    </row>
    <row r="17" spans="1:24" x14ac:dyDescent="0.2">
      <c r="A17" s="3"/>
      <c r="B17" s="3">
        <f t="shared" si="4"/>
        <v>-36795</v>
      </c>
      <c r="C17" s="3">
        <f>SUMIFS('Daily Sales'!I:I,'Daily Sales'!A:A,A17,'Daily Sales'!J:J,"Cash")</f>
        <v>0</v>
      </c>
      <c r="D17" s="3">
        <f>SUMIFS('Daily Sales'!I:I,'Daily Sales'!A:A,A17,'Daily Sales'!J:J,"Credit")</f>
        <v>0</v>
      </c>
      <c r="E17" s="3">
        <f>SUMIFS('Cash Collection'!F:F,'Cash Collection'!A:A,A17)</f>
        <v>0</v>
      </c>
      <c r="F17" s="3"/>
      <c r="G17" s="3">
        <f t="shared" si="0"/>
        <v>-36795</v>
      </c>
      <c r="H17" s="3">
        <f>SUMIFS('Supplier Payments'!E:E,'Supplier Payments'!A:A,A17)</f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f t="shared" si="1"/>
        <v>0</v>
      </c>
      <c r="T17" s="3"/>
      <c r="U17" s="3">
        <f t="shared" si="2"/>
        <v>-36795</v>
      </c>
      <c r="V17" s="3" t="e">
        <f ca="1">XLOOKUP(A17,'Denomination Count'!A:A,'Denomination Count'!Q:Q)</f>
        <v>#NAME?</v>
      </c>
      <c r="W17" s="3" t="str">
        <f t="shared" ca="1" si="3"/>
        <v/>
      </c>
      <c r="X17" s="3"/>
    </row>
    <row r="18" spans="1:24" x14ac:dyDescent="0.2">
      <c r="A18" s="3"/>
      <c r="B18" s="3">
        <f t="shared" si="4"/>
        <v>-36795</v>
      </c>
      <c r="C18" s="3">
        <f>SUMIFS('Daily Sales'!I:I,'Daily Sales'!A:A,A18,'Daily Sales'!J:J,"Cash")</f>
        <v>0</v>
      </c>
      <c r="D18" s="3">
        <f>SUMIFS('Daily Sales'!I:I,'Daily Sales'!A:A,A18,'Daily Sales'!J:J,"Credit")</f>
        <v>0</v>
      </c>
      <c r="E18" s="3">
        <f>SUMIFS('Cash Collection'!F:F,'Cash Collection'!A:A,A18)</f>
        <v>0</v>
      </c>
      <c r="F18" s="3"/>
      <c r="G18" s="3">
        <f t="shared" si="0"/>
        <v>-36795</v>
      </c>
      <c r="H18" s="3">
        <f>SUMIFS('Supplier Payments'!E:E,'Supplier Payments'!A:A,A18)</f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f t="shared" si="1"/>
        <v>0</v>
      </c>
      <c r="T18" s="3"/>
      <c r="U18" s="3">
        <f t="shared" si="2"/>
        <v>-36795</v>
      </c>
      <c r="V18" s="3" t="e">
        <f ca="1">XLOOKUP(A18,'Denomination Count'!A:A,'Denomination Count'!Q:Q)</f>
        <v>#NAME?</v>
      </c>
      <c r="W18" s="3" t="str">
        <f t="shared" ca="1" si="3"/>
        <v/>
      </c>
      <c r="X18" s="3"/>
    </row>
    <row r="19" spans="1:24" x14ac:dyDescent="0.2">
      <c r="A19" s="3"/>
      <c r="B19" s="3">
        <f t="shared" si="4"/>
        <v>-36795</v>
      </c>
      <c r="C19" s="3">
        <f>SUMIFS('Daily Sales'!I:I,'Daily Sales'!A:A,A19,'Daily Sales'!J:J,"Cash")</f>
        <v>0</v>
      </c>
      <c r="D19" s="3">
        <f>SUMIFS('Daily Sales'!I:I,'Daily Sales'!A:A,A19,'Daily Sales'!J:J,"Credit")</f>
        <v>0</v>
      </c>
      <c r="E19" s="3">
        <f>SUMIFS('Cash Collection'!F:F,'Cash Collection'!A:A,A19)</f>
        <v>0</v>
      </c>
      <c r="F19" s="3"/>
      <c r="G19" s="3">
        <f t="shared" si="0"/>
        <v>-36795</v>
      </c>
      <c r="H19" s="3">
        <f>SUMIFS('Supplier Payments'!E:E,'Supplier Payments'!A:A,A19)</f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f t="shared" si="1"/>
        <v>0</v>
      </c>
      <c r="T19" s="3"/>
      <c r="U19" s="3">
        <f t="shared" si="2"/>
        <v>-36795</v>
      </c>
      <c r="V19" s="3" t="e">
        <f ca="1">XLOOKUP(A19,'Denomination Count'!A:A,'Denomination Count'!Q:Q)</f>
        <v>#NAME?</v>
      </c>
      <c r="W19" s="3" t="str">
        <f t="shared" ca="1" si="3"/>
        <v/>
      </c>
      <c r="X19" s="3"/>
    </row>
    <row r="20" spans="1:24" x14ac:dyDescent="0.2">
      <c r="A20" s="3"/>
      <c r="B20" s="3">
        <f t="shared" si="4"/>
        <v>-36795</v>
      </c>
      <c r="C20" s="3">
        <f>SUMIFS('Daily Sales'!I:I,'Daily Sales'!A:A,A20,'Daily Sales'!J:J,"Cash")</f>
        <v>0</v>
      </c>
      <c r="D20" s="3">
        <f>SUMIFS('Daily Sales'!I:I,'Daily Sales'!A:A,A20,'Daily Sales'!J:J,"Credit")</f>
        <v>0</v>
      </c>
      <c r="E20" s="3">
        <f>SUMIFS('Cash Collection'!F:F,'Cash Collection'!A:A,A20)</f>
        <v>0</v>
      </c>
      <c r="F20" s="3"/>
      <c r="G20" s="3">
        <f t="shared" si="0"/>
        <v>-36795</v>
      </c>
      <c r="H20" s="3">
        <f>SUMIFS('Supplier Payments'!E:E,'Supplier Payments'!A:A,A20)</f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f t="shared" si="1"/>
        <v>0</v>
      </c>
      <c r="T20" s="3"/>
      <c r="U20" s="3">
        <f t="shared" si="2"/>
        <v>-36795</v>
      </c>
      <c r="V20" s="3" t="e">
        <f ca="1">XLOOKUP(A20,'Denomination Count'!A:A,'Denomination Count'!Q:Q)</f>
        <v>#NAME?</v>
      </c>
      <c r="W20" s="3" t="str">
        <f t="shared" ca="1" si="3"/>
        <v/>
      </c>
      <c r="X20" s="3"/>
    </row>
    <row r="21" spans="1:24" x14ac:dyDescent="0.2">
      <c r="A21" s="3"/>
      <c r="B21" s="3">
        <f t="shared" si="4"/>
        <v>-36795</v>
      </c>
      <c r="C21" s="3">
        <f>SUMIFS('Daily Sales'!I:I,'Daily Sales'!A:A,A21,'Daily Sales'!J:J,"Cash")</f>
        <v>0</v>
      </c>
      <c r="D21" s="3">
        <f>SUMIFS('Daily Sales'!I:I,'Daily Sales'!A:A,A21,'Daily Sales'!J:J,"Credit")</f>
        <v>0</v>
      </c>
      <c r="E21" s="3">
        <f>SUMIFS('Cash Collection'!F:F,'Cash Collection'!A:A,A21)</f>
        <v>0</v>
      </c>
      <c r="F21" s="3"/>
      <c r="G21" s="3">
        <f t="shared" si="0"/>
        <v>-36795</v>
      </c>
      <c r="H21" s="3">
        <f>SUMIFS('Supplier Payments'!E:E,'Supplier Payments'!A:A,A21)</f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f t="shared" si="1"/>
        <v>0</v>
      </c>
      <c r="T21" s="3"/>
      <c r="U21" s="3">
        <f t="shared" si="2"/>
        <v>-36795</v>
      </c>
      <c r="V21" s="3" t="e">
        <f ca="1">XLOOKUP(A21,'Denomination Count'!A:A,'Denomination Count'!Q:Q)</f>
        <v>#NAME?</v>
      </c>
      <c r="W21" s="3" t="str">
        <f t="shared" ca="1" si="3"/>
        <v/>
      </c>
      <c r="X21" s="3"/>
    </row>
    <row r="22" spans="1:24" x14ac:dyDescent="0.2">
      <c r="A22" s="3"/>
      <c r="B22" s="3">
        <f t="shared" si="4"/>
        <v>-36795</v>
      </c>
      <c r="C22" s="3">
        <f>SUMIFS('Daily Sales'!I:I,'Daily Sales'!A:A,A22,'Daily Sales'!J:J,"Cash")</f>
        <v>0</v>
      </c>
      <c r="D22" s="3">
        <f>SUMIFS('Daily Sales'!I:I,'Daily Sales'!A:A,A22,'Daily Sales'!J:J,"Credit")</f>
        <v>0</v>
      </c>
      <c r="E22" s="3">
        <f>SUMIFS('Cash Collection'!F:F,'Cash Collection'!A:A,A22)</f>
        <v>0</v>
      </c>
      <c r="F22" s="3"/>
      <c r="G22" s="3">
        <f t="shared" si="0"/>
        <v>-36795</v>
      </c>
      <c r="H22" s="3">
        <f>SUMIFS('Supplier Payments'!E:E,'Supplier Payments'!A:A,A22)</f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f t="shared" si="1"/>
        <v>0</v>
      </c>
      <c r="T22" s="3"/>
      <c r="U22" s="3">
        <f t="shared" si="2"/>
        <v>-36795</v>
      </c>
      <c r="V22" s="3" t="e">
        <f ca="1">XLOOKUP(A22,'Denomination Count'!A:A,'Denomination Count'!Q:Q)</f>
        <v>#NAME?</v>
      </c>
      <c r="W22" s="3" t="str">
        <f t="shared" ca="1" si="3"/>
        <v/>
      </c>
      <c r="X22" s="3"/>
    </row>
    <row r="23" spans="1:24" x14ac:dyDescent="0.2">
      <c r="A23" s="3"/>
      <c r="B23" s="3">
        <f t="shared" si="4"/>
        <v>-36795</v>
      </c>
      <c r="C23" s="3">
        <f>SUMIFS('Daily Sales'!I:I,'Daily Sales'!A:A,A23,'Daily Sales'!J:J,"Cash")</f>
        <v>0</v>
      </c>
      <c r="D23" s="3">
        <f>SUMIFS('Daily Sales'!I:I,'Daily Sales'!A:A,A23,'Daily Sales'!J:J,"Credit")</f>
        <v>0</v>
      </c>
      <c r="E23" s="3">
        <f>SUMIFS('Cash Collection'!F:F,'Cash Collection'!A:A,A23)</f>
        <v>0</v>
      </c>
      <c r="F23" s="3"/>
      <c r="G23" s="3">
        <f t="shared" si="0"/>
        <v>-36795</v>
      </c>
      <c r="H23" s="3">
        <f>SUMIFS('Supplier Payments'!E:E,'Supplier Payments'!A:A,A23)</f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f t="shared" si="1"/>
        <v>0</v>
      </c>
      <c r="T23" s="3"/>
      <c r="U23" s="3">
        <f t="shared" si="2"/>
        <v>-36795</v>
      </c>
      <c r="V23" s="3" t="e">
        <f ca="1">XLOOKUP(A23,'Denomination Count'!A:A,'Denomination Count'!Q:Q)</f>
        <v>#NAME?</v>
      </c>
      <c r="W23" s="3" t="str">
        <f t="shared" ca="1" si="3"/>
        <v/>
      </c>
      <c r="X23" s="3"/>
    </row>
    <row r="24" spans="1:24" x14ac:dyDescent="0.2">
      <c r="A24" s="3"/>
      <c r="B24" s="3">
        <f t="shared" si="4"/>
        <v>-36795</v>
      </c>
      <c r="C24" s="3">
        <f>SUMIFS('Daily Sales'!I:I,'Daily Sales'!A:A,A24,'Daily Sales'!J:J,"Cash")</f>
        <v>0</v>
      </c>
      <c r="D24" s="3">
        <f>SUMIFS('Daily Sales'!I:I,'Daily Sales'!A:A,A24,'Daily Sales'!J:J,"Credit")</f>
        <v>0</v>
      </c>
      <c r="E24" s="3">
        <f>SUMIFS('Cash Collection'!F:F,'Cash Collection'!A:A,A24)</f>
        <v>0</v>
      </c>
      <c r="F24" s="3"/>
      <c r="G24" s="3">
        <f t="shared" si="0"/>
        <v>-36795</v>
      </c>
      <c r="H24" s="3">
        <f>SUMIFS('Supplier Payments'!E:E,'Supplier Payments'!A:A,A24)</f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f t="shared" si="1"/>
        <v>0</v>
      </c>
      <c r="T24" s="3"/>
      <c r="U24" s="3">
        <f t="shared" si="2"/>
        <v>-36795</v>
      </c>
      <c r="V24" s="3" t="e">
        <f ca="1">XLOOKUP(A24,'Denomination Count'!A:A,'Denomination Count'!Q:Q)</f>
        <v>#NAME?</v>
      </c>
      <c r="W24" s="3" t="str">
        <f t="shared" ca="1" si="3"/>
        <v/>
      </c>
      <c r="X24" s="3"/>
    </row>
    <row r="25" spans="1:24" x14ac:dyDescent="0.2">
      <c r="A25" s="3"/>
      <c r="B25" s="3">
        <f t="shared" si="4"/>
        <v>-36795</v>
      </c>
      <c r="C25" s="3">
        <f>SUMIFS('Daily Sales'!I:I,'Daily Sales'!A:A,A25,'Daily Sales'!J:J,"Cash")</f>
        <v>0</v>
      </c>
      <c r="D25" s="3">
        <f>SUMIFS('Daily Sales'!I:I,'Daily Sales'!A:A,A25,'Daily Sales'!J:J,"Credit")</f>
        <v>0</v>
      </c>
      <c r="E25" s="3">
        <f>SUMIFS('Cash Collection'!F:F,'Cash Collection'!A:A,A25)</f>
        <v>0</v>
      </c>
      <c r="F25" s="3"/>
      <c r="G25" s="3">
        <f t="shared" si="0"/>
        <v>-36795</v>
      </c>
      <c r="H25" s="3">
        <f>SUMIFS('Supplier Payments'!E:E,'Supplier Payments'!A:A,A25)</f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f t="shared" si="1"/>
        <v>0</v>
      </c>
      <c r="T25" s="3"/>
      <c r="U25" s="3">
        <f t="shared" si="2"/>
        <v>-36795</v>
      </c>
      <c r="V25" s="3" t="e">
        <f ca="1">XLOOKUP(A25,'Denomination Count'!A:A,'Denomination Count'!Q:Q)</f>
        <v>#NAME?</v>
      </c>
      <c r="W25" s="3" t="str">
        <f t="shared" ca="1" si="3"/>
        <v/>
      </c>
      <c r="X25" s="3"/>
    </row>
    <row r="26" spans="1:24" x14ac:dyDescent="0.2">
      <c r="A26" s="3"/>
      <c r="B26" s="3">
        <f t="shared" si="4"/>
        <v>-36795</v>
      </c>
      <c r="C26" s="3">
        <f>SUMIFS('Daily Sales'!I:I,'Daily Sales'!A:A,A26,'Daily Sales'!J:J,"Cash")</f>
        <v>0</v>
      </c>
      <c r="D26" s="3">
        <f>SUMIFS('Daily Sales'!I:I,'Daily Sales'!A:A,A26,'Daily Sales'!J:J,"Credit")</f>
        <v>0</v>
      </c>
      <c r="E26" s="3">
        <f>SUMIFS('Cash Collection'!F:F,'Cash Collection'!A:A,A26)</f>
        <v>0</v>
      </c>
      <c r="F26" s="3"/>
      <c r="G26" s="3">
        <f t="shared" si="0"/>
        <v>-36795</v>
      </c>
      <c r="H26" s="3">
        <f>SUMIFS('Supplier Payments'!E:E,'Supplier Payments'!A:A,A26)</f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f t="shared" si="1"/>
        <v>0</v>
      </c>
      <c r="T26" s="3"/>
      <c r="U26" s="3">
        <f t="shared" si="2"/>
        <v>-36795</v>
      </c>
      <c r="V26" s="3" t="e">
        <f ca="1">XLOOKUP(A26,'Denomination Count'!A:A,'Denomination Count'!Q:Q)</f>
        <v>#NAME?</v>
      </c>
      <c r="W26" s="3" t="str">
        <f t="shared" ca="1" si="3"/>
        <v/>
      </c>
      <c r="X26" s="3"/>
    </row>
    <row r="27" spans="1:24" x14ac:dyDescent="0.2">
      <c r="A27" s="3"/>
      <c r="B27" s="3">
        <f t="shared" si="4"/>
        <v>-36795</v>
      </c>
      <c r="C27" s="3">
        <f>SUMIFS('Daily Sales'!I:I,'Daily Sales'!A:A,A27,'Daily Sales'!J:J,"Cash")</f>
        <v>0</v>
      </c>
      <c r="D27" s="3">
        <f>SUMIFS('Daily Sales'!I:I,'Daily Sales'!A:A,A27,'Daily Sales'!J:J,"Credit")</f>
        <v>0</v>
      </c>
      <c r="E27" s="3">
        <f>SUMIFS('Cash Collection'!F:F,'Cash Collection'!A:A,A27)</f>
        <v>0</v>
      </c>
      <c r="F27" s="3"/>
      <c r="G27" s="3">
        <f t="shared" si="0"/>
        <v>-36795</v>
      </c>
      <c r="H27" s="3">
        <f>SUMIFS('Supplier Payments'!E:E,'Supplier Payments'!A:A,A27)</f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f t="shared" si="1"/>
        <v>0</v>
      </c>
      <c r="T27" s="3"/>
      <c r="U27" s="3">
        <f t="shared" si="2"/>
        <v>-36795</v>
      </c>
      <c r="V27" s="3" t="e">
        <f ca="1">XLOOKUP(A27,'Denomination Count'!A:A,'Denomination Count'!Q:Q)</f>
        <v>#NAME?</v>
      </c>
      <c r="W27" s="3" t="str">
        <f t="shared" ca="1" si="3"/>
        <v/>
      </c>
      <c r="X27" s="3"/>
    </row>
    <row r="28" spans="1:24" x14ac:dyDescent="0.2">
      <c r="A28" s="3"/>
      <c r="B28" s="3">
        <f t="shared" si="4"/>
        <v>-36795</v>
      </c>
      <c r="C28" s="3">
        <f>SUMIFS('Daily Sales'!I:I,'Daily Sales'!A:A,A28,'Daily Sales'!J:J,"Cash")</f>
        <v>0</v>
      </c>
      <c r="D28" s="3">
        <f>SUMIFS('Daily Sales'!I:I,'Daily Sales'!A:A,A28,'Daily Sales'!J:J,"Credit")</f>
        <v>0</v>
      </c>
      <c r="E28" s="3">
        <f>SUMIFS('Cash Collection'!F:F,'Cash Collection'!A:A,A28)</f>
        <v>0</v>
      </c>
      <c r="F28" s="3"/>
      <c r="G28" s="3">
        <f t="shared" si="0"/>
        <v>-36795</v>
      </c>
      <c r="H28" s="3">
        <f>SUMIFS('Supplier Payments'!E:E,'Supplier Payments'!A:A,A28)</f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f t="shared" si="1"/>
        <v>0</v>
      </c>
      <c r="T28" s="3"/>
      <c r="U28" s="3">
        <f t="shared" si="2"/>
        <v>-36795</v>
      </c>
      <c r="V28" s="3" t="e">
        <f ca="1">XLOOKUP(A28,'Denomination Count'!A:A,'Denomination Count'!Q:Q)</f>
        <v>#NAME?</v>
      </c>
      <c r="W28" s="3" t="str">
        <f t="shared" ca="1" si="3"/>
        <v/>
      </c>
      <c r="X28" s="3"/>
    </row>
    <row r="29" spans="1:24" x14ac:dyDescent="0.2">
      <c r="A29" s="3"/>
      <c r="B29" s="3">
        <f t="shared" si="4"/>
        <v>-36795</v>
      </c>
      <c r="C29" s="3">
        <f>SUMIFS('Daily Sales'!I:I,'Daily Sales'!A:A,A29,'Daily Sales'!J:J,"Cash")</f>
        <v>0</v>
      </c>
      <c r="D29" s="3">
        <f>SUMIFS('Daily Sales'!I:I,'Daily Sales'!A:A,A29,'Daily Sales'!J:J,"Credit")</f>
        <v>0</v>
      </c>
      <c r="E29" s="3">
        <f>SUMIFS('Cash Collection'!F:F,'Cash Collection'!A:A,A29)</f>
        <v>0</v>
      </c>
      <c r="F29" s="3"/>
      <c r="G29" s="3">
        <f t="shared" si="0"/>
        <v>-36795</v>
      </c>
      <c r="H29" s="3">
        <f>SUMIFS('Supplier Payments'!E:E,'Supplier Payments'!A:A,A29)</f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f t="shared" si="1"/>
        <v>0</v>
      </c>
      <c r="T29" s="3"/>
      <c r="U29" s="3">
        <f t="shared" si="2"/>
        <v>-36795</v>
      </c>
      <c r="V29" s="3" t="e">
        <f ca="1">XLOOKUP(A29,'Denomination Count'!A:A,'Denomination Count'!Q:Q)</f>
        <v>#NAME?</v>
      </c>
      <c r="W29" s="3" t="str">
        <f t="shared" ca="1" si="3"/>
        <v/>
      </c>
      <c r="X29" s="3"/>
    </row>
    <row r="30" spans="1:24" x14ac:dyDescent="0.2">
      <c r="A30" s="3"/>
      <c r="B30" s="3">
        <f t="shared" si="4"/>
        <v>-36795</v>
      </c>
      <c r="C30" s="3">
        <f>SUMIFS('Daily Sales'!I:I,'Daily Sales'!A:A,A30,'Daily Sales'!J:J,"Cash")</f>
        <v>0</v>
      </c>
      <c r="D30" s="3">
        <f>SUMIFS('Daily Sales'!I:I,'Daily Sales'!A:A,A30,'Daily Sales'!J:J,"Credit")</f>
        <v>0</v>
      </c>
      <c r="E30" s="3">
        <f>SUMIFS('Cash Collection'!F:F,'Cash Collection'!A:A,A30)</f>
        <v>0</v>
      </c>
      <c r="F30" s="3"/>
      <c r="G30" s="3">
        <f t="shared" si="0"/>
        <v>-36795</v>
      </c>
      <c r="H30" s="3">
        <f>SUMIFS('Supplier Payments'!E:E,'Supplier Payments'!A:A,A30)</f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f t="shared" si="1"/>
        <v>0</v>
      </c>
      <c r="T30" s="3"/>
      <c r="U30" s="3">
        <f t="shared" si="2"/>
        <v>-36795</v>
      </c>
      <c r="V30" s="3" t="e">
        <f ca="1">XLOOKUP(A30,'Denomination Count'!A:A,'Denomination Count'!Q:Q)</f>
        <v>#NAME?</v>
      </c>
      <c r="W30" s="3" t="str">
        <f t="shared" ca="1" si="3"/>
        <v/>
      </c>
      <c r="X30" s="3"/>
    </row>
    <row r="31" spans="1:24" x14ac:dyDescent="0.2">
      <c r="A31" s="3"/>
      <c r="B31" s="3">
        <f t="shared" si="4"/>
        <v>-36795</v>
      </c>
      <c r="C31" s="3">
        <f>SUMIFS('Daily Sales'!I:I,'Daily Sales'!A:A,A31,'Daily Sales'!J:J,"Cash")</f>
        <v>0</v>
      </c>
      <c r="D31" s="3">
        <f>SUMIFS('Daily Sales'!I:I,'Daily Sales'!A:A,A31,'Daily Sales'!J:J,"Credit")</f>
        <v>0</v>
      </c>
      <c r="E31" s="3">
        <f>SUMIFS('Cash Collection'!F:F,'Cash Collection'!A:A,A31)</f>
        <v>0</v>
      </c>
      <c r="F31" s="3"/>
      <c r="G31" s="3">
        <f t="shared" si="0"/>
        <v>-36795</v>
      </c>
      <c r="H31" s="3">
        <f>SUMIFS('Supplier Payments'!E:E,'Supplier Payments'!A:A,A31)</f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f t="shared" si="1"/>
        <v>0</v>
      </c>
      <c r="T31" s="3"/>
      <c r="U31" s="3">
        <f t="shared" si="2"/>
        <v>-36795</v>
      </c>
      <c r="V31" s="3" t="e">
        <f ca="1">XLOOKUP(A31,'Denomination Count'!A:A,'Denomination Count'!Q:Q)</f>
        <v>#NAME?</v>
      </c>
      <c r="W31" s="3" t="str">
        <f t="shared" ca="1" si="3"/>
        <v/>
      </c>
      <c r="X31" s="3"/>
    </row>
    <row r="32" spans="1:24" x14ac:dyDescent="0.2">
      <c r="A32" s="3"/>
      <c r="B32" s="3">
        <f t="shared" si="4"/>
        <v>-36795</v>
      </c>
      <c r="C32" s="3">
        <f>SUMIFS('Daily Sales'!I:I,'Daily Sales'!A:A,A32,'Daily Sales'!J:J,"Cash")</f>
        <v>0</v>
      </c>
      <c r="D32" s="3">
        <f>SUMIFS('Daily Sales'!I:I,'Daily Sales'!A:A,A32,'Daily Sales'!J:J,"Credit")</f>
        <v>0</v>
      </c>
      <c r="E32" s="3">
        <f>SUMIFS('Cash Collection'!F:F,'Cash Collection'!A:A,A32)</f>
        <v>0</v>
      </c>
      <c r="F32" s="3"/>
      <c r="G32" s="3">
        <f t="shared" si="0"/>
        <v>-36795</v>
      </c>
      <c r="H32" s="3">
        <f>SUMIFS('Supplier Payments'!E:E,'Supplier Payments'!A:A,A32)</f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f t="shared" si="1"/>
        <v>0</v>
      </c>
      <c r="T32" s="3"/>
      <c r="U32" s="3">
        <f t="shared" si="2"/>
        <v>-36795</v>
      </c>
      <c r="V32" s="3" t="e">
        <f ca="1">XLOOKUP(A32,'Denomination Count'!A:A,'Denomination Count'!Q:Q)</f>
        <v>#NAME?</v>
      </c>
      <c r="W32" s="3" t="str">
        <f t="shared" ca="1" si="3"/>
        <v/>
      </c>
      <c r="X32" s="3"/>
    </row>
    <row r="33" spans="1:24" x14ac:dyDescent="0.2">
      <c r="A33" s="4" t="s">
        <v>38</v>
      </c>
      <c r="B33" s="5">
        <f t="shared" ref="B33:W33" si="5">SUM(B2:B32)</f>
        <v>-966065</v>
      </c>
      <c r="C33" s="5">
        <f t="shared" si="5"/>
        <v>28905</v>
      </c>
      <c r="D33" s="5">
        <f t="shared" si="5"/>
        <v>8650</v>
      </c>
      <c r="E33" s="5">
        <f t="shared" si="5"/>
        <v>16700</v>
      </c>
      <c r="F33" s="5">
        <f t="shared" si="5"/>
        <v>1900</v>
      </c>
      <c r="G33" s="5">
        <f t="shared" si="5"/>
        <v>-918560</v>
      </c>
      <c r="H33" s="5">
        <f t="shared" si="5"/>
        <v>12000</v>
      </c>
      <c r="I33" s="5">
        <f t="shared" si="5"/>
        <v>7500</v>
      </c>
      <c r="J33" s="5">
        <f t="shared" si="5"/>
        <v>3100</v>
      </c>
      <c r="K33" s="5">
        <f t="shared" si="5"/>
        <v>200</v>
      </c>
      <c r="L33" s="5">
        <f t="shared" si="5"/>
        <v>5000</v>
      </c>
      <c r="M33" s="5">
        <f t="shared" si="5"/>
        <v>950</v>
      </c>
      <c r="N33" s="5">
        <f t="shared" si="5"/>
        <v>1600</v>
      </c>
      <c r="O33" s="5">
        <f t="shared" si="5"/>
        <v>1250</v>
      </c>
      <c r="P33" s="5">
        <f t="shared" si="5"/>
        <v>1200</v>
      </c>
      <c r="Q33" s="5">
        <f t="shared" si="5"/>
        <v>650</v>
      </c>
      <c r="R33" s="5">
        <f t="shared" si="5"/>
        <v>550</v>
      </c>
      <c r="S33" s="5">
        <f t="shared" si="5"/>
        <v>34000</v>
      </c>
      <c r="T33" s="5">
        <f t="shared" si="5"/>
        <v>60300</v>
      </c>
      <c r="U33" s="5">
        <f t="shared" si="5"/>
        <v>-1012860</v>
      </c>
      <c r="V33" s="5" t="e">
        <f t="shared" ca="1" si="5"/>
        <v>#NAME?</v>
      </c>
      <c r="W33" s="5">
        <f t="shared" ca="1" si="5"/>
        <v>0</v>
      </c>
      <c r="X33" s="5"/>
    </row>
  </sheetData>
  <autoFilter ref="A1:X32" xr:uid="{00000000-0009-0000-0000-000002000000}"/>
  <conditionalFormatting sqref="W2:W32">
    <cfRule type="cellIs" dxfId="6" priority="1" operator="equal">
      <formula>0</formula>
    </cfRule>
    <cfRule type="cellIs" dxfId="5" priority="2" operator="notEqual">
      <formula>0</formula>
    </cfRule>
  </conditionalFormatting>
  <dataValidations count="1">
    <dataValidation type="custom" allowBlank="1" errorTitle="Invalid Date" error="Please enter a date that is today or earlier (no future dates)." promptTitle="Date" prompt="Enter a date (today or earlier)" sqref="A2:A32" xr:uid="{00000000-0002-0000-0200-000000000000}">
      <formula1>A2&lt;=TODAY()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Q33"/>
  <sheetViews>
    <sheetView workbookViewId="0">
      <pane ySplit="1" topLeftCell="A2" activePane="bottomLeft" state="frozen"/>
      <selection pane="bottomLeft" activeCell="K12" sqref="K12"/>
    </sheetView>
  </sheetViews>
  <sheetFormatPr baseColWidth="10" defaultColWidth="8.83203125" defaultRowHeight="15" x14ac:dyDescent="0.2"/>
  <cols>
    <col min="1" max="1" width="14" customWidth="1"/>
    <col min="2" max="15" width="10" customWidth="1"/>
    <col min="16" max="16" width="12" customWidth="1"/>
    <col min="17" max="17" width="14" customWidth="1"/>
  </cols>
  <sheetData>
    <row r="1" spans="1:17" ht="32" x14ac:dyDescent="0.2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</row>
    <row r="2" spans="1:17" x14ac:dyDescent="0.2">
      <c r="A2" s="2">
        <v>46082</v>
      </c>
      <c r="B2" s="3">
        <v>10</v>
      </c>
      <c r="C2" s="3">
        <f>B2*5</f>
        <v>50</v>
      </c>
      <c r="D2" s="3">
        <v>8</v>
      </c>
      <c r="E2" s="3">
        <f>D2*10</f>
        <v>80</v>
      </c>
      <c r="F2" s="3">
        <v>6</v>
      </c>
      <c r="G2" s="3">
        <f>F2*20</f>
        <v>120</v>
      </c>
      <c r="H2" s="3">
        <v>24</v>
      </c>
      <c r="I2" s="3">
        <f>H2*50</f>
        <v>1200</v>
      </c>
      <c r="J2" s="3">
        <v>15</v>
      </c>
      <c r="K2" s="3">
        <f>J2*100</f>
        <v>1500</v>
      </c>
      <c r="L2" s="3">
        <v>10</v>
      </c>
      <c r="M2" s="3">
        <f>L2*500</f>
        <v>5000</v>
      </c>
      <c r="N2" s="3">
        <v>5</v>
      </c>
      <c r="O2" s="3">
        <f>N2*1000</f>
        <v>5000</v>
      </c>
      <c r="P2" s="3">
        <v>200</v>
      </c>
      <c r="Q2" s="3">
        <f>C2+E2+G2+I2+K2+M2+O2+P2</f>
        <v>13150</v>
      </c>
    </row>
    <row r="3" spans="1:17" x14ac:dyDescent="0.2">
      <c r="A3" s="2">
        <v>46083</v>
      </c>
      <c r="B3" s="3">
        <v>12</v>
      </c>
      <c r="C3" s="3">
        <f>B3*5</f>
        <v>60</v>
      </c>
      <c r="D3" s="3">
        <v>10</v>
      </c>
      <c r="E3" s="3">
        <f>D3*10</f>
        <v>100</v>
      </c>
      <c r="F3" s="3">
        <v>7</v>
      </c>
      <c r="G3" s="3">
        <f>F3*20</f>
        <v>140</v>
      </c>
      <c r="H3" s="3">
        <v>28</v>
      </c>
      <c r="I3" s="3">
        <f>H3*50</f>
        <v>1400</v>
      </c>
      <c r="J3" s="3">
        <v>18</v>
      </c>
      <c r="K3" s="3">
        <f>J3*100</f>
        <v>1800</v>
      </c>
      <c r="L3" s="3">
        <v>12</v>
      </c>
      <c r="M3" s="3">
        <f>L3*500</f>
        <v>6000</v>
      </c>
      <c r="N3" s="3">
        <v>6</v>
      </c>
      <c r="O3" s="3">
        <f>N3*1000</f>
        <v>6000</v>
      </c>
      <c r="P3" s="3">
        <v>300</v>
      </c>
      <c r="Q3" s="3">
        <f>C3+E3+G3+I3+K3+M3+O3+P3</f>
        <v>15800</v>
      </c>
    </row>
    <row r="4" spans="1:17" x14ac:dyDescent="0.2">
      <c r="A4" s="2">
        <v>46084</v>
      </c>
      <c r="B4" s="3">
        <v>15</v>
      </c>
      <c r="C4" s="3">
        <f>B4*5</f>
        <v>75</v>
      </c>
      <c r="D4" s="3">
        <v>12</v>
      </c>
      <c r="E4" s="3">
        <f>D4*10</f>
        <v>120</v>
      </c>
      <c r="F4" s="3">
        <v>8</v>
      </c>
      <c r="G4" s="3">
        <f>F4*20</f>
        <v>160</v>
      </c>
      <c r="H4" s="3">
        <v>30</v>
      </c>
      <c r="I4" s="3">
        <f>H4*50</f>
        <v>1500</v>
      </c>
      <c r="J4" s="3">
        <v>20</v>
      </c>
      <c r="K4" s="3">
        <f>J4*100</f>
        <v>2000</v>
      </c>
      <c r="L4" s="3">
        <v>15</v>
      </c>
      <c r="M4" s="3">
        <f>L4*500</f>
        <v>7500</v>
      </c>
      <c r="N4" s="3">
        <v>8</v>
      </c>
      <c r="O4" s="3">
        <f>N4*1000</f>
        <v>8000</v>
      </c>
      <c r="P4" s="3">
        <v>400</v>
      </c>
      <c r="Q4" s="3">
        <f>C4+E4+G4+I4+K4+M4+O4+P4</f>
        <v>19755</v>
      </c>
    </row>
    <row r="5" spans="1:17" x14ac:dyDescent="0.2">
      <c r="A5" s="2">
        <v>46085</v>
      </c>
      <c r="B5" s="3">
        <v>8</v>
      </c>
      <c r="C5" s="3">
        <f>B5*5</f>
        <v>40</v>
      </c>
      <c r="D5" s="3">
        <v>10</v>
      </c>
      <c r="E5" s="3">
        <f>D5*10</f>
        <v>100</v>
      </c>
      <c r="F5" s="3">
        <v>5</v>
      </c>
      <c r="G5" s="3">
        <f>F5*20</f>
        <v>100</v>
      </c>
      <c r="H5" s="3">
        <v>22</v>
      </c>
      <c r="I5" s="3">
        <f>H5*50</f>
        <v>1100</v>
      </c>
      <c r="J5" s="3">
        <v>16</v>
      </c>
      <c r="K5" s="3">
        <f>J5*100</f>
        <v>1600</v>
      </c>
      <c r="L5" s="3">
        <v>11</v>
      </c>
      <c r="M5" s="3">
        <f>L5*500</f>
        <v>5500</v>
      </c>
      <c r="N5" s="3">
        <v>4</v>
      </c>
      <c r="O5" s="3">
        <f>N5*1000</f>
        <v>4000</v>
      </c>
      <c r="P5" s="3">
        <v>250</v>
      </c>
      <c r="Q5" s="3">
        <f>C5+E5+G5+I5+K5+M5+O5+P5</f>
        <v>12690</v>
      </c>
    </row>
    <row r="6" spans="1:17" x14ac:dyDescent="0.2">
      <c r="A6" s="2">
        <v>46086</v>
      </c>
      <c r="B6" s="3">
        <v>11</v>
      </c>
      <c r="C6" s="3">
        <f>B6*5</f>
        <v>55</v>
      </c>
      <c r="D6" s="3">
        <v>9</v>
      </c>
      <c r="E6" s="3">
        <f>D6*10</f>
        <v>90</v>
      </c>
      <c r="F6" s="3">
        <v>7</v>
      </c>
      <c r="G6" s="3">
        <f>F6*20</f>
        <v>140</v>
      </c>
      <c r="H6" s="3">
        <v>26</v>
      </c>
      <c r="I6" s="3">
        <f>H6*50</f>
        <v>1300</v>
      </c>
      <c r="J6" s="3">
        <v>18</v>
      </c>
      <c r="K6" s="3">
        <f>J6*100</f>
        <v>1800</v>
      </c>
      <c r="L6" s="3">
        <v>13</v>
      </c>
      <c r="M6" s="3">
        <f>L6*500</f>
        <v>6500</v>
      </c>
      <c r="N6" s="3">
        <v>6</v>
      </c>
      <c r="O6" s="3">
        <f>N6*1000</f>
        <v>6000</v>
      </c>
      <c r="P6" s="3">
        <v>350</v>
      </c>
      <c r="Q6" s="3">
        <f>C6+E6+G6+I6+K6+M6+O6+P6</f>
        <v>16235</v>
      </c>
    </row>
    <row r="7" spans="1:17" x14ac:dyDescent="0.2">
      <c r="A7" s="3"/>
      <c r="B7" s="3"/>
      <c r="C7" s="3" t="str">
        <f t="shared" ref="C7:C32" si="0">IF(B7="","",B7*5)</f>
        <v/>
      </c>
      <c r="D7" s="3"/>
      <c r="E7" s="3" t="str">
        <f t="shared" ref="E7:E32" si="1">IF(D7="","",D7*10)</f>
        <v/>
      </c>
      <c r="F7" s="3"/>
      <c r="G7" s="3" t="str">
        <f t="shared" ref="G7:G32" si="2">IF(F7="","",F7*20)</f>
        <v/>
      </c>
      <c r="H7" s="3"/>
      <c r="I7" s="3" t="str">
        <f t="shared" ref="I7:I32" si="3">IF(H7="","",H7*50)</f>
        <v/>
      </c>
      <c r="J7" s="3"/>
      <c r="K7" s="3" t="str">
        <f t="shared" ref="K7:K32" si="4">IF(J7="","",J7*100)</f>
        <v/>
      </c>
      <c r="L7" s="3"/>
      <c r="M7" s="3" t="str">
        <f t="shared" ref="M7:M32" si="5">IF(L7="","",L7*500)</f>
        <v/>
      </c>
      <c r="N7" s="3"/>
      <c r="O7" s="3" t="str">
        <f t="shared" ref="O7:O32" si="6">IF(N7="","",N7*1000)</f>
        <v/>
      </c>
      <c r="P7" s="3"/>
      <c r="Q7" s="3" t="str">
        <f t="shared" ref="Q7:Q32" si="7">IF(COUNT(B7,D7,F7,H7,J7,L7,N7,P7)=0,"",C7+E7+G7+I7+K7+M7+O7+P7)</f>
        <v/>
      </c>
    </row>
    <row r="8" spans="1:17" x14ac:dyDescent="0.2">
      <c r="A8" s="3"/>
      <c r="B8" s="3"/>
      <c r="C8" s="3" t="str">
        <f t="shared" si="0"/>
        <v/>
      </c>
      <c r="D8" s="3"/>
      <c r="E8" s="3" t="str">
        <f t="shared" si="1"/>
        <v/>
      </c>
      <c r="F8" s="3"/>
      <c r="G8" s="3" t="str">
        <f t="shared" si="2"/>
        <v/>
      </c>
      <c r="H8" s="3"/>
      <c r="I8" s="3" t="str">
        <f t="shared" si="3"/>
        <v/>
      </c>
      <c r="J8" s="3"/>
      <c r="K8" s="3" t="str">
        <f t="shared" si="4"/>
        <v/>
      </c>
      <c r="L8" s="3"/>
      <c r="M8" s="3" t="str">
        <f t="shared" si="5"/>
        <v/>
      </c>
      <c r="N8" s="3"/>
      <c r="O8" s="3" t="str">
        <f t="shared" si="6"/>
        <v/>
      </c>
      <c r="P8" s="3"/>
      <c r="Q8" s="3" t="str">
        <f t="shared" si="7"/>
        <v/>
      </c>
    </row>
    <row r="9" spans="1:17" x14ac:dyDescent="0.2">
      <c r="A9" s="3"/>
      <c r="B9" s="3"/>
      <c r="C9" s="3" t="str">
        <f t="shared" si="0"/>
        <v/>
      </c>
      <c r="D9" s="3"/>
      <c r="E9" s="3" t="str">
        <f t="shared" si="1"/>
        <v/>
      </c>
      <c r="F9" s="3"/>
      <c r="G9" s="3" t="str">
        <f t="shared" si="2"/>
        <v/>
      </c>
      <c r="H9" s="3"/>
      <c r="I9" s="3" t="str">
        <f t="shared" si="3"/>
        <v/>
      </c>
      <c r="J9" s="3"/>
      <c r="K9" s="3" t="str">
        <f t="shared" si="4"/>
        <v/>
      </c>
      <c r="L9" s="3"/>
      <c r="M9" s="3" t="str">
        <f t="shared" si="5"/>
        <v/>
      </c>
      <c r="N9" s="3"/>
      <c r="O9" s="3" t="str">
        <f t="shared" si="6"/>
        <v/>
      </c>
      <c r="P9" s="3"/>
      <c r="Q9" s="3" t="str">
        <f t="shared" si="7"/>
        <v/>
      </c>
    </row>
    <row r="10" spans="1:17" x14ac:dyDescent="0.2">
      <c r="A10" s="3"/>
      <c r="B10" s="3"/>
      <c r="C10" s="3" t="str">
        <f t="shared" si="0"/>
        <v/>
      </c>
      <c r="D10" s="3"/>
      <c r="E10" s="3" t="str">
        <f t="shared" si="1"/>
        <v/>
      </c>
      <c r="F10" s="3"/>
      <c r="G10" s="3" t="str">
        <f t="shared" si="2"/>
        <v/>
      </c>
      <c r="H10" s="3"/>
      <c r="I10" s="3" t="str">
        <f t="shared" si="3"/>
        <v/>
      </c>
      <c r="J10" s="3"/>
      <c r="K10" s="3" t="str">
        <f t="shared" si="4"/>
        <v/>
      </c>
      <c r="L10" s="3"/>
      <c r="M10" s="3" t="str">
        <f t="shared" si="5"/>
        <v/>
      </c>
      <c r="N10" s="3"/>
      <c r="O10" s="3" t="str">
        <f t="shared" si="6"/>
        <v/>
      </c>
      <c r="P10" s="3"/>
      <c r="Q10" s="3" t="str">
        <f t="shared" si="7"/>
        <v/>
      </c>
    </row>
    <row r="11" spans="1:17" x14ac:dyDescent="0.2">
      <c r="A11" s="3"/>
      <c r="B11" s="3"/>
      <c r="C11" s="3" t="str">
        <f t="shared" si="0"/>
        <v/>
      </c>
      <c r="D11" s="3"/>
      <c r="E11" s="3" t="str">
        <f t="shared" si="1"/>
        <v/>
      </c>
      <c r="F11" s="3"/>
      <c r="G11" s="3" t="str">
        <f t="shared" si="2"/>
        <v/>
      </c>
      <c r="H11" s="3"/>
      <c r="I11" s="3" t="str">
        <f t="shared" si="3"/>
        <v/>
      </c>
      <c r="J11" s="3"/>
      <c r="K11" s="3" t="str">
        <f t="shared" si="4"/>
        <v/>
      </c>
      <c r="L11" s="3"/>
      <c r="M11" s="3" t="str">
        <f t="shared" si="5"/>
        <v/>
      </c>
      <c r="N11" s="3"/>
      <c r="O11" s="3" t="str">
        <f t="shared" si="6"/>
        <v/>
      </c>
      <c r="P11" s="3"/>
      <c r="Q11" s="3" t="str">
        <f t="shared" si="7"/>
        <v/>
      </c>
    </row>
    <row r="12" spans="1:17" x14ac:dyDescent="0.2">
      <c r="A12" s="3"/>
      <c r="B12" s="3"/>
      <c r="C12" s="3" t="str">
        <f t="shared" si="0"/>
        <v/>
      </c>
      <c r="D12" s="3"/>
      <c r="E12" s="3" t="str">
        <f t="shared" si="1"/>
        <v/>
      </c>
      <c r="F12" s="3"/>
      <c r="G12" s="3" t="str">
        <f t="shared" si="2"/>
        <v/>
      </c>
      <c r="H12" s="3"/>
      <c r="I12" s="3" t="str">
        <f t="shared" si="3"/>
        <v/>
      </c>
      <c r="J12" s="3"/>
      <c r="K12" s="3" t="str">
        <f t="shared" si="4"/>
        <v/>
      </c>
      <c r="L12" s="3"/>
      <c r="M12" s="3" t="str">
        <f t="shared" si="5"/>
        <v/>
      </c>
      <c r="N12" s="3"/>
      <c r="O12" s="3" t="str">
        <f t="shared" si="6"/>
        <v/>
      </c>
      <c r="P12" s="3"/>
      <c r="Q12" s="3" t="str">
        <f t="shared" si="7"/>
        <v/>
      </c>
    </row>
    <row r="13" spans="1:17" x14ac:dyDescent="0.2">
      <c r="A13" s="3"/>
      <c r="B13" s="3"/>
      <c r="C13" s="3" t="str">
        <f t="shared" si="0"/>
        <v/>
      </c>
      <c r="D13" s="3"/>
      <c r="E13" s="3" t="str">
        <f t="shared" si="1"/>
        <v/>
      </c>
      <c r="F13" s="3"/>
      <c r="G13" s="3" t="str">
        <f t="shared" si="2"/>
        <v/>
      </c>
      <c r="H13" s="3"/>
      <c r="I13" s="3" t="str">
        <f t="shared" si="3"/>
        <v/>
      </c>
      <c r="J13" s="3"/>
      <c r="K13" s="3" t="str">
        <f t="shared" si="4"/>
        <v/>
      </c>
      <c r="L13" s="3"/>
      <c r="M13" s="3" t="str">
        <f t="shared" si="5"/>
        <v/>
      </c>
      <c r="N13" s="3"/>
      <c r="O13" s="3" t="str">
        <f t="shared" si="6"/>
        <v/>
      </c>
      <c r="P13" s="3"/>
      <c r="Q13" s="3" t="str">
        <f t="shared" si="7"/>
        <v/>
      </c>
    </row>
    <row r="14" spans="1:17" x14ac:dyDescent="0.2">
      <c r="A14" s="3"/>
      <c r="B14" s="3"/>
      <c r="C14" s="3" t="str">
        <f t="shared" si="0"/>
        <v/>
      </c>
      <c r="D14" s="3"/>
      <c r="E14" s="3" t="str">
        <f t="shared" si="1"/>
        <v/>
      </c>
      <c r="F14" s="3"/>
      <c r="G14" s="3" t="str">
        <f t="shared" si="2"/>
        <v/>
      </c>
      <c r="H14" s="3"/>
      <c r="I14" s="3" t="str">
        <f t="shared" si="3"/>
        <v/>
      </c>
      <c r="J14" s="3"/>
      <c r="K14" s="3" t="str">
        <f t="shared" si="4"/>
        <v/>
      </c>
      <c r="L14" s="3"/>
      <c r="M14" s="3" t="str">
        <f t="shared" si="5"/>
        <v/>
      </c>
      <c r="N14" s="3"/>
      <c r="O14" s="3" t="str">
        <f t="shared" si="6"/>
        <v/>
      </c>
      <c r="P14" s="3"/>
      <c r="Q14" s="3" t="str">
        <f t="shared" si="7"/>
        <v/>
      </c>
    </row>
    <row r="15" spans="1:17" x14ac:dyDescent="0.2">
      <c r="A15" s="3"/>
      <c r="B15" s="3"/>
      <c r="C15" s="3" t="str">
        <f t="shared" si="0"/>
        <v/>
      </c>
      <c r="D15" s="3"/>
      <c r="E15" s="3" t="str">
        <f t="shared" si="1"/>
        <v/>
      </c>
      <c r="F15" s="3"/>
      <c r="G15" s="3" t="str">
        <f t="shared" si="2"/>
        <v/>
      </c>
      <c r="H15" s="3"/>
      <c r="I15" s="3" t="str">
        <f t="shared" si="3"/>
        <v/>
      </c>
      <c r="J15" s="3"/>
      <c r="K15" s="3" t="str">
        <f t="shared" si="4"/>
        <v/>
      </c>
      <c r="L15" s="3"/>
      <c r="M15" s="3" t="str">
        <f t="shared" si="5"/>
        <v/>
      </c>
      <c r="N15" s="3"/>
      <c r="O15" s="3" t="str">
        <f t="shared" si="6"/>
        <v/>
      </c>
      <c r="P15" s="3"/>
      <c r="Q15" s="3" t="str">
        <f t="shared" si="7"/>
        <v/>
      </c>
    </row>
    <row r="16" spans="1:17" x14ac:dyDescent="0.2">
      <c r="A16" s="3"/>
      <c r="B16" s="3"/>
      <c r="C16" s="3" t="str">
        <f t="shared" si="0"/>
        <v/>
      </c>
      <c r="D16" s="3"/>
      <c r="E16" s="3" t="str">
        <f t="shared" si="1"/>
        <v/>
      </c>
      <c r="F16" s="3"/>
      <c r="G16" s="3" t="str">
        <f t="shared" si="2"/>
        <v/>
      </c>
      <c r="H16" s="3"/>
      <c r="I16" s="3" t="str">
        <f t="shared" si="3"/>
        <v/>
      </c>
      <c r="J16" s="3"/>
      <c r="K16" s="3" t="str">
        <f t="shared" si="4"/>
        <v/>
      </c>
      <c r="L16" s="3"/>
      <c r="M16" s="3" t="str">
        <f t="shared" si="5"/>
        <v/>
      </c>
      <c r="N16" s="3"/>
      <c r="O16" s="3" t="str">
        <f t="shared" si="6"/>
        <v/>
      </c>
      <c r="P16" s="3"/>
      <c r="Q16" s="3" t="str">
        <f t="shared" si="7"/>
        <v/>
      </c>
    </row>
    <row r="17" spans="1:17" x14ac:dyDescent="0.2">
      <c r="A17" s="3"/>
      <c r="B17" s="3"/>
      <c r="C17" s="3" t="str">
        <f t="shared" si="0"/>
        <v/>
      </c>
      <c r="D17" s="3"/>
      <c r="E17" s="3" t="str">
        <f t="shared" si="1"/>
        <v/>
      </c>
      <c r="F17" s="3"/>
      <c r="G17" s="3" t="str">
        <f t="shared" si="2"/>
        <v/>
      </c>
      <c r="H17" s="3"/>
      <c r="I17" s="3" t="str">
        <f t="shared" si="3"/>
        <v/>
      </c>
      <c r="J17" s="3"/>
      <c r="K17" s="3" t="str">
        <f t="shared" si="4"/>
        <v/>
      </c>
      <c r="L17" s="3"/>
      <c r="M17" s="3" t="str">
        <f t="shared" si="5"/>
        <v/>
      </c>
      <c r="N17" s="3"/>
      <c r="O17" s="3" t="str">
        <f t="shared" si="6"/>
        <v/>
      </c>
      <c r="P17" s="3"/>
      <c r="Q17" s="3" t="str">
        <f t="shared" si="7"/>
        <v/>
      </c>
    </row>
    <row r="18" spans="1:17" x14ac:dyDescent="0.2">
      <c r="A18" s="3"/>
      <c r="B18" s="3"/>
      <c r="C18" s="3" t="str">
        <f t="shared" si="0"/>
        <v/>
      </c>
      <c r="D18" s="3"/>
      <c r="E18" s="3" t="str">
        <f t="shared" si="1"/>
        <v/>
      </c>
      <c r="F18" s="3"/>
      <c r="G18" s="3" t="str">
        <f t="shared" si="2"/>
        <v/>
      </c>
      <c r="H18" s="3"/>
      <c r="I18" s="3" t="str">
        <f t="shared" si="3"/>
        <v/>
      </c>
      <c r="J18" s="3"/>
      <c r="K18" s="3" t="str">
        <f t="shared" si="4"/>
        <v/>
      </c>
      <c r="L18" s="3"/>
      <c r="M18" s="3" t="str">
        <f t="shared" si="5"/>
        <v/>
      </c>
      <c r="N18" s="3"/>
      <c r="O18" s="3" t="str">
        <f t="shared" si="6"/>
        <v/>
      </c>
      <c r="P18" s="3"/>
      <c r="Q18" s="3" t="str">
        <f t="shared" si="7"/>
        <v/>
      </c>
    </row>
    <row r="19" spans="1:17" x14ac:dyDescent="0.2">
      <c r="A19" s="3"/>
      <c r="B19" s="3"/>
      <c r="C19" s="3" t="str">
        <f t="shared" si="0"/>
        <v/>
      </c>
      <c r="D19" s="3"/>
      <c r="E19" s="3" t="str">
        <f t="shared" si="1"/>
        <v/>
      </c>
      <c r="F19" s="3"/>
      <c r="G19" s="3" t="str">
        <f t="shared" si="2"/>
        <v/>
      </c>
      <c r="H19" s="3"/>
      <c r="I19" s="3" t="str">
        <f t="shared" si="3"/>
        <v/>
      </c>
      <c r="J19" s="3"/>
      <c r="K19" s="3" t="str">
        <f t="shared" si="4"/>
        <v/>
      </c>
      <c r="L19" s="3"/>
      <c r="M19" s="3" t="str">
        <f t="shared" si="5"/>
        <v/>
      </c>
      <c r="N19" s="3"/>
      <c r="O19" s="3" t="str">
        <f t="shared" si="6"/>
        <v/>
      </c>
      <c r="P19" s="3"/>
      <c r="Q19" s="3" t="str">
        <f t="shared" si="7"/>
        <v/>
      </c>
    </row>
    <row r="20" spans="1:17" x14ac:dyDescent="0.2">
      <c r="A20" s="3"/>
      <c r="B20" s="3"/>
      <c r="C20" s="3" t="str">
        <f t="shared" si="0"/>
        <v/>
      </c>
      <c r="D20" s="3"/>
      <c r="E20" s="3" t="str">
        <f t="shared" si="1"/>
        <v/>
      </c>
      <c r="F20" s="3"/>
      <c r="G20" s="3" t="str">
        <f t="shared" si="2"/>
        <v/>
      </c>
      <c r="H20" s="3"/>
      <c r="I20" s="3" t="str">
        <f t="shared" si="3"/>
        <v/>
      </c>
      <c r="J20" s="3"/>
      <c r="K20" s="3" t="str">
        <f t="shared" si="4"/>
        <v/>
      </c>
      <c r="L20" s="3"/>
      <c r="M20" s="3" t="str">
        <f t="shared" si="5"/>
        <v/>
      </c>
      <c r="N20" s="3"/>
      <c r="O20" s="3" t="str">
        <f t="shared" si="6"/>
        <v/>
      </c>
      <c r="P20" s="3"/>
      <c r="Q20" s="3" t="str">
        <f t="shared" si="7"/>
        <v/>
      </c>
    </row>
    <row r="21" spans="1:17" x14ac:dyDescent="0.2">
      <c r="A21" s="3"/>
      <c r="B21" s="3"/>
      <c r="C21" s="3" t="str">
        <f t="shared" si="0"/>
        <v/>
      </c>
      <c r="D21" s="3"/>
      <c r="E21" s="3" t="str">
        <f t="shared" si="1"/>
        <v/>
      </c>
      <c r="F21" s="3"/>
      <c r="G21" s="3" t="str">
        <f t="shared" si="2"/>
        <v/>
      </c>
      <c r="H21" s="3"/>
      <c r="I21" s="3" t="str">
        <f t="shared" si="3"/>
        <v/>
      </c>
      <c r="J21" s="3"/>
      <c r="K21" s="3" t="str">
        <f t="shared" si="4"/>
        <v/>
      </c>
      <c r="L21" s="3"/>
      <c r="M21" s="3" t="str">
        <f t="shared" si="5"/>
        <v/>
      </c>
      <c r="N21" s="3"/>
      <c r="O21" s="3" t="str">
        <f t="shared" si="6"/>
        <v/>
      </c>
      <c r="P21" s="3"/>
      <c r="Q21" s="3" t="str">
        <f t="shared" si="7"/>
        <v/>
      </c>
    </row>
    <row r="22" spans="1:17" x14ac:dyDescent="0.2">
      <c r="A22" s="3"/>
      <c r="B22" s="3"/>
      <c r="C22" s="3" t="str">
        <f t="shared" si="0"/>
        <v/>
      </c>
      <c r="D22" s="3"/>
      <c r="E22" s="3" t="str">
        <f t="shared" si="1"/>
        <v/>
      </c>
      <c r="F22" s="3"/>
      <c r="G22" s="3" t="str">
        <f t="shared" si="2"/>
        <v/>
      </c>
      <c r="H22" s="3"/>
      <c r="I22" s="3" t="str">
        <f t="shared" si="3"/>
        <v/>
      </c>
      <c r="J22" s="3"/>
      <c r="K22" s="3" t="str">
        <f t="shared" si="4"/>
        <v/>
      </c>
      <c r="L22" s="3"/>
      <c r="M22" s="3" t="str">
        <f t="shared" si="5"/>
        <v/>
      </c>
      <c r="N22" s="3"/>
      <c r="O22" s="3" t="str">
        <f t="shared" si="6"/>
        <v/>
      </c>
      <c r="P22" s="3"/>
      <c r="Q22" s="3" t="str">
        <f t="shared" si="7"/>
        <v/>
      </c>
    </row>
    <row r="23" spans="1:17" x14ac:dyDescent="0.2">
      <c r="A23" s="3"/>
      <c r="B23" s="3"/>
      <c r="C23" s="3" t="str">
        <f t="shared" si="0"/>
        <v/>
      </c>
      <c r="D23" s="3"/>
      <c r="E23" s="3" t="str">
        <f t="shared" si="1"/>
        <v/>
      </c>
      <c r="F23" s="3"/>
      <c r="G23" s="3" t="str">
        <f t="shared" si="2"/>
        <v/>
      </c>
      <c r="H23" s="3"/>
      <c r="I23" s="3" t="str">
        <f t="shared" si="3"/>
        <v/>
      </c>
      <c r="J23" s="3"/>
      <c r="K23" s="3" t="str">
        <f t="shared" si="4"/>
        <v/>
      </c>
      <c r="L23" s="3"/>
      <c r="M23" s="3" t="str">
        <f t="shared" si="5"/>
        <v/>
      </c>
      <c r="N23" s="3"/>
      <c r="O23" s="3" t="str">
        <f t="shared" si="6"/>
        <v/>
      </c>
      <c r="P23" s="3"/>
      <c r="Q23" s="3" t="str">
        <f t="shared" si="7"/>
        <v/>
      </c>
    </row>
    <row r="24" spans="1:17" x14ac:dyDescent="0.2">
      <c r="A24" s="3"/>
      <c r="B24" s="3"/>
      <c r="C24" s="3" t="str">
        <f t="shared" si="0"/>
        <v/>
      </c>
      <c r="D24" s="3"/>
      <c r="E24" s="3" t="str">
        <f t="shared" si="1"/>
        <v/>
      </c>
      <c r="F24" s="3"/>
      <c r="G24" s="3" t="str">
        <f t="shared" si="2"/>
        <v/>
      </c>
      <c r="H24" s="3"/>
      <c r="I24" s="3" t="str">
        <f t="shared" si="3"/>
        <v/>
      </c>
      <c r="J24" s="3"/>
      <c r="K24" s="3" t="str">
        <f t="shared" si="4"/>
        <v/>
      </c>
      <c r="L24" s="3"/>
      <c r="M24" s="3" t="str">
        <f t="shared" si="5"/>
        <v/>
      </c>
      <c r="N24" s="3"/>
      <c r="O24" s="3" t="str">
        <f t="shared" si="6"/>
        <v/>
      </c>
      <c r="P24" s="3"/>
      <c r="Q24" s="3" t="str">
        <f t="shared" si="7"/>
        <v/>
      </c>
    </row>
    <row r="25" spans="1:17" x14ac:dyDescent="0.2">
      <c r="A25" s="3"/>
      <c r="B25" s="3"/>
      <c r="C25" s="3" t="str">
        <f t="shared" si="0"/>
        <v/>
      </c>
      <c r="D25" s="3"/>
      <c r="E25" s="3" t="str">
        <f t="shared" si="1"/>
        <v/>
      </c>
      <c r="F25" s="3"/>
      <c r="G25" s="3" t="str">
        <f t="shared" si="2"/>
        <v/>
      </c>
      <c r="H25" s="3"/>
      <c r="I25" s="3" t="str">
        <f t="shared" si="3"/>
        <v/>
      </c>
      <c r="J25" s="3"/>
      <c r="K25" s="3" t="str">
        <f t="shared" si="4"/>
        <v/>
      </c>
      <c r="L25" s="3"/>
      <c r="M25" s="3" t="str">
        <f t="shared" si="5"/>
        <v/>
      </c>
      <c r="N25" s="3"/>
      <c r="O25" s="3" t="str">
        <f t="shared" si="6"/>
        <v/>
      </c>
      <c r="P25" s="3"/>
      <c r="Q25" s="3" t="str">
        <f t="shared" si="7"/>
        <v/>
      </c>
    </row>
    <row r="26" spans="1:17" x14ac:dyDescent="0.2">
      <c r="A26" s="3"/>
      <c r="B26" s="3"/>
      <c r="C26" s="3" t="str">
        <f t="shared" si="0"/>
        <v/>
      </c>
      <c r="D26" s="3"/>
      <c r="E26" s="3" t="str">
        <f t="shared" si="1"/>
        <v/>
      </c>
      <c r="F26" s="3"/>
      <c r="G26" s="3" t="str">
        <f t="shared" si="2"/>
        <v/>
      </c>
      <c r="H26" s="3"/>
      <c r="I26" s="3" t="str">
        <f t="shared" si="3"/>
        <v/>
      </c>
      <c r="J26" s="3"/>
      <c r="K26" s="3" t="str">
        <f t="shared" si="4"/>
        <v/>
      </c>
      <c r="L26" s="3"/>
      <c r="M26" s="3" t="str">
        <f t="shared" si="5"/>
        <v/>
      </c>
      <c r="N26" s="3"/>
      <c r="O26" s="3" t="str">
        <f t="shared" si="6"/>
        <v/>
      </c>
      <c r="P26" s="3"/>
      <c r="Q26" s="3" t="str">
        <f t="shared" si="7"/>
        <v/>
      </c>
    </row>
    <row r="27" spans="1:17" x14ac:dyDescent="0.2">
      <c r="A27" s="3"/>
      <c r="B27" s="3"/>
      <c r="C27" s="3" t="str">
        <f t="shared" si="0"/>
        <v/>
      </c>
      <c r="D27" s="3"/>
      <c r="E27" s="3" t="str">
        <f t="shared" si="1"/>
        <v/>
      </c>
      <c r="F27" s="3"/>
      <c r="G27" s="3" t="str">
        <f t="shared" si="2"/>
        <v/>
      </c>
      <c r="H27" s="3"/>
      <c r="I27" s="3" t="str">
        <f t="shared" si="3"/>
        <v/>
      </c>
      <c r="J27" s="3"/>
      <c r="K27" s="3" t="str">
        <f t="shared" si="4"/>
        <v/>
      </c>
      <c r="L27" s="3"/>
      <c r="M27" s="3" t="str">
        <f t="shared" si="5"/>
        <v/>
      </c>
      <c r="N27" s="3"/>
      <c r="O27" s="3" t="str">
        <f t="shared" si="6"/>
        <v/>
      </c>
      <c r="P27" s="3"/>
      <c r="Q27" s="3" t="str">
        <f t="shared" si="7"/>
        <v/>
      </c>
    </row>
    <row r="28" spans="1:17" x14ac:dyDescent="0.2">
      <c r="A28" s="3"/>
      <c r="B28" s="3"/>
      <c r="C28" s="3" t="str">
        <f t="shared" si="0"/>
        <v/>
      </c>
      <c r="D28" s="3"/>
      <c r="E28" s="3" t="str">
        <f t="shared" si="1"/>
        <v/>
      </c>
      <c r="F28" s="3"/>
      <c r="G28" s="3" t="str">
        <f t="shared" si="2"/>
        <v/>
      </c>
      <c r="H28" s="3"/>
      <c r="I28" s="3" t="str">
        <f t="shared" si="3"/>
        <v/>
      </c>
      <c r="J28" s="3"/>
      <c r="K28" s="3" t="str">
        <f t="shared" si="4"/>
        <v/>
      </c>
      <c r="L28" s="3"/>
      <c r="M28" s="3" t="str">
        <f t="shared" si="5"/>
        <v/>
      </c>
      <c r="N28" s="3"/>
      <c r="O28" s="3" t="str">
        <f t="shared" si="6"/>
        <v/>
      </c>
      <c r="P28" s="3"/>
      <c r="Q28" s="3" t="str">
        <f t="shared" si="7"/>
        <v/>
      </c>
    </row>
    <row r="29" spans="1:17" x14ac:dyDescent="0.2">
      <c r="A29" s="3"/>
      <c r="B29" s="3"/>
      <c r="C29" s="3" t="str">
        <f t="shared" si="0"/>
        <v/>
      </c>
      <c r="D29" s="3"/>
      <c r="E29" s="3" t="str">
        <f t="shared" si="1"/>
        <v/>
      </c>
      <c r="F29" s="3"/>
      <c r="G29" s="3" t="str">
        <f t="shared" si="2"/>
        <v/>
      </c>
      <c r="H29" s="3"/>
      <c r="I29" s="3" t="str">
        <f t="shared" si="3"/>
        <v/>
      </c>
      <c r="J29" s="3"/>
      <c r="K29" s="3" t="str">
        <f t="shared" si="4"/>
        <v/>
      </c>
      <c r="L29" s="3"/>
      <c r="M29" s="3" t="str">
        <f t="shared" si="5"/>
        <v/>
      </c>
      <c r="N29" s="3"/>
      <c r="O29" s="3" t="str">
        <f t="shared" si="6"/>
        <v/>
      </c>
      <c r="P29" s="3"/>
      <c r="Q29" s="3" t="str">
        <f t="shared" si="7"/>
        <v/>
      </c>
    </row>
    <row r="30" spans="1:17" x14ac:dyDescent="0.2">
      <c r="A30" s="3"/>
      <c r="B30" s="3"/>
      <c r="C30" s="3" t="str">
        <f t="shared" si="0"/>
        <v/>
      </c>
      <c r="D30" s="3"/>
      <c r="E30" s="3" t="str">
        <f t="shared" si="1"/>
        <v/>
      </c>
      <c r="F30" s="3"/>
      <c r="G30" s="3" t="str">
        <f t="shared" si="2"/>
        <v/>
      </c>
      <c r="H30" s="3"/>
      <c r="I30" s="3" t="str">
        <f t="shared" si="3"/>
        <v/>
      </c>
      <c r="J30" s="3"/>
      <c r="K30" s="3" t="str">
        <f t="shared" si="4"/>
        <v/>
      </c>
      <c r="L30" s="3"/>
      <c r="M30" s="3" t="str">
        <f t="shared" si="5"/>
        <v/>
      </c>
      <c r="N30" s="3"/>
      <c r="O30" s="3" t="str">
        <f t="shared" si="6"/>
        <v/>
      </c>
      <c r="P30" s="3"/>
      <c r="Q30" s="3" t="str">
        <f t="shared" si="7"/>
        <v/>
      </c>
    </row>
    <row r="31" spans="1:17" x14ac:dyDescent="0.2">
      <c r="A31" s="3"/>
      <c r="B31" s="3"/>
      <c r="C31" s="3" t="str">
        <f t="shared" si="0"/>
        <v/>
      </c>
      <c r="D31" s="3"/>
      <c r="E31" s="3" t="str">
        <f t="shared" si="1"/>
        <v/>
      </c>
      <c r="F31" s="3"/>
      <c r="G31" s="3" t="str">
        <f t="shared" si="2"/>
        <v/>
      </c>
      <c r="H31" s="3"/>
      <c r="I31" s="3" t="str">
        <f t="shared" si="3"/>
        <v/>
      </c>
      <c r="J31" s="3"/>
      <c r="K31" s="3" t="str">
        <f t="shared" si="4"/>
        <v/>
      </c>
      <c r="L31" s="3"/>
      <c r="M31" s="3" t="str">
        <f t="shared" si="5"/>
        <v/>
      </c>
      <c r="N31" s="3"/>
      <c r="O31" s="3" t="str">
        <f t="shared" si="6"/>
        <v/>
      </c>
      <c r="P31" s="3"/>
      <c r="Q31" s="3" t="str">
        <f t="shared" si="7"/>
        <v/>
      </c>
    </row>
    <row r="32" spans="1:17" x14ac:dyDescent="0.2">
      <c r="A32" s="3"/>
      <c r="B32" s="3"/>
      <c r="C32" s="3" t="str">
        <f t="shared" si="0"/>
        <v/>
      </c>
      <c r="D32" s="3"/>
      <c r="E32" s="3" t="str">
        <f t="shared" si="1"/>
        <v/>
      </c>
      <c r="F32" s="3"/>
      <c r="G32" s="3" t="str">
        <f t="shared" si="2"/>
        <v/>
      </c>
      <c r="H32" s="3"/>
      <c r="I32" s="3" t="str">
        <f t="shared" si="3"/>
        <v/>
      </c>
      <c r="J32" s="3"/>
      <c r="K32" s="3" t="str">
        <f t="shared" si="4"/>
        <v/>
      </c>
      <c r="L32" s="3"/>
      <c r="M32" s="3" t="str">
        <f t="shared" si="5"/>
        <v/>
      </c>
      <c r="N32" s="3"/>
      <c r="O32" s="3" t="str">
        <f t="shared" si="6"/>
        <v/>
      </c>
      <c r="P32" s="3"/>
      <c r="Q32" s="3" t="str">
        <f t="shared" si="7"/>
        <v/>
      </c>
    </row>
    <row r="33" spans="1:17" x14ac:dyDescent="0.2">
      <c r="A33" s="4" t="s">
        <v>38</v>
      </c>
      <c r="B33" s="5">
        <f t="shared" ref="B33:Q33" si="8">SUM(B2:B32)</f>
        <v>56</v>
      </c>
      <c r="C33" s="5">
        <f t="shared" si="8"/>
        <v>280</v>
      </c>
      <c r="D33" s="5">
        <f t="shared" si="8"/>
        <v>49</v>
      </c>
      <c r="E33" s="5">
        <f t="shared" si="8"/>
        <v>490</v>
      </c>
      <c r="F33" s="5">
        <f t="shared" si="8"/>
        <v>33</v>
      </c>
      <c r="G33" s="5">
        <f t="shared" si="8"/>
        <v>660</v>
      </c>
      <c r="H33" s="5">
        <f t="shared" si="8"/>
        <v>130</v>
      </c>
      <c r="I33" s="5">
        <f t="shared" si="8"/>
        <v>6500</v>
      </c>
      <c r="J33" s="5">
        <f t="shared" si="8"/>
        <v>87</v>
      </c>
      <c r="K33" s="5">
        <f t="shared" si="8"/>
        <v>8700</v>
      </c>
      <c r="L33" s="5">
        <f t="shared" si="8"/>
        <v>61</v>
      </c>
      <c r="M33" s="5">
        <f t="shared" si="8"/>
        <v>30500</v>
      </c>
      <c r="N33" s="5">
        <f t="shared" si="8"/>
        <v>29</v>
      </c>
      <c r="O33" s="5">
        <f t="shared" si="8"/>
        <v>29000</v>
      </c>
      <c r="P33" s="5">
        <f t="shared" si="8"/>
        <v>1500</v>
      </c>
      <c r="Q33" s="5">
        <f t="shared" si="8"/>
        <v>77630</v>
      </c>
    </row>
  </sheetData>
  <autoFilter ref="A1:Q32" xr:uid="{00000000-0009-0000-0000-000003000000}"/>
  <dataValidations count="1">
    <dataValidation type="custom" allowBlank="1" errorTitle="Invalid Date" error="Please enter a date that is today or earlier (no future dates)." promptTitle="Date" prompt="Enter a date (today or earlier)" sqref="A2:A32" xr:uid="{00000000-0002-0000-0300-000000000000}">
      <formula1>A2&lt;=TODAY()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G44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5" customWidth="1"/>
    <col min="2" max="2" width="16" customWidth="1"/>
    <col min="3" max="4" width="18" customWidth="1"/>
    <col min="5" max="5" width="22" customWidth="1"/>
    <col min="6" max="6" width="16" customWidth="1"/>
    <col min="7" max="7" width="14" customWidth="1"/>
  </cols>
  <sheetData>
    <row r="1" spans="1:7" ht="19" x14ac:dyDescent="0.2">
      <c r="A1" s="6" t="s">
        <v>92</v>
      </c>
      <c r="B1" s="7">
        <f>SUM('Daily Sales'!I2:I32)</f>
        <v>45440</v>
      </c>
      <c r="C1" s="8"/>
    </row>
    <row r="2" spans="1:7" ht="19" x14ac:dyDescent="0.2">
      <c r="A2" s="6" t="s">
        <v>93</v>
      </c>
      <c r="B2" s="7">
        <f>SUMIFS('Daily Sales'!I:I,'Daily Sales'!J:J,"Cash")</f>
        <v>28905</v>
      </c>
      <c r="C2" s="8"/>
    </row>
    <row r="3" spans="1:7" ht="19" x14ac:dyDescent="0.2">
      <c r="A3" s="6" t="s">
        <v>94</v>
      </c>
      <c r="B3" s="7">
        <f>SUMIFS('Daily Sales'!I:I,'Daily Sales'!J:J,"Credit")</f>
        <v>8650</v>
      </c>
      <c r="C3" s="8"/>
    </row>
    <row r="4" spans="1:7" ht="19" x14ac:dyDescent="0.2">
      <c r="A4" s="6" t="s">
        <v>95</v>
      </c>
      <c r="B4" s="7">
        <f>SUM('Cash Collection'!F2:F32)</f>
        <v>16700</v>
      </c>
      <c r="C4" s="8"/>
    </row>
    <row r="5" spans="1:7" ht="19" x14ac:dyDescent="0.2">
      <c r="A5" s="6" t="s">
        <v>96</v>
      </c>
      <c r="B5" s="7">
        <f>SUM('Day Book'!H2:H32,'Day Book'!I2:I32,'Day Book'!J2:J32,'Day Book'!K2:K32,'Day Book'!L2:L32,'Day Book'!M2:M32,'Day Book'!N2:N32,'Day Book'!O2:O32,'Day Book'!P2:P32,'Day Book'!Q2:Q32,'Day Book'!R2:R32)</f>
        <v>34000</v>
      </c>
      <c r="C5" s="8"/>
    </row>
    <row r="6" spans="1:7" ht="19" x14ac:dyDescent="0.2">
      <c r="A6" s="6" t="s">
        <v>97</v>
      </c>
      <c r="B6" s="7">
        <f>SUM('Supplier Payments'!E2:E32)</f>
        <v>12000</v>
      </c>
      <c r="C6" s="8"/>
    </row>
    <row r="7" spans="1:7" ht="19" x14ac:dyDescent="0.2">
      <c r="A7" s="6" t="s">
        <v>98</v>
      </c>
      <c r="B7" s="7">
        <f>SUM('Day Book'!T2:T32)</f>
        <v>60300</v>
      </c>
      <c r="C7" s="8"/>
    </row>
    <row r="8" spans="1:7" ht="19" x14ac:dyDescent="0.2">
      <c r="A8" s="6" t="s">
        <v>99</v>
      </c>
      <c r="B8" s="7">
        <f>SUM('Day Book'!U2:U32)</f>
        <v>-1012860</v>
      </c>
      <c r="C8" s="8"/>
    </row>
    <row r="9" spans="1:7" ht="19" x14ac:dyDescent="0.2">
      <c r="A9" s="6" t="s">
        <v>100</v>
      </c>
      <c r="B9" s="7" t="e">
        <f ca="1">SUM('Day Book'!V2:V32)</f>
        <v>#NAME?</v>
      </c>
      <c r="C9" s="8"/>
    </row>
    <row r="10" spans="1:7" ht="19" x14ac:dyDescent="0.2">
      <c r="A10" s="6" t="s">
        <v>101</v>
      </c>
      <c r="B10" s="7">
        <f ca="1">SUM('Day Book'!W2:W32)</f>
        <v>0</v>
      </c>
      <c r="C10" s="8"/>
    </row>
    <row r="11" spans="1:7" ht="19" x14ac:dyDescent="0.2">
      <c r="A11" s="6" t="s">
        <v>102</v>
      </c>
      <c r="B11" s="7">
        <f>SUM('Stock Valuation'!D2:D32)</f>
        <v>325650</v>
      </c>
      <c r="C11" s="8"/>
    </row>
    <row r="13" spans="1:7" ht="16" x14ac:dyDescent="0.2">
      <c r="A13" s="1" t="s">
        <v>0</v>
      </c>
      <c r="B13" s="1" t="s">
        <v>8</v>
      </c>
      <c r="C13" s="1" t="s">
        <v>57</v>
      </c>
      <c r="D13" s="1" t="s">
        <v>96</v>
      </c>
      <c r="E13" s="1" t="s">
        <v>73</v>
      </c>
      <c r="F13" s="1" t="s">
        <v>103</v>
      </c>
      <c r="G13" s="1" t="s">
        <v>75</v>
      </c>
    </row>
    <row r="14" spans="1:7" x14ac:dyDescent="0.2">
      <c r="A14" s="2">
        <f>IFERROR('Day Book'!A2,"")</f>
        <v>46082</v>
      </c>
      <c r="B14" s="3">
        <f>IFERROR('Day Book'!C2+'Day Book'!D2,"")</f>
        <v>5440</v>
      </c>
      <c r="C14" s="3">
        <f>IFERROR('Day Book'!E2,"")</f>
        <v>7000</v>
      </c>
      <c r="D14" s="3">
        <f>IFERROR('Day Book'!S2,"")</f>
        <v>8600</v>
      </c>
      <c r="E14" s="3">
        <f>IFERROR('Day Book'!U2,"")</f>
        <v>7860</v>
      </c>
      <c r="F14" s="3" t="str">
        <f ca="1">IFERROR('Day Book'!V2,"")</f>
        <v/>
      </c>
      <c r="G14" s="3" t="str">
        <f ca="1">IFERROR('Day Book'!W2,"")</f>
        <v/>
      </c>
    </row>
    <row r="15" spans="1:7" x14ac:dyDescent="0.2">
      <c r="A15" s="9">
        <f>IFERROR('Day Book'!A3,"")</f>
        <v>46083</v>
      </c>
      <c r="B15" s="10">
        <f>IFERROR('Day Book'!C3+'Day Book'!D3,"")</f>
        <v>6770</v>
      </c>
      <c r="C15" s="10">
        <f>IFERROR('Day Book'!E3,"")</f>
        <v>8200</v>
      </c>
      <c r="D15" s="10">
        <f>IFERROR('Day Book'!S3,"")</f>
        <v>7250</v>
      </c>
      <c r="E15" s="10">
        <f>IFERROR('Day Book'!U3,"")</f>
        <v>3380</v>
      </c>
      <c r="F15" s="10" t="str">
        <f ca="1">IFERROR('Day Book'!V3,"")</f>
        <v/>
      </c>
      <c r="G15" s="10" t="str">
        <f ca="1">IFERROR('Day Book'!W3,"")</f>
        <v/>
      </c>
    </row>
    <row r="16" spans="1:7" x14ac:dyDescent="0.2">
      <c r="A16" s="2">
        <f>IFERROR('Day Book'!A4,"")</f>
        <v>46084</v>
      </c>
      <c r="B16" s="3">
        <f>IFERROR('Day Book'!C4+'Day Book'!D4,"")</f>
        <v>6340</v>
      </c>
      <c r="C16" s="3">
        <f>IFERROR('Day Book'!E4,"")</f>
        <v>1500</v>
      </c>
      <c r="D16" s="3">
        <f>IFERROR('Day Book'!S4,"")</f>
        <v>6500</v>
      </c>
      <c r="E16" s="3">
        <f>IFERROR('Day Book'!U4,"")</f>
        <v>-8280</v>
      </c>
      <c r="F16" s="3" t="str">
        <f ca="1">IFERROR('Day Book'!V4,"")</f>
        <v/>
      </c>
      <c r="G16" s="3" t="str">
        <f ca="1">IFERROR('Day Book'!W4,"")</f>
        <v/>
      </c>
    </row>
    <row r="17" spans="1:7" x14ac:dyDescent="0.2">
      <c r="A17" s="9">
        <f>IFERROR('Day Book'!A5,"")</f>
        <v>46085</v>
      </c>
      <c r="B17" s="10">
        <f>IFERROR('Day Book'!C5+'Day Book'!D5,"")</f>
        <v>5475</v>
      </c>
      <c r="C17" s="10">
        <f>IFERROR('Day Book'!E5,"")</f>
        <v>0</v>
      </c>
      <c r="D17" s="10">
        <f>IFERROR('Day Book'!S5,"")</f>
        <v>5450</v>
      </c>
      <c r="E17" s="10">
        <f>IFERROR('Day Book'!U5,"")</f>
        <v>-22355</v>
      </c>
      <c r="F17" s="10" t="str">
        <f ca="1">IFERROR('Day Book'!V5,"")</f>
        <v/>
      </c>
      <c r="G17" s="10" t="str">
        <f ca="1">IFERROR('Day Book'!W5,"")</f>
        <v/>
      </c>
    </row>
    <row r="18" spans="1:7" x14ac:dyDescent="0.2">
      <c r="A18" s="2">
        <f>IFERROR('Day Book'!A6,"")</f>
        <v>46086</v>
      </c>
      <c r="B18" s="3">
        <f>IFERROR('Day Book'!C6+'Day Book'!D6,"")</f>
        <v>13530</v>
      </c>
      <c r="C18" s="3">
        <f>IFERROR('Day Book'!E6,"")</f>
        <v>0</v>
      </c>
      <c r="D18" s="3">
        <f>IFERROR('Day Book'!S6,"")</f>
        <v>6200</v>
      </c>
      <c r="E18" s="3">
        <f>IFERROR('Day Book'!U6,"")</f>
        <v>-36795</v>
      </c>
      <c r="F18" s="3" t="str">
        <f ca="1">IFERROR('Day Book'!V6,"")</f>
        <v/>
      </c>
      <c r="G18" s="3" t="str">
        <f ca="1">IFERROR('Day Book'!W6,"")</f>
        <v/>
      </c>
    </row>
    <row r="19" spans="1:7" x14ac:dyDescent="0.2">
      <c r="A19" s="9">
        <f>IFERROR('Day Book'!A7,"")</f>
        <v>0</v>
      </c>
      <c r="B19" s="10">
        <f>IFERROR('Day Book'!C7+'Day Book'!D7,"")</f>
        <v>0</v>
      </c>
      <c r="C19" s="10">
        <f>IFERROR('Day Book'!E7,"")</f>
        <v>0</v>
      </c>
      <c r="D19" s="10">
        <f>IFERROR('Day Book'!S7,"")</f>
        <v>0</v>
      </c>
      <c r="E19" s="10">
        <f>IFERROR('Day Book'!U7,"")</f>
        <v>-36795</v>
      </c>
      <c r="F19" s="10" t="str">
        <f ca="1">IFERROR('Day Book'!V7,"")</f>
        <v/>
      </c>
      <c r="G19" s="10" t="str">
        <f ca="1">IFERROR('Day Book'!W7,"")</f>
        <v/>
      </c>
    </row>
    <row r="20" spans="1:7" x14ac:dyDescent="0.2">
      <c r="A20" s="2">
        <f>IFERROR('Day Book'!A8,"")</f>
        <v>0</v>
      </c>
      <c r="B20" s="3">
        <f>IFERROR('Day Book'!C8+'Day Book'!D8,"")</f>
        <v>0</v>
      </c>
      <c r="C20" s="3">
        <f>IFERROR('Day Book'!E8,"")</f>
        <v>0</v>
      </c>
      <c r="D20" s="3">
        <f>IFERROR('Day Book'!S8,"")</f>
        <v>0</v>
      </c>
      <c r="E20" s="3">
        <f>IFERROR('Day Book'!U8,"")</f>
        <v>-36795</v>
      </c>
      <c r="F20" s="3" t="str">
        <f ca="1">IFERROR('Day Book'!V8,"")</f>
        <v/>
      </c>
      <c r="G20" s="3" t="str">
        <f ca="1">IFERROR('Day Book'!W8,"")</f>
        <v/>
      </c>
    </row>
    <row r="21" spans="1:7" x14ac:dyDescent="0.2">
      <c r="A21" s="9">
        <f>IFERROR('Day Book'!A9,"")</f>
        <v>0</v>
      </c>
      <c r="B21" s="10">
        <f>IFERROR('Day Book'!C9+'Day Book'!D9,"")</f>
        <v>0</v>
      </c>
      <c r="C21" s="10">
        <f>IFERROR('Day Book'!E9,"")</f>
        <v>0</v>
      </c>
      <c r="D21" s="10">
        <f>IFERROR('Day Book'!S9,"")</f>
        <v>0</v>
      </c>
      <c r="E21" s="10">
        <f>IFERROR('Day Book'!U9,"")</f>
        <v>-36795</v>
      </c>
      <c r="F21" s="10" t="str">
        <f ca="1">IFERROR('Day Book'!V9,"")</f>
        <v/>
      </c>
      <c r="G21" s="10" t="str">
        <f ca="1">IFERROR('Day Book'!W9,"")</f>
        <v/>
      </c>
    </row>
    <row r="22" spans="1:7" x14ac:dyDescent="0.2">
      <c r="A22" s="2">
        <f>IFERROR('Day Book'!A10,"")</f>
        <v>0</v>
      </c>
      <c r="B22" s="3">
        <f>IFERROR('Day Book'!C10+'Day Book'!D10,"")</f>
        <v>0</v>
      </c>
      <c r="C22" s="3">
        <f>IFERROR('Day Book'!E10,"")</f>
        <v>0</v>
      </c>
      <c r="D22" s="3">
        <f>IFERROR('Day Book'!S10,"")</f>
        <v>0</v>
      </c>
      <c r="E22" s="3">
        <f>IFERROR('Day Book'!U10,"")</f>
        <v>-36795</v>
      </c>
      <c r="F22" s="3" t="str">
        <f ca="1">IFERROR('Day Book'!V10,"")</f>
        <v/>
      </c>
      <c r="G22" s="3" t="str">
        <f ca="1">IFERROR('Day Book'!W10,"")</f>
        <v/>
      </c>
    </row>
    <row r="23" spans="1:7" x14ac:dyDescent="0.2">
      <c r="A23" s="9">
        <f>IFERROR('Day Book'!A11,"")</f>
        <v>0</v>
      </c>
      <c r="B23" s="10">
        <f>IFERROR('Day Book'!C11+'Day Book'!D11,"")</f>
        <v>0</v>
      </c>
      <c r="C23" s="10">
        <f>IFERROR('Day Book'!E11,"")</f>
        <v>0</v>
      </c>
      <c r="D23" s="10">
        <f>IFERROR('Day Book'!S11,"")</f>
        <v>0</v>
      </c>
      <c r="E23" s="10">
        <f>IFERROR('Day Book'!U11,"")</f>
        <v>-36795</v>
      </c>
      <c r="F23" s="10" t="str">
        <f ca="1">IFERROR('Day Book'!V11,"")</f>
        <v/>
      </c>
      <c r="G23" s="10" t="str">
        <f ca="1">IFERROR('Day Book'!W11,"")</f>
        <v/>
      </c>
    </row>
    <row r="24" spans="1:7" x14ac:dyDescent="0.2">
      <c r="A24" s="2">
        <f>IFERROR('Day Book'!A12,"")</f>
        <v>0</v>
      </c>
      <c r="B24" s="3">
        <f>IFERROR('Day Book'!C12+'Day Book'!D12,"")</f>
        <v>0</v>
      </c>
      <c r="C24" s="3">
        <f>IFERROR('Day Book'!E12,"")</f>
        <v>0</v>
      </c>
      <c r="D24" s="3">
        <f>IFERROR('Day Book'!S12,"")</f>
        <v>0</v>
      </c>
      <c r="E24" s="3">
        <f>IFERROR('Day Book'!U12,"")</f>
        <v>-36795</v>
      </c>
      <c r="F24" s="3" t="str">
        <f ca="1">IFERROR('Day Book'!V12,"")</f>
        <v/>
      </c>
      <c r="G24" s="3" t="str">
        <f ca="1">IFERROR('Day Book'!W12,"")</f>
        <v/>
      </c>
    </row>
    <row r="25" spans="1:7" x14ac:dyDescent="0.2">
      <c r="A25" s="9">
        <f>IFERROR('Day Book'!A13,"")</f>
        <v>0</v>
      </c>
      <c r="B25" s="10">
        <f>IFERROR('Day Book'!C13+'Day Book'!D13,"")</f>
        <v>0</v>
      </c>
      <c r="C25" s="10">
        <f>IFERROR('Day Book'!E13,"")</f>
        <v>0</v>
      </c>
      <c r="D25" s="10">
        <f>IFERROR('Day Book'!S13,"")</f>
        <v>0</v>
      </c>
      <c r="E25" s="10">
        <f>IFERROR('Day Book'!U13,"")</f>
        <v>-36795</v>
      </c>
      <c r="F25" s="10" t="str">
        <f ca="1">IFERROR('Day Book'!V13,"")</f>
        <v/>
      </c>
      <c r="G25" s="10" t="str">
        <f ca="1">IFERROR('Day Book'!W13,"")</f>
        <v/>
      </c>
    </row>
    <row r="26" spans="1:7" x14ac:dyDescent="0.2">
      <c r="A26" s="2">
        <f>IFERROR('Day Book'!A14,"")</f>
        <v>0</v>
      </c>
      <c r="B26" s="3">
        <f>IFERROR('Day Book'!C14+'Day Book'!D14,"")</f>
        <v>0</v>
      </c>
      <c r="C26" s="3">
        <f>IFERROR('Day Book'!E14,"")</f>
        <v>0</v>
      </c>
      <c r="D26" s="3">
        <f>IFERROR('Day Book'!S14,"")</f>
        <v>0</v>
      </c>
      <c r="E26" s="3">
        <f>IFERROR('Day Book'!U14,"")</f>
        <v>-36795</v>
      </c>
      <c r="F26" s="3" t="str">
        <f ca="1">IFERROR('Day Book'!V14,"")</f>
        <v/>
      </c>
      <c r="G26" s="3" t="str">
        <f ca="1">IFERROR('Day Book'!W14,"")</f>
        <v/>
      </c>
    </row>
    <row r="27" spans="1:7" x14ac:dyDescent="0.2">
      <c r="A27" s="9">
        <f>IFERROR('Day Book'!A15,"")</f>
        <v>0</v>
      </c>
      <c r="B27" s="10">
        <f>IFERROR('Day Book'!C15+'Day Book'!D15,"")</f>
        <v>0</v>
      </c>
      <c r="C27" s="10">
        <f>IFERROR('Day Book'!E15,"")</f>
        <v>0</v>
      </c>
      <c r="D27" s="10">
        <f>IFERROR('Day Book'!S15,"")</f>
        <v>0</v>
      </c>
      <c r="E27" s="10">
        <f>IFERROR('Day Book'!U15,"")</f>
        <v>-36795</v>
      </c>
      <c r="F27" s="10" t="str">
        <f ca="1">IFERROR('Day Book'!V15,"")</f>
        <v/>
      </c>
      <c r="G27" s="10" t="str">
        <f ca="1">IFERROR('Day Book'!W15,"")</f>
        <v/>
      </c>
    </row>
    <row r="28" spans="1:7" x14ac:dyDescent="0.2">
      <c r="A28" s="2">
        <f>IFERROR('Day Book'!A16,"")</f>
        <v>0</v>
      </c>
      <c r="B28" s="3">
        <f>IFERROR('Day Book'!C16+'Day Book'!D16,"")</f>
        <v>0</v>
      </c>
      <c r="C28" s="3">
        <f>IFERROR('Day Book'!E16,"")</f>
        <v>0</v>
      </c>
      <c r="D28" s="3">
        <f>IFERROR('Day Book'!S16,"")</f>
        <v>0</v>
      </c>
      <c r="E28" s="3">
        <f>IFERROR('Day Book'!U16,"")</f>
        <v>-36795</v>
      </c>
      <c r="F28" s="3" t="str">
        <f ca="1">IFERROR('Day Book'!V16,"")</f>
        <v/>
      </c>
      <c r="G28" s="3" t="str">
        <f ca="1">IFERROR('Day Book'!W16,"")</f>
        <v/>
      </c>
    </row>
    <row r="29" spans="1:7" x14ac:dyDescent="0.2">
      <c r="A29" s="9">
        <f>IFERROR('Day Book'!A17,"")</f>
        <v>0</v>
      </c>
      <c r="B29" s="10">
        <f>IFERROR('Day Book'!C17+'Day Book'!D17,"")</f>
        <v>0</v>
      </c>
      <c r="C29" s="10">
        <f>IFERROR('Day Book'!E17,"")</f>
        <v>0</v>
      </c>
      <c r="D29" s="10">
        <f>IFERROR('Day Book'!S17,"")</f>
        <v>0</v>
      </c>
      <c r="E29" s="10">
        <f>IFERROR('Day Book'!U17,"")</f>
        <v>-36795</v>
      </c>
      <c r="F29" s="10" t="str">
        <f ca="1">IFERROR('Day Book'!V17,"")</f>
        <v/>
      </c>
      <c r="G29" s="10" t="str">
        <f ca="1">IFERROR('Day Book'!W17,"")</f>
        <v/>
      </c>
    </row>
    <row r="30" spans="1:7" x14ac:dyDescent="0.2">
      <c r="A30" s="2">
        <f>IFERROR('Day Book'!A18,"")</f>
        <v>0</v>
      </c>
      <c r="B30" s="3">
        <f>IFERROR('Day Book'!C18+'Day Book'!D18,"")</f>
        <v>0</v>
      </c>
      <c r="C30" s="3">
        <f>IFERROR('Day Book'!E18,"")</f>
        <v>0</v>
      </c>
      <c r="D30" s="3">
        <f>IFERROR('Day Book'!S18,"")</f>
        <v>0</v>
      </c>
      <c r="E30" s="3">
        <f>IFERROR('Day Book'!U18,"")</f>
        <v>-36795</v>
      </c>
      <c r="F30" s="3" t="str">
        <f ca="1">IFERROR('Day Book'!V18,"")</f>
        <v/>
      </c>
      <c r="G30" s="3" t="str">
        <f ca="1">IFERROR('Day Book'!W18,"")</f>
        <v/>
      </c>
    </row>
    <row r="31" spans="1:7" x14ac:dyDescent="0.2">
      <c r="A31" s="9">
        <f>IFERROR('Day Book'!A19,"")</f>
        <v>0</v>
      </c>
      <c r="B31" s="10">
        <f>IFERROR('Day Book'!C19+'Day Book'!D19,"")</f>
        <v>0</v>
      </c>
      <c r="C31" s="10">
        <f>IFERROR('Day Book'!E19,"")</f>
        <v>0</v>
      </c>
      <c r="D31" s="10">
        <f>IFERROR('Day Book'!S19,"")</f>
        <v>0</v>
      </c>
      <c r="E31" s="10">
        <f>IFERROR('Day Book'!U19,"")</f>
        <v>-36795</v>
      </c>
      <c r="F31" s="10" t="str">
        <f ca="1">IFERROR('Day Book'!V19,"")</f>
        <v/>
      </c>
      <c r="G31" s="10" t="str">
        <f ca="1">IFERROR('Day Book'!W19,"")</f>
        <v/>
      </c>
    </row>
    <row r="32" spans="1:7" x14ac:dyDescent="0.2">
      <c r="A32" s="2">
        <f>IFERROR('Day Book'!A20,"")</f>
        <v>0</v>
      </c>
      <c r="B32" s="3">
        <f>IFERROR('Day Book'!C20+'Day Book'!D20,"")</f>
        <v>0</v>
      </c>
      <c r="C32" s="3">
        <f>IFERROR('Day Book'!E20,"")</f>
        <v>0</v>
      </c>
      <c r="D32" s="3">
        <f>IFERROR('Day Book'!S20,"")</f>
        <v>0</v>
      </c>
      <c r="E32" s="3">
        <f>IFERROR('Day Book'!U20,"")</f>
        <v>-36795</v>
      </c>
      <c r="F32" s="3" t="str">
        <f ca="1">IFERROR('Day Book'!V20,"")</f>
        <v/>
      </c>
      <c r="G32" s="3" t="str">
        <f ca="1">IFERROR('Day Book'!W20,"")</f>
        <v/>
      </c>
    </row>
    <row r="33" spans="1:7" x14ac:dyDescent="0.2">
      <c r="A33" s="9">
        <f>IFERROR('Day Book'!A21,"")</f>
        <v>0</v>
      </c>
      <c r="B33" s="10">
        <f>IFERROR('Day Book'!C21+'Day Book'!D21,"")</f>
        <v>0</v>
      </c>
      <c r="C33" s="10">
        <f>IFERROR('Day Book'!E21,"")</f>
        <v>0</v>
      </c>
      <c r="D33" s="10">
        <f>IFERROR('Day Book'!S21,"")</f>
        <v>0</v>
      </c>
      <c r="E33" s="10">
        <f>IFERROR('Day Book'!U21,"")</f>
        <v>-36795</v>
      </c>
      <c r="F33" s="10" t="str">
        <f ca="1">IFERROR('Day Book'!V21,"")</f>
        <v/>
      </c>
      <c r="G33" s="10" t="str">
        <f ca="1">IFERROR('Day Book'!W21,"")</f>
        <v/>
      </c>
    </row>
    <row r="34" spans="1:7" x14ac:dyDescent="0.2">
      <c r="A34" s="2">
        <f>IFERROR('Day Book'!A22,"")</f>
        <v>0</v>
      </c>
      <c r="B34" s="3">
        <f>IFERROR('Day Book'!C22+'Day Book'!D22,"")</f>
        <v>0</v>
      </c>
      <c r="C34" s="3">
        <f>IFERROR('Day Book'!E22,"")</f>
        <v>0</v>
      </c>
      <c r="D34" s="3">
        <f>IFERROR('Day Book'!S22,"")</f>
        <v>0</v>
      </c>
      <c r="E34" s="3">
        <f>IFERROR('Day Book'!U22,"")</f>
        <v>-36795</v>
      </c>
      <c r="F34" s="3" t="str">
        <f ca="1">IFERROR('Day Book'!V22,"")</f>
        <v/>
      </c>
      <c r="G34" s="3" t="str">
        <f ca="1">IFERROR('Day Book'!W22,"")</f>
        <v/>
      </c>
    </row>
    <row r="35" spans="1:7" x14ac:dyDescent="0.2">
      <c r="A35" s="9">
        <f>IFERROR('Day Book'!A23,"")</f>
        <v>0</v>
      </c>
      <c r="B35" s="10">
        <f>IFERROR('Day Book'!C23+'Day Book'!D23,"")</f>
        <v>0</v>
      </c>
      <c r="C35" s="10">
        <f>IFERROR('Day Book'!E23,"")</f>
        <v>0</v>
      </c>
      <c r="D35" s="10">
        <f>IFERROR('Day Book'!S23,"")</f>
        <v>0</v>
      </c>
      <c r="E35" s="10">
        <f>IFERROR('Day Book'!U23,"")</f>
        <v>-36795</v>
      </c>
      <c r="F35" s="10" t="str">
        <f ca="1">IFERROR('Day Book'!V23,"")</f>
        <v/>
      </c>
      <c r="G35" s="10" t="str">
        <f ca="1">IFERROR('Day Book'!W23,"")</f>
        <v/>
      </c>
    </row>
    <row r="36" spans="1:7" x14ac:dyDescent="0.2">
      <c r="A36" s="2">
        <f>IFERROR('Day Book'!A24,"")</f>
        <v>0</v>
      </c>
      <c r="B36" s="3">
        <f>IFERROR('Day Book'!C24+'Day Book'!D24,"")</f>
        <v>0</v>
      </c>
      <c r="C36" s="3">
        <f>IFERROR('Day Book'!E24,"")</f>
        <v>0</v>
      </c>
      <c r="D36" s="3">
        <f>IFERROR('Day Book'!S24,"")</f>
        <v>0</v>
      </c>
      <c r="E36" s="3">
        <f>IFERROR('Day Book'!U24,"")</f>
        <v>-36795</v>
      </c>
      <c r="F36" s="3" t="str">
        <f ca="1">IFERROR('Day Book'!V24,"")</f>
        <v/>
      </c>
      <c r="G36" s="3" t="str">
        <f ca="1">IFERROR('Day Book'!W24,"")</f>
        <v/>
      </c>
    </row>
    <row r="37" spans="1:7" x14ac:dyDescent="0.2">
      <c r="A37" s="9">
        <f>IFERROR('Day Book'!A25,"")</f>
        <v>0</v>
      </c>
      <c r="B37" s="10">
        <f>IFERROR('Day Book'!C25+'Day Book'!D25,"")</f>
        <v>0</v>
      </c>
      <c r="C37" s="10">
        <f>IFERROR('Day Book'!E25,"")</f>
        <v>0</v>
      </c>
      <c r="D37" s="10">
        <f>IFERROR('Day Book'!S25,"")</f>
        <v>0</v>
      </c>
      <c r="E37" s="10">
        <f>IFERROR('Day Book'!U25,"")</f>
        <v>-36795</v>
      </c>
      <c r="F37" s="10" t="str">
        <f ca="1">IFERROR('Day Book'!V25,"")</f>
        <v/>
      </c>
      <c r="G37" s="10" t="str">
        <f ca="1">IFERROR('Day Book'!W25,"")</f>
        <v/>
      </c>
    </row>
    <row r="38" spans="1:7" x14ac:dyDescent="0.2">
      <c r="A38" s="2">
        <f>IFERROR('Day Book'!A26,"")</f>
        <v>0</v>
      </c>
      <c r="B38" s="3">
        <f>IFERROR('Day Book'!C26+'Day Book'!D26,"")</f>
        <v>0</v>
      </c>
      <c r="C38" s="3">
        <f>IFERROR('Day Book'!E26,"")</f>
        <v>0</v>
      </c>
      <c r="D38" s="3">
        <f>IFERROR('Day Book'!S26,"")</f>
        <v>0</v>
      </c>
      <c r="E38" s="3">
        <f>IFERROR('Day Book'!U26,"")</f>
        <v>-36795</v>
      </c>
      <c r="F38" s="3" t="str">
        <f ca="1">IFERROR('Day Book'!V26,"")</f>
        <v/>
      </c>
      <c r="G38" s="3" t="str">
        <f ca="1">IFERROR('Day Book'!W26,"")</f>
        <v/>
      </c>
    </row>
    <row r="39" spans="1:7" x14ac:dyDescent="0.2">
      <c r="A39" s="9">
        <f>IFERROR('Day Book'!A27,"")</f>
        <v>0</v>
      </c>
      <c r="B39" s="10">
        <f>IFERROR('Day Book'!C27+'Day Book'!D27,"")</f>
        <v>0</v>
      </c>
      <c r="C39" s="10">
        <f>IFERROR('Day Book'!E27,"")</f>
        <v>0</v>
      </c>
      <c r="D39" s="10">
        <f>IFERROR('Day Book'!S27,"")</f>
        <v>0</v>
      </c>
      <c r="E39" s="10">
        <f>IFERROR('Day Book'!U27,"")</f>
        <v>-36795</v>
      </c>
      <c r="F39" s="10" t="str">
        <f ca="1">IFERROR('Day Book'!V27,"")</f>
        <v/>
      </c>
      <c r="G39" s="10" t="str">
        <f ca="1">IFERROR('Day Book'!W27,"")</f>
        <v/>
      </c>
    </row>
    <row r="40" spans="1:7" x14ac:dyDescent="0.2">
      <c r="A40" s="2">
        <f>IFERROR('Day Book'!A28,"")</f>
        <v>0</v>
      </c>
      <c r="B40" s="3">
        <f>IFERROR('Day Book'!C28+'Day Book'!D28,"")</f>
        <v>0</v>
      </c>
      <c r="C40" s="3">
        <f>IFERROR('Day Book'!E28,"")</f>
        <v>0</v>
      </c>
      <c r="D40" s="3">
        <f>IFERROR('Day Book'!S28,"")</f>
        <v>0</v>
      </c>
      <c r="E40" s="3">
        <f>IFERROR('Day Book'!U28,"")</f>
        <v>-36795</v>
      </c>
      <c r="F40" s="3" t="str">
        <f ca="1">IFERROR('Day Book'!V28,"")</f>
        <v/>
      </c>
      <c r="G40" s="3" t="str">
        <f ca="1">IFERROR('Day Book'!W28,"")</f>
        <v/>
      </c>
    </row>
    <row r="41" spans="1:7" x14ac:dyDescent="0.2">
      <c r="A41" s="9">
        <f>IFERROR('Day Book'!A29,"")</f>
        <v>0</v>
      </c>
      <c r="B41" s="10">
        <f>IFERROR('Day Book'!C29+'Day Book'!D29,"")</f>
        <v>0</v>
      </c>
      <c r="C41" s="10">
        <f>IFERROR('Day Book'!E29,"")</f>
        <v>0</v>
      </c>
      <c r="D41" s="10">
        <f>IFERROR('Day Book'!S29,"")</f>
        <v>0</v>
      </c>
      <c r="E41" s="10">
        <f>IFERROR('Day Book'!U29,"")</f>
        <v>-36795</v>
      </c>
      <c r="F41" s="10" t="str">
        <f ca="1">IFERROR('Day Book'!V29,"")</f>
        <v/>
      </c>
      <c r="G41" s="10" t="str">
        <f ca="1">IFERROR('Day Book'!W29,"")</f>
        <v/>
      </c>
    </row>
    <row r="42" spans="1:7" x14ac:dyDescent="0.2">
      <c r="A42" s="2">
        <f>IFERROR('Day Book'!A30,"")</f>
        <v>0</v>
      </c>
      <c r="B42" s="3">
        <f>IFERROR('Day Book'!C30+'Day Book'!D30,"")</f>
        <v>0</v>
      </c>
      <c r="C42" s="3">
        <f>IFERROR('Day Book'!E30,"")</f>
        <v>0</v>
      </c>
      <c r="D42" s="3">
        <f>IFERROR('Day Book'!S30,"")</f>
        <v>0</v>
      </c>
      <c r="E42" s="3">
        <f>IFERROR('Day Book'!U30,"")</f>
        <v>-36795</v>
      </c>
      <c r="F42" s="3" t="str">
        <f ca="1">IFERROR('Day Book'!V30,"")</f>
        <v/>
      </c>
      <c r="G42" s="3" t="str">
        <f ca="1">IFERROR('Day Book'!W30,"")</f>
        <v/>
      </c>
    </row>
    <row r="43" spans="1:7" x14ac:dyDescent="0.2">
      <c r="A43" s="9">
        <f>IFERROR('Day Book'!A31,"")</f>
        <v>0</v>
      </c>
      <c r="B43" s="10">
        <f>IFERROR('Day Book'!C31+'Day Book'!D31,"")</f>
        <v>0</v>
      </c>
      <c r="C43" s="10">
        <f>IFERROR('Day Book'!E31,"")</f>
        <v>0</v>
      </c>
      <c r="D43" s="10">
        <f>IFERROR('Day Book'!S31,"")</f>
        <v>0</v>
      </c>
      <c r="E43" s="10">
        <f>IFERROR('Day Book'!U31,"")</f>
        <v>-36795</v>
      </c>
      <c r="F43" s="10" t="str">
        <f ca="1">IFERROR('Day Book'!V31,"")</f>
        <v/>
      </c>
      <c r="G43" s="10" t="str">
        <f ca="1">IFERROR('Day Book'!W31,"")</f>
        <v/>
      </c>
    </row>
    <row r="44" spans="1:7" x14ac:dyDescent="0.2">
      <c r="A44" s="4" t="s">
        <v>38</v>
      </c>
      <c r="B44" s="5">
        <f t="shared" ref="B44:G44" si="0">SUM(B14:B43)</f>
        <v>37555</v>
      </c>
      <c r="C44" s="5">
        <f t="shared" si="0"/>
        <v>16700</v>
      </c>
      <c r="D44" s="5">
        <f t="shared" si="0"/>
        <v>34000</v>
      </c>
      <c r="E44" s="5">
        <f t="shared" si="0"/>
        <v>-976065</v>
      </c>
      <c r="F44" s="5">
        <f t="shared" ca="1" si="0"/>
        <v>0</v>
      </c>
      <c r="G44" s="5">
        <f t="shared" ca="1" si="0"/>
        <v>0</v>
      </c>
    </row>
  </sheetData>
  <conditionalFormatting sqref="G14:G43">
    <cfRule type="cellIs" dxfId="4" priority="1" operator="equal">
      <formula>0</formula>
    </cfRule>
    <cfRule type="cellIs" dxfId="3" priority="2" operator="notEqual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  <pageSetUpPr fitToPage="1"/>
  </sheetPr>
  <dimension ref="A1:G26"/>
  <sheetViews>
    <sheetView workbookViewId="0">
      <selection sqref="A1:G1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4" width="10" customWidth="1"/>
    <col min="5" max="5" width="14" customWidth="1"/>
    <col min="6" max="6" width="10" customWidth="1"/>
    <col min="7" max="7" width="14" customWidth="1"/>
  </cols>
  <sheetData>
    <row r="1" spans="1:7" ht="24" x14ac:dyDescent="0.3">
      <c r="A1" s="23" t="s">
        <v>104</v>
      </c>
      <c r="B1" s="24"/>
      <c r="C1" s="24"/>
      <c r="D1" s="24"/>
      <c r="E1" s="24"/>
      <c r="F1" s="24"/>
      <c r="G1" s="24"/>
    </row>
    <row r="2" spans="1:7" x14ac:dyDescent="0.2">
      <c r="A2" s="30" t="s">
        <v>105</v>
      </c>
      <c r="B2" s="24"/>
      <c r="C2" s="24"/>
      <c r="D2" s="24"/>
      <c r="E2" s="24"/>
      <c r="F2" s="24"/>
      <c r="G2" s="24"/>
    </row>
    <row r="3" spans="1:7" ht="6" customHeight="1" x14ac:dyDescent="0.2"/>
    <row r="4" spans="1:7" ht="21" x14ac:dyDescent="0.25">
      <c r="A4" s="28" t="s">
        <v>106</v>
      </c>
      <c r="B4" s="24"/>
      <c r="C4" s="24"/>
      <c r="D4" s="24"/>
      <c r="E4" s="24"/>
      <c r="F4" s="24"/>
      <c r="G4" s="24"/>
    </row>
    <row r="5" spans="1:7" ht="6" customHeight="1" x14ac:dyDescent="0.2"/>
    <row r="6" spans="1:7" ht="16" x14ac:dyDescent="0.2">
      <c r="A6" s="11" t="s">
        <v>107</v>
      </c>
      <c r="B6" s="38"/>
      <c r="C6" s="39"/>
      <c r="D6" s="12"/>
      <c r="E6" s="11" t="s">
        <v>108</v>
      </c>
      <c r="F6" s="31" t="str">
        <f>IF(B6="","",XLOOKUP(B6,'Daily Sales'!B:B,'Daily Sales'!A:A))</f>
        <v/>
      </c>
      <c r="G6" s="32"/>
    </row>
    <row r="7" spans="1:7" x14ac:dyDescent="0.2">
      <c r="A7" s="11" t="s">
        <v>109</v>
      </c>
      <c r="B7" s="35" t="str">
        <f>IF(B6="","",XLOOKUP(B6,'Daily Sales'!B:B,'Daily Sales'!C:C))</f>
        <v/>
      </c>
      <c r="C7" s="32"/>
      <c r="D7" s="32"/>
      <c r="E7" s="13"/>
      <c r="F7" s="35" t="str">
        <f>IF(B6="","",XLOOKUP(B6,'Daily Sales'!B:B,'Daily Sales'!J:J))</f>
        <v/>
      </c>
      <c r="G7" s="32"/>
    </row>
    <row r="8" spans="1:7" ht="6" customHeight="1" x14ac:dyDescent="0.2"/>
    <row r="9" spans="1:7" ht="16" x14ac:dyDescent="0.2">
      <c r="A9" s="1" t="s">
        <v>110</v>
      </c>
      <c r="B9" s="1" t="s">
        <v>3</v>
      </c>
      <c r="C9" s="1" t="s">
        <v>111</v>
      </c>
      <c r="D9" s="1" t="s">
        <v>5</v>
      </c>
      <c r="E9" s="1" t="s">
        <v>6</v>
      </c>
      <c r="F9" s="1" t="s">
        <v>7</v>
      </c>
      <c r="G9" s="1" t="s">
        <v>112</v>
      </c>
    </row>
    <row r="10" spans="1:7" x14ac:dyDescent="0.2">
      <c r="A10" s="10"/>
      <c r="B10" s="10"/>
      <c r="C10" s="10"/>
      <c r="D10" s="10"/>
      <c r="E10" s="10"/>
      <c r="F10" s="10"/>
      <c r="G10" s="10"/>
    </row>
    <row r="11" spans="1:7" x14ac:dyDescent="0.2">
      <c r="A11" s="3"/>
      <c r="B11" s="3"/>
      <c r="C11" s="3"/>
      <c r="D11" s="3"/>
      <c r="E11" s="3"/>
      <c r="F11" s="3"/>
      <c r="G11" s="3"/>
    </row>
    <row r="12" spans="1:7" x14ac:dyDescent="0.2">
      <c r="A12" s="10"/>
      <c r="B12" s="10"/>
      <c r="C12" s="10"/>
      <c r="D12" s="10"/>
      <c r="E12" s="10"/>
      <c r="F12" s="10"/>
      <c r="G12" s="10"/>
    </row>
    <row r="13" spans="1:7" x14ac:dyDescent="0.2">
      <c r="A13" s="3"/>
      <c r="B13" s="3"/>
      <c r="C13" s="3"/>
      <c r="D13" s="3"/>
      <c r="E13" s="3"/>
      <c r="F13" s="3"/>
      <c r="G13" s="3"/>
    </row>
    <row r="14" spans="1:7" x14ac:dyDescent="0.2">
      <c r="A14" s="10"/>
      <c r="B14" s="10"/>
      <c r="C14" s="10"/>
      <c r="D14" s="10"/>
      <c r="E14" s="10"/>
      <c r="F14" s="10"/>
      <c r="G14" s="10"/>
    </row>
    <row r="15" spans="1:7" x14ac:dyDescent="0.2">
      <c r="A15" s="3"/>
      <c r="B15" s="3"/>
      <c r="C15" s="3"/>
      <c r="D15" s="3"/>
      <c r="E15" s="3"/>
      <c r="F15" s="3"/>
      <c r="G15" s="3"/>
    </row>
    <row r="16" spans="1:7" x14ac:dyDescent="0.2">
      <c r="A16" s="10"/>
      <c r="B16" s="10"/>
      <c r="C16" s="10"/>
      <c r="D16" s="10"/>
      <c r="E16" s="10"/>
      <c r="F16" s="10"/>
      <c r="G16" s="10"/>
    </row>
    <row r="17" spans="1:7" x14ac:dyDescent="0.2">
      <c r="A17" s="3"/>
      <c r="B17" s="3"/>
      <c r="C17" s="3"/>
      <c r="D17" s="3"/>
      <c r="E17" s="3"/>
      <c r="F17" s="3"/>
      <c r="G17" s="3"/>
    </row>
    <row r="18" spans="1:7" x14ac:dyDescent="0.2">
      <c r="A18" s="10"/>
      <c r="B18" s="10"/>
      <c r="C18" s="10"/>
      <c r="D18" s="10"/>
      <c r="E18" s="10"/>
      <c r="F18" s="10"/>
      <c r="G18" s="10"/>
    </row>
    <row r="19" spans="1:7" x14ac:dyDescent="0.2">
      <c r="A19" s="3"/>
      <c r="B19" s="3"/>
      <c r="C19" s="3"/>
      <c r="D19" s="3"/>
      <c r="E19" s="3"/>
      <c r="F19" s="3"/>
      <c r="G19" s="3"/>
    </row>
    <row r="20" spans="1:7" ht="16" x14ac:dyDescent="0.2">
      <c r="A20" s="27" t="s">
        <v>113</v>
      </c>
      <c r="B20" s="24"/>
      <c r="C20" s="24"/>
      <c r="D20" s="24"/>
      <c r="E20" s="14">
        <f>IFERROR(SUMIF('Daily Sales'!B:B,B6,'Daily Sales'!G:G),"")</f>
        <v>0</v>
      </c>
      <c r="F20" s="15"/>
      <c r="G20" s="15"/>
    </row>
    <row r="21" spans="1:7" ht="16" x14ac:dyDescent="0.2">
      <c r="A21" s="27" t="s">
        <v>114</v>
      </c>
      <c r="B21" s="24"/>
      <c r="C21" s="24"/>
      <c r="D21" s="24"/>
      <c r="E21" s="14">
        <f>IFERROR(SUMIF('Daily Sales'!B:B,B6,'Daily Sales'!H:H),"")</f>
        <v>0</v>
      </c>
      <c r="F21" s="16"/>
      <c r="G21" s="16"/>
    </row>
    <row r="22" spans="1:7" ht="19" x14ac:dyDescent="0.2">
      <c r="A22" s="25" t="s">
        <v>115</v>
      </c>
      <c r="B22" s="26"/>
      <c r="C22" s="26"/>
      <c r="D22" s="26"/>
      <c r="E22" s="17">
        <f>IFERROR(SUMIF('Daily Sales'!B:B,B6,'Daily Sales'!I:I),"")</f>
        <v>0</v>
      </c>
      <c r="F22" s="18"/>
      <c r="G22" s="18"/>
    </row>
    <row r="23" spans="1:7" ht="12" customHeight="1" x14ac:dyDescent="0.2">
      <c r="A23" s="37" t="s">
        <v>116</v>
      </c>
      <c r="B23" s="24"/>
      <c r="C23" s="24"/>
      <c r="D23" s="24"/>
      <c r="E23" s="24"/>
      <c r="F23" s="24"/>
      <c r="G23" s="24"/>
    </row>
    <row r="24" spans="1:7" x14ac:dyDescent="0.2">
      <c r="A24" s="29" t="s">
        <v>117</v>
      </c>
      <c r="B24" s="24"/>
      <c r="C24" s="24"/>
      <c r="D24" s="24"/>
      <c r="E24" s="24"/>
      <c r="F24" s="24"/>
      <c r="G24" s="24"/>
    </row>
    <row r="25" spans="1:7" ht="12" customHeight="1" x14ac:dyDescent="0.2">
      <c r="A25" s="34"/>
      <c r="B25" s="24"/>
      <c r="C25" s="24"/>
      <c r="D25" s="24"/>
      <c r="E25" s="24"/>
      <c r="F25" s="24"/>
      <c r="G25" s="24"/>
    </row>
    <row r="26" spans="1:7" x14ac:dyDescent="0.2">
      <c r="A26" s="36" t="s">
        <v>118</v>
      </c>
      <c r="B26" s="24"/>
      <c r="C26" s="24"/>
      <c r="E26" s="33" t="s">
        <v>119</v>
      </c>
      <c r="F26" s="24"/>
      <c r="G26" s="24"/>
    </row>
  </sheetData>
  <mergeCells count="15">
    <mergeCell ref="A24:G24"/>
    <mergeCell ref="A2:G2"/>
    <mergeCell ref="F6:G6"/>
    <mergeCell ref="E26:G26"/>
    <mergeCell ref="A25:G25"/>
    <mergeCell ref="B7:D7"/>
    <mergeCell ref="A26:C26"/>
    <mergeCell ref="F7:G7"/>
    <mergeCell ref="A23:G23"/>
    <mergeCell ref="B6:C6"/>
    <mergeCell ref="A1:G1"/>
    <mergeCell ref="A22:D22"/>
    <mergeCell ref="A20:D20"/>
    <mergeCell ref="A21:D21"/>
    <mergeCell ref="A4:G4"/>
  </mergeCell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I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12" customWidth="1"/>
    <col min="4" max="4" width="14" customWidth="1"/>
    <col min="5" max="5" width="16" customWidth="1"/>
    <col min="6" max="6" width="14" customWidth="1"/>
    <col min="7" max="7" width="16" customWidth="1"/>
    <col min="8" max="8" width="20" customWidth="1"/>
    <col min="9" max="9" width="18" customWidth="1"/>
  </cols>
  <sheetData>
    <row r="1" spans="1:9" ht="16" x14ac:dyDescent="0.2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43</v>
      </c>
      <c r="G1" s="1" t="s">
        <v>124</v>
      </c>
      <c r="H1" s="1" t="s">
        <v>125</v>
      </c>
      <c r="I1" s="1" t="s">
        <v>10</v>
      </c>
    </row>
    <row r="2" spans="1:9" x14ac:dyDescent="0.2">
      <c r="A2" s="2">
        <v>46082</v>
      </c>
      <c r="B2" s="3" t="s">
        <v>126</v>
      </c>
      <c r="C2" s="3" t="s">
        <v>127</v>
      </c>
      <c r="D2" s="3" t="s">
        <v>128</v>
      </c>
      <c r="E2" s="3">
        <v>2000</v>
      </c>
      <c r="F2" s="3" t="s">
        <v>26</v>
      </c>
      <c r="G2" s="3" t="s">
        <v>129</v>
      </c>
      <c r="H2" s="3" t="s">
        <v>130</v>
      </c>
      <c r="I2" s="3"/>
    </row>
    <row r="3" spans="1:9" x14ac:dyDescent="0.2">
      <c r="A3" s="2">
        <v>46082</v>
      </c>
      <c r="B3" s="3" t="s">
        <v>131</v>
      </c>
      <c r="C3" s="3" t="s">
        <v>132</v>
      </c>
      <c r="D3" s="3" t="s">
        <v>133</v>
      </c>
      <c r="E3" s="3">
        <v>1500</v>
      </c>
      <c r="F3" s="3" t="s">
        <v>14</v>
      </c>
      <c r="G3" s="3" t="s">
        <v>129</v>
      </c>
      <c r="H3" s="3" t="s">
        <v>134</v>
      </c>
      <c r="I3" s="3"/>
    </row>
    <row r="4" spans="1:9" x14ac:dyDescent="0.2">
      <c r="A4" s="2">
        <v>46083</v>
      </c>
      <c r="B4" s="3" t="s">
        <v>135</v>
      </c>
      <c r="C4" s="3" t="s">
        <v>136</v>
      </c>
      <c r="D4" s="3" t="s">
        <v>137</v>
      </c>
      <c r="E4" s="3">
        <v>3000</v>
      </c>
      <c r="F4" s="3" t="s">
        <v>26</v>
      </c>
      <c r="G4" s="3" t="s">
        <v>138</v>
      </c>
      <c r="H4" s="3" t="s">
        <v>139</v>
      </c>
      <c r="I4" s="3"/>
    </row>
    <row r="5" spans="1:9" x14ac:dyDescent="0.2">
      <c r="A5" s="2">
        <v>46084</v>
      </c>
      <c r="B5" s="3" t="s">
        <v>126</v>
      </c>
      <c r="C5" s="3" t="s">
        <v>140</v>
      </c>
      <c r="D5" s="3" t="s">
        <v>141</v>
      </c>
      <c r="E5" s="3">
        <v>2500</v>
      </c>
      <c r="F5" s="3" t="s">
        <v>26</v>
      </c>
      <c r="G5" s="3" t="s">
        <v>129</v>
      </c>
      <c r="H5" s="3" t="s">
        <v>130</v>
      </c>
      <c r="I5" s="3"/>
    </row>
    <row r="6" spans="1:9" x14ac:dyDescent="0.2">
      <c r="A6" s="2">
        <v>46085</v>
      </c>
      <c r="B6" s="3" t="s">
        <v>142</v>
      </c>
      <c r="C6" s="3" t="s">
        <v>143</v>
      </c>
      <c r="D6" s="3" t="s">
        <v>144</v>
      </c>
      <c r="E6" s="3">
        <v>1200</v>
      </c>
      <c r="F6" s="3" t="s">
        <v>14</v>
      </c>
      <c r="G6" s="3" t="s">
        <v>62</v>
      </c>
      <c r="H6" s="3" t="s">
        <v>145</v>
      </c>
      <c r="I6" s="3"/>
    </row>
    <row r="7" spans="1:9" x14ac:dyDescent="0.2">
      <c r="A7" s="2">
        <v>46086</v>
      </c>
      <c r="B7" s="3" t="s">
        <v>131</v>
      </c>
      <c r="C7" s="3" t="s">
        <v>146</v>
      </c>
      <c r="D7" s="3" t="s">
        <v>147</v>
      </c>
      <c r="E7" s="3">
        <v>1800</v>
      </c>
      <c r="F7" s="3" t="s">
        <v>51</v>
      </c>
      <c r="G7" s="3" t="s">
        <v>129</v>
      </c>
      <c r="H7" s="3" t="s">
        <v>148</v>
      </c>
      <c r="I7" s="3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x14ac:dyDescent="0.2">
      <c r="A9" s="3"/>
      <c r="B9" s="3"/>
      <c r="C9" s="3"/>
      <c r="D9" s="3"/>
      <c r="E9" s="3"/>
      <c r="F9" s="3"/>
      <c r="G9" s="3"/>
      <c r="H9" s="3"/>
      <c r="I9" s="3"/>
    </row>
    <row r="10" spans="1:9" x14ac:dyDescent="0.2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">
      <c r="A33" s="4" t="s">
        <v>38</v>
      </c>
      <c r="B33" s="5"/>
      <c r="C33" s="5"/>
      <c r="D33" s="5"/>
      <c r="E33" s="5">
        <f>SUM(E2:E32)</f>
        <v>12000</v>
      </c>
      <c r="F33" s="5"/>
      <c r="G33" s="5"/>
      <c r="H33" s="5"/>
      <c r="I33" s="5"/>
    </row>
  </sheetData>
  <autoFilter ref="A1:I32" xr:uid="{00000000-0009-0000-0000-000006000000}"/>
  <dataValidations count="4">
    <dataValidation type="list" allowBlank="1" error="Select a valid payment mode." sqref="F2:F32" xr:uid="{00000000-0002-0000-0600-000000000000}">
      <formula1>"Cash,Bank,Online,Cheque,Other"</formula1>
    </dataValidation>
    <dataValidation type="list" allowBlank="1" sqref="G2:G32" xr:uid="{00000000-0002-0000-0600-000001000000}">
      <formula1>"Purchase,Raw Material,Transport,Other"</formula1>
    </dataValidation>
    <dataValidation type="custom" allowBlank="1" errorTitle="Invalid Date" error="Please enter a date that is today or earlier (no future dates)." promptTitle="Date" prompt="Enter a date (today or earlier)" sqref="A2:A32" xr:uid="{00000000-0002-0000-0600-000002000000}">
      <formula1>A2&lt;=TODAY()</formula1>
    </dataValidation>
    <dataValidation type="custom" allowBlank="1" errorTitle="Duplicate Voucher Number" error="This voucher number already exists. Please enter a unique value." promptTitle="Voucher Number" prompt="Enter a unique voucher number" sqref="C2:C32" xr:uid="{00000000-0002-0000-0600-000003000000}">
      <formula1>COUNTIF(C:C,C2)=1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K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14" customWidth="1"/>
    <col min="4" max="5" width="16" customWidth="1"/>
    <col min="6" max="6" width="14" customWidth="1"/>
    <col min="7" max="7" width="8" customWidth="1"/>
    <col min="8" max="8" width="10" customWidth="1"/>
    <col min="9" max="9" width="16" customWidth="1"/>
    <col min="10" max="10" width="14" customWidth="1"/>
    <col min="11" max="11" width="18" customWidth="1"/>
  </cols>
  <sheetData>
    <row r="1" spans="1:11" ht="16" x14ac:dyDescent="0.2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10</v>
      </c>
    </row>
    <row r="2" spans="1:11" x14ac:dyDescent="0.2">
      <c r="A2" s="2">
        <v>46082</v>
      </c>
      <c r="B2" s="3" t="s">
        <v>13</v>
      </c>
      <c r="C2" s="3">
        <v>200</v>
      </c>
      <c r="D2" s="3">
        <v>500</v>
      </c>
      <c r="E2" s="3">
        <f>SUMIFS('Daily Sales'!E:E,'Daily Sales'!A:A,A2,'Daily Sales'!D:D,B2)</f>
        <v>50</v>
      </c>
      <c r="F2" s="3">
        <f t="shared" ref="F2:F15" si="0">C2+D2-E2</f>
        <v>650</v>
      </c>
      <c r="G2" s="3" t="s">
        <v>158</v>
      </c>
      <c r="H2" s="3">
        <v>60</v>
      </c>
      <c r="I2" s="3">
        <f t="shared" ref="I2:I15" si="1">D2*H2</f>
        <v>30000</v>
      </c>
      <c r="J2" s="3">
        <v>100</v>
      </c>
      <c r="K2" s="3" t="s">
        <v>159</v>
      </c>
    </row>
    <row r="3" spans="1:11" x14ac:dyDescent="0.2">
      <c r="A3" s="2">
        <v>46082</v>
      </c>
      <c r="B3" s="3" t="s">
        <v>18</v>
      </c>
      <c r="C3" s="3">
        <v>80</v>
      </c>
      <c r="D3" s="3">
        <v>200</v>
      </c>
      <c r="E3" s="3">
        <f>SUMIFS('Daily Sales'!E:E,'Daily Sales'!A:A,A3,'Daily Sales'!D:D,B3)</f>
        <v>30</v>
      </c>
      <c r="F3" s="3">
        <f t="shared" si="0"/>
        <v>250</v>
      </c>
      <c r="G3" s="3" t="s">
        <v>158</v>
      </c>
      <c r="H3" s="3">
        <v>35</v>
      </c>
      <c r="I3" s="3">
        <f t="shared" si="1"/>
        <v>7000</v>
      </c>
      <c r="J3" s="3">
        <v>40</v>
      </c>
      <c r="K3" s="3"/>
    </row>
    <row r="4" spans="1:11" x14ac:dyDescent="0.2">
      <c r="A4" s="2">
        <v>46082</v>
      </c>
      <c r="B4" s="3" t="s">
        <v>22</v>
      </c>
      <c r="C4" s="3">
        <v>40</v>
      </c>
      <c r="D4" s="3">
        <v>100</v>
      </c>
      <c r="E4" s="3">
        <f>SUMIFS('Daily Sales'!E:E,'Daily Sales'!A:A,A4,'Daily Sales'!D:D,B4)</f>
        <v>0</v>
      </c>
      <c r="F4" s="3">
        <f t="shared" si="0"/>
        <v>140</v>
      </c>
      <c r="G4" s="3" t="s">
        <v>160</v>
      </c>
      <c r="H4" s="3">
        <v>280</v>
      </c>
      <c r="I4" s="3">
        <f t="shared" si="1"/>
        <v>28000</v>
      </c>
      <c r="J4" s="3">
        <v>20</v>
      </c>
      <c r="K4" s="3" t="s">
        <v>161</v>
      </c>
    </row>
    <row r="5" spans="1:11" x14ac:dyDescent="0.2">
      <c r="A5" s="2">
        <v>46083</v>
      </c>
      <c r="B5" s="3" t="s">
        <v>13</v>
      </c>
      <c r="C5" s="3">
        <v>650</v>
      </c>
      <c r="D5" s="3">
        <v>450</v>
      </c>
      <c r="E5" s="3">
        <f>SUMIFS('Daily Sales'!E:E,'Daily Sales'!A:A,A5,'Daily Sales'!D:D,B5)</f>
        <v>0</v>
      </c>
      <c r="F5" s="3">
        <f t="shared" si="0"/>
        <v>1100</v>
      </c>
      <c r="G5" s="3" t="s">
        <v>158</v>
      </c>
      <c r="H5" s="3">
        <v>60</v>
      </c>
      <c r="I5" s="3">
        <f t="shared" si="1"/>
        <v>27000</v>
      </c>
      <c r="J5" s="3">
        <v>100</v>
      </c>
      <c r="K5" s="3"/>
    </row>
    <row r="6" spans="1:11" x14ac:dyDescent="0.2">
      <c r="A6" s="2">
        <v>46083</v>
      </c>
      <c r="B6" s="3" t="s">
        <v>31</v>
      </c>
      <c r="C6" s="3">
        <v>60</v>
      </c>
      <c r="D6" s="3">
        <v>120</v>
      </c>
      <c r="E6" s="3">
        <f>SUMIFS('Daily Sales'!E:E,'Daily Sales'!A:A,A6,'Daily Sales'!D:D,B6)</f>
        <v>0</v>
      </c>
      <c r="F6" s="3">
        <f t="shared" si="0"/>
        <v>180</v>
      </c>
      <c r="G6" s="3" t="s">
        <v>162</v>
      </c>
      <c r="H6" s="3">
        <v>180</v>
      </c>
      <c r="I6" s="3">
        <f t="shared" si="1"/>
        <v>21600</v>
      </c>
      <c r="J6" s="3">
        <v>30</v>
      </c>
      <c r="K6" s="3"/>
    </row>
    <row r="7" spans="1:11" x14ac:dyDescent="0.2">
      <c r="A7" s="2">
        <v>46083</v>
      </c>
      <c r="B7" s="3" t="s">
        <v>34</v>
      </c>
      <c r="C7" s="3">
        <v>25</v>
      </c>
      <c r="D7" s="3">
        <v>50</v>
      </c>
      <c r="E7" s="3">
        <f>SUMIFS('Daily Sales'!E:E,'Daily Sales'!A:A,A7,'Daily Sales'!D:D,B7)</f>
        <v>0</v>
      </c>
      <c r="F7" s="3">
        <f t="shared" si="0"/>
        <v>75</v>
      </c>
      <c r="G7" s="3" t="s">
        <v>160</v>
      </c>
      <c r="H7" s="3">
        <v>420</v>
      </c>
      <c r="I7" s="3">
        <f t="shared" si="1"/>
        <v>21000</v>
      </c>
      <c r="J7" s="3">
        <v>15</v>
      </c>
      <c r="K7" s="3"/>
    </row>
    <row r="8" spans="1:11" x14ac:dyDescent="0.2">
      <c r="A8" s="2">
        <v>46084</v>
      </c>
      <c r="B8" s="3" t="s">
        <v>13</v>
      </c>
      <c r="C8" s="3">
        <v>1020</v>
      </c>
      <c r="D8" s="3">
        <v>550</v>
      </c>
      <c r="E8" s="3">
        <f>SUMIFS('Daily Sales'!E:E,'Daily Sales'!A:A,A8,'Daily Sales'!D:D,B8)</f>
        <v>80</v>
      </c>
      <c r="F8" s="3">
        <f t="shared" si="0"/>
        <v>1490</v>
      </c>
      <c r="G8" s="3" t="s">
        <v>158</v>
      </c>
      <c r="H8" s="3">
        <v>60</v>
      </c>
      <c r="I8" s="3">
        <f t="shared" si="1"/>
        <v>33000</v>
      </c>
      <c r="J8" s="3">
        <v>100</v>
      </c>
      <c r="K8" s="3"/>
    </row>
    <row r="9" spans="1:11" x14ac:dyDescent="0.2">
      <c r="A9" s="2">
        <v>46084</v>
      </c>
      <c r="B9" s="3" t="s">
        <v>18</v>
      </c>
      <c r="C9" s="3">
        <v>220</v>
      </c>
      <c r="D9" s="3">
        <v>180</v>
      </c>
      <c r="E9" s="3">
        <f>SUMIFS('Daily Sales'!E:E,'Daily Sales'!A:A,A9,'Daily Sales'!D:D,B9)</f>
        <v>0</v>
      </c>
      <c r="F9" s="3">
        <f t="shared" si="0"/>
        <v>400</v>
      </c>
      <c r="G9" s="3" t="s">
        <v>158</v>
      </c>
      <c r="H9" s="3">
        <v>35</v>
      </c>
      <c r="I9" s="3">
        <f t="shared" si="1"/>
        <v>6300</v>
      </c>
      <c r="J9" s="3">
        <v>40</v>
      </c>
      <c r="K9" s="3"/>
    </row>
    <row r="10" spans="1:11" x14ac:dyDescent="0.2">
      <c r="A10" s="2">
        <v>46085</v>
      </c>
      <c r="B10" s="3" t="s">
        <v>13</v>
      </c>
      <c r="C10" s="3">
        <v>1490</v>
      </c>
      <c r="D10" s="3">
        <v>480</v>
      </c>
      <c r="E10" s="3">
        <f>SUMIFS('Daily Sales'!E:E,'Daily Sales'!A:A,A10,'Daily Sales'!D:D,B10)</f>
        <v>0</v>
      </c>
      <c r="F10" s="3">
        <f t="shared" si="0"/>
        <v>1970</v>
      </c>
      <c r="G10" s="3" t="s">
        <v>158</v>
      </c>
      <c r="H10" s="3">
        <v>60</v>
      </c>
      <c r="I10" s="3">
        <f t="shared" si="1"/>
        <v>28800</v>
      </c>
      <c r="J10" s="3">
        <v>100</v>
      </c>
      <c r="K10" s="3"/>
    </row>
    <row r="11" spans="1:11" x14ac:dyDescent="0.2">
      <c r="A11" s="2">
        <v>46085</v>
      </c>
      <c r="B11" s="3" t="s">
        <v>22</v>
      </c>
      <c r="C11" s="3">
        <v>120</v>
      </c>
      <c r="D11" s="3">
        <v>80</v>
      </c>
      <c r="E11" s="3">
        <f>SUMIFS('Daily Sales'!E:E,'Daily Sales'!A:A,A11,'Daily Sales'!D:D,B11)</f>
        <v>0</v>
      </c>
      <c r="F11" s="3">
        <f t="shared" si="0"/>
        <v>200</v>
      </c>
      <c r="G11" s="3" t="s">
        <v>160</v>
      </c>
      <c r="H11" s="3">
        <v>280</v>
      </c>
      <c r="I11" s="3">
        <f t="shared" si="1"/>
        <v>22400</v>
      </c>
      <c r="J11" s="3">
        <v>20</v>
      </c>
      <c r="K11" s="3"/>
    </row>
    <row r="12" spans="1:11" x14ac:dyDescent="0.2">
      <c r="A12" s="2">
        <v>46085</v>
      </c>
      <c r="B12" s="3" t="s">
        <v>25</v>
      </c>
      <c r="C12" s="3">
        <v>35</v>
      </c>
      <c r="D12" s="3">
        <v>20</v>
      </c>
      <c r="E12" s="3">
        <f>SUMIFS('Daily Sales'!E:E,'Daily Sales'!A:A,A12,'Daily Sales'!D:D,B12)</f>
        <v>0</v>
      </c>
      <c r="F12" s="3">
        <f t="shared" si="0"/>
        <v>55</v>
      </c>
      <c r="G12" s="3" t="s">
        <v>163</v>
      </c>
      <c r="H12" s="3">
        <v>550</v>
      </c>
      <c r="I12" s="3">
        <f t="shared" si="1"/>
        <v>11000</v>
      </c>
      <c r="J12" s="3">
        <v>15</v>
      </c>
      <c r="K12" s="3"/>
    </row>
    <row r="13" spans="1:11" x14ac:dyDescent="0.2">
      <c r="A13" s="2">
        <v>46086</v>
      </c>
      <c r="B13" s="3" t="s">
        <v>13</v>
      </c>
      <c r="C13" s="3">
        <v>1890</v>
      </c>
      <c r="D13" s="3">
        <v>500</v>
      </c>
      <c r="E13" s="3">
        <f>SUMIFS('Daily Sales'!E:E,'Daily Sales'!A:A,A13,'Daily Sales'!D:D,B13)</f>
        <v>0</v>
      </c>
      <c r="F13" s="3">
        <f t="shared" si="0"/>
        <v>2390</v>
      </c>
      <c r="G13" s="3" t="s">
        <v>158</v>
      </c>
      <c r="H13" s="3">
        <v>60</v>
      </c>
      <c r="I13" s="3">
        <f t="shared" si="1"/>
        <v>30000</v>
      </c>
      <c r="J13" s="3">
        <v>100</v>
      </c>
      <c r="K13" s="3"/>
    </row>
    <row r="14" spans="1:11" x14ac:dyDescent="0.2">
      <c r="A14" s="2">
        <v>46086</v>
      </c>
      <c r="B14" s="3" t="s">
        <v>31</v>
      </c>
      <c r="C14" s="3">
        <v>150</v>
      </c>
      <c r="D14" s="3">
        <v>100</v>
      </c>
      <c r="E14" s="3">
        <f>SUMIFS('Daily Sales'!E:E,'Daily Sales'!A:A,A14,'Daily Sales'!D:D,B14)</f>
        <v>0</v>
      </c>
      <c r="F14" s="3">
        <f t="shared" si="0"/>
        <v>250</v>
      </c>
      <c r="G14" s="3" t="s">
        <v>162</v>
      </c>
      <c r="H14" s="3">
        <v>180</v>
      </c>
      <c r="I14" s="3">
        <f t="shared" si="1"/>
        <v>18000</v>
      </c>
      <c r="J14" s="3">
        <v>30</v>
      </c>
      <c r="K14" s="3"/>
    </row>
    <row r="15" spans="1:11" x14ac:dyDescent="0.2">
      <c r="A15" s="2">
        <v>46086</v>
      </c>
      <c r="B15" s="3" t="s">
        <v>34</v>
      </c>
      <c r="C15" s="3">
        <v>65</v>
      </c>
      <c r="D15" s="3">
        <v>40</v>
      </c>
      <c r="E15" s="3">
        <f>SUMIFS('Daily Sales'!E:E,'Daily Sales'!A:A,A15,'Daily Sales'!D:D,B15)</f>
        <v>15</v>
      </c>
      <c r="F15" s="3">
        <f t="shared" si="0"/>
        <v>90</v>
      </c>
      <c r="G15" s="3" t="s">
        <v>160</v>
      </c>
      <c r="H15" s="3">
        <v>420</v>
      </c>
      <c r="I15" s="3">
        <f t="shared" si="1"/>
        <v>16800</v>
      </c>
      <c r="J15" s="3">
        <v>15</v>
      </c>
      <c r="K15" s="3"/>
    </row>
    <row r="16" spans="1:11" x14ac:dyDescent="0.2">
      <c r="A16" s="3"/>
      <c r="B16" s="3"/>
      <c r="C16" s="3"/>
      <c r="D16" s="3"/>
      <c r="E16" s="3">
        <f>SUMIFS('Daily Sales'!E:E,'Daily Sales'!A:A,A16,'Daily Sales'!D:D,B16)</f>
        <v>0</v>
      </c>
      <c r="F16" s="3" t="str">
        <f t="shared" ref="F16:F32" si="2">IF(C16="","",C16+D16-E16)</f>
        <v/>
      </c>
      <c r="G16" s="3"/>
      <c r="H16" s="3"/>
      <c r="I16" s="3" t="str">
        <f t="shared" ref="I16:I32" si="3">IF(AND(D16&lt;&gt;"",H16&lt;&gt;""),D16*H16,"")</f>
        <v/>
      </c>
      <c r="J16" s="3"/>
      <c r="K16" s="3"/>
    </row>
    <row r="17" spans="1:11" x14ac:dyDescent="0.2">
      <c r="A17" s="3"/>
      <c r="B17" s="3"/>
      <c r="C17" s="3"/>
      <c r="D17" s="3"/>
      <c r="E17" s="3">
        <f>SUMIFS('Daily Sales'!E:E,'Daily Sales'!A:A,A17,'Daily Sales'!D:D,B17)</f>
        <v>0</v>
      </c>
      <c r="F17" s="3" t="str">
        <f t="shared" si="2"/>
        <v/>
      </c>
      <c r="G17" s="3"/>
      <c r="H17" s="3"/>
      <c r="I17" s="3" t="str">
        <f t="shared" si="3"/>
        <v/>
      </c>
      <c r="J17" s="3"/>
      <c r="K17" s="3"/>
    </row>
    <row r="18" spans="1:11" x14ac:dyDescent="0.2">
      <c r="A18" s="3"/>
      <c r="B18" s="3"/>
      <c r="C18" s="3"/>
      <c r="D18" s="3"/>
      <c r="E18" s="3">
        <f>SUMIFS('Daily Sales'!E:E,'Daily Sales'!A:A,A18,'Daily Sales'!D:D,B18)</f>
        <v>0</v>
      </c>
      <c r="F18" s="3" t="str">
        <f t="shared" si="2"/>
        <v/>
      </c>
      <c r="G18" s="3"/>
      <c r="H18" s="3"/>
      <c r="I18" s="3" t="str">
        <f t="shared" si="3"/>
        <v/>
      </c>
      <c r="J18" s="3"/>
      <c r="K18" s="3"/>
    </row>
    <row r="19" spans="1:11" x14ac:dyDescent="0.2">
      <c r="A19" s="3"/>
      <c r="B19" s="3"/>
      <c r="C19" s="3"/>
      <c r="D19" s="3"/>
      <c r="E19" s="3">
        <f>SUMIFS('Daily Sales'!E:E,'Daily Sales'!A:A,A19,'Daily Sales'!D:D,B19)</f>
        <v>0</v>
      </c>
      <c r="F19" s="3" t="str">
        <f t="shared" si="2"/>
        <v/>
      </c>
      <c r="G19" s="3"/>
      <c r="H19" s="3"/>
      <c r="I19" s="3" t="str">
        <f t="shared" si="3"/>
        <v/>
      </c>
      <c r="J19" s="3"/>
      <c r="K19" s="3"/>
    </row>
    <row r="20" spans="1:11" x14ac:dyDescent="0.2">
      <c r="A20" s="3"/>
      <c r="B20" s="3"/>
      <c r="C20" s="3"/>
      <c r="D20" s="3"/>
      <c r="E20" s="3">
        <f>SUMIFS('Daily Sales'!E:E,'Daily Sales'!A:A,A20,'Daily Sales'!D:D,B20)</f>
        <v>0</v>
      </c>
      <c r="F20" s="3" t="str">
        <f t="shared" si="2"/>
        <v/>
      </c>
      <c r="G20" s="3"/>
      <c r="H20" s="3"/>
      <c r="I20" s="3" t="str">
        <f t="shared" si="3"/>
        <v/>
      </c>
      <c r="J20" s="3"/>
      <c r="K20" s="3"/>
    </row>
    <row r="21" spans="1:11" x14ac:dyDescent="0.2">
      <c r="A21" s="3"/>
      <c r="B21" s="3"/>
      <c r="C21" s="3"/>
      <c r="D21" s="3"/>
      <c r="E21" s="3">
        <f>SUMIFS('Daily Sales'!E:E,'Daily Sales'!A:A,A21,'Daily Sales'!D:D,B21)</f>
        <v>0</v>
      </c>
      <c r="F21" s="3" t="str">
        <f t="shared" si="2"/>
        <v/>
      </c>
      <c r="G21" s="3"/>
      <c r="H21" s="3"/>
      <c r="I21" s="3" t="str">
        <f t="shared" si="3"/>
        <v/>
      </c>
      <c r="J21" s="3"/>
      <c r="K21" s="3"/>
    </row>
    <row r="22" spans="1:11" x14ac:dyDescent="0.2">
      <c r="A22" s="3"/>
      <c r="B22" s="3"/>
      <c r="C22" s="3"/>
      <c r="D22" s="3"/>
      <c r="E22" s="3">
        <f>SUMIFS('Daily Sales'!E:E,'Daily Sales'!A:A,A22,'Daily Sales'!D:D,B22)</f>
        <v>0</v>
      </c>
      <c r="F22" s="3" t="str">
        <f t="shared" si="2"/>
        <v/>
      </c>
      <c r="G22" s="3"/>
      <c r="H22" s="3"/>
      <c r="I22" s="3" t="str">
        <f t="shared" si="3"/>
        <v/>
      </c>
      <c r="J22" s="3"/>
      <c r="K22" s="3"/>
    </row>
    <row r="23" spans="1:11" x14ac:dyDescent="0.2">
      <c r="A23" s="3"/>
      <c r="B23" s="3"/>
      <c r="C23" s="3"/>
      <c r="D23" s="3"/>
      <c r="E23" s="3">
        <f>SUMIFS('Daily Sales'!E:E,'Daily Sales'!A:A,A23,'Daily Sales'!D:D,B23)</f>
        <v>0</v>
      </c>
      <c r="F23" s="3" t="str">
        <f t="shared" si="2"/>
        <v/>
      </c>
      <c r="G23" s="3"/>
      <c r="H23" s="3"/>
      <c r="I23" s="3" t="str">
        <f t="shared" si="3"/>
        <v/>
      </c>
      <c r="J23" s="3"/>
      <c r="K23" s="3"/>
    </row>
    <row r="24" spans="1:11" x14ac:dyDescent="0.2">
      <c r="A24" s="3"/>
      <c r="B24" s="3"/>
      <c r="C24" s="3"/>
      <c r="D24" s="3"/>
      <c r="E24" s="3">
        <f>SUMIFS('Daily Sales'!E:E,'Daily Sales'!A:A,A24,'Daily Sales'!D:D,B24)</f>
        <v>0</v>
      </c>
      <c r="F24" s="3" t="str">
        <f t="shared" si="2"/>
        <v/>
      </c>
      <c r="G24" s="3"/>
      <c r="H24" s="3"/>
      <c r="I24" s="3" t="str">
        <f t="shared" si="3"/>
        <v/>
      </c>
      <c r="J24" s="3"/>
      <c r="K24" s="3"/>
    </row>
    <row r="25" spans="1:11" x14ac:dyDescent="0.2">
      <c r="A25" s="3"/>
      <c r="B25" s="3"/>
      <c r="C25" s="3"/>
      <c r="D25" s="3"/>
      <c r="E25" s="3">
        <f>SUMIFS('Daily Sales'!E:E,'Daily Sales'!A:A,A25,'Daily Sales'!D:D,B25)</f>
        <v>0</v>
      </c>
      <c r="F25" s="3" t="str">
        <f t="shared" si="2"/>
        <v/>
      </c>
      <c r="G25" s="3"/>
      <c r="H25" s="3"/>
      <c r="I25" s="3" t="str">
        <f t="shared" si="3"/>
        <v/>
      </c>
      <c r="J25" s="3"/>
      <c r="K25" s="3"/>
    </row>
    <row r="26" spans="1:11" x14ac:dyDescent="0.2">
      <c r="A26" s="3"/>
      <c r="B26" s="3"/>
      <c r="C26" s="3"/>
      <c r="D26" s="3"/>
      <c r="E26" s="3">
        <f>SUMIFS('Daily Sales'!E:E,'Daily Sales'!A:A,A26,'Daily Sales'!D:D,B26)</f>
        <v>0</v>
      </c>
      <c r="F26" s="3" t="str">
        <f t="shared" si="2"/>
        <v/>
      </c>
      <c r="G26" s="3"/>
      <c r="H26" s="3"/>
      <c r="I26" s="3" t="str">
        <f t="shared" si="3"/>
        <v/>
      </c>
      <c r="J26" s="3"/>
      <c r="K26" s="3"/>
    </row>
    <row r="27" spans="1:11" x14ac:dyDescent="0.2">
      <c r="A27" s="3"/>
      <c r="B27" s="3"/>
      <c r="C27" s="3"/>
      <c r="D27" s="3"/>
      <c r="E27" s="3">
        <f>SUMIFS('Daily Sales'!E:E,'Daily Sales'!A:A,A27,'Daily Sales'!D:D,B27)</f>
        <v>0</v>
      </c>
      <c r="F27" s="3" t="str">
        <f t="shared" si="2"/>
        <v/>
      </c>
      <c r="G27" s="3"/>
      <c r="H27" s="3"/>
      <c r="I27" s="3" t="str">
        <f t="shared" si="3"/>
        <v/>
      </c>
      <c r="J27" s="3"/>
      <c r="K27" s="3"/>
    </row>
    <row r="28" spans="1:11" x14ac:dyDescent="0.2">
      <c r="A28" s="3"/>
      <c r="B28" s="3"/>
      <c r="C28" s="3"/>
      <c r="D28" s="3"/>
      <c r="E28" s="3">
        <f>SUMIFS('Daily Sales'!E:E,'Daily Sales'!A:A,A28,'Daily Sales'!D:D,B28)</f>
        <v>0</v>
      </c>
      <c r="F28" s="3" t="str">
        <f t="shared" si="2"/>
        <v/>
      </c>
      <c r="G28" s="3"/>
      <c r="H28" s="3"/>
      <c r="I28" s="3" t="str">
        <f t="shared" si="3"/>
        <v/>
      </c>
      <c r="J28" s="3"/>
      <c r="K28" s="3"/>
    </row>
    <row r="29" spans="1:11" x14ac:dyDescent="0.2">
      <c r="A29" s="3"/>
      <c r="B29" s="3"/>
      <c r="C29" s="3"/>
      <c r="D29" s="3"/>
      <c r="E29" s="3">
        <f>SUMIFS('Daily Sales'!E:E,'Daily Sales'!A:A,A29,'Daily Sales'!D:D,B29)</f>
        <v>0</v>
      </c>
      <c r="F29" s="3" t="str">
        <f t="shared" si="2"/>
        <v/>
      </c>
      <c r="G29" s="3"/>
      <c r="H29" s="3"/>
      <c r="I29" s="3" t="str">
        <f t="shared" si="3"/>
        <v/>
      </c>
      <c r="J29" s="3"/>
      <c r="K29" s="3"/>
    </row>
    <row r="30" spans="1:11" x14ac:dyDescent="0.2">
      <c r="A30" s="3"/>
      <c r="B30" s="3"/>
      <c r="C30" s="3"/>
      <c r="D30" s="3"/>
      <c r="E30" s="3">
        <f>SUMIFS('Daily Sales'!E:E,'Daily Sales'!A:A,A30,'Daily Sales'!D:D,B30)</f>
        <v>0</v>
      </c>
      <c r="F30" s="3" t="str">
        <f t="shared" si="2"/>
        <v/>
      </c>
      <c r="G30" s="3"/>
      <c r="H30" s="3"/>
      <c r="I30" s="3" t="str">
        <f t="shared" si="3"/>
        <v/>
      </c>
      <c r="J30" s="3"/>
      <c r="K30" s="3"/>
    </row>
    <row r="31" spans="1:11" x14ac:dyDescent="0.2">
      <c r="A31" s="3"/>
      <c r="B31" s="3"/>
      <c r="C31" s="3"/>
      <c r="D31" s="3"/>
      <c r="E31" s="3">
        <f>SUMIFS('Daily Sales'!E:E,'Daily Sales'!A:A,A31,'Daily Sales'!D:D,B31)</f>
        <v>0</v>
      </c>
      <c r="F31" s="3" t="str">
        <f t="shared" si="2"/>
        <v/>
      </c>
      <c r="G31" s="3"/>
      <c r="H31" s="3"/>
      <c r="I31" s="3" t="str">
        <f t="shared" si="3"/>
        <v/>
      </c>
      <c r="J31" s="3"/>
      <c r="K31" s="3"/>
    </row>
    <row r="32" spans="1:11" x14ac:dyDescent="0.2">
      <c r="A32" s="3"/>
      <c r="B32" s="3"/>
      <c r="C32" s="3"/>
      <c r="D32" s="3"/>
      <c r="E32" s="3">
        <f>SUMIFS('Daily Sales'!E:E,'Daily Sales'!A:A,A32,'Daily Sales'!D:D,B32)</f>
        <v>0</v>
      </c>
      <c r="F32" s="3" t="str">
        <f t="shared" si="2"/>
        <v/>
      </c>
      <c r="G32" s="3"/>
      <c r="H32" s="3"/>
      <c r="I32" s="3" t="str">
        <f t="shared" si="3"/>
        <v/>
      </c>
      <c r="J32" s="3"/>
      <c r="K32" s="3"/>
    </row>
    <row r="33" spans="1:11" x14ac:dyDescent="0.2">
      <c r="A33" s="4" t="s">
        <v>38</v>
      </c>
      <c r="B33" s="5"/>
      <c r="C33" s="5">
        <f>SUM(C2:C32)</f>
        <v>6045</v>
      </c>
      <c r="D33" s="5">
        <f>SUM(D2:D32)</f>
        <v>3370</v>
      </c>
      <c r="E33" s="5">
        <f>SUM(E2:E32)</f>
        <v>175</v>
      </c>
      <c r="F33" s="5">
        <f>SUM(F2:F32)</f>
        <v>9240</v>
      </c>
      <c r="G33" s="5"/>
      <c r="H33" s="5"/>
      <c r="I33" s="5">
        <f>SUM(I2:I32)</f>
        <v>300900</v>
      </c>
      <c r="J33" s="5"/>
      <c r="K33" s="5"/>
    </row>
  </sheetData>
  <autoFilter ref="A1:K32" xr:uid="{00000000-0009-0000-0000-000007000000}"/>
  <conditionalFormatting sqref="F2:F32">
    <cfRule type="expression" dxfId="2" priority="1">
      <formula>F2&lt;J2</formula>
    </cfRule>
  </conditionalFormatting>
  <dataValidations count="2">
    <dataValidation type="list" allowBlank="1" sqref="G2 G3 G4 G5 G6 G7 G8 G9 G10 G11 G12 G13 G14 G15 G16 G17 G18 G19 G20 G21 G22 G23 G24 G25 G26 G27 G28 G29 G30 G31 G32" xr:uid="{00000000-0002-0000-0700-000000000000}">
      <formula1>"Ltr,Kg,Pcs,Pkt,Carton,Sack"</formula1>
    </dataValidation>
    <dataValidation type="custom" allowBlank="1" errorTitle="Invalid Date" error="Please enter a date that is today or earlier (no future dates)." promptTitle="Date" prompt="Enter a date (today or earlier)" sqref="A2:A32" xr:uid="{00000000-0002-0000-0700-000001000000}">
      <formula1>A2&lt;=TODAY()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</sheetPr>
  <dimension ref="A1:G34"/>
  <sheetViews>
    <sheetView tabSelected="1" workbookViewId="0">
      <pane ySplit="1" topLeftCell="A2" activePane="bottomLeft" state="frozen"/>
      <selection pane="bottomLeft" activeCell="G3" sqref="G3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12" customWidth="1"/>
    <col min="4" max="4" width="18" customWidth="1"/>
    <col min="5" max="6" width="14" customWidth="1"/>
    <col min="7" max="7" width="18" customWidth="1"/>
  </cols>
  <sheetData>
    <row r="1" spans="1:7" ht="16" x14ac:dyDescent="0.2">
      <c r="A1" s="1" t="s">
        <v>149</v>
      </c>
      <c r="B1" s="1" t="s">
        <v>164</v>
      </c>
      <c r="C1" s="1" t="s">
        <v>155</v>
      </c>
      <c r="D1" s="1" t="s">
        <v>165</v>
      </c>
      <c r="E1" s="1" t="s">
        <v>157</v>
      </c>
      <c r="F1" s="1" t="s">
        <v>166</v>
      </c>
      <c r="G1" s="1" t="s">
        <v>10</v>
      </c>
    </row>
    <row r="2" spans="1:7" x14ac:dyDescent="0.2">
      <c r="A2" s="3" t="s">
        <v>13</v>
      </c>
      <c r="B2" s="3">
        <v>2300</v>
      </c>
      <c r="C2" s="3">
        <v>60</v>
      </c>
      <c r="D2" s="19">
        <f t="shared" ref="D2:D8" si="0">B2*C2</f>
        <v>138000</v>
      </c>
      <c r="E2" s="3">
        <v>100</v>
      </c>
      <c r="F2" s="3" t="str">
        <f t="shared" ref="F2:F32" si="1">IF(B2="","",IF(B2&lt;=E2,"⚠ Reorder","✓ OK"))</f>
        <v>✓ OK</v>
      </c>
      <c r="G2" s="3" t="s">
        <v>167</v>
      </c>
    </row>
    <row r="3" spans="1:7" x14ac:dyDescent="0.2">
      <c r="A3" s="3" t="s">
        <v>18</v>
      </c>
      <c r="B3" s="3">
        <v>350</v>
      </c>
      <c r="C3" s="3">
        <v>35</v>
      </c>
      <c r="D3" s="19">
        <f t="shared" si="0"/>
        <v>12250</v>
      </c>
      <c r="E3" s="3">
        <v>40</v>
      </c>
      <c r="F3" s="3" t="str">
        <f t="shared" si="1"/>
        <v>✓ OK</v>
      </c>
      <c r="G3" s="3"/>
    </row>
    <row r="4" spans="1:7" x14ac:dyDescent="0.2">
      <c r="A4" s="3" t="s">
        <v>22</v>
      </c>
      <c r="B4" s="3">
        <v>175</v>
      </c>
      <c r="C4" s="3">
        <v>280</v>
      </c>
      <c r="D4" s="19">
        <f t="shared" si="0"/>
        <v>49000</v>
      </c>
      <c r="E4" s="3">
        <v>20</v>
      </c>
      <c r="F4" s="3" t="str">
        <f t="shared" si="1"/>
        <v>✓ OK</v>
      </c>
      <c r="G4" s="3" t="s">
        <v>168</v>
      </c>
    </row>
    <row r="5" spans="1:7" x14ac:dyDescent="0.2">
      <c r="A5" s="3" t="s">
        <v>25</v>
      </c>
      <c r="B5" s="3">
        <v>52</v>
      </c>
      <c r="C5" s="3">
        <v>550</v>
      </c>
      <c r="D5" s="19">
        <f t="shared" si="0"/>
        <v>28600</v>
      </c>
      <c r="E5" s="3">
        <v>15</v>
      </c>
      <c r="F5" s="3" t="str">
        <f t="shared" si="1"/>
        <v>✓ OK</v>
      </c>
      <c r="G5" s="3" t="s">
        <v>169</v>
      </c>
    </row>
    <row r="6" spans="1:7" x14ac:dyDescent="0.2">
      <c r="A6" s="3" t="s">
        <v>31</v>
      </c>
      <c r="B6" s="3">
        <v>240</v>
      </c>
      <c r="C6" s="3">
        <v>180</v>
      </c>
      <c r="D6" s="19">
        <f t="shared" si="0"/>
        <v>43200</v>
      </c>
      <c r="E6" s="3">
        <v>30</v>
      </c>
      <c r="F6" s="3" t="str">
        <f t="shared" si="1"/>
        <v>✓ OK</v>
      </c>
      <c r="G6" s="3" t="s">
        <v>170</v>
      </c>
    </row>
    <row r="7" spans="1:7" x14ac:dyDescent="0.2">
      <c r="A7" s="3" t="s">
        <v>34</v>
      </c>
      <c r="B7" s="3">
        <v>90</v>
      </c>
      <c r="C7" s="3">
        <v>420</v>
      </c>
      <c r="D7" s="19">
        <f t="shared" si="0"/>
        <v>37800</v>
      </c>
      <c r="E7" s="3">
        <v>15</v>
      </c>
      <c r="F7" s="3" t="str">
        <f t="shared" si="1"/>
        <v>✓ OK</v>
      </c>
      <c r="G7" s="3"/>
    </row>
    <row r="8" spans="1:7" x14ac:dyDescent="0.2">
      <c r="A8" s="3" t="s">
        <v>36</v>
      </c>
      <c r="B8" s="3">
        <v>120</v>
      </c>
      <c r="C8" s="3">
        <v>140</v>
      </c>
      <c r="D8" s="19">
        <f t="shared" si="0"/>
        <v>16800</v>
      </c>
      <c r="E8" s="3">
        <v>25</v>
      </c>
      <c r="F8" s="3" t="str">
        <f t="shared" si="1"/>
        <v>✓ OK</v>
      </c>
      <c r="G8" s="3"/>
    </row>
    <row r="9" spans="1:7" x14ac:dyDescent="0.2">
      <c r="A9" s="3"/>
      <c r="B9" s="3"/>
      <c r="C9" s="3"/>
      <c r="D9" s="19" t="str">
        <f t="shared" ref="D9:D32" si="2">IF(OR(B9="",C9=""),"",B9*C9)</f>
        <v/>
      </c>
      <c r="E9" s="3"/>
      <c r="F9" s="3" t="str">
        <f t="shared" si="1"/>
        <v/>
      </c>
      <c r="G9" s="3"/>
    </row>
    <row r="10" spans="1:7" x14ac:dyDescent="0.2">
      <c r="A10" s="3"/>
      <c r="B10" s="3"/>
      <c r="C10" s="3"/>
      <c r="D10" s="19" t="str">
        <f t="shared" si="2"/>
        <v/>
      </c>
      <c r="E10" s="3"/>
      <c r="F10" s="3" t="str">
        <f t="shared" si="1"/>
        <v/>
      </c>
      <c r="G10" s="3"/>
    </row>
    <row r="11" spans="1:7" x14ac:dyDescent="0.2">
      <c r="A11" s="3"/>
      <c r="B11" s="3"/>
      <c r="C11" s="3"/>
      <c r="D11" s="19" t="str">
        <f t="shared" si="2"/>
        <v/>
      </c>
      <c r="E11" s="3"/>
      <c r="F11" s="3" t="str">
        <f t="shared" si="1"/>
        <v/>
      </c>
      <c r="G11" s="3"/>
    </row>
    <row r="12" spans="1:7" x14ac:dyDescent="0.2">
      <c r="A12" s="3"/>
      <c r="B12" s="3"/>
      <c r="C12" s="3"/>
      <c r="D12" s="19" t="str">
        <f t="shared" si="2"/>
        <v/>
      </c>
      <c r="E12" s="3"/>
      <c r="F12" s="3" t="str">
        <f t="shared" si="1"/>
        <v/>
      </c>
      <c r="G12" s="3"/>
    </row>
    <row r="13" spans="1:7" x14ac:dyDescent="0.2">
      <c r="A13" s="3"/>
      <c r="B13" s="3"/>
      <c r="C13" s="3"/>
      <c r="D13" s="19" t="str">
        <f t="shared" si="2"/>
        <v/>
      </c>
      <c r="E13" s="3"/>
      <c r="F13" s="3" t="str">
        <f t="shared" si="1"/>
        <v/>
      </c>
      <c r="G13" s="3"/>
    </row>
    <row r="14" spans="1:7" x14ac:dyDescent="0.2">
      <c r="A14" s="3"/>
      <c r="B14" s="3"/>
      <c r="C14" s="3"/>
      <c r="D14" s="19" t="str">
        <f t="shared" si="2"/>
        <v/>
      </c>
      <c r="E14" s="3"/>
      <c r="F14" s="3" t="str">
        <f t="shared" si="1"/>
        <v/>
      </c>
      <c r="G14" s="3"/>
    </row>
    <row r="15" spans="1:7" x14ac:dyDescent="0.2">
      <c r="A15" s="3"/>
      <c r="B15" s="3"/>
      <c r="C15" s="3"/>
      <c r="D15" s="19" t="str">
        <f t="shared" si="2"/>
        <v/>
      </c>
      <c r="E15" s="3"/>
      <c r="F15" s="3" t="str">
        <f t="shared" si="1"/>
        <v/>
      </c>
      <c r="G15" s="3"/>
    </row>
    <row r="16" spans="1:7" x14ac:dyDescent="0.2">
      <c r="A16" s="3"/>
      <c r="B16" s="3"/>
      <c r="C16" s="3"/>
      <c r="D16" s="19" t="str">
        <f t="shared" si="2"/>
        <v/>
      </c>
      <c r="E16" s="3"/>
      <c r="F16" s="3" t="str">
        <f t="shared" si="1"/>
        <v/>
      </c>
      <c r="G16" s="3"/>
    </row>
    <row r="17" spans="1:7" x14ac:dyDescent="0.2">
      <c r="A17" s="3"/>
      <c r="B17" s="3"/>
      <c r="C17" s="3"/>
      <c r="D17" s="19" t="str">
        <f t="shared" si="2"/>
        <v/>
      </c>
      <c r="E17" s="3"/>
      <c r="F17" s="3" t="str">
        <f t="shared" si="1"/>
        <v/>
      </c>
      <c r="G17" s="3"/>
    </row>
    <row r="18" spans="1:7" x14ac:dyDescent="0.2">
      <c r="A18" s="3"/>
      <c r="B18" s="3"/>
      <c r="C18" s="3"/>
      <c r="D18" s="19" t="str">
        <f t="shared" si="2"/>
        <v/>
      </c>
      <c r="E18" s="3"/>
      <c r="F18" s="3" t="str">
        <f t="shared" si="1"/>
        <v/>
      </c>
      <c r="G18" s="3"/>
    </row>
    <row r="19" spans="1:7" x14ac:dyDescent="0.2">
      <c r="A19" s="3"/>
      <c r="B19" s="3"/>
      <c r="C19" s="3"/>
      <c r="D19" s="19" t="str">
        <f t="shared" si="2"/>
        <v/>
      </c>
      <c r="E19" s="3"/>
      <c r="F19" s="3" t="str">
        <f t="shared" si="1"/>
        <v/>
      </c>
      <c r="G19" s="3"/>
    </row>
    <row r="20" spans="1:7" x14ac:dyDescent="0.2">
      <c r="A20" s="3"/>
      <c r="B20" s="3"/>
      <c r="C20" s="3"/>
      <c r="D20" s="19" t="str">
        <f t="shared" si="2"/>
        <v/>
      </c>
      <c r="E20" s="3"/>
      <c r="F20" s="3" t="str">
        <f t="shared" si="1"/>
        <v/>
      </c>
      <c r="G20" s="3"/>
    </row>
    <row r="21" spans="1:7" x14ac:dyDescent="0.2">
      <c r="A21" s="3"/>
      <c r="B21" s="3"/>
      <c r="C21" s="3"/>
      <c r="D21" s="19" t="str">
        <f t="shared" si="2"/>
        <v/>
      </c>
      <c r="E21" s="3"/>
      <c r="F21" s="3" t="str">
        <f t="shared" si="1"/>
        <v/>
      </c>
      <c r="G21" s="3"/>
    </row>
    <row r="22" spans="1:7" x14ac:dyDescent="0.2">
      <c r="A22" s="3"/>
      <c r="B22" s="3"/>
      <c r="C22" s="3"/>
      <c r="D22" s="19" t="str">
        <f t="shared" si="2"/>
        <v/>
      </c>
      <c r="E22" s="3"/>
      <c r="F22" s="3" t="str">
        <f t="shared" si="1"/>
        <v/>
      </c>
      <c r="G22" s="3"/>
    </row>
    <row r="23" spans="1:7" x14ac:dyDescent="0.2">
      <c r="A23" s="3"/>
      <c r="B23" s="3"/>
      <c r="C23" s="3"/>
      <c r="D23" s="19" t="str">
        <f t="shared" si="2"/>
        <v/>
      </c>
      <c r="E23" s="3"/>
      <c r="F23" s="3" t="str">
        <f t="shared" si="1"/>
        <v/>
      </c>
      <c r="G23" s="3"/>
    </row>
    <row r="24" spans="1:7" x14ac:dyDescent="0.2">
      <c r="A24" s="3"/>
      <c r="B24" s="3"/>
      <c r="C24" s="3"/>
      <c r="D24" s="19" t="str">
        <f t="shared" si="2"/>
        <v/>
      </c>
      <c r="E24" s="3"/>
      <c r="F24" s="3" t="str">
        <f t="shared" si="1"/>
        <v/>
      </c>
      <c r="G24" s="3"/>
    </row>
    <row r="25" spans="1:7" x14ac:dyDescent="0.2">
      <c r="A25" s="3"/>
      <c r="B25" s="3"/>
      <c r="C25" s="3"/>
      <c r="D25" s="19" t="str">
        <f t="shared" si="2"/>
        <v/>
      </c>
      <c r="E25" s="3"/>
      <c r="F25" s="3" t="str">
        <f t="shared" si="1"/>
        <v/>
      </c>
      <c r="G25" s="3"/>
    </row>
    <row r="26" spans="1:7" x14ac:dyDescent="0.2">
      <c r="A26" s="3"/>
      <c r="B26" s="3"/>
      <c r="C26" s="3"/>
      <c r="D26" s="19" t="str">
        <f t="shared" si="2"/>
        <v/>
      </c>
      <c r="E26" s="3"/>
      <c r="F26" s="3" t="str">
        <f t="shared" si="1"/>
        <v/>
      </c>
      <c r="G26" s="3"/>
    </row>
    <row r="27" spans="1:7" x14ac:dyDescent="0.2">
      <c r="A27" s="3"/>
      <c r="B27" s="3"/>
      <c r="C27" s="3"/>
      <c r="D27" s="19" t="str">
        <f t="shared" si="2"/>
        <v/>
      </c>
      <c r="E27" s="3"/>
      <c r="F27" s="3" t="str">
        <f t="shared" si="1"/>
        <v/>
      </c>
      <c r="G27" s="3"/>
    </row>
    <row r="28" spans="1:7" x14ac:dyDescent="0.2">
      <c r="A28" s="3"/>
      <c r="B28" s="3"/>
      <c r="C28" s="3"/>
      <c r="D28" s="19" t="str">
        <f t="shared" si="2"/>
        <v/>
      </c>
      <c r="E28" s="3"/>
      <c r="F28" s="3" t="str">
        <f t="shared" si="1"/>
        <v/>
      </c>
      <c r="G28" s="3"/>
    </row>
    <row r="29" spans="1:7" x14ac:dyDescent="0.2">
      <c r="A29" s="3"/>
      <c r="B29" s="3"/>
      <c r="C29" s="3"/>
      <c r="D29" s="19" t="str">
        <f t="shared" si="2"/>
        <v/>
      </c>
      <c r="E29" s="3"/>
      <c r="F29" s="3" t="str">
        <f t="shared" si="1"/>
        <v/>
      </c>
      <c r="G29" s="3"/>
    </row>
    <row r="30" spans="1:7" x14ac:dyDescent="0.2">
      <c r="A30" s="3"/>
      <c r="B30" s="3"/>
      <c r="C30" s="3"/>
      <c r="D30" s="19" t="str">
        <f t="shared" si="2"/>
        <v/>
      </c>
      <c r="E30" s="3"/>
      <c r="F30" s="3" t="str">
        <f t="shared" si="1"/>
        <v/>
      </c>
      <c r="G30" s="3"/>
    </row>
    <row r="31" spans="1:7" x14ac:dyDescent="0.2">
      <c r="A31" s="3"/>
      <c r="B31" s="3"/>
      <c r="C31" s="3"/>
      <c r="D31" s="19" t="str">
        <f t="shared" si="2"/>
        <v/>
      </c>
      <c r="E31" s="3"/>
      <c r="F31" s="3" t="str">
        <f t="shared" si="1"/>
        <v/>
      </c>
      <c r="G31" s="3"/>
    </row>
    <row r="32" spans="1:7" x14ac:dyDescent="0.2">
      <c r="A32" s="3"/>
      <c r="B32" s="3"/>
      <c r="C32" s="3"/>
      <c r="D32" s="19" t="str">
        <f t="shared" si="2"/>
        <v/>
      </c>
      <c r="E32" s="3"/>
      <c r="F32" s="3" t="str">
        <f t="shared" si="1"/>
        <v/>
      </c>
      <c r="G32" s="3"/>
    </row>
    <row r="33" spans="1:7" x14ac:dyDescent="0.2">
      <c r="A33" s="4" t="s">
        <v>38</v>
      </c>
      <c r="B33" s="5">
        <f>SUM(B2:B32)</f>
        <v>3327</v>
      </c>
      <c r="C33" s="5"/>
      <c r="D33" s="20">
        <f>SUM(D2:D32)</f>
        <v>325650</v>
      </c>
      <c r="E33" s="5"/>
      <c r="F33" s="5"/>
      <c r="G33" s="5"/>
    </row>
    <row r="34" spans="1:7" ht="19" x14ac:dyDescent="0.2">
      <c r="A34" s="40" t="s">
        <v>171</v>
      </c>
      <c r="B34" s="41"/>
      <c r="C34" s="41"/>
      <c r="D34" s="22">
        <f>SUM(D2:D32)</f>
        <v>325650</v>
      </c>
      <c r="E34" s="21"/>
      <c r="F34" s="21"/>
      <c r="G34" s="21"/>
    </row>
  </sheetData>
  <mergeCells count="1">
    <mergeCell ref="A34:C34"/>
  </mergeCells>
  <conditionalFormatting sqref="F2:F32">
    <cfRule type="cellIs" dxfId="1" priority="1" operator="equal">
      <formula>"⚠ Reorder"</formula>
    </cfRule>
    <cfRule type="cellIs" dxfId="0" priority="2" operator="equal">
      <formula>"✓ 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Daily Sales</vt:lpstr>
      <vt:lpstr>Cash Collection</vt:lpstr>
      <vt:lpstr>Day Book</vt:lpstr>
      <vt:lpstr>Denomination Count</vt:lpstr>
      <vt:lpstr>Summary Dashboard</vt:lpstr>
      <vt:lpstr>Invoice</vt:lpstr>
      <vt:lpstr>Supplier Payments</vt:lpstr>
      <vt:lpstr>Stock Management</vt:lpstr>
      <vt:lpstr>Stock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Sushil Gautam</cp:lastModifiedBy>
  <dcterms:created xsi:type="dcterms:W3CDTF">2026-07-14T16:37:12Z</dcterms:created>
  <dcterms:modified xsi:type="dcterms:W3CDTF">2026-07-15T16:17:28Z</dcterms:modified>
</cp:coreProperties>
</file>
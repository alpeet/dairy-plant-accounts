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ushilgautam/Desktop/hrm/"/>
    </mc:Choice>
  </mc:AlternateContent>
  <xr:revisionPtr revIDLastSave="0" documentId="13_ncr:1_{0B17EE43-B23E-5648-9759-5ECD86EB95FC}" xr6:coauthVersionLast="47" xr6:coauthVersionMax="47" xr10:uidLastSave="{00000000-0000-0000-0000-000000000000}"/>
  <bookViews>
    <workbookView xWindow="0" yWindow="600" windowWidth="19220" windowHeight="19580" tabRatio="844" firstSheet="1" activeTab="3" xr2:uid="{00000000-000D-0000-FFFF-FFFF00000000}"/>
  </bookViews>
  <sheets>
    <sheet name="Dashboard" sheetId="1" r:id="rId1"/>
    <sheet name="Profit_Loss" sheetId="2" r:id="rId2"/>
    <sheet name="Receivable_Payable" sheetId="3" r:id="rId3"/>
    <sheet name="Sales_Entry" sheetId="4" r:id="rId4"/>
    <sheet name="Purchase_Entry" sheetId="5" r:id="rId5"/>
    <sheet name="Collection" sheetId="6" r:id="rId6"/>
    <sheet name="Cash_Demon" sheetId="7" r:id="rId7"/>
    <sheet name="Daybook" sheetId="8" r:id="rId8"/>
    <sheet name="Party_Master" sheetId="9" r:id="rId9"/>
    <sheet name="Party_Ledger" sheetId="10" r:id="rId10"/>
    <sheet name="Party_Statement" sheetId="11" r:id="rId11"/>
    <sheet name="Stock_Master" sheetId="12" r:id="rId12"/>
    <sheet name="Stock_Statement" sheetId="13" r:id="rId13"/>
    <sheet name="Cash_Deposit" sheetId="14" r:id="rId14"/>
    <sheet name="Printable_Invoice" sheetId="15" r:id="rId15"/>
    <sheet name="Settings" sheetId="16" r:id="rId16"/>
    <sheet name="README" sheetId="17" r:id="rId17"/>
  </sheets>
  <definedNames>
    <definedName name="_xlnm._FilterDatabase" localSheetId="6" hidden="1">Cash_Demon!$A$3:$O$47</definedName>
    <definedName name="_xlnm._FilterDatabase" localSheetId="5" hidden="1">Collection!$A$2:$K$537</definedName>
    <definedName name="_xlnm._FilterDatabase" localSheetId="9" hidden="1">Party_Ledger!$A$2:$I$1039</definedName>
    <definedName name="_xlnm._FilterDatabase" localSheetId="4" hidden="1">Purchase_Entry!$A$2:$Q$628</definedName>
    <definedName name="_xlnm._FilterDatabase" localSheetId="3" hidden="1">Sales_Entry!$A$2:$L$833</definedName>
    <definedName name="BizName">Settings!$B$5</definedName>
    <definedName name="FAT_MULT">Settings!$B$58</definedName>
    <definedName name="PartyTypes">Settings!$J$16:$J$55</definedName>
    <definedName name="PayModes">Settings!$F$16:$F$55</definedName>
    <definedName name="_xlnm.Print_Area" localSheetId="13">Cash_Deposit!$A$1:$N$207</definedName>
    <definedName name="_xlnm.Print_Area" localSheetId="10">Party_Statement!$A$1:$G$81</definedName>
    <definedName name="_xlnm.Print_Area" localSheetId="14">Printable_Invoice!$A$1:$F$27</definedName>
    <definedName name="_xlnm.Print_Area" localSheetId="1">Profit_Loss!$A$1:$D$25</definedName>
    <definedName name="_xlnm.Print_Area" localSheetId="16">README!$A$1:$D$51</definedName>
    <definedName name="_xlnm.Print_Area" localSheetId="2">Receivable_Payable!$A$1:$F$52</definedName>
    <definedName name="_xlnm.Print_Area" localSheetId="12">Stock_Statement!$A$1:$H$54</definedName>
    <definedName name="Products">Settings!$H$16:$H$55</definedName>
    <definedName name="RateTypes">Settings!$K$16:$K$55</definedName>
    <definedName name="SNF_MULT">Settings!$B$59</definedName>
    <definedName name="Statuses">Settings!$I$16:$I$55</definedName>
    <definedName name="TxnTypes">Settings!$G$16:$G$55</definedName>
    <definedName name="Units">Settings!$E$16:$E$55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0" i="6" l="1"/>
  <c r="J351" i="6"/>
  <c r="J335" i="6"/>
  <c r="H321" i="6"/>
  <c r="J321" i="6"/>
  <c r="J320" i="6"/>
  <c r="J306" i="6"/>
  <c r="J293" i="6"/>
  <c r="J264" i="6"/>
  <c r="H265" i="6"/>
  <c r="J265" i="6" s="1"/>
  <c r="J251" i="6"/>
  <c r="J234" i="6"/>
  <c r="J207" i="6"/>
  <c r="J208" i="6"/>
  <c r="J194" i="6"/>
  <c r="J169" i="6"/>
  <c r="J180" i="6"/>
  <c r="J158" i="6"/>
  <c r="J144" i="6"/>
  <c r="J129" i="6"/>
  <c r="J114" i="6"/>
  <c r="J98" i="6"/>
  <c r="J14" i="6"/>
  <c r="M38" i="7" l="1"/>
  <c r="N38" i="7" s="1"/>
  <c r="M39" i="7"/>
  <c r="N39" i="7" s="1"/>
  <c r="M40" i="7"/>
  <c r="N40" i="7" s="1"/>
  <c r="M41" i="7"/>
  <c r="N41" i="7" s="1"/>
  <c r="M42" i="7"/>
  <c r="N42" i="7" s="1"/>
  <c r="M43" i="7"/>
  <c r="N43" i="7" s="1"/>
  <c r="M44" i="7"/>
  <c r="N44" i="7" s="1"/>
  <c r="M45" i="7"/>
  <c r="N45" i="7" s="1"/>
  <c r="M46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3" i="7"/>
  <c r="M35" i="7"/>
  <c r="M36" i="7"/>
  <c r="M37" i="7"/>
  <c r="N37" i="7" s="1"/>
  <c r="M4" i="7"/>
  <c r="A1" i="17"/>
  <c r="F20" i="15"/>
  <c r="E20" i="15"/>
  <c r="F19" i="15"/>
  <c r="E19" i="15"/>
  <c r="F18" i="15"/>
  <c r="E18" i="15"/>
  <c r="F17" i="15"/>
  <c r="E17" i="15"/>
  <c r="F16" i="15"/>
  <c r="E16" i="15"/>
  <c r="F15" i="15"/>
  <c r="E15" i="15"/>
  <c r="F14" i="15"/>
  <c r="E14" i="15"/>
  <c r="F13" i="15"/>
  <c r="E13" i="15"/>
  <c r="B8" i="15"/>
  <c r="A3" i="15"/>
  <c r="A2" i="15"/>
  <c r="A1" i="15"/>
  <c r="J207" i="14"/>
  <c r="I207" i="14"/>
  <c r="H207" i="14"/>
  <c r="G207" i="14"/>
  <c r="F207" i="14"/>
  <c r="E207" i="14"/>
  <c r="D207" i="14"/>
  <c r="C207" i="14"/>
  <c r="B207" i="14"/>
  <c r="K206" i="14"/>
  <c r="K205" i="14"/>
  <c r="K204" i="14"/>
  <c r="K203" i="14"/>
  <c r="K202" i="14"/>
  <c r="K201" i="14"/>
  <c r="K200" i="14"/>
  <c r="K199" i="14"/>
  <c r="K198" i="14"/>
  <c r="K197" i="14"/>
  <c r="K196" i="14"/>
  <c r="K195" i="14"/>
  <c r="K194" i="14"/>
  <c r="K193" i="14"/>
  <c r="K192" i="14"/>
  <c r="K191" i="14"/>
  <c r="K190" i="14"/>
  <c r="K189" i="14"/>
  <c r="K188" i="14"/>
  <c r="K187" i="14"/>
  <c r="K186" i="14"/>
  <c r="K185" i="14"/>
  <c r="K184" i="14"/>
  <c r="K183" i="14"/>
  <c r="K182" i="14"/>
  <c r="K181" i="14"/>
  <c r="K180" i="14"/>
  <c r="K179" i="14"/>
  <c r="K178" i="14"/>
  <c r="K177" i="14"/>
  <c r="K176" i="14"/>
  <c r="K175" i="14"/>
  <c r="K174" i="14"/>
  <c r="K173" i="14"/>
  <c r="K172" i="14"/>
  <c r="K171" i="14"/>
  <c r="K170" i="14"/>
  <c r="K169" i="14"/>
  <c r="K168" i="14"/>
  <c r="K167" i="14"/>
  <c r="K166" i="14"/>
  <c r="K165" i="14"/>
  <c r="K164" i="14"/>
  <c r="K163" i="14"/>
  <c r="K162" i="14"/>
  <c r="K161" i="14"/>
  <c r="K160" i="14"/>
  <c r="K159" i="14"/>
  <c r="K158" i="14"/>
  <c r="K157" i="14"/>
  <c r="K156" i="14"/>
  <c r="K155" i="14"/>
  <c r="K154" i="14"/>
  <c r="K153" i="14"/>
  <c r="K152" i="14"/>
  <c r="K151" i="14"/>
  <c r="K150" i="14"/>
  <c r="K149" i="14"/>
  <c r="K148" i="14"/>
  <c r="K147" i="14"/>
  <c r="K146" i="14"/>
  <c r="K145" i="14"/>
  <c r="K144" i="14"/>
  <c r="K143" i="14"/>
  <c r="K142" i="14"/>
  <c r="K141" i="14"/>
  <c r="K140" i="14"/>
  <c r="K139" i="14"/>
  <c r="K138" i="14"/>
  <c r="K137" i="14"/>
  <c r="K136" i="14"/>
  <c r="K135" i="14"/>
  <c r="K134" i="14"/>
  <c r="K133" i="14"/>
  <c r="K132" i="14"/>
  <c r="K131" i="14"/>
  <c r="K130" i="14"/>
  <c r="K129" i="14"/>
  <c r="K128" i="14"/>
  <c r="K127" i="14"/>
  <c r="K126" i="14"/>
  <c r="K125" i="14"/>
  <c r="K124" i="14"/>
  <c r="K123" i="14"/>
  <c r="K122" i="14"/>
  <c r="K121" i="14"/>
  <c r="K120" i="14"/>
  <c r="K119" i="14"/>
  <c r="K118" i="14"/>
  <c r="K117" i="14"/>
  <c r="K116" i="14"/>
  <c r="K115" i="14"/>
  <c r="K114" i="14"/>
  <c r="K113" i="14"/>
  <c r="K112" i="14"/>
  <c r="K111" i="14"/>
  <c r="K110" i="14"/>
  <c r="K109" i="14"/>
  <c r="K108" i="14"/>
  <c r="K107" i="14"/>
  <c r="K106" i="14"/>
  <c r="K105" i="14"/>
  <c r="K104" i="14"/>
  <c r="K103" i="14"/>
  <c r="K102" i="14"/>
  <c r="K101" i="14"/>
  <c r="K100" i="14"/>
  <c r="K99" i="14"/>
  <c r="K98" i="14"/>
  <c r="K97" i="14"/>
  <c r="K96" i="14"/>
  <c r="K95" i="14"/>
  <c r="K94" i="14"/>
  <c r="K93" i="14"/>
  <c r="K92" i="14"/>
  <c r="K91" i="14"/>
  <c r="K90" i="14"/>
  <c r="K89" i="14"/>
  <c r="K88" i="14"/>
  <c r="K87" i="14"/>
  <c r="K86" i="14"/>
  <c r="K85" i="14"/>
  <c r="K84" i="14"/>
  <c r="K83" i="14"/>
  <c r="K82" i="14"/>
  <c r="K81" i="14"/>
  <c r="K80" i="14"/>
  <c r="K79" i="14"/>
  <c r="K78" i="14"/>
  <c r="K77" i="14"/>
  <c r="K76" i="14"/>
  <c r="K75" i="14"/>
  <c r="K74" i="14"/>
  <c r="K73" i="14"/>
  <c r="K72" i="14"/>
  <c r="K71" i="14"/>
  <c r="K70" i="14"/>
  <c r="K69" i="14"/>
  <c r="K68" i="14"/>
  <c r="K67" i="14"/>
  <c r="K66" i="14"/>
  <c r="K65" i="14"/>
  <c r="K64" i="14"/>
  <c r="K63" i="14"/>
  <c r="K62" i="14"/>
  <c r="K61" i="14"/>
  <c r="K60" i="14"/>
  <c r="K59" i="14"/>
  <c r="K58" i="14"/>
  <c r="K57" i="14"/>
  <c r="K56" i="14"/>
  <c r="K55" i="14"/>
  <c r="K54" i="14"/>
  <c r="K53" i="14"/>
  <c r="K52" i="14"/>
  <c r="K51" i="14"/>
  <c r="K50" i="14"/>
  <c r="K49" i="14"/>
  <c r="K48" i="14"/>
  <c r="K47" i="14"/>
  <c r="K46" i="14"/>
  <c r="K45" i="14"/>
  <c r="K44" i="14"/>
  <c r="K43" i="14"/>
  <c r="K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K12" i="14"/>
  <c r="K11" i="14"/>
  <c r="K10" i="14"/>
  <c r="K9" i="14"/>
  <c r="K8" i="14"/>
  <c r="K7" i="14"/>
  <c r="M4" i="14"/>
  <c r="A1" i="14"/>
  <c r="D47" i="13"/>
  <c r="C47" i="13"/>
  <c r="B47" i="13"/>
  <c r="A47" i="13"/>
  <c r="B46" i="13"/>
  <c r="A46" i="13"/>
  <c r="H45" i="13"/>
  <c r="G45" i="13"/>
  <c r="F45" i="13"/>
  <c r="E45" i="13"/>
  <c r="B45" i="13"/>
  <c r="A45" i="13"/>
  <c r="C45" i="13" s="1"/>
  <c r="H44" i="13"/>
  <c r="G44" i="13"/>
  <c r="F44" i="13"/>
  <c r="E44" i="13"/>
  <c r="D44" i="13"/>
  <c r="C44" i="13"/>
  <c r="B44" i="13"/>
  <c r="A44" i="13"/>
  <c r="B43" i="13"/>
  <c r="A43" i="13"/>
  <c r="D42" i="13"/>
  <c r="C42" i="13"/>
  <c r="B42" i="13"/>
  <c r="A42" i="13"/>
  <c r="H41" i="13"/>
  <c r="B41" i="13"/>
  <c r="A41" i="13"/>
  <c r="H40" i="13"/>
  <c r="G40" i="13"/>
  <c r="F40" i="13"/>
  <c r="E40" i="13"/>
  <c r="B40" i="13"/>
  <c r="A40" i="13"/>
  <c r="C40" i="13" s="1"/>
  <c r="H39" i="13"/>
  <c r="G39" i="13"/>
  <c r="F39" i="13"/>
  <c r="E39" i="13"/>
  <c r="D39" i="13"/>
  <c r="C39" i="13"/>
  <c r="B39" i="13"/>
  <c r="A39" i="13"/>
  <c r="F38" i="13"/>
  <c r="E38" i="13"/>
  <c r="D38" i="13"/>
  <c r="B38" i="13"/>
  <c r="A38" i="13"/>
  <c r="B37" i="13"/>
  <c r="A37" i="13"/>
  <c r="H36" i="13"/>
  <c r="G36" i="13"/>
  <c r="B36" i="13"/>
  <c r="A36" i="13"/>
  <c r="H35" i="13"/>
  <c r="G35" i="13"/>
  <c r="F35" i="13"/>
  <c r="E35" i="13"/>
  <c r="B35" i="13"/>
  <c r="A35" i="13"/>
  <c r="C35" i="13" s="1"/>
  <c r="H34" i="13"/>
  <c r="G34" i="13"/>
  <c r="F34" i="13"/>
  <c r="E34" i="13"/>
  <c r="D34" i="13"/>
  <c r="C34" i="13"/>
  <c r="B34" i="13"/>
  <c r="A34" i="13"/>
  <c r="F33" i="13"/>
  <c r="E33" i="13"/>
  <c r="D33" i="13"/>
  <c r="C33" i="13"/>
  <c r="B33" i="13"/>
  <c r="A33" i="13"/>
  <c r="B32" i="13"/>
  <c r="A32" i="13"/>
  <c r="B31" i="13"/>
  <c r="A31" i="13"/>
  <c r="H30" i="13"/>
  <c r="G30" i="13"/>
  <c r="F30" i="13"/>
  <c r="E30" i="13"/>
  <c r="B30" i="13"/>
  <c r="A30" i="13"/>
  <c r="C30" i="13" s="1"/>
  <c r="H29" i="13"/>
  <c r="G29" i="13"/>
  <c r="F29" i="13"/>
  <c r="E29" i="13"/>
  <c r="D29" i="13"/>
  <c r="C29" i="13"/>
  <c r="B29" i="13"/>
  <c r="A29" i="13"/>
  <c r="B28" i="13"/>
  <c r="A28" i="13"/>
  <c r="B27" i="13"/>
  <c r="A27" i="13"/>
  <c r="D27" i="13" s="1"/>
  <c r="G26" i="13"/>
  <c r="B26" i="13"/>
  <c r="A26" i="13"/>
  <c r="H25" i="13"/>
  <c r="G25" i="13"/>
  <c r="F25" i="13"/>
  <c r="E25" i="13"/>
  <c r="B25" i="13"/>
  <c r="A25" i="13"/>
  <c r="C25" i="13" s="1"/>
  <c r="H24" i="13"/>
  <c r="G24" i="13"/>
  <c r="F24" i="13"/>
  <c r="E24" i="13"/>
  <c r="D24" i="13"/>
  <c r="C24" i="13"/>
  <c r="B24" i="13"/>
  <c r="A24" i="13"/>
  <c r="B23" i="13"/>
  <c r="A23" i="13"/>
  <c r="D22" i="13"/>
  <c r="C22" i="13"/>
  <c r="B22" i="13"/>
  <c r="A22" i="13"/>
  <c r="B21" i="13"/>
  <c r="A21" i="13"/>
  <c r="H20" i="13"/>
  <c r="G20" i="13"/>
  <c r="F20" i="13"/>
  <c r="E20" i="13"/>
  <c r="B20" i="13"/>
  <c r="A20" i="13"/>
  <c r="C20" i="13" s="1"/>
  <c r="H19" i="13"/>
  <c r="G19" i="13"/>
  <c r="F19" i="13"/>
  <c r="E19" i="13"/>
  <c r="D19" i="13"/>
  <c r="C19" i="13"/>
  <c r="B19" i="13"/>
  <c r="A19" i="13"/>
  <c r="B18" i="13"/>
  <c r="A18" i="13"/>
  <c r="D17" i="13"/>
  <c r="B17" i="13"/>
  <c r="A17" i="13"/>
  <c r="B16" i="13"/>
  <c r="A16" i="13"/>
  <c r="G15" i="13"/>
  <c r="E15" i="13"/>
  <c r="B15" i="13"/>
  <c r="A15" i="13"/>
  <c r="C15" i="13" s="1"/>
  <c r="G14" i="13"/>
  <c r="E14" i="13"/>
  <c r="D14" i="13"/>
  <c r="C14" i="13"/>
  <c r="F14" i="13" s="1"/>
  <c r="H14" i="13" s="1"/>
  <c r="B14" i="13"/>
  <c r="A14" i="13"/>
  <c r="E13" i="13"/>
  <c r="B13" i="13"/>
  <c r="A13" i="13"/>
  <c r="D13" i="13" s="1"/>
  <c r="B12" i="13"/>
  <c r="A12" i="13"/>
  <c r="G11" i="13"/>
  <c r="B11" i="13"/>
  <c r="A11" i="13"/>
  <c r="G10" i="13"/>
  <c r="E10" i="13"/>
  <c r="B10" i="13"/>
  <c r="A10" i="13"/>
  <c r="C10" i="13" s="1"/>
  <c r="H9" i="13"/>
  <c r="G9" i="13"/>
  <c r="E9" i="13"/>
  <c r="D9" i="13"/>
  <c r="C9" i="13"/>
  <c r="F9" i="13" s="1"/>
  <c r="B9" i="13"/>
  <c r="A9" i="13"/>
  <c r="A6" i="13"/>
  <c r="A2" i="13"/>
  <c r="A1" i="13"/>
  <c r="J41" i="12"/>
  <c r="I41" i="12"/>
  <c r="F41" i="12"/>
  <c r="E41" i="12"/>
  <c r="D41" i="12"/>
  <c r="J40" i="12"/>
  <c r="I40" i="12"/>
  <c r="F40" i="12"/>
  <c r="E40" i="12"/>
  <c r="D40" i="12"/>
  <c r="J39" i="12"/>
  <c r="I39" i="12"/>
  <c r="F39" i="12"/>
  <c r="E39" i="12"/>
  <c r="D39" i="12"/>
  <c r="J38" i="12"/>
  <c r="I38" i="12"/>
  <c r="F38" i="12"/>
  <c r="E38" i="12"/>
  <c r="D38" i="12"/>
  <c r="J37" i="12"/>
  <c r="I37" i="12"/>
  <c r="F37" i="12"/>
  <c r="E37" i="12"/>
  <c r="D37" i="12"/>
  <c r="J36" i="12"/>
  <c r="I36" i="12"/>
  <c r="F36" i="12"/>
  <c r="E36" i="12"/>
  <c r="D36" i="12"/>
  <c r="J35" i="12"/>
  <c r="I35" i="12"/>
  <c r="F35" i="12"/>
  <c r="E35" i="12"/>
  <c r="D35" i="12"/>
  <c r="J34" i="12"/>
  <c r="I34" i="12"/>
  <c r="F34" i="12"/>
  <c r="E34" i="12"/>
  <c r="D34" i="12"/>
  <c r="J33" i="12"/>
  <c r="I33" i="12"/>
  <c r="F33" i="12"/>
  <c r="E33" i="12"/>
  <c r="D33" i="12"/>
  <c r="J32" i="12"/>
  <c r="I32" i="12"/>
  <c r="F32" i="12"/>
  <c r="E32" i="12"/>
  <c r="D32" i="12"/>
  <c r="J31" i="12"/>
  <c r="I31" i="12"/>
  <c r="F31" i="12"/>
  <c r="E31" i="12"/>
  <c r="D31" i="12"/>
  <c r="J30" i="12"/>
  <c r="I30" i="12"/>
  <c r="F30" i="12"/>
  <c r="E30" i="12"/>
  <c r="D30" i="12"/>
  <c r="J29" i="12"/>
  <c r="I29" i="12"/>
  <c r="F29" i="12"/>
  <c r="E29" i="12"/>
  <c r="D29" i="12"/>
  <c r="J28" i="12"/>
  <c r="I28" i="12"/>
  <c r="F28" i="12"/>
  <c r="E28" i="12"/>
  <c r="D28" i="12"/>
  <c r="J27" i="12"/>
  <c r="I27" i="12"/>
  <c r="F27" i="12"/>
  <c r="E27" i="12"/>
  <c r="D27" i="12"/>
  <c r="J26" i="12"/>
  <c r="I26" i="12"/>
  <c r="F26" i="12"/>
  <c r="E26" i="12"/>
  <c r="D26" i="12"/>
  <c r="J25" i="12"/>
  <c r="I25" i="12"/>
  <c r="F25" i="12"/>
  <c r="E25" i="12"/>
  <c r="D25" i="12"/>
  <c r="J24" i="12"/>
  <c r="I24" i="12"/>
  <c r="F24" i="12"/>
  <c r="E24" i="12"/>
  <c r="D24" i="12"/>
  <c r="J23" i="12"/>
  <c r="I23" i="12"/>
  <c r="F23" i="12"/>
  <c r="E23" i="12"/>
  <c r="D23" i="12"/>
  <c r="J22" i="12"/>
  <c r="I22" i="12"/>
  <c r="F22" i="12"/>
  <c r="E22" i="12"/>
  <c r="D22" i="12"/>
  <c r="J21" i="12"/>
  <c r="I21" i="12"/>
  <c r="F21" i="12"/>
  <c r="E21" i="12"/>
  <c r="D21" i="12"/>
  <c r="J20" i="12"/>
  <c r="I20" i="12"/>
  <c r="F20" i="12"/>
  <c r="E20" i="12"/>
  <c r="D20" i="12"/>
  <c r="J19" i="12"/>
  <c r="I19" i="12"/>
  <c r="F19" i="12"/>
  <c r="E19" i="12"/>
  <c r="D19" i="12"/>
  <c r="J18" i="12"/>
  <c r="I18" i="12"/>
  <c r="F18" i="12"/>
  <c r="E18" i="12"/>
  <c r="D18" i="12"/>
  <c r="J17" i="12"/>
  <c r="I17" i="12"/>
  <c r="F17" i="12"/>
  <c r="E17" i="12"/>
  <c r="D17" i="12"/>
  <c r="J16" i="12"/>
  <c r="I16" i="12"/>
  <c r="F16" i="12"/>
  <c r="E16" i="12"/>
  <c r="D16" i="12"/>
  <c r="J15" i="12"/>
  <c r="I15" i="12"/>
  <c r="F15" i="12"/>
  <c r="E15" i="12"/>
  <c r="D15" i="12"/>
  <c r="J14" i="12"/>
  <c r="I14" i="12"/>
  <c r="F14" i="12"/>
  <c r="E14" i="12"/>
  <c r="D14" i="12"/>
  <c r="J13" i="12"/>
  <c r="I13" i="12"/>
  <c r="F13" i="12"/>
  <c r="E13" i="12"/>
  <c r="D13" i="12"/>
  <c r="J12" i="12"/>
  <c r="I12" i="12"/>
  <c r="F12" i="12"/>
  <c r="E12" i="12"/>
  <c r="D12" i="12"/>
  <c r="J11" i="12"/>
  <c r="I11" i="12"/>
  <c r="F11" i="12"/>
  <c r="E11" i="12"/>
  <c r="D11" i="12"/>
  <c r="E10" i="12"/>
  <c r="D10" i="12"/>
  <c r="F10" i="12" s="1"/>
  <c r="E9" i="12"/>
  <c r="D9" i="12"/>
  <c r="F9" i="12" s="1"/>
  <c r="J9" i="12" s="1"/>
  <c r="I8" i="12"/>
  <c r="F8" i="12"/>
  <c r="J8" i="12" s="1"/>
  <c r="E8" i="12"/>
  <c r="D8" i="12"/>
  <c r="E7" i="12"/>
  <c r="D7" i="12"/>
  <c r="F7" i="12" s="1"/>
  <c r="E6" i="12"/>
  <c r="D6" i="12"/>
  <c r="F6" i="12" s="1"/>
  <c r="E5" i="12"/>
  <c r="E4" i="12"/>
  <c r="D3" i="12"/>
  <c r="A7" i="11"/>
  <c r="A2" i="11"/>
  <c r="A1" i="11"/>
  <c r="G1039" i="10"/>
  <c r="F1039" i="10"/>
  <c r="E1039" i="10"/>
  <c r="D1039" i="10"/>
  <c r="C1039" i="10"/>
  <c r="B1039" i="10"/>
  <c r="A1039" i="10"/>
  <c r="G1038" i="10"/>
  <c r="F1038" i="10"/>
  <c r="E1038" i="10"/>
  <c r="D1038" i="10"/>
  <c r="C1038" i="10"/>
  <c r="B1038" i="10"/>
  <c r="A1038" i="10"/>
  <c r="G1037" i="10"/>
  <c r="F1037" i="10"/>
  <c r="E1037" i="10"/>
  <c r="D1037" i="10"/>
  <c r="C1037" i="10"/>
  <c r="B1037" i="10"/>
  <c r="A1037" i="10"/>
  <c r="G1036" i="10"/>
  <c r="F1036" i="10"/>
  <c r="E1036" i="10"/>
  <c r="D1036" i="10"/>
  <c r="C1036" i="10"/>
  <c r="B1036" i="10"/>
  <c r="A1036" i="10"/>
  <c r="G1035" i="10"/>
  <c r="F1035" i="10"/>
  <c r="E1035" i="10"/>
  <c r="D1035" i="10"/>
  <c r="C1035" i="10"/>
  <c r="B1035" i="10"/>
  <c r="A1035" i="10"/>
  <c r="G1034" i="10"/>
  <c r="F1034" i="10"/>
  <c r="E1034" i="10"/>
  <c r="D1034" i="10"/>
  <c r="C1034" i="10"/>
  <c r="B1034" i="10"/>
  <c r="A1034" i="10"/>
  <c r="G1033" i="10"/>
  <c r="F1033" i="10"/>
  <c r="E1033" i="10"/>
  <c r="D1033" i="10"/>
  <c r="C1033" i="10"/>
  <c r="B1033" i="10"/>
  <c r="A1033" i="10"/>
  <c r="G1032" i="10"/>
  <c r="F1032" i="10"/>
  <c r="E1032" i="10"/>
  <c r="D1032" i="10"/>
  <c r="C1032" i="10"/>
  <c r="B1032" i="10"/>
  <c r="A1032" i="10"/>
  <c r="G1031" i="10"/>
  <c r="F1031" i="10"/>
  <c r="E1031" i="10"/>
  <c r="D1031" i="10"/>
  <c r="C1031" i="10"/>
  <c r="B1031" i="10"/>
  <c r="A1031" i="10"/>
  <c r="G1030" i="10"/>
  <c r="F1030" i="10"/>
  <c r="E1030" i="10"/>
  <c r="D1030" i="10"/>
  <c r="C1030" i="10"/>
  <c r="B1030" i="10"/>
  <c r="A1030" i="10"/>
  <c r="G1029" i="10"/>
  <c r="F1029" i="10"/>
  <c r="E1029" i="10"/>
  <c r="D1029" i="10"/>
  <c r="C1029" i="10"/>
  <c r="B1029" i="10"/>
  <c r="A1029" i="10"/>
  <c r="G1028" i="10"/>
  <c r="F1028" i="10"/>
  <c r="E1028" i="10"/>
  <c r="D1028" i="10"/>
  <c r="C1028" i="10"/>
  <c r="B1028" i="10"/>
  <c r="A1028" i="10"/>
  <c r="G1027" i="10"/>
  <c r="F1027" i="10"/>
  <c r="E1027" i="10"/>
  <c r="D1027" i="10"/>
  <c r="C1027" i="10"/>
  <c r="B1027" i="10"/>
  <c r="A1027" i="10"/>
  <c r="G1026" i="10"/>
  <c r="F1026" i="10"/>
  <c r="E1026" i="10"/>
  <c r="D1026" i="10"/>
  <c r="C1026" i="10"/>
  <c r="B1026" i="10"/>
  <c r="A1026" i="10"/>
  <c r="G1025" i="10"/>
  <c r="F1025" i="10"/>
  <c r="E1025" i="10"/>
  <c r="D1025" i="10"/>
  <c r="C1025" i="10"/>
  <c r="B1025" i="10"/>
  <c r="A1025" i="10"/>
  <c r="G1024" i="10"/>
  <c r="F1024" i="10"/>
  <c r="E1024" i="10"/>
  <c r="D1024" i="10"/>
  <c r="C1024" i="10"/>
  <c r="B1024" i="10"/>
  <c r="A1024" i="10"/>
  <c r="G1023" i="10"/>
  <c r="F1023" i="10"/>
  <c r="E1023" i="10"/>
  <c r="D1023" i="10"/>
  <c r="C1023" i="10"/>
  <c r="B1023" i="10"/>
  <c r="A1023" i="10"/>
  <c r="G1022" i="10"/>
  <c r="F1022" i="10"/>
  <c r="E1022" i="10"/>
  <c r="D1022" i="10"/>
  <c r="C1022" i="10"/>
  <c r="B1022" i="10"/>
  <c r="A1022" i="10"/>
  <c r="G1021" i="10"/>
  <c r="F1021" i="10"/>
  <c r="E1021" i="10"/>
  <c r="D1021" i="10"/>
  <c r="C1021" i="10"/>
  <c r="B1021" i="10"/>
  <c r="A1021" i="10"/>
  <c r="G1020" i="10"/>
  <c r="F1020" i="10"/>
  <c r="E1020" i="10"/>
  <c r="D1020" i="10"/>
  <c r="C1020" i="10"/>
  <c r="B1020" i="10"/>
  <c r="A1020" i="10"/>
  <c r="G1019" i="10"/>
  <c r="F1019" i="10"/>
  <c r="E1019" i="10"/>
  <c r="D1019" i="10"/>
  <c r="C1019" i="10"/>
  <c r="B1019" i="10"/>
  <c r="A1019" i="10"/>
  <c r="G1018" i="10"/>
  <c r="F1018" i="10"/>
  <c r="E1018" i="10"/>
  <c r="D1018" i="10"/>
  <c r="C1018" i="10"/>
  <c r="B1018" i="10"/>
  <c r="A1018" i="10"/>
  <c r="G1017" i="10"/>
  <c r="F1017" i="10"/>
  <c r="E1017" i="10"/>
  <c r="D1017" i="10"/>
  <c r="C1017" i="10"/>
  <c r="B1017" i="10"/>
  <c r="A1017" i="10"/>
  <c r="G1016" i="10"/>
  <c r="F1016" i="10"/>
  <c r="E1016" i="10"/>
  <c r="D1016" i="10"/>
  <c r="C1016" i="10"/>
  <c r="B1016" i="10"/>
  <c r="A1016" i="10"/>
  <c r="G1015" i="10"/>
  <c r="F1015" i="10"/>
  <c r="E1015" i="10"/>
  <c r="D1015" i="10"/>
  <c r="C1015" i="10"/>
  <c r="B1015" i="10"/>
  <c r="A1015" i="10"/>
  <c r="G1014" i="10"/>
  <c r="F1014" i="10"/>
  <c r="E1014" i="10"/>
  <c r="D1014" i="10"/>
  <c r="C1014" i="10"/>
  <c r="B1014" i="10"/>
  <c r="A1014" i="10"/>
  <c r="G1013" i="10"/>
  <c r="F1013" i="10"/>
  <c r="E1013" i="10"/>
  <c r="D1013" i="10"/>
  <c r="C1013" i="10"/>
  <c r="B1013" i="10"/>
  <c r="A1013" i="10"/>
  <c r="G1012" i="10"/>
  <c r="F1012" i="10"/>
  <c r="E1012" i="10"/>
  <c r="D1012" i="10"/>
  <c r="C1012" i="10"/>
  <c r="B1012" i="10"/>
  <c r="A1012" i="10"/>
  <c r="G1011" i="10"/>
  <c r="F1011" i="10"/>
  <c r="E1011" i="10"/>
  <c r="D1011" i="10"/>
  <c r="C1011" i="10"/>
  <c r="B1011" i="10"/>
  <c r="A1011" i="10"/>
  <c r="G1010" i="10"/>
  <c r="F1010" i="10"/>
  <c r="E1010" i="10"/>
  <c r="D1010" i="10"/>
  <c r="C1010" i="10"/>
  <c r="B1010" i="10"/>
  <c r="A1010" i="10"/>
  <c r="G1009" i="10"/>
  <c r="F1009" i="10"/>
  <c r="E1009" i="10"/>
  <c r="D1009" i="10"/>
  <c r="C1009" i="10"/>
  <c r="B1009" i="10"/>
  <c r="A1009" i="10"/>
  <c r="G1008" i="10"/>
  <c r="F1008" i="10"/>
  <c r="E1008" i="10"/>
  <c r="D1008" i="10"/>
  <c r="C1008" i="10"/>
  <c r="B1008" i="10"/>
  <c r="A1008" i="10"/>
  <c r="G1007" i="10"/>
  <c r="F1007" i="10"/>
  <c r="E1007" i="10"/>
  <c r="D1007" i="10"/>
  <c r="C1007" i="10"/>
  <c r="B1007" i="10"/>
  <c r="A1007" i="10"/>
  <c r="G1006" i="10"/>
  <c r="F1006" i="10"/>
  <c r="E1006" i="10"/>
  <c r="D1006" i="10"/>
  <c r="C1006" i="10"/>
  <c r="B1006" i="10"/>
  <c r="A1006" i="10"/>
  <c r="G1005" i="10"/>
  <c r="F1005" i="10"/>
  <c r="E1005" i="10"/>
  <c r="D1005" i="10"/>
  <c r="C1005" i="10"/>
  <c r="B1005" i="10"/>
  <c r="A1005" i="10"/>
  <c r="G1004" i="10"/>
  <c r="F1004" i="10"/>
  <c r="E1004" i="10"/>
  <c r="D1004" i="10"/>
  <c r="C1004" i="10"/>
  <c r="B1004" i="10"/>
  <c r="A1004" i="10"/>
  <c r="G1003" i="10"/>
  <c r="F1003" i="10"/>
  <c r="E1003" i="10"/>
  <c r="D1003" i="10"/>
  <c r="C1003" i="10"/>
  <c r="B1003" i="10"/>
  <c r="A1003" i="10"/>
  <c r="G1002" i="10"/>
  <c r="F1002" i="10"/>
  <c r="E1002" i="10"/>
  <c r="D1002" i="10"/>
  <c r="C1002" i="10"/>
  <c r="B1002" i="10"/>
  <c r="A1002" i="10"/>
  <c r="G1001" i="10"/>
  <c r="F1001" i="10"/>
  <c r="E1001" i="10"/>
  <c r="D1001" i="10"/>
  <c r="C1001" i="10"/>
  <c r="B1001" i="10"/>
  <c r="A1001" i="10"/>
  <c r="G1000" i="10"/>
  <c r="F1000" i="10"/>
  <c r="E1000" i="10"/>
  <c r="D1000" i="10"/>
  <c r="C1000" i="10"/>
  <c r="B1000" i="10"/>
  <c r="A1000" i="10"/>
  <c r="G999" i="10"/>
  <c r="F999" i="10"/>
  <c r="E999" i="10"/>
  <c r="D999" i="10"/>
  <c r="C999" i="10"/>
  <c r="B999" i="10"/>
  <c r="A999" i="10"/>
  <c r="G998" i="10"/>
  <c r="F998" i="10"/>
  <c r="E998" i="10"/>
  <c r="D998" i="10"/>
  <c r="C998" i="10"/>
  <c r="B998" i="10"/>
  <c r="A998" i="10"/>
  <c r="G997" i="10"/>
  <c r="F997" i="10"/>
  <c r="E997" i="10"/>
  <c r="D997" i="10"/>
  <c r="C997" i="10"/>
  <c r="B997" i="10"/>
  <c r="A997" i="10"/>
  <c r="G996" i="10"/>
  <c r="F996" i="10"/>
  <c r="E996" i="10"/>
  <c r="D996" i="10"/>
  <c r="C996" i="10"/>
  <c r="B996" i="10"/>
  <c r="A996" i="10"/>
  <c r="G995" i="10"/>
  <c r="F995" i="10"/>
  <c r="E995" i="10"/>
  <c r="D995" i="10"/>
  <c r="C995" i="10"/>
  <c r="B995" i="10"/>
  <c r="A995" i="10"/>
  <c r="G994" i="10"/>
  <c r="F994" i="10"/>
  <c r="E994" i="10"/>
  <c r="D994" i="10"/>
  <c r="C994" i="10"/>
  <c r="B994" i="10"/>
  <c r="A994" i="10"/>
  <c r="G993" i="10"/>
  <c r="F993" i="10"/>
  <c r="E993" i="10"/>
  <c r="D993" i="10"/>
  <c r="C993" i="10"/>
  <c r="B993" i="10"/>
  <c r="A993" i="10"/>
  <c r="G992" i="10"/>
  <c r="F992" i="10"/>
  <c r="E992" i="10"/>
  <c r="D992" i="10"/>
  <c r="C992" i="10"/>
  <c r="B992" i="10"/>
  <c r="A992" i="10"/>
  <c r="G991" i="10"/>
  <c r="F991" i="10"/>
  <c r="E991" i="10"/>
  <c r="D991" i="10"/>
  <c r="C991" i="10"/>
  <c r="B991" i="10"/>
  <c r="A991" i="10"/>
  <c r="G990" i="10"/>
  <c r="F990" i="10"/>
  <c r="E990" i="10"/>
  <c r="D990" i="10"/>
  <c r="C990" i="10"/>
  <c r="B990" i="10"/>
  <c r="A990" i="10"/>
  <c r="G989" i="10"/>
  <c r="F989" i="10"/>
  <c r="E989" i="10"/>
  <c r="D989" i="10"/>
  <c r="C989" i="10"/>
  <c r="B989" i="10"/>
  <c r="A989" i="10"/>
  <c r="G988" i="10"/>
  <c r="F988" i="10"/>
  <c r="E988" i="10"/>
  <c r="D988" i="10"/>
  <c r="C988" i="10"/>
  <c r="B988" i="10"/>
  <c r="A988" i="10"/>
  <c r="G987" i="10"/>
  <c r="F987" i="10"/>
  <c r="E987" i="10"/>
  <c r="D987" i="10"/>
  <c r="C987" i="10"/>
  <c r="B987" i="10"/>
  <c r="A987" i="10"/>
  <c r="G986" i="10"/>
  <c r="F986" i="10"/>
  <c r="E986" i="10"/>
  <c r="D986" i="10"/>
  <c r="C986" i="10"/>
  <c r="B986" i="10"/>
  <c r="A986" i="10"/>
  <c r="G985" i="10"/>
  <c r="F985" i="10"/>
  <c r="E985" i="10"/>
  <c r="D985" i="10"/>
  <c r="C985" i="10"/>
  <c r="B985" i="10"/>
  <c r="A985" i="10"/>
  <c r="G984" i="10"/>
  <c r="F984" i="10"/>
  <c r="E984" i="10"/>
  <c r="D984" i="10"/>
  <c r="C984" i="10"/>
  <c r="B984" i="10"/>
  <c r="A984" i="10"/>
  <c r="G983" i="10"/>
  <c r="F983" i="10"/>
  <c r="E983" i="10"/>
  <c r="D983" i="10"/>
  <c r="C983" i="10"/>
  <c r="B983" i="10"/>
  <c r="A983" i="10"/>
  <c r="G982" i="10"/>
  <c r="F982" i="10"/>
  <c r="E982" i="10"/>
  <c r="D982" i="10"/>
  <c r="C982" i="10"/>
  <c r="B982" i="10"/>
  <c r="A982" i="10"/>
  <c r="G981" i="10"/>
  <c r="F981" i="10"/>
  <c r="E981" i="10"/>
  <c r="D981" i="10"/>
  <c r="C981" i="10"/>
  <c r="B981" i="10"/>
  <c r="A981" i="10"/>
  <c r="G980" i="10"/>
  <c r="F980" i="10"/>
  <c r="E980" i="10"/>
  <c r="D980" i="10"/>
  <c r="C980" i="10"/>
  <c r="B980" i="10"/>
  <c r="A980" i="10"/>
  <c r="G979" i="10"/>
  <c r="F979" i="10"/>
  <c r="E979" i="10"/>
  <c r="D979" i="10"/>
  <c r="C979" i="10"/>
  <c r="B979" i="10"/>
  <c r="A979" i="10"/>
  <c r="G978" i="10"/>
  <c r="F978" i="10"/>
  <c r="E978" i="10"/>
  <c r="D978" i="10"/>
  <c r="C978" i="10"/>
  <c r="B978" i="10"/>
  <c r="A978" i="10"/>
  <c r="G977" i="10"/>
  <c r="F977" i="10"/>
  <c r="E977" i="10"/>
  <c r="D977" i="10"/>
  <c r="C977" i="10"/>
  <c r="B977" i="10"/>
  <c r="A977" i="10"/>
  <c r="G976" i="10"/>
  <c r="F976" i="10"/>
  <c r="E976" i="10"/>
  <c r="D976" i="10"/>
  <c r="C976" i="10"/>
  <c r="B976" i="10"/>
  <c r="A976" i="10"/>
  <c r="G975" i="10"/>
  <c r="F975" i="10"/>
  <c r="E975" i="10"/>
  <c r="D975" i="10"/>
  <c r="C975" i="10"/>
  <c r="B975" i="10"/>
  <c r="A975" i="10"/>
  <c r="G974" i="10"/>
  <c r="F974" i="10"/>
  <c r="E974" i="10"/>
  <c r="D974" i="10"/>
  <c r="C974" i="10"/>
  <c r="B974" i="10"/>
  <c r="A974" i="10"/>
  <c r="G973" i="10"/>
  <c r="F973" i="10"/>
  <c r="E973" i="10"/>
  <c r="D973" i="10"/>
  <c r="C973" i="10"/>
  <c r="B973" i="10"/>
  <c r="A973" i="10"/>
  <c r="G972" i="10"/>
  <c r="F972" i="10"/>
  <c r="E972" i="10"/>
  <c r="D972" i="10"/>
  <c r="C972" i="10"/>
  <c r="B972" i="10"/>
  <c r="A972" i="10"/>
  <c r="G971" i="10"/>
  <c r="F971" i="10"/>
  <c r="E971" i="10"/>
  <c r="D971" i="10"/>
  <c r="C971" i="10"/>
  <c r="B971" i="10"/>
  <c r="A971" i="10"/>
  <c r="G970" i="10"/>
  <c r="F970" i="10"/>
  <c r="E970" i="10"/>
  <c r="D970" i="10"/>
  <c r="C970" i="10"/>
  <c r="B970" i="10"/>
  <c r="A970" i="10"/>
  <c r="G969" i="10"/>
  <c r="F969" i="10"/>
  <c r="E969" i="10"/>
  <c r="D969" i="10"/>
  <c r="C969" i="10"/>
  <c r="B969" i="10"/>
  <c r="A969" i="10"/>
  <c r="G968" i="10"/>
  <c r="F968" i="10"/>
  <c r="E968" i="10"/>
  <c r="D968" i="10"/>
  <c r="C968" i="10"/>
  <c r="B968" i="10"/>
  <c r="A968" i="10"/>
  <c r="G967" i="10"/>
  <c r="F967" i="10"/>
  <c r="E967" i="10"/>
  <c r="D967" i="10"/>
  <c r="C967" i="10"/>
  <c r="B967" i="10"/>
  <c r="A967" i="10"/>
  <c r="G966" i="10"/>
  <c r="F966" i="10"/>
  <c r="E966" i="10"/>
  <c r="D966" i="10"/>
  <c r="C966" i="10"/>
  <c r="B966" i="10"/>
  <c r="A966" i="10"/>
  <c r="G965" i="10"/>
  <c r="F965" i="10"/>
  <c r="E965" i="10"/>
  <c r="D965" i="10"/>
  <c r="C965" i="10"/>
  <c r="B965" i="10"/>
  <c r="A965" i="10"/>
  <c r="G964" i="10"/>
  <c r="F964" i="10"/>
  <c r="E964" i="10"/>
  <c r="D964" i="10"/>
  <c r="C964" i="10"/>
  <c r="B964" i="10"/>
  <c r="A964" i="10"/>
  <c r="G963" i="10"/>
  <c r="F963" i="10"/>
  <c r="E963" i="10"/>
  <c r="D963" i="10"/>
  <c r="C963" i="10"/>
  <c r="B963" i="10"/>
  <c r="A963" i="10"/>
  <c r="G962" i="10"/>
  <c r="F962" i="10"/>
  <c r="E962" i="10"/>
  <c r="D962" i="10"/>
  <c r="C962" i="10"/>
  <c r="B962" i="10"/>
  <c r="A962" i="10"/>
  <c r="G961" i="10"/>
  <c r="F961" i="10"/>
  <c r="E961" i="10"/>
  <c r="D961" i="10"/>
  <c r="C961" i="10"/>
  <c r="B961" i="10"/>
  <c r="A961" i="10"/>
  <c r="G960" i="10"/>
  <c r="F960" i="10"/>
  <c r="E960" i="10"/>
  <c r="D960" i="10"/>
  <c r="C960" i="10"/>
  <c r="B960" i="10"/>
  <c r="A960" i="10"/>
  <c r="G959" i="10"/>
  <c r="F959" i="10"/>
  <c r="E959" i="10"/>
  <c r="D959" i="10"/>
  <c r="C959" i="10"/>
  <c r="B959" i="10"/>
  <c r="A959" i="10"/>
  <c r="G958" i="10"/>
  <c r="F958" i="10"/>
  <c r="E958" i="10"/>
  <c r="D958" i="10"/>
  <c r="C958" i="10"/>
  <c r="B958" i="10"/>
  <c r="A958" i="10"/>
  <c r="G957" i="10"/>
  <c r="F957" i="10"/>
  <c r="E957" i="10"/>
  <c r="D957" i="10"/>
  <c r="C957" i="10"/>
  <c r="B957" i="10"/>
  <c r="A957" i="10"/>
  <c r="G956" i="10"/>
  <c r="F956" i="10"/>
  <c r="E956" i="10"/>
  <c r="D956" i="10"/>
  <c r="C956" i="10"/>
  <c r="B956" i="10"/>
  <c r="A956" i="10"/>
  <c r="G955" i="10"/>
  <c r="F955" i="10"/>
  <c r="E955" i="10"/>
  <c r="D955" i="10"/>
  <c r="C955" i="10"/>
  <c r="B955" i="10"/>
  <c r="A955" i="10"/>
  <c r="G954" i="10"/>
  <c r="F954" i="10"/>
  <c r="E954" i="10"/>
  <c r="D954" i="10"/>
  <c r="C954" i="10"/>
  <c r="B954" i="10"/>
  <c r="A954" i="10"/>
  <c r="G953" i="10"/>
  <c r="F953" i="10"/>
  <c r="E953" i="10"/>
  <c r="D953" i="10"/>
  <c r="C953" i="10"/>
  <c r="B953" i="10"/>
  <c r="A953" i="10"/>
  <c r="G952" i="10"/>
  <c r="F952" i="10"/>
  <c r="E952" i="10"/>
  <c r="D952" i="10"/>
  <c r="C952" i="10"/>
  <c r="B952" i="10"/>
  <c r="A952" i="10"/>
  <c r="G951" i="10"/>
  <c r="F951" i="10"/>
  <c r="E951" i="10"/>
  <c r="D951" i="10"/>
  <c r="C951" i="10"/>
  <c r="B951" i="10"/>
  <c r="A951" i="10"/>
  <c r="G950" i="10"/>
  <c r="F950" i="10"/>
  <c r="E950" i="10"/>
  <c r="D950" i="10"/>
  <c r="C950" i="10"/>
  <c r="B950" i="10"/>
  <c r="A950" i="10"/>
  <c r="G949" i="10"/>
  <c r="F949" i="10"/>
  <c r="E949" i="10"/>
  <c r="D949" i="10"/>
  <c r="C949" i="10"/>
  <c r="B949" i="10"/>
  <c r="A949" i="10"/>
  <c r="G948" i="10"/>
  <c r="F948" i="10"/>
  <c r="E948" i="10"/>
  <c r="D948" i="10"/>
  <c r="C948" i="10"/>
  <c r="B948" i="10"/>
  <c r="A948" i="10"/>
  <c r="G947" i="10"/>
  <c r="F947" i="10"/>
  <c r="E947" i="10"/>
  <c r="D947" i="10"/>
  <c r="C947" i="10"/>
  <c r="B947" i="10"/>
  <c r="A947" i="10"/>
  <c r="G946" i="10"/>
  <c r="F946" i="10"/>
  <c r="E946" i="10"/>
  <c r="D946" i="10"/>
  <c r="C946" i="10"/>
  <c r="B946" i="10"/>
  <c r="A946" i="10"/>
  <c r="G945" i="10"/>
  <c r="F945" i="10"/>
  <c r="E945" i="10"/>
  <c r="D945" i="10"/>
  <c r="C945" i="10"/>
  <c r="B945" i="10"/>
  <c r="A945" i="10"/>
  <c r="G944" i="10"/>
  <c r="F944" i="10"/>
  <c r="E944" i="10"/>
  <c r="D944" i="10"/>
  <c r="C944" i="10"/>
  <c r="B944" i="10"/>
  <c r="A944" i="10"/>
  <c r="G943" i="10"/>
  <c r="F943" i="10"/>
  <c r="E943" i="10"/>
  <c r="D943" i="10"/>
  <c r="C943" i="10"/>
  <c r="B943" i="10"/>
  <c r="A943" i="10"/>
  <c r="G942" i="10"/>
  <c r="F942" i="10"/>
  <c r="E942" i="10"/>
  <c r="D942" i="10"/>
  <c r="C942" i="10"/>
  <c r="B942" i="10"/>
  <c r="A942" i="10"/>
  <c r="G941" i="10"/>
  <c r="F941" i="10"/>
  <c r="E941" i="10"/>
  <c r="D941" i="10"/>
  <c r="C941" i="10"/>
  <c r="B941" i="10"/>
  <c r="A941" i="10"/>
  <c r="G940" i="10"/>
  <c r="F940" i="10"/>
  <c r="E940" i="10"/>
  <c r="D940" i="10"/>
  <c r="C940" i="10"/>
  <c r="B940" i="10"/>
  <c r="A940" i="10"/>
  <c r="G939" i="10"/>
  <c r="F939" i="10"/>
  <c r="E939" i="10"/>
  <c r="D939" i="10"/>
  <c r="C939" i="10"/>
  <c r="B939" i="10"/>
  <c r="A939" i="10"/>
  <c r="G938" i="10"/>
  <c r="F938" i="10"/>
  <c r="E938" i="10"/>
  <c r="D938" i="10"/>
  <c r="C938" i="10"/>
  <c r="B938" i="10"/>
  <c r="A938" i="10"/>
  <c r="G937" i="10"/>
  <c r="F937" i="10"/>
  <c r="E937" i="10"/>
  <c r="D937" i="10"/>
  <c r="C937" i="10"/>
  <c r="B937" i="10"/>
  <c r="A937" i="10"/>
  <c r="G936" i="10"/>
  <c r="F936" i="10"/>
  <c r="E936" i="10"/>
  <c r="D936" i="10"/>
  <c r="C936" i="10"/>
  <c r="B936" i="10"/>
  <c r="A936" i="10"/>
  <c r="G935" i="10"/>
  <c r="F935" i="10"/>
  <c r="E935" i="10"/>
  <c r="D935" i="10"/>
  <c r="C935" i="10"/>
  <c r="B935" i="10"/>
  <c r="A935" i="10"/>
  <c r="G934" i="10"/>
  <c r="F934" i="10"/>
  <c r="E934" i="10"/>
  <c r="D934" i="10"/>
  <c r="C934" i="10"/>
  <c r="B934" i="10"/>
  <c r="A934" i="10"/>
  <c r="G933" i="10"/>
  <c r="F933" i="10"/>
  <c r="E933" i="10"/>
  <c r="D933" i="10"/>
  <c r="C933" i="10"/>
  <c r="B933" i="10"/>
  <c r="A933" i="10"/>
  <c r="G932" i="10"/>
  <c r="F932" i="10"/>
  <c r="E932" i="10"/>
  <c r="D932" i="10"/>
  <c r="C932" i="10"/>
  <c r="B932" i="10"/>
  <c r="A932" i="10"/>
  <c r="G931" i="10"/>
  <c r="F931" i="10"/>
  <c r="E931" i="10"/>
  <c r="D931" i="10"/>
  <c r="C931" i="10"/>
  <c r="B931" i="10"/>
  <c r="A931" i="10"/>
  <c r="G930" i="10"/>
  <c r="F930" i="10"/>
  <c r="E930" i="10"/>
  <c r="D930" i="10"/>
  <c r="C930" i="10"/>
  <c r="B930" i="10"/>
  <c r="A930" i="10"/>
  <c r="G929" i="10"/>
  <c r="F929" i="10"/>
  <c r="E929" i="10"/>
  <c r="D929" i="10"/>
  <c r="C929" i="10"/>
  <c r="B929" i="10"/>
  <c r="A929" i="10"/>
  <c r="G928" i="10"/>
  <c r="F928" i="10"/>
  <c r="E928" i="10"/>
  <c r="D928" i="10"/>
  <c r="C928" i="10"/>
  <c r="B928" i="10"/>
  <c r="A928" i="10"/>
  <c r="G927" i="10"/>
  <c r="F927" i="10"/>
  <c r="E927" i="10"/>
  <c r="D927" i="10"/>
  <c r="C927" i="10"/>
  <c r="B927" i="10"/>
  <c r="A927" i="10"/>
  <c r="G926" i="10"/>
  <c r="F926" i="10"/>
  <c r="E926" i="10"/>
  <c r="D926" i="10"/>
  <c r="C926" i="10"/>
  <c r="B926" i="10"/>
  <c r="A926" i="10"/>
  <c r="G925" i="10"/>
  <c r="F925" i="10"/>
  <c r="E925" i="10"/>
  <c r="D925" i="10"/>
  <c r="C925" i="10"/>
  <c r="B925" i="10"/>
  <c r="A925" i="10"/>
  <c r="G924" i="10"/>
  <c r="F924" i="10"/>
  <c r="E924" i="10"/>
  <c r="D924" i="10"/>
  <c r="C924" i="10"/>
  <c r="B924" i="10"/>
  <c r="A924" i="10"/>
  <c r="G923" i="10"/>
  <c r="F923" i="10"/>
  <c r="E923" i="10"/>
  <c r="D923" i="10"/>
  <c r="C923" i="10"/>
  <c r="B923" i="10"/>
  <c r="A923" i="10"/>
  <c r="G922" i="10"/>
  <c r="F922" i="10"/>
  <c r="E922" i="10"/>
  <c r="D922" i="10"/>
  <c r="C922" i="10"/>
  <c r="B922" i="10"/>
  <c r="A922" i="10"/>
  <c r="G921" i="10"/>
  <c r="F921" i="10"/>
  <c r="E921" i="10"/>
  <c r="D921" i="10"/>
  <c r="C921" i="10"/>
  <c r="B921" i="10"/>
  <c r="A921" i="10"/>
  <c r="G920" i="10"/>
  <c r="F920" i="10"/>
  <c r="E920" i="10"/>
  <c r="D920" i="10"/>
  <c r="C920" i="10"/>
  <c r="B920" i="10"/>
  <c r="A920" i="10"/>
  <c r="G919" i="10"/>
  <c r="F919" i="10"/>
  <c r="E919" i="10"/>
  <c r="D919" i="10"/>
  <c r="C919" i="10"/>
  <c r="B919" i="10"/>
  <c r="A919" i="10"/>
  <c r="G918" i="10"/>
  <c r="F918" i="10"/>
  <c r="E918" i="10"/>
  <c r="D918" i="10"/>
  <c r="C918" i="10"/>
  <c r="B918" i="10"/>
  <c r="A918" i="10"/>
  <c r="G917" i="10"/>
  <c r="F917" i="10"/>
  <c r="E917" i="10"/>
  <c r="D917" i="10"/>
  <c r="C917" i="10"/>
  <c r="B917" i="10"/>
  <c r="A917" i="10"/>
  <c r="G916" i="10"/>
  <c r="F916" i="10"/>
  <c r="E916" i="10"/>
  <c r="D916" i="10"/>
  <c r="C916" i="10"/>
  <c r="B916" i="10"/>
  <c r="A916" i="10"/>
  <c r="G915" i="10"/>
  <c r="F915" i="10"/>
  <c r="E915" i="10"/>
  <c r="D915" i="10"/>
  <c r="C915" i="10"/>
  <c r="B915" i="10"/>
  <c r="A915" i="10"/>
  <c r="G914" i="10"/>
  <c r="F914" i="10"/>
  <c r="E914" i="10"/>
  <c r="D914" i="10"/>
  <c r="C914" i="10"/>
  <c r="B914" i="10"/>
  <c r="A914" i="10"/>
  <c r="G913" i="10"/>
  <c r="F913" i="10"/>
  <c r="E913" i="10"/>
  <c r="D913" i="10"/>
  <c r="C913" i="10"/>
  <c r="B913" i="10"/>
  <c r="A913" i="10"/>
  <c r="G912" i="10"/>
  <c r="F912" i="10"/>
  <c r="E912" i="10"/>
  <c r="D912" i="10"/>
  <c r="C912" i="10"/>
  <c r="B912" i="10"/>
  <c r="A912" i="10"/>
  <c r="G911" i="10"/>
  <c r="F911" i="10"/>
  <c r="E911" i="10"/>
  <c r="D911" i="10"/>
  <c r="C911" i="10"/>
  <c r="B911" i="10"/>
  <c r="A911" i="10"/>
  <c r="G910" i="10"/>
  <c r="F910" i="10"/>
  <c r="E910" i="10"/>
  <c r="D910" i="10"/>
  <c r="C910" i="10"/>
  <c r="B910" i="10"/>
  <c r="A910" i="10"/>
  <c r="G909" i="10"/>
  <c r="F909" i="10"/>
  <c r="E909" i="10"/>
  <c r="D909" i="10"/>
  <c r="C909" i="10"/>
  <c r="B909" i="10"/>
  <c r="A909" i="10"/>
  <c r="G908" i="10"/>
  <c r="F908" i="10"/>
  <c r="E908" i="10"/>
  <c r="D908" i="10"/>
  <c r="C908" i="10"/>
  <c r="B908" i="10"/>
  <c r="A908" i="10"/>
  <c r="G907" i="10"/>
  <c r="F907" i="10"/>
  <c r="E907" i="10"/>
  <c r="D907" i="10"/>
  <c r="C907" i="10"/>
  <c r="B907" i="10"/>
  <c r="A907" i="10"/>
  <c r="G906" i="10"/>
  <c r="F906" i="10"/>
  <c r="E906" i="10"/>
  <c r="D906" i="10"/>
  <c r="C906" i="10"/>
  <c r="B906" i="10"/>
  <c r="A906" i="10"/>
  <c r="G905" i="10"/>
  <c r="F905" i="10"/>
  <c r="E905" i="10"/>
  <c r="D905" i="10"/>
  <c r="C905" i="10"/>
  <c r="B905" i="10"/>
  <c r="A905" i="10"/>
  <c r="G904" i="10"/>
  <c r="F904" i="10"/>
  <c r="E904" i="10"/>
  <c r="D904" i="10"/>
  <c r="C904" i="10"/>
  <c r="B904" i="10"/>
  <c r="A904" i="10"/>
  <c r="G903" i="10"/>
  <c r="F903" i="10"/>
  <c r="E903" i="10"/>
  <c r="D903" i="10"/>
  <c r="C903" i="10"/>
  <c r="B903" i="10"/>
  <c r="A903" i="10"/>
  <c r="G902" i="10"/>
  <c r="F902" i="10"/>
  <c r="E902" i="10"/>
  <c r="D902" i="10"/>
  <c r="C902" i="10"/>
  <c r="B902" i="10"/>
  <c r="A902" i="10"/>
  <c r="G901" i="10"/>
  <c r="F901" i="10"/>
  <c r="E901" i="10"/>
  <c r="D901" i="10"/>
  <c r="C901" i="10"/>
  <c r="B901" i="10"/>
  <c r="A901" i="10"/>
  <c r="G900" i="10"/>
  <c r="F900" i="10"/>
  <c r="E900" i="10"/>
  <c r="D900" i="10"/>
  <c r="C900" i="10"/>
  <c r="B900" i="10"/>
  <c r="A900" i="10"/>
  <c r="G899" i="10"/>
  <c r="F899" i="10"/>
  <c r="E899" i="10"/>
  <c r="D899" i="10"/>
  <c r="C899" i="10"/>
  <c r="B899" i="10"/>
  <c r="A899" i="10"/>
  <c r="G898" i="10"/>
  <c r="F898" i="10"/>
  <c r="E898" i="10"/>
  <c r="D898" i="10"/>
  <c r="C898" i="10"/>
  <c r="B898" i="10"/>
  <c r="A898" i="10"/>
  <c r="G897" i="10"/>
  <c r="F897" i="10"/>
  <c r="E897" i="10"/>
  <c r="D897" i="10"/>
  <c r="C897" i="10"/>
  <c r="B897" i="10"/>
  <c r="A897" i="10"/>
  <c r="G896" i="10"/>
  <c r="F896" i="10"/>
  <c r="E896" i="10"/>
  <c r="D896" i="10"/>
  <c r="C896" i="10"/>
  <c r="B896" i="10"/>
  <c r="A896" i="10"/>
  <c r="G895" i="10"/>
  <c r="F895" i="10"/>
  <c r="E895" i="10"/>
  <c r="D895" i="10"/>
  <c r="C895" i="10"/>
  <c r="B895" i="10"/>
  <c r="A895" i="10"/>
  <c r="G894" i="10"/>
  <c r="F894" i="10"/>
  <c r="E894" i="10"/>
  <c r="D894" i="10"/>
  <c r="C894" i="10"/>
  <c r="B894" i="10"/>
  <c r="A894" i="10"/>
  <c r="G893" i="10"/>
  <c r="F893" i="10"/>
  <c r="E893" i="10"/>
  <c r="D893" i="10"/>
  <c r="C893" i="10"/>
  <c r="B893" i="10"/>
  <c r="A893" i="10"/>
  <c r="G892" i="10"/>
  <c r="F892" i="10"/>
  <c r="E892" i="10"/>
  <c r="D892" i="10"/>
  <c r="C892" i="10"/>
  <c r="B892" i="10"/>
  <c r="A892" i="10"/>
  <c r="G891" i="10"/>
  <c r="F891" i="10"/>
  <c r="E891" i="10"/>
  <c r="D891" i="10"/>
  <c r="C891" i="10"/>
  <c r="B891" i="10"/>
  <c r="A891" i="10"/>
  <c r="G890" i="10"/>
  <c r="F890" i="10"/>
  <c r="E890" i="10"/>
  <c r="D890" i="10"/>
  <c r="C890" i="10"/>
  <c r="B890" i="10"/>
  <c r="A890" i="10"/>
  <c r="G889" i="10"/>
  <c r="F889" i="10"/>
  <c r="E889" i="10"/>
  <c r="D889" i="10"/>
  <c r="C889" i="10"/>
  <c r="B889" i="10"/>
  <c r="A889" i="10"/>
  <c r="G888" i="10"/>
  <c r="F888" i="10"/>
  <c r="E888" i="10"/>
  <c r="D888" i="10"/>
  <c r="C888" i="10"/>
  <c r="B888" i="10"/>
  <c r="A888" i="10"/>
  <c r="G887" i="10"/>
  <c r="F887" i="10"/>
  <c r="E887" i="10"/>
  <c r="D887" i="10"/>
  <c r="C887" i="10"/>
  <c r="B887" i="10"/>
  <c r="A887" i="10"/>
  <c r="G886" i="10"/>
  <c r="F886" i="10"/>
  <c r="E886" i="10"/>
  <c r="D886" i="10"/>
  <c r="C886" i="10"/>
  <c r="B886" i="10"/>
  <c r="A886" i="10"/>
  <c r="G885" i="10"/>
  <c r="F885" i="10"/>
  <c r="E885" i="10"/>
  <c r="D885" i="10"/>
  <c r="C885" i="10"/>
  <c r="B885" i="10"/>
  <c r="A885" i="10"/>
  <c r="G884" i="10"/>
  <c r="F884" i="10"/>
  <c r="E884" i="10"/>
  <c r="D884" i="10"/>
  <c r="C884" i="10"/>
  <c r="B884" i="10"/>
  <c r="A884" i="10"/>
  <c r="G883" i="10"/>
  <c r="F883" i="10"/>
  <c r="E883" i="10"/>
  <c r="D883" i="10"/>
  <c r="C883" i="10"/>
  <c r="B883" i="10"/>
  <c r="A883" i="10"/>
  <c r="G882" i="10"/>
  <c r="F882" i="10"/>
  <c r="E882" i="10"/>
  <c r="D882" i="10"/>
  <c r="C882" i="10"/>
  <c r="B882" i="10"/>
  <c r="A882" i="10"/>
  <c r="G881" i="10"/>
  <c r="F881" i="10"/>
  <c r="E881" i="10"/>
  <c r="D881" i="10"/>
  <c r="C881" i="10"/>
  <c r="B881" i="10"/>
  <c r="A881" i="10"/>
  <c r="G880" i="10"/>
  <c r="F880" i="10"/>
  <c r="E880" i="10"/>
  <c r="D880" i="10"/>
  <c r="C880" i="10"/>
  <c r="B880" i="10"/>
  <c r="A880" i="10"/>
  <c r="G879" i="10"/>
  <c r="F879" i="10"/>
  <c r="E879" i="10"/>
  <c r="D879" i="10"/>
  <c r="C879" i="10"/>
  <c r="B879" i="10"/>
  <c r="A879" i="10"/>
  <c r="G878" i="10"/>
  <c r="F878" i="10"/>
  <c r="E878" i="10"/>
  <c r="D878" i="10"/>
  <c r="C878" i="10"/>
  <c r="B878" i="10"/>
  <c r="A878" i="10"/>
  <c r="G877" i="10"/>
  <c r="F877" i="10"/>
  <c r="E877" i="10"/>
  <c r="D877" i="10"/>
  <c r="C877" i="10"/>
  <c r="B877" i="10"/>
  <c r="A877" i="10"/>
  <c r="G876" i="10"/>
  <c r="F876" i="10"/>
  <c r="E876" i="10"/>
  <c r="D876" i="10"/>
  <c r="C876" i="10"/>
  <c r="B876" i="10"/>
  <c r="A876" i="10"/>
  <c r="G875" i="10"/>
  <c r="F875" i="10"/>
  <c r="E875" i="10"/>
  <c r="D875" i="10"/>
  <c r="C875" i="10"/>
  <c r="B875" i="10"/>
  <c r="A875" i="10"/>
  <c r="G874" i="10"/>
  <c r="F874" i="10"/>
  <c r="E874" i="10"/>
  <c r="D874" i="10"/>
  <c r="C874" i="10"/>
  <c r="B874" i="10"/>
  <c r="A874" i="10"/>
  <c r="G873" i="10"/>
  <c r="F873" i="10"/>
  <c r="E873" i="10"/>
  <c r="D873" i="10"/>
  <c r="C873" i="10"/>
  <c r="B873" i="10"/>
  <c r="A873" i="10"/>
  <c r="G872" i="10"/>
  <c r="F872" i="10"/>
  <c r="E872" i="10"/>
  <c r="D872" i="10"/>
  <c r="C872" i="10"/>
  <c r="B872" i="10"/>
  <c r="A872" i="10"/>
  <c r="G871" i="10"/>
  <c r="F871" i="10"/>
  <c r="E871" i="10"/>
  <c r="D871" i="10"/>
  <c r="C871" i="10"/>
  <c r="B871" i="10"/>
  <c r="A871" i="10"/>
  <c r="G870" i="10"/>
  <c r="F870" i="10"/>
  <c r="E870" i="10"/>
  <c r="D870" i="10"/>
  <c r="C870" i="10"/>
  <c r="B870" i="10"/>
  <c r="A870" i="10"/>
  <c r="G869" i="10"/>
  <c r="F869" i="10"/>
  <c r="E869" i="10"/>
  <c r="D869" i="10"/>
  <c r="C869" i="10"/>
  <c r="B869" i="10"/>
  <c r="A869" i="10"/>
  <c r="G868" i="10"/>
  <c r="F868" i="10"/>
  <c r="E868" i="10"/>
  <c r="D868" i="10"/>
  <c r="C868" i="10"/>
  <c r="B868" i="10"/>
  <c r="A868" i="10"/>
  <c r="G867" i="10"/>
  <c r="F867" i="10"/>
  <c r="E867" i="10"/>
  <c r="D867" i="10"/>
  <c r="C867" i="10"/>
  <c r="B867" i="10"/>
  <c r="A867" i="10"/>
  <c r="G866" i="10"/>
  <c r="F866" i="10"/>
  <c r="E866" i="10"/>
  <c r="D866" i="10"/>
  <c r="C866" i="10"/>
  <c r="B866" i="10"/>
  <c r="A866" i="10"/>
  <c r="G865" i="10"/>
  <c r="F865" i="10"/>
  <c r="E865" i="10"/>
  <c r="D865" i="10"/>
  <c r="C865" i="10"/>
  <c r="B865" i="10"/>
  <c r="A865" i="10"/>
  <c r="G864" i="10"/>
  <c r="F864" i="10"/>
  <c r="E864" i="10"/>
  <c r="D864" i="10"/>
  <c r="C864" i="10"/>
  <c r="B864" i="10"/>
  <c r="A864" i="10"/>
  <c r="G863" i="10"/>
  <c r="F863" i="10"/>
  <c r="E863" i="10"/>
  <c r="D863" i="10"/>
  <c r="C863" i="10"/>
  <c r="B863" i="10"/>
  <c r="A863" i="10"/>
  <c r="G862" i="10"/>
  <c r="F862" i="10"/>
  <c r="E862" i="10"/>
  <c r="D862" i="10"/>
  <c r="C862" i="10"/>
  <c r="B862" i="10"/>
  <c r="A862" i="10"/>
  <c r="G861" i="10"/>
  <c r="F861" i="10"/>
  <c r="E861" i="10"/>
  <c r="D861" i="10"/>
  <c r="C861" i="10"/>
  <c r="B861" i="10"/>
  <c r="A861" i="10"/>
  <c r="G860" i="10"/>
  <c r="F860" i="10"/>
  <c r="E860" i="10"/>
  <c r="D860" i="10"/>
  <c r="C860" i="10"/>
  <c r="B860" i="10"/>
  <c r="A860" i="10"/>
  <c r="G859" i="10"/>
  <c r="F859" i="10"/>
  <c r="E859" i="10"/>
  <c r="D859" i="10"/>
  <c r="C859" i="10"/>
  <c r="B859" i="10"/>
  <c r="A859" i="10"/>
  <c r="G858" i="10"/>
  <c r="F858" i="10"/>
  <c r="E858" i="10"/>
  <c r="D858" i="10"/>
  <c r="C858" i="10"/>
  <c r="B858" i="10"/>
  <c r="A858" i="10"/>
  <c r="G857" i="10"/>
  <c r="F857" i="10"/>
  <c r="E857" i="10"/>
  <c r="D857" i="10"/>
  <c r="C857" i="10"/>
  <c r="B857" i="10"/>
  <c r="A857" i="10"/>
  <c r="G856" i="10"/>
  <c r="F856" i="10"/>
  <c r="E856" i="10"/>
  <c r="D856" i="10"/>
  <c r="C856" i="10"/>
  <c r="B856" i="10"/>
  <c r="A856" i="10"/>
  <c r="G855" i="10"/>
  <c r="F855" i="10"/>
  <c r="E855" i="10"/>
  <c r="D855" i="10"/>
  <c r="C855" i="10"/>
  <c r="B855" i="10"/>
  <c r="A855" i="10"/>
  <c r="G854" i="10"/>
  <c r="F854" i="10"/>
  <c r="E854" i="10"/>
  <c r="D854" i="10"/>
  <c r="C854" i="10"/>
  <c r="B854" i="10"/>
  <c r="A854" i="10"/>
  <c r="G853" i="10"/>
  <c r="F853" i="10"/>
  <c r="E853" i="10"/>
  <c r="D853" i="10"/>
  <c r="C853" i="10"/>
  <c r="B853" i="10"/>
  <c r="A853" i="10"/>
  <c r="G852" i="10"/>
  <c r="F852" i="10"/>
  <c r="E852" i="10"/>
  <c r="D852" i="10"/>
  <c r="C852" i="10"/>
  <c r="B852" i="10"/>
  <c r="A852" i="10"/>
  <c r="G851" i="10"/>
  <c r="F851" i="10"/>
  <c r="E851" i="10"/>
  <c r="D851" i="10"/>
  <c r="C851" i="10"/>
  <c r="B851" i="10"/>
  <c r="A851" i="10"/>
  <c r="G850" i="10"/>
  <c r="F850" i="10"/>
  <c r="E850" i="10"/>
  <c r="D850" i="10"/>
  <c r="C850" i="10"/>
  <c r="B850" i="10"/>
  <c r="A850" i="10"/>
  <c r="G849" i="10"/>
  <c r="F849" i="10"/>
  <c r="E849" i="10"/>
  <c r="D849" i="10"/>
  <c r="C849" i="10"/>
  <c r="B849" i="10"/>
  <c r="A849" i="10"/>
  <c r="G848" i="10"/>
  <c r="F848" i="10"/>
  <c r="E848" i="10"/>
  <c r="D848" i="10"/>
  <c r="C848" i="10"/>
  <c r="B848" i="10"/>
  <c r="A848" i="10"/>
  <c r="G847" i="10"/>
  <c r="F847" i="10"/>
  <c r="E847" i="10"/>
  <c r="D847" i="10"/>
  <c r="C847" i="10"/>
  <c r="B847" i="10"/>
  <c r="A847" i="10"/>
  <c r="G846" i="10"/>
  <c r="F846" i="10"/>
  <c r="E846" i="10"/>
  <c r="D846" i="10"/>
  <c r="C846" i="10"/>
  <c r="B846" i="10"/>
  <c r="A846" i="10"/>
  <c r="G845" i="10"/>
  <c r="F845" i="10"/>
  <c r="E845" i="10"/>
  <c r="D845" i="10"/>
  <c r="C845" i="10"/>
  <c r="B845" i="10"/>
  <c r="A845" i="10"/>
  <c r="G844" i="10"/>
  <c r="F844" i="10"/>
  <c r="E844" i="10"/>
  <c r="D844" i="10"/>
  <c r="C844" i="10"/>
  <c r="B844" i="10"/>
  <c r="A844" i="10"/>
  <c r="G843" i="10"/>
  <c r="F843" i="10"/>
  <c r="E843" i="10"/>
  <c r="D843" i="10"/>
  <c r="C843" i="10"/>
  <c r="B843" i="10"/>
  <c r="A843" i="10"/>
  <c r="G842" i="10"/>
  <c r="F842" i="10"/>
  <c r="E842" i="10"/>
  <c r="D842" i="10"/>
  <c r="C842" i="10"/>
  <c r="B842" i="10"/>
  <c r="A842" i="10"/>
  <c r="G841" i="10"/>
  <c r="F841" i="10"/>
  <c r="E841" i="10"/>
  <c r="D841" i="10"/>
  <c r="C841" i="10"/>
  <c r="B841" i="10"/>
  <c r="A841" i="10"/>
  <c r="G840" i="10"/>
  <c r="F840" i="10"/>
  <c r="E840" i="10"/>
  <c r="D840" i="10"/>
  <c r="C840" i="10"/>
  <c r="B840" i="10"/>
  <c r="A840" i="10"/>
  <c r="G839" i="10"/>
  <c r="F839" i="10"/>
  <c r="E839" i="10"/>
  <c r="D839" i="10"/>
  <c r="C839" i="10"/>
  <c r="B839" i="10"/>
  <c r="A839" i="10"/>
  <c r="G838" i="10"/>
  <c r="F838" i="10"/>
  <c r="E838" i="10"/>
  <c r="D838" i="10"/>
  <c r="C838" i="10"/>
  <c r="B838" i="10"/>
  <c r="A838" i="10"/>
  <c r="G837" i="10"/>
  <c r="F837" i="10"/>
  <c r="E837" i="10"/>
  <c r="D837" i="10"/>
  <c r="C837" i="10"/>
  <c r="B837" i="10"/>
  <c r="A837" i="10"/>
  <c r="G836" i="10"/>
  <c r="F836" i="10"/>
  <c r="E836" i="10"/>
  <c r="D836" i="10"/>
  <c r="C836" i="10"/>
  <c r="B836" i="10"/>
  <c r="A836" i="10"/>
  <c r="G835" i="10"/>
  <c r="F835" i="10"/>
  <c r="E835" i="10"/>
  <c r="D835" i="10"/>
  <c r="C835" i="10"/>
  <c r="B835" i="10"/>
  <c r="A835" i="10"/>
  <c r="G834" i="10"/>
  <c r="F834" i="10"/>
  <c r="E834" i="10"/>
  <c r="D834" i="10"/>
  <c r="C834" i="10"/>
  <c r="B834" i="10"/>
  <c r="A834" i="10"/>
  <c r="G833" i="10"/>
  <c r="F833" i="10"/>
  <c r="E833" i="10"/>
  <c r="D833" i="10"/>
  <c r="C833" i="10"/>
  <c r="B833" i="10"/>
  <c r="A833" i="10"/>
  <c r="G832" i="10"/>
  <c r="F832" i="10"/>
  <c r="E832" i="10"/>
  <c r="D832" i="10"/>
  <c r="C832" i="10"/>
  <c r="B832" i="10"/>
  <c r="A832" i="10"/>
  <c r="G831" i="10"/>
  <c r="F831" i="10"/>
  <c r="E831" i="10"/>
  <c r="D831" i="10"/>
  <c r="C831" i="10"/>
  <c r="B831" i="10"/>
  <c r="A831" i="10"/>
  <c r="G830" i="10"/>
  <c r="F830" i="10"/>
  <c r="E830" i="10"/>
  <c r="D830" i="10"/>
  <c r="C830" i="10"/>
  <c r="B830" i="10"/>
  <c r="A830" i="10"/>
  <c r="G829" i="10"/>
  <c r="F829" i="10"/>
  <c r="E829" i="10"/>
  <c r="D829" i="10"/>
  <c r="C829" i="10"/>
  <c r="B829" i="10"/>
  <c r="A829" i="10"/>
  <c r="G828" i="10"/>
  <c r="F828" i="10"/>
  <c r="E828" i="10"/>
  <c r="D828" i="10"/>
  <c r="C828" i="10"/>
  <c r="B828" i="10"/>
  <c r="A828" i="10"/>
  <c r="G827" i="10"/>
  <c r="F827" i="10"/>
  <c r="E827" i="10"/>
  <c r="D827" i="10"/>
  <c r="C827" i="10"/>
  <c r="B827" i="10"/>
  <c r="A827" i="10"/>
  <c r="G826" i="10"/>
  <c r="F826" i="10"/>
  <c r="E826" i="10"/>
  <c r="D826" i="10"/>
  <c r="C826" i="10"/>
  <c r="B826" i="10"/>
  <c r="A826" i="10"/>
  <c r="G825" i="10"/>
  <c r="F825" i="10"/>
  <c r="E825" i="10"/>
  <c r="D825" i="10"/>
  <c r="C825" i="10"/>
  <c r="B825" i="10"/>
  <c r="A825" i="10"/>
  <c r="G824" i="10"/>
  <c r="F824" i="10"/>
  <c r="E824" i="10"/>
  <c r="D824" i="10"/>
  <c r="C824" i="10"/>
  <c r="B824" i="10"/>
  <c r="A824" i="10"/>
  <c r="G823" i="10"/>
  <c r="F823" i="10"/>
  <c r="E823" i="10"/>
  <c r="D823" i="10"/>
  <c r="C823" i="10"/>
  <c r="B823" i="10"/>
  <c r="A823" i="10"/>
  <c r="G822" i="10"/>
  <c r="F822" i="10"/>
  <c r="E822" i="10"/>
  <c r="D822" i="10"/>
  <c r="C822" i="10"/>
  <c r="B822" i="10"/>
  <c r="A822" i="10"/>
  <c r="G821" i="10"/>
  <c r="F821" i="10"/>
  <c r="E821" i="10"/>
  <c r="D821" i="10"/>
  <c r="C821" i="10"/>
  <c r="B821" i="10"/>
  <c r="A821" i="10"/>
  <c r="G820" i="10"/>
  <c r="F820" i="10"/>
  <c r="E820" i="10"/>
  <c r="D820" i="10"/>
  <c r="C820" i="10"/>
  <c r="B820" i="10"/>
  <c r="A820" i="10"/>
  <c r="G819" i="10"/>
  <c r="F819" i="10"/>
  <c r="E819" i="10"/>
  <c r="D819" i="10"/>
  <c r="C819" i="10"/>
  <c r="B819" i="10"/>
  <c r="A819" i="10"/>
  <c r="G818" i="10"/>
  <c r="F818" i="10"/>
  <c r="E818" i="10"/>
  <c r="D818" i="10"/>
  <c r="C818" i="10"/>
  <c r="B818" i="10"/>
  <c r="A818" i="10"/>
  <c r="G817" i="10"/>
  <c r="F817" i="10"/>
  <c r="E817" i="10"/>
  <c r="D817" i="10"/>
  <c r="C817" i="10"/>
  <c r="B817" i="10"/>
  <c r="A817" i="10"/>
  <c r="G816" i="10"/>
  <c r="F816" i="10"/>
  <c r="E816" i="10"/>
  <c r="D816" i="10"/>
  <c r="C816" i="10"/>
  <c r="B816" i="10"/>
  <c r="A816" i="10"/>
  <c r="G815" i="10"/>
  <c r="F815" i="10"/>
  <c r="E815" i="10"/>
  <c r="D815" i="10"/>
  <c r="C815" i="10"/>
  <c r="B815" i="10"/>
  <c r="A815" i="10"/>
  <c r="G814" i="10"/>
  <c r="F814" i="10"/>
  <c r="E814" i="10"/>
  <c r="D814" i="10"/>
  <c r="C814" i="10"/>
  <c r="B814" i="10"/>
  <c r="A814" i="10"/>
  <c r="G813" i="10"/>
  <c r="F813" i="10"/>
  <c r="E813" i="10"/>
  <c r="D813" i="10"/>
  <c r="C813" i="10"/>
  <c r="B813" i="10"/>
  <c r="A813" i="10"/>
  <c r="G812" i="10"/>
  <c r="F812" i="10"/>
  <c r="E812" i="10"/>
  <c r="D812" i="10"/>
  <c r="C812" i="10"/>
  <c r="B812" i="10"/>
  <c r="A812" i="10"/>
  <c r="G811" i="10"/>
  <c r="F811" i="10"/>
  <c r="E811" i="10"/>
  <c r="D811" i="10"/>
  <c r="C811" i="10"/>
  <c r="B811" i="10"/>
  <c r="A811" i="10"/>
  <c r="G810" i="10"/>
  <c r="F810" i="10"/>
  <c r="E810" i="10"/>
  <c r="D810" i="10"/>
  <c r="C810" i="10"/>
  <c r="B810" i="10"/>
  <c r="A810" i="10"/>
  <c r="G809" i="10"/>
  <c r="F809" i="10"/>
  <c r="E809" i="10"/>
  <c r="D809" i="10"/>
  <c r="C809" i="10"/>
  <c r="B809" i="10"/>
  <c r="A809" i="10"/>
  <c r="G808" i="10"/>
  <c r="F808" i="10"/>
  <c r="E808" i="10"/>
  <c r="D808" i="10"/>
  <c r="C808" i="10"/>
  <c r="B808" i="10"/>
  <c r="A808" i="10"/>
  <c r="G807" i="10"/>
  <c r="F807" i="10"/>
  <c r="E807" i="10"/>
  <c r="D807" i="10"/>
  <c r="C807" i="10"/>
  <c r="B807" i="10"/>
  <c r="A807" i="10"/>
  <c r="G806" i="10"/>
  <c r="F806" i="10"/>
  <c r="E806" i="10"/>
  <c r="D806" i="10"/>
  <c r="C806" i="10"/>
  <c r="B806" i="10"/>
  <c r="A806" i="10"/>
  <c r="G805" i="10"/>
  <c r="F805" i="10"/>
  <c r="E805" i="10"/>
  <c r="D805" i="10"/>
  <c r="C805" i="10"/>
  <c r="B805" i="10"/>
  <c r="A805" i="10"/>
  <c r="G804" i="10"/>
  <c r="F804" i="10"/>
  <c r="E804" i="10"/>
  <c r="D804" i="10"/>
  <c r="C804" i="10"/>
  <c r="B804" i="10"/>
  <c r="A804" i="10"/>
  <c r="G803" i="10"/>
  <c r="F803" i="10"/>
  <c r="E803" i="10"/>
  <c r="D803" i="10"/>
  <c r="C803" i="10"/>
  <c r="B803" i="10"/>
  <c r="A803" i="10"/>
  <c r="G802" i="10"/>
  <c r="F802" i="10"/>
  <c r="E802" i="10"/>
  <c r="D802" i="10"/>
  <c r="C802" i="10"/>
  <c r="B802" i="10"/>
  <c r="A802" i="10"/>
  <c r="G801" i="10"/>
  <c r="F801" i="10"/>
  <c r="E801" i="10"/>
  <c r="D801" i="10"/>
  <c r="C801" i="10"/>
  <c r="B801" i="10"/>
  <c r="A801" i="10"/>
  <c r="G800" i="10"/>
  <c r="F800" i="10"/>
  <c r="E800" i="10"/>
  <c r="D800" i="10"/>
  <c r="C800" i="10"/>
  <c r="B800" i="10"/>
  <c r="A800" i="10"/>
  <c r="G799" i="10"/>
  <c r="F799" i="10"/>
  <c r="E799" i="10"/>
  <c r="D799" i="10"/>
  <c r="C799" i="10"/>
  <c r="B799" i="10"/>
  <c r="A799" i="10"/>
  <c r="G798" i="10"/>
  <c r="F798" i="10"/>
  <c r="E798" i="10"/>
  <c r="D798" i="10"/>
  <c r="C798" i="10"/>
  <c r="B798" i="10"/>
  <c r="A798" i="10"/>
  <c r="G797" i="10"/>
  <c r="F797" i="10"/>
  <c r="E797" i="10"/>
  <c r="D797" i="10"/>
  <c r="C797" i="10"/>
  <c r="B797" i="10"/>
  <c r="A797" i="10"/>
  <c r="G796" i="10"/>
  <c r="F796" i="10"/>
  <c r="E796" i="10"/>
  <c r="D796" i="10"/>
  <c r="C796" i="10"/>
  <c r="B796" i="10"/>
  <c r="A796" i="10"/>
  <c r="G795" i="10"/>
  <c r="F795" i="10"/>
  <c r="E795" i="10"/>
  <c r="D795" i="10"/>
  <c r="C795" i="10"/>
  <c r="B795" i="10"/>
  <c r="A795" i="10"/>
  <c r="G794" i="10"/>
  <c r="F794" i="10"/>
  <c r="E794" i="10"/>
  <c r="D794" i="10"/>
  <c r="C794" i="10"/>
  <c r="B794" i="10"/>
  <c r="A794" i="10"/>
  <c r="G793" i="10"/>
  <c r="F793" i="10"/>
  <c r="E793" i="10"/>
  <c r="D793" i="10"/>
  <c r="C793" i="10"/>
  <c r="B793" i="10"/>
  <c r="A793" i="10"/>
  <c r="G792" i="10"/>
  <c r="F792" i="10"/>
  <c r="E792" i="10"/>
  <c r="D792" i="10"/>
  <c r="C792" i="10"/>
  <c r="B792" i="10"/>
  <c r="A792" i="10"/>
  <c r="G791" i="10"/>
  <c r="F791" i="10"/>
  <c r="E791" i="10"/>
  <c r="D791" i="10"/>
  <c r="C791" i="10"/>
  <c r="B791" i="10"/>
  <c r="A791" i="10"/>
  <c r="G790" i="10"/>
  <c r="F790" i="10"/>
  <c r="E790" i="10"/>
  <c r="D790" i="10"/>
  <c r="C790" i="10"/>
  <c r="B790" i="10"/>
  <c r="A790" i="10"/>
  <c r="G789" i="10"/>
  <c r="F789" i="10"/>
  <c r="E789" i="10"/>
  <c r="D789" i="10"/>
  <c r="C789" i="10"/>
  <c r="B789" i="10"/>
  <c r="A789" i="10"/>
  <c r="G788" i="10"/>
  <c r="F788" i="10"/>
  <c r="E788" i="10"/>
  <c r="D788" i="10"/>
  <c r="C788" i="10"/>
  <c r="B788" i="10"/>
  <c r="A788" i="10"/>
  <c r="G787" i="10"/>
  <c r="F787" i="10"/>
  <c r="E787" i="10"/>
  <c r="D787" i="10"/>
  <c r="C787" i="10"/>
  <c r="B787" i="10"/>
  <c r="A787" i="10"/>
  <c r="G786" i="10"/>
  <c r="F786" i="10"/>
  <c r="E786" i="10"/>
  <c r="D786" i="10"/>
  <c r="C786" i="10"/>
  <c r="B786" i="10"/>
  <c r="A786" i="10"/>
  <c r="G785" i="10"/>
  <c r="F785" i="10"/>
  <c r="E785" i="10"/>
  <c r="D785" i="10"/>
  <c r="C785" i="10"/>
  <c r="B785" i="10"/>
  <c r="A785" i="10"/>
  <c r="G784" i="10"/>
  <c r="F784" i="10"/>
  <c r="E784" i="10"/>
  <c r="D784" i="10"/>
  <c r="C784" i="10"/>
  <c r="B784" i="10"/>
  <c r="A784" i="10"/>
  <c r="G783" i="10"/>
  <c r="F783" i="10"/>
  <c r="E783" i="10"/>
  <c r="D783" i="10"/>
  <c r="C783" i="10"/>
  <c r="B783" i="10"/>
  <c r="A783" i="10"/>
  <c r="G782" i="10"/>
  <c r="F782" i="10"/>
  <c r="E782" i="10"/>
  <c r="D782" i="10"/>
  <c r="C782" i="10"/>
  <c r="B782" i="10"/>
  <c r="A782" i="10"/>
  <c r="G781" i="10"/>
  <c r="F781" i="10"/>
  <c r="E781" i="10"/>
  <c r="D781" i="10"/>
  <c r="C781" i="10"/>
  <c r="B781" i="10"/>
  <c r="A781" i="10"/>
  <c r="G780" i="10"/>
  <c r="F780" i="10"/>
  <c r="E780" i="10"/>
  <c r="D780" i="10"/>
  <c r="C780" i="10"/>
  <c r="B780" i="10"/>
  <c r="A780" i="10"/>
  <c r="G779" i="10"/>
  <c r="F779" i="10"/>
  <c r="E779" i="10"/>
  <c r="D779" i="10"/>
  <c r="C779" i="10"/>
  <c r="B779" i="10"/>
  <c r="A779" i="10"/>
  <c r="G778" i="10"/>
  <c r="F778" i="10"/>
  <c r="E778" i="10"/>
  <c r="D778" i="10"/>
  <c r="C778" i="10"/>
  <c r="B778" i="10"/>
  <c r="A778" i="10"/>
  <c r="G777" i="10"/>
  <c r="F777" i="10"/>
  <c r="E777" i="10"/>
  <c r="D777" i="10"/>
  <c r="C777" i="10"/>
  <c r="B777" i="10"/>
  <c r="A777" i="10"/>
  <c r="G776" i="10"/>
  <c r="F776" i="10"/>
  <c r="E776" i="10"/>
  <c r="D776" i="10"/>
  <c r="C776" i="10"/>
  <c r="B776" i="10"/>
  <c r="A776" i="10"/>
  <c r="G775" i="10"/>
  <c r="F775" i="10"/>
  <c r="E775" i="10"/>
  <c r="D775" i="10"/>
  <c r="C775" i="10"/>
  <c r="B775" i="10"/>
  <c r="A775" i="10"/>
  <c r="G774" i="10"/>
  <c r="F774" i="10"/>
  <c r="E774" i="10"/>
  <c r="D774" i="10"/>
  <c r="C774" i="10"/>
  <c r="B774" i="10"/>
  <c r="A774" i="10"/>
  <c r="G773" i="10"/>
  <c r="F773" i="10"/>
  <c r="E773" i="10"/>
  <c r="D773" i="10"/>
  <c r="C773" i="10"/>
  <c r="B773" i="10"/>
  <c r="A773" i="10"/>
  <c r="G772" i="10"/>
  <c r="F772" i="10"/>
  <c r="E772" i="10"/>
  <c r="D772" i="10"/>
  <c r="C772" i="10"/>
  <c r="B772" i="10"/>
  <c r="A772" i="10"/>
  <c r="G771" i="10"/>
  <c r="F771" i="10"/>
  <c r="E771" i="10"/>
  <c r="D771" i="10"/>
  <c r="C771" i="10"/>
  <c r="B771" i="10"/>
  <c r="A771" i="10"/>
  <c r="G770" i="10"/>
  <c r="F770" i="10"/>
  <c r="E770" i="10"/>
  <c r="D770" i="10"/>
  <c r="C770" i="10"/>
  <c r="B770" i="10"/>
  <c r="A770" i="10"/>
  <c r="G769" i="10"/>
  <c r="F769" i="10"/>
  <c r="E769" i="10"/>
  <c r="D769" i="10"/>
  <c r="C769" i="10"/>
  <c r="B769" i="10"/>
  <c r="A769" i="10"/>
  <c r="G768" i="10"/>
  <c r="F768" i="10"/>
  <c r="E768" i="10"/>
  <c r="D768" i="10"/>
  <c r="C768" i="10"/>
  <c r="B768" i="10"/>
  <c r="A768" i="10"/>
  <c r="G767" i="10"/>
  <c r="F767" i="10"/>
  <c r="E767" i="10"/>
  <c r="D767" i="10"/>
  <c r="C767" i="10"/>
  <c r="B767" i="10"/>
  <c r="A767" i="10"/>
  <c r="G766" i="10"/>
  <c r="F766" i="10"/>
  <c r="E766" i="10"/>
  <c r="D766" i="10"/>
  <c r="C766" i="10"/>
  <c r="B766" i="10"/>
  <c r="A766" i="10"/>
  <c r="G765" i="10"/>
  <c r="F765" i="10"/>
  <c r="E765" i="10"/>
  <c r="D765" i="10"/>
  <c r="C765" i="10"/>
  <c r="B765" i="10"/>
  <c r="A765" i="10"/>
  <c r="G764" i="10"/>
  <c r="F764" i="10"/>
  <c r="E764" i="10"/>
  <c r="D764" i="10"/>
  <c r="C764" i="10"/>
  <c r="B764" i="10"/>
  <c r="A764" i="10"/>
  <c r="G763" i="10"/>
  <c r="F763" i="10"/>
  <c r="E763" i="10"/>
  <c r="D763" i="10"/>
  <c r="C763" i="10"/>
  <c r="B763" i="10"/>
  <c r="A763" i="10"/>
  <c r="G762" i="10"/>
  <c r="F762" i="10"/>
  <c r="E762" i="10"/>
  <c r="D762" i="10"/>
  <c r="C762" i="10"/>
  <c r="B762" i="10"/>
  <c r="A762" i="10"/>
  <c r="G761" i="10"/>
  <c r="F761" i="10"/>
  <c r="E761" i="10"/>
  <c r="D761" i="10"/>
  <c r="C761" i="10"/>
  <c r="B761" i="10"/>
  <c r="A761" i="10"/>
  <c r="G760" i="10"/>
  <c r="F760" i="10"/>
  <c r="E760" i="10"/>
  <c r="D760" i="10"/>
  <c r="C760" i="10"/>
  <c r="B760" i="10"/>
  <c r="A760" i="10"/>
  <c r="G759" i="10"/>
  <c r="F759" i="10"/>
  <c r="E759" i="10"/>
  <c r="D759" i="10"/>
  <c r="C759" i="10"/>
  <c r="B759" i="10"/>
  <c r="A759" i="10"/>
  <c r="G758" i="10"/>
  <c r="F758" i="10"/>
  <c r="E758" i="10"/>
  <c r="D758" i="10"/>
  <c r="C758" i="10"/>
  <c r="B758" i="10"/>
  <c r="A758" i="10"/>
  <c r="G757" i="10"/>
  <c r="F757" i="10"/>
  <c r="E757" i="10"/>
  <c r="D757" i="10"/>
  <c r="C757" i="10"/>
  <c r="B757" i="10"/>
  <c r="A757" i="10"/>
  <c r="G756" i="10"/>
  <c r="F756" i="10"/>
  <c r="E756" i="10"/>
  <c r="D756" i="10"/>
  <c r="C756" i="10"/>
  <c r="B756" i="10"/>
  <c r="A756" i="10"/>
  <c r="G755" i="10"/>
  <c r="F755" i="10"/>
  <c r="E755" i="10"/>
  <c r="D755" i="10"/>
  <c r="C755" i="10"/>
  <c r="B755" i="10"/>
  <c r="A755" i="10"/>
  <c r="G754" i="10"/>
  <c r="F754" i="10"/>
  <c r="E754" i="10"/>
  <c r="D754" i="10"/>
  <c r="C754" i="10"/>
  <c r="B754" i="10"/>
  <c r="A754" i="10"/>
  <c r="G753" i="10"/>
  <c r="F753" i="10"/>
  <c r="E753" i="10"/>
  <c r="D753" i="10"/>
  <c r="C753" i="10"/>
  <c r="B753" i="10"/>
  <c r="A753" i="10"/>
  <c r="G752" i="10"/>
  <c r="F752" i="10"/>
  <c r="E752" i="10"/>
  <c r="D752" i="10"/>
  <c r="C752" i="10"/>
  <c r="B752" i="10"/>
  <c r="A752" i="10"/>
  <c r="G751" i="10"/>
  <c r="F751" i="10"/>
  <c r="E751" i="10"/>
  <c r="D751" i="10"/>
  <c r="C751" i="10"/>
  <c r="B751" i="10"/>
  <c r="A751" i="10"/>
  <c r="G750" i="10"/>
  <c r="F750" i="10"/>
  <c r="E750" i="10"/>
  <c r="D750" i="10"/>
  <c r="C750" i="10"/>
  <c r="B750" i="10"/>
  <c r="A750" i="10"/>
  <c r="G749" i="10"/>
  <c r="F749" i="10"/>
  <c r="E749" i="10"/>
  <c r="D749" i="10"/>
  <c r="C749" i="10"/>
  <c r="B749" i="10"/>
  <c r="A749" i="10"/>
  <c r="G748" i="10"/>
  <c r="F748" i="10"/>
  <c r="E748" i="10"/>
  <c r="D748" i="10"/>
  <c r="C748" i="10"/>
  <c r="B748" i="10"/>
  <c r="A748" i="10"/>
  <c r="G747" i="10"/>
  <c r="F747" i="10"/>
  <c r="E747" i="10"/>
  <c r="D747" i="10"/>
  <c r="C747" i="10"/>
  <c r="B747" i="10"/>
  <c r="A747" i="10"/>
  <c r="G746" i="10"/>
  <c r="F746" i="10"/>
  <c r="E746" i="10"/>
  <c r="D746" i="10"/>
  <c r="C746" i="10"/>
  <c r="B746" i="10"/>
  <c r="A746" i="10"/>
  <c r="G745" i="10"/>
  <c r="F745" i="10"/>
  <c r="E745" i="10"/>
  <c r="D745" i="10"/>
  <c r="C745" i="10"/>
  <c r="B745" i="10"/>
  <c r="A745" i="10"/>
  <c r="G744" i="10"/>
  <c r="F744" i="10"/>
  <c r="E744" i="10"/>
  <c r="D744" i="10"/>
  <c r="C744" i="10"/>
  <c r="B744" i="10"/>
  <c r="A744" i="10"/>
  <c r="G743" i="10"/>
  <c r="F743" i="10"/>
  <c r="E743" i="10"/>
  <c r="D743" i="10"/>
  <c r="C743" i="10"/>
  <c r="B743" i="10"/>
  <c r="A743" i="10"/>
  <c r="G742" i="10"/>
  <c r="F742" i="10"/>
  <c r="E742" i="10"/>
  <c r="D742" i="10"/>
  <c r="C742" i="10"/>
  <c r="B742" i="10"/>
  <c r="A742" i="10"/>
  <c r="G741" i="10"/>
  <c r="F741" i="10"/>
  <c r="E741" i="10"/>
  <c r="D741" i="10"/>
  <c r="C741" i="10"/>
  <c r="B741" i="10"/>
  <c r="A741" i="10"/>
  <c r="G740" i="10"/>
  <c r="F740" i="10"/>
  <c r="E740" i="10"/>
  <c r="D740" i="10"/>
  <c r="C740" i="10"/>
  <c r="B740" i="10"/>
  <c r="A740" i="10"/>
  <c r="G739" i="10"/>
  <c r="F739" i="10"/>
  <c r="E739" i="10"/>
  <c r="D739" i="10"/>
  <c r="C739" i="10"/>
  <c r="B739" i="10"/>
  <c r="A739" i="10"/>
  <c r="G738" i="10"/>
  <c r="F738" i="10"/>
  <c r="E738" i="10"/>
  <c r="D738" i="10"/>
  <c r="C738" i="10"/>
  <c r="B738" i="10"/>
  <c r="A738" i="10"/>
  <c r="G737" i="10"/>
  <c r="F737" i="10"/>
  <c r="E737" i="10"/>
  <c r="D737" i="10"/>
  <c r="C737" i="10"/>
  <c r="B737" i="10"/>
  <c r="A737" i="10"/>
  <c r="G736" i="10"/>
  <c r="F736" i="10"/>
  <c r="E736" i="10"/>
  <c r="D736" i="10"/>
  <c r="C736" i="10"/>
  <c r="B736" i="10"/>
  <c r="A736" i="10"/>
  <c r="G735" i="10"/>
  <c r="F735" i="10"/>
  <c r="E735" i="10"/>
  <c r="D735" i="10"/>
  <c r="C735" i="10"/>
  <c r="B735" i="10"/>
  <c r="A735" i="10"/>
  <c r="G734" i="10"/>
  <c r="F734" i="10"/>
  <c r="E734" i="10"/>
  <c r="D734" i="10"/>
  <c r="C734" i="10"/>
  <c r="B734" i="10"/>
  <c r="A734" i="10"/>
  <c r="G733" i="10"/>
  <c r="F733" i="10"/>
  <c r="E733" i="10"/>
  <c r="D733" i="10"/>
  <c r="C733" i="10"/>
  <c r="B733" i="10"/>
  <c r="A733" i="10"/>
  <c r="G732" i="10"/>
  <c r="F732" i="10"/>
  <c r="E732" i="10"/>
  <c r="D732" i="10"/>
  <c r="C732" i="10"/>
  <c r="B732" i="10"/>
  <c r="A732" i="10"/>
  <c r="G731" i="10"/>
  <c r="F731" i="10"/>
  <c r="E731" i="10"/>
  <c r="D731" i="10"/>
  <c r="C731" i="10"/>
  <c r="B731" i="10"/>
  <c r="A731" i="10"/>
  <c r="G730" i="10"/>
  <c r="F730" i="10"/>
  <c r="E730" i="10"/>
  <c r="D730" i="10"/>
  <c r="C730" i="10"/>
  <c r="B730" i="10"/>
  <c r="A730" i="10"/>
  <c r="G729" i="10"/>
  <c r="F729" i="10"/>
  <c r="E729" i="10"/>
  <c r="D729" i="10"/>
  <c r="C729" i="10"/>
  <c r="B729" i="10"/>
  <c r="A729" i="10"/>
  <c r="G728" i="10"/>
  <c r="F728" i="10"/>
  <c r="E728" i="10"/>
  <c r="D728" i="10"/>
  <c r="C728" i="10"/>
  <c r="B728" i="10"/>
  <c r="A728" i="10"/>
  <c r="G727" i="10"/>
  <c r="F727" i="10"/>
  <c r="E727" i="10"/>
  <c r="D727" i="10"/>
  <c r="C727" i="10"/>
  <c r="B727" i="10"/>
  <c r="A727" i="10"/>
  <c r="G726" i="10"/>
  <c r="F726" i="10"/>
  <c r="E726" i="10"/>
  <c r="D726" i="10"/>
  <c r="C726" i="10"/>
  <c r="B726" i="10"/>
  <c r="A726" i="10"/>
  <c r="G725" i="10"/>
  <c r="F725" i="10"/>
  <c r="E725" i="10"/>
  <c r="D725" i="10"/>
  <c r="C725" i="10"/>
  <c r="B725" i="10"/>
  <c r="A725" i="10"/>
  <c r="G724" i="10"/>
  <c r="F724" i="10"/>
  <c r="E724" i="10"/>
  <c r="D724" i="10"/>
  <c r="C724" i="10"/>
  <c r="B724" i="10"/>
  <c r="A724" i="10"/>
  <c r="G723" i="10"/>
  <c r="F723" i="10"/>
  <c r="E723" i="10"/>
  <c r="D723" i="10"/>
  <c r="C723" i="10"/>
  <c r="B723" i="10"/>
  <c r="A723" i="10"/>
  <c r="E722" i="10"/>
  <c r="D722" i="10"/>
  <c r="B722" i="10"/>
  <c r="A722" i="10"/>
  <c r="J721" i="10"/>
  <c r="E721" i="10"/>
  <c r="D721" i="10"/>
  <c r="B721" i="10"/>
  <c r="A721" i="10"/>
  <c r="E720" i="10"/>
  <c r="D720" i="10"/>
  <c r="B720" i="10"/>
  <c r="A720" i="10"/>
  <c r="E719" i="10"/>
  <c r="D719" i="10"/>
  <c r="B719" i="10"/>
  <c r="A719" i="10"/>
  <c r="E718" i="10"/>
  <c r="D718" i="10"/>
  <c r="B718" i="10"/>
  <c r="J718" i="10" s="1"/>
  <c r="A718" i="10"/>
  <c r="J717" i="10"/>
  <c r="E717" i="10"/>
  <c r="D717" i="10"/>
  <c r="B717" i="10"/>
  <c r="A717" i="10"/>
  <c r="E716" i="10"/>
  <c r="D716" i="10"/>
  <c r="B716" i="10"/>
  <c r="A716" i="10"/>
  <c r="E715" i="10"/>
  <c r="D715" i="10"/>
  <c r="B715" i="10"/>
  <c r="A715" i="10"/>
  <c r="J714" i="10"/>
  <c r="E714" i="10"/>
  <c r="D714" i="10"/>
  <c r="B714" i="10"/>
  <c r="A714" i="10"/>
  <c r="E713" i="10"/>
  <c r="D713" i="10"/>
  <c r="B713" i="10"/>
  <c r="A713" i="10"/>
  <c r="E712" i="10"/>
  <c r="D712" i="10"/>
  <c r="B712" i="10"/>
  <c r="A712" i="10"/>
  <c r="J711" i="10"/>
  <c r="E711" i="10"/>
  <c r="D711" i="10"/>
  <c r="B711" i="10"/>
  <c r="A711" i="10"/>
  <c r="E710" i="10"/>
  <c r="D710" i="10"/>
  <c r="B710" i="10"/>
  <c r="A710" i="10"/>
  <c r="E709" i="10"/>
  <c r="D709" i="10"/>
  <c r="B709" i="10"/>
  <c r="A709" i="10"/>
  <c r="E708" i="10"/>
  <c r="D708" i="10"/>
  <c r="B708" i="10"/>
  <c r="A708" i="10"/>
  <c r="J708" i="10" s="1"/>
  <c r="J707" i="10"/>
  <c r="E707" i="10"/>
  <c r="D707" i="10"/>
  <c r="B707" i="10"/>
  <c r="A707" i="10"/>
  <c r="E706" i="10"/>
  <c r="D706" i="10"/>
  <c r="B706" i="10"/>
  <c r="A706" i="10"/>
  <c r="J705" i="10"/>
  <c r="E705" i="10"/>
  <c r="D705" i="10"/>
  <c r="B705" i="10"/>
  <c r="A705" i="10"/>
  <c r="J704" i="10"/>
  <c r="E704" i="10"/>
  <c r="D704" i="10"/>
  <c r="B704" i="10"/>
  <c r="A704" i="10"/>
  <c r="J703" i="10"/>
  <c r="E703" i="10"/>
  <c r="D703" i="10"/>
  <c r="B703" i="10"/>
  <c r="A703" i="10"/>
  <c r="E702" i="10"/>
  <c r="D702" i="10"/>
  <c r="B702" i="10"/>
  <c r="A702" i="10"/>
  <c r="E701" i="10"/>
  <c r="D701" i="10"/>
  <c r="B701" i="10"/>
  <c r="A701" i="10"/>
  <c r="J701" i="10" s="1"/>
  <c r="J700" i="10"/>
  <c r="E700" i="10"/>
  <c r="D700" i="10"/>
  <c r="B700" i="10"/>
  <c r="A700" i="10"/>
  <c r="E699" i="10"/>
  <c r="D699" i="10"/>
  <c r="B699" i="10"/>
  <c r="A699" i="10"/>
  <c r="J698" i="10"/>
  <c r="E698" i="10"/>
  <c r="D698" i="10"/>
  <c r="B698" i="10"/>
  <c r="A698" i="10"/>
  <c r="J697" i="10"/>
  <c r="E697" i="10"/>
  <c r="D697" i="10"/>
  <c r="B697" i="10"/>
  <c r="A697" i="10"/>
  <c r="E696" i="10"/>
  <c r="D696" i="10"/>
  <c r="B696" i="10"/>
  <c r="A696" i="10"/>
  <c r="E695" i="10"/>
  <c r="D695" i="10"/>
  <c r="B695" i="10"/>
  <c r="A695" i="10"/>
  <c r="J694" i="10"/>
  <c r="E694" i="10"/>
  <c r="D694" i="10"/>
  <c r="B694" i="10"/>
  <c r="A694" i="10"/>
  <c r="J693" i="10"/>
  <c r="E693" i="10"/>
  <c r="D693" i="10"/>
  <c r="B693" i="10"/>
  <c r="A693" i="10"/>
  <c r="E692" i="10"/>
  <c r="D692" i="10"/>
  <c r="B692" i="10"/>
  <c r="A692" i="10"/>
  <c r="J691" i="10"/>
  <c r="E691" i="10"/>
  <c r="D691" i="10"/>
  <c r="B691" i="10"/>
  <c r="A691" i="10"/>
  <c r="E690" i="10"/>
  <c r="D690" i="10"/>
  <c r="B690" i="10"/>
  <c r="A690" i="10"/>
  <c r="E689" i="10"/>
  <c r="D689" i="10"/>
  <c r="B689" i="10"/>
  <c r="A689" i="10"/>
  <c r="J688" i="10"/>
  <c r="E688" i="10"/>
  <c r="D688" i="10"/>
  <c r="B688" i="10"/>
  <c r="A688" i="10"/>
  <c r="J687" i="10"/>
  <c r="E687" i="10"/>
  <c r="D687" i="10"/>
  <c r="B687" i="10"/>
  <c r="A687" i="10"/>
  <c r="E686" i="10"/>
  <c r="D686" i="10"/>
  <c r="B686" i="10"/>
  <c r="A686" i="10"/>
  <c r="E685" i="10"/>
  <c r="D685" i="10"/>
  <c r="B685" i="10"/>
  <c r="A685" i="10"/>
  <c r="J685" i="10" s="1"/>
  <c r="J684" i="10"/>
  <c r="E684" i="10"/>
  <c r="D684" i="10"/>
  <c r="B684" i="10"/>
  <c r="A684" i="10"/>
  <c r="E683" i="10"/>
  <c r="D683" i="10"/>
  <c r="B683" i="10"/>
  <c r="A683" i="10"/>
  <c r="E682" i="10"/>
  <c r="D682" i="10"/>
  <c r="B682" i="10"/>
  <c r="A682" i="10"/>
  <c r="E681" i="10"/>
  <c r="D681" i="10"/>
  <c r="B681" i="10"/>
  <c r="A681" i="10"/>
  <c r="J681" i="10" s="1"/>
  <c r="J680" i="10"/>
  <c r="E680" i="10"/>
  <c r="D680" i="10"/>
  <c r="B680" i="10"/>
  <c r="A680" i="10"/>
  <c r="E679" i="10"/>
  <c r="D679" i="10"/>
  <c r="B679" i="10"/>
  <c r="A679" i="10"/>
  <c r="J678" i="10"/>
  <c r="E678" i="10"/>
  <c r="D678" i="10"/>
  <c r="B678" i="10"/>
  <c r="A678" i="10"/>
  <c r="J677" i="10"/>
  <c r="E677" i="10"/>
  <c r="D677" i="10"/>
  <c r="B677" i="10"/>
  <c r="A677" i="10"/>
  <c r="E676" i="10"/>
  <c r="D676" i="10"/>
  <c r="B676" i="10"/>
  <c r="A676" i="10"/>
  <c r="E675" i="10"/>
  <c r="D675" i="10"/>
  <c r="B675" i="10"/>
  <c r="A675" i="10"/>
  <c r="J674" i="10"/>
  <c r="E674" i="10"/>
  <c r="D674" i="10"/>
  <c r="B674" i="10"/>
  <c r="A674" i="10"/>
  <c r="E673" i="10"/>
  <c r="D673" i="10"/>
  <c r="B673" i="10"/>
  <c r="J673" i="10" s="1"/>
  <c r="A673" i="10"/>
  <c r="E672" i="10"/>
  <c r="D672" i="10"/>
  <c r="B672" i="10"/>
  <c r="A672" i="10"/>
  <c r="J671" i="10"/>
  <c r="E671" i="10"/>
  <c r="D671" i="10"/>
  <c r="B671" i="10"/>
  <c r="A671" i="10"/>
  <c r="J670" i="10"/>
  <c r="E670" i="10"/>
  <c r="D670" i="10"/>
  <c r="B670" i="10"/>
  <c r="A670" i="10"/>
  <c r="E669" i="10"/>
  <c r="D669" i="10"/>
  <c r="B669" i="10"/>
  <c r="A669" i="10"/>
  <c r="E668" i="10"/>
  <c r="D668" i="10"/>
  <c r="B668" i="10"/>
  <c r="A668" i="10"/>
  <c r="J667" i="10"/>
  <c r="E667" i="10"/>
  <c r="D667" i="10"/>
  <c r="B667" i="10"/>
  <c r="A667" i="10"/>
  <c r="E666" i="10"/>
  <c r="D666" i="10"/>
  <c r="B666" i="10"/>
  <c r="A666" i="10"/>
  <c r="J665" i="10"/>
  <c r="E665" i="10"/>
  <c r="D665" i="10"/>
  <c r="B665" i="10"/>
  <c r="A665" i="10"/>
  <c r="J664" i="10"/>
  <c r="E664" i="10"/>
  <c r="D664" i="10"/>
  <c r="B664" i="10"/>
  <c r="A664" i="10"/>
  <c r="E663" i="10"/>
  <c r="D663" i="10"/>
  <c r="B663" i="10"/>
  <c r="A663" i="10"/>
  <c r="E662" i="10"/>
  <c r="D662" i="10"/>
  <c r="B662" i="10"/>
  <c r="A662" i="10"/>
  <c r="E661" i="10"/>
  <c r="D661" i="10"/>
  <c r="B661" i="10"/>
  <c r="A661" i="10"/>
  <c r="J661" i="10" s="1"/>
  <c r="E660" i="10"/>
  <c r="D660" i="10"/>
  <c r="B660" i="10"/>
  <c r="A660" i="10"/>
  <c r="E659" i="10"/>
  <c r="D659" i="10"/>
  <c r="B659" i="10"/>
  <c r="A659" i="10"/>
  <c r="E658" i="10"/>
  <c r="D658" i="10"/>
  <c r="B658" i="10"/>
  <c r="A658" i="10"/>
  <c r="J657" i="10"/>
  <c r="E657" i="10"/>
  <c r="D657" i="10"/>
  <c r="B657" i="10"/>
  <c r="A657" i="10"/>
  <c r="E656" i="10"/>
  <c r="D656" i="10"/>
  <c r="B656" i="10"/>
  <c r="A656" i="10"/>
  <c r="E655" i="10"/>
  <c r="D655" i="10"/>
  <c r="B655" i="10"/>
  <c r="A655" i="10"/>
  <c r="J654" i="10"/>
  <c r="E654" i="10"/>
  <c r="D654" i="10"/>
  <c r="B654" i="10"/>
  <c r="A654" i="10"/>
  <c r="E653" i="10"/>
  <c r="D653" i="10"/>
  <c r="B653" i="10"/>
  <c r="A653" i="10"/>
  <c r="E652" i="10"/>
  <c r="D652" i="10"/>
  <c r="B652" i="10"/>
  <c r="A652" i="10"/>
  <c r="E651" i="10"/>
  <c r="D651" i="10"/>
  <c r="B651" i="10"/>
  <c r="A651" i="10"/>
  <c r="J651" i="10" s="1"/>
  <c r="E650" i="10"/>
  <c r="D650" i="10"/>
  <c r="B650" i="10"/>
  <c r="J650" i="10" s="1"/>
  <c r="A650" i="10"/>
  <c r="E649" i="10"/>
  <c r="D649" i="10"/>
  <c r="B649" i="10"/>
  <c r="A649" i="10"/>
  <c r="E648" i="10"/>
  <c r="D648" i="10"/>
  <c r="B648" i="10"/>
  <c r="A648" i="10"/>
  <c r="J647" i="10"/>
  <c r="E647" i="10"/>
  <c r="D647" i="10"/>
  <c r="B647" i="10"/>
  <c r="A647" i="10"/>
  <c r="E646" i="10"/>
  <c r="D646" i="10"/>
  <c r="B646" i="10"/>
  <c r="J646" i="10" s="1"/>
  <c r="A646" i="10"/>
  <c r="J645" i="10"/>
  <c r="E645" i="10"/>
  <c r="D645" i="10"/>
  <c r="B645" i="10"/>
  <c r="A645" i="10"/>
  <c r="J644" i="10"/>
  <c r="E644" i="10"/>
  <c r="D644" i="10"/>
  <c r="B644" i="10"/>
  <c r="A644" i="10"/>
  <c r="E643" i="10"/>
  <c r="D643" i="10"/>
  <c r="B643" i="10"/>
  <c r="A643" i="10"/>
  <c r="E642" i="10"/>
  <c r="D642" i="10"/>
  <c r="B642" i="10"/>
  <c r="A642" i="10"/>
  <c r="J641" i="10"/>
  <c r="E641" i="10"/>
  <c r="D641" i="10"/>
  <c r="B641" i="10"/>
  <c r="A641" i="10"/>
  <c r="E640" i="10"/>
  <c r="D640" i="10"/>
  <c r="B640" i="10"/>
  <c r="A640" i="10"/>
  <c r="E639" i="10"/>
  <c r="D639" i="10"/>
  <c r="B639" i="10"/>
  <c r="A639" i="10"/>
  <c r="E638" i="10"/>
  <c r="D638" i="10"/>
  <c r="B638" i="10"/>
  <c r="A638" i="10"/>
  <c r="J637" i="10"/>
  <c r="E637" i="10"/>
  <c r="D637" i="10"/>
  <c r="B637" i="10"/>
  <c r="A637" i="10"/>
  <c r="E636" i="10"/>
  <c r="D636" i="10"/>
  <c r="B636" i="10"/>
  <c r="A636" i="10"/>
  <c r="E635" i="10"/>
  <c r="D635" i="10"/>
  <c r="B635" i="10"/>
  <c r="A635" i="10"/>
  <c r="J634" i="10"/>
  <c r="E634" i="10"/>
  <c r="D634" i="10"/>
  <c r="B634" i="10"/>
  <c r="A634" i="10"/>
  <c r="E633" i="10"/>
  <c r="D633" i="10"/>
  <c r="B633" i="10"/>
  <c r="A633" i="10"/>
  <c r="E632" i="10"/>
  <c r="D632" i="10"/>
  <c r="B632" i="10"/>
  <c r="A632" i="10"/>
  <c r="J631" i="10"/>
  <c r="E631" i="10"/>
  <c r="D631" i="10"/>
  <c r="B631" i="10"/>
  <c r="A631" i="10"/>
  <c r="E630" i="10"/>
  <c r="D630" i="10"/>
  <c r="B630" i="10"/>
  <c r="A630" i="10"/>
  <c r="E629" i="10"/>
  <c r="D629" i="10"/>
  <c r="B629" i="10"/>
  <c r="A629" i="10"/>
  <c r="E628" i="10"/>
  <c r="D628" i="10"/>
  <c r="B628" i="10"/>
  <c r="A628" i="10"/>
  <c r="J627" i="10"/>
  <c r="E627" i="10"/>
  <c r="D627" i="10"/>
  <c r="B627" i="10"/>
  <c r="A627" i="10"/>
  <c r="E626" i="10"/>
  <c r="D626" i="10"/>
  <c r="B626" i="10"/>
  <c r="A626" i="10"/>
  <c r="E625" i="10"/>
  <c r="D625" i="10"/>
  <c r="B625" i="10"/>
  <c r="A625" i="10"/>
  <c r="J624" i="10"/>
  <c r="E624" i="10"/>
  <c r="D624" i="10"/>
  <c r="B624" i="10"/>
  <c r="A624" i="10"/>
  <c r="J623" i="10"/>
  <c r="E623" i="10"/>
  <c r="D623" i="10"/>
  <c r="B623" i="10"/>
  <c r="A623" i="10"/>
  <c r="E622" i="10"/>
  <c r="D622" i="10"/>
  <c r="B622" i="10"/>
  <c r="A622" i="10"/>
  <c r="J621" i="10"/>
  <c r="E621" i="10"/>
  <c r="D621" i="10"/>
  <c r="B621" i="10"/>
  <c r="A621" i="10"/>
  <c r="E620" i="10"/>
  <c r="D620" i="10"/>
  <c r="B620" i="10"/>
  <c r="J620" i="10" s="1"/>
  <c r="A620" i="10"/>
  <c r="E619" i="10"/>
  <c r="D619" i="10"/>
  <c r="B619" i="10"/>
  <c r="A619" i="10"/>
  <c r="J618" i="10"/>
  <c r="E618" i="10"/>
  <c r="D618" i="10"/>
  <c r="B618" i="10"/>
  <c r="A618" i="10"/>
  <c r="J617" i="10"/>
  <c r="E617" i="10"/>
  <c r="D617" i="10"/>
  <c r="B617" i="10"/>
  <c r="A617" i="10"/>
  <c r="E616" i="10"/>
  <c r="D616" i="10"/>
  <c r="B616" i="10"/>
  <c r="A616" i="10"/>
  <c r="E615" i="10"/>
  <c r="D615" i="10"/>
  <c r="B615" i="10"/>
  <c r="A615" i="10"/>
  <c r="J614" i="10"/>
  <c r="E614" i="10"/>
  <c r="D614" i="10"/>
  <c r="B614" i="10"/>
  <c r="A614" i="10"/>
  <c r="J613" i="10"/>
  <c r="E613" i="10"/>
  <c r="D613" i="10"/>
  <c r="B613" i="10"/>
  <c r="A613" i="10"/>
  <c r="E612" i="10"/>
  <c r="D612" i="10"/>
  <c r="B612" i="10"/>
  <c r="A612" i="10"/>
  <c r="J611" i="10"/>
  <c r="E611" i="10"/>
  <c r="D611" i="10"/>
  <c r="B611" i="10"/>
  <c r="A611" i="10"/>
  <c r="E610" i="10"/>
  <c r="D610" i="10"/>
  <c r="B610" i="10"/>
  <c r="A610" i="10"/>
  <c r="E609" i="10"/>
  <c r="D609" i="10"/>
  <c r="B609" i="10"/>
  <c r="A609" i="10"/>
  <c r="J608" i="10"/>
  <c r="E608" i="10"/>
  <c r="D608" i="10"/>
  <c r="B608" i="10"/>
  <c r="A608" i="10"/>
  <c r="J607" i="10"/>
  <c r="E607" i="10"/>
  <c r="D607" i="10"/>
  <c r="B607" i="10"/>
  <c r="A607" i="10"/>
  <c r="E606" i="10"/>
  <c r="D606" i="10"/>
  <c r="B606" i="10"/>
  <c r="A606" i="10"/>
  <c r="E605" i="10"/>
  <c r="D605" i="10"/>
  <c r="B605" i="10"/>
  <c r="A605" i="10"/>
  <c r="J604" i="10"/>
  <c r="E604" i="10"/>
  <c r="D604" i="10"/>
  <c r="B604" i="10"/>
  <c r="A604" i="10"/>
  <c r="J603" i="10"/>
  <c r="E603" i="10"/>
  <c r="D603" i="10"/>
  <c r="B603" i="10"/>
  <c r="A603" i="10"/>
  <c r="E602" i="10"/>
  <c r="D602" i="10"/>
  <c r="B602" i="10"/>
  <c r="A602" i="10"/>
  <c r="E601" i="10"/>
  <c r="D601" i="10"/>
  <c r="B601" i="10"/>
  <c r="A601" i="10"/>
  <c r="J601" i="10" s="1"/>
  <c r="J600" i="10"/>
  <c r="E600" i="10"/>
  <c r="D600" i="10"/>
  <c r="B600" i="10"/>
  <c r="A600" i="10"/>
  <c r="E599" i="10"/>
  <c r="D599" i="10"/>
  <c r="B599" i="10"/>
  <c r="A599" i="10"/>
  <c r="E598" i="10"/>
  <c r="D598" i="10"/>
  <c r="B598" i="10"/>
  <c r="A598" i="10"/>
  <c r="J597" i="10"/>
  <c r="E597" i="10"/>
  <c r="D597" i="10"/>
  <c r="B597" i="10"/>
  <c r="A597" i="10"/>
  <c r="G596" i="10"/>
  <c r="E596" i="10"/>
  <c r="D596" i="10"/>
  <c r="B596" i="10"/>
  <c r="A596" i="10"/>
  <c r="J595" i="10"/>
  <c r="E595" i="10"/>
  <c r="D595" i="10"/>
  <c r="B595" i="10"/>
  <c r="A595" i="10"/>
  <c r="J594" i="10"/>
  <c r="E594" i="10"/>
  <c r="D594" i="10"/>
  <c r="B594" i="10"/>
  <c r="A594" i="10"/>
  <c r="E593" i="10"/>
  <c r="D593" i="10"/>
  <c r="B593" i="10"/>
  <c r="A593" i="10"/>
  <c r="J593" i="10" s="1"/>
  <c r="E592" i="10"/>
  <c r="D592" i="10"/>
  <c r="B592" i="10"/>
  <c r="A592" i="10"/>
  <c r="E591" i="10"/>
  <c r="D591" i="10"/>
  <c r="B591" i="10"/>
  <c r="A591" i="10"/>
  <c r="J591" i="10" s="1"/>
  <c r="J590" i="10"/>
  <c r="E590" i="10"/>
  <c r="D590" i="10"/>
  <c r="B590" i="10"/>
  <c r="A590" i="10"/>
  <c r="E589" i="10"/>
  <c r="D589" i="10"/>
  <c r="B589" i="10"/>
  <c r="A589" i="10"/>
  <c r="J588" i="10"/>
  <c r="E588" i="10"/>
  <c r="D588" i="10"/>
  <c r="B588" i="10"/>
  <c r="A588" i="10"/>
  <c r="J587" i="10"/>
  <c r="E587" i="10"/>
  <c r="D587" i="10"/>
  <c r="B587" i="10"/>
  <c r="A587" i="10"/>
  <c r="E586" i="10"/>
  <c r="D586" i="10"/>
  <c r="B586" i="10"/>
  <c r="A586" i="10"/>
  <c r="E585" i="10"/>
  <c r="D585" i="10"/>
  <c r="B585" i="10"/>
  <c r="A585" i="10"/>
  <c r="J585" i="10" s="1"/>
  <c r="J584" i="10"/>
  <c r="E584" i="10"/>
  <c r="D584" i="10"/>
  <c r="B584" i="10"/>
  <c r="A584" i="10"/>
  <c r="E583" i="10"/>
  <c r="D583" i="10"/>
  <c r="B583" i="10"/>
  <c r="A583" i="10"/>
  <c r="E582" i="10"/>
  <c r="D582" i="10"/>
  <c r="B582" i="10"/>
  <c r="A582" i="10"/>
  <c r="E581" i="10"/>
  <c r="D581" i="10"/>
  <c r="B581" i="10"/>
  <c r="A581" i="10"/>
  <c r="J581" i="10" s="1"/>
  <c r="J580" i="10"/>
  <c r="E580" i="10"/>
  <c r="D580" i="10"/>
  <c r="B580" i="10"/>
  <c r="A580" i="10"/>
  <c r="E579" i="10"/>
  <c r="D579" i="10"/>
  <c r="B579" i="10"/>
  <c r="A579" i="10"/>
  <c r="E578" i="10"/>
  <c r="D578" i="10"/>
  <c r="B578" i="10"/>
  <c r="A578" i="10"/>
  <c r="J578" i="10" s="1"/>
  <c r="J577" i="10"/>
  <c r="E577" i="10"/>
  <c r="D577" i="10"/>
  <c r="B577" i="10"/>
  <c r="A577" i="10"/>
  <c r="E576" i="10"/>
  <c r="D576" i="10"/>
  <c r="B576" i="10"/>
  <c r="A576" i="10"/>
  <c r="J575" i="10"/>
  <c r="E575" i="10"/>
  <c r="D575" i="10"/>
  <c r="B575" i="10"/>
  <c r="A575" i="10"/>
  <c r="J574" i="10"/>
  <c r="E574" i="10"/>
  <c r="D574" i="10"/>
  <c r="B574" i="10"/>
  <c r="A574" i="10"/>
  <c r="E573" i="10"/>
  <c r="D573" i="10"/>
  <c r="B573" i="10"/>
  <c r="A573" i="10"/>
  <c r="E572" i="10"/>
  <c r="D572" i="10"/>
  <c r="B572" i="10"/>
  <c r="A572" i="10"/>
  <c r="J571" i="10"/>
  <c r="E571" i="10"/>
  <c r="D571" i="10"/>
  <c r="B571" i="10"/>
  <c r="A571" i="10"/>
  <c r="J570" i="10"/>
  <c r="E570" i="10"/>
  <c r="D570" i="10"/>
  <c r="B570" i="10"/>
  <c r="A570" i="10"/>
  <c r="E569" i="10"/>
  <c r="D569" i="10"/>
  <c r="B569" i="10"/>
  <c r="A569" i="10"/>
  <c r="E568" i="10"/>
  <c r="D568" i="10"/>
  <c r="B568" i="10"/>
  <c r="A568" i="10"/>
  <c r="J567" i="10"/>
  <c r="E567" i="10"/>
  <c r="D567" i="10"/>
  <c r="B567" i="10"/>
  <c r="A567" i="10"/>
  <c r="E566" i="10"/>
  <c r="D566" i="10"/>
  <c r="B566" i="10"/>
  <c r="A566" i="10"/>
  <c r="J565" i="10"/>
  <c r="E565" i="10"/>
  <c r="D565" i="10"/>
  <c r="B565" i="10"/>
  <c r="A565" i="10"/>
  <c r="J564" i="10"/>
  <c r="E564" i="10"/>
  <c r="D564" i="10"/>
  <c r="B564" i="10"/>
  <c r="A564" i="10"/>
  <c r="E563" i="10"/>
  <c r="D563" i="10"/>
  <c r="B563" i="10"/>
  <c r="A563" i="10"/>
  <c r="E562" i="10"/>
  <c r="D562" i="10"/>
  <c r="B562" i="10"/>
  <c r="A562" i="10"/>
  <c r="E561" i="10"/>
  <c r="D561" i="10"/>
  <c r="B561" i="10"/>
  <c r="A561" i="10"/>
  <c r="J561" i="10" s="1"/>
  <c r="J560" i="10"/>
  <c r="E560" i="10"/>
  <c r="D560" i="10"/>
  <c r="B560" i="10"/>
  <c r="A560" i="10"/>
  <c r="E559" i="10"/>
  <c r="D559" i="10"/>
  <c r="B559" i="10"/>
  <c r="A559" i="10"/>
  <c r="J558" i="10"/>
  <c r="E558" i="10"/>
  <c r="D558" i="10"/>
  <c r="B558" i="10"/>
  <c r="A558" i="10"/>
  <c r="J557" i="10"/>
  <c r="E557" i="10"/>
  <c r="D557" i="10"/>
  <c r="B557" i="10"/>
  <c r="A557" i="10"/>
  <c r="E556" i="10"/>
  <c r="D556" i="10"/>
  <c r="B556" i="10"/>
  <c r="A556" i="10"/>
  <c r="E555" i="10"/>
  <c r="D555" i="10"/>
  <c r="B555" i="10"/>
  <c r="J555" i="10" s="1"/>
  <c r="A555" i="10"/>
  <c r="J554" i="10"/>
  <c r="E554" i="10"/>
  <c r="D554" i="10"/>
  <c r="B554" i="10"/>
  <c r="A554" i="10"/>
  <c r="E553" i="10"/>
  <c r="D553" i="10"/>
  <c r="B553" i="10"/>
  <c r="A553" i="10"/>
  <c r="E552" i="10"/>
  <c r="D552" i="10"/>
  <c r="B552" i="10"/>
  <c r="A552" i="10"/>
  <c r="E551" i="10"/>
  <c r="D551" i="10"/>
  <c r="B551" i="10"/>
  <c r="A551" i="10"/>
  <c r="J551" i="10" s="1"/>
  <c r="E550" i="10"/>
  <c r="D550" i="10"/>
  <c r="B550" i="10"/>
  <c r="A550" i="10"/>
  <c r="E549" i="10"/>
  <c r="D549" i="10"/>
  <c r="B549" i="10"/>
  <c r="A549" i="10"/>
  <c r="E548" i="10"/>
  <c r="D548" i="10"/>
  <c r="B548" i="10"/>
  <c r="A548" i="10"/>
  <c r="J547" i="10"/>
  <c r="E547" i="10"/>
  <c r="D547" i="10"/>
  <c r="B547" i="10"/>
  <c r="A547" i="10"/>
  <c r="E546" i="10"/>
  <c r="D546" i="10"/>
  <c r="B546" i="10"/>
  <c r="A546" i="10"/>
  <c r="J545" i="10"/>
  <c r="E545" i="10"/>
  <c r="D545" i="10"/>
  <c r="B545" i="10"/>
  <c r="A545" i="10"/>
  <c r="J544" i="10"/>
  <c r="E544" i="10"/>
  <c r="D544" i="10"/>
  <c r="B544" i="10"/>
  <c r="A544" i="10"/>
  <c r="E543" i="10"/>
  <c r="D543" i="10"/>
  <c r="B543" i="10"/>
  <c r="A543" i="10"/>
  <c r="E542" i="10"/>
  <c r="D542" i="10"/>
  <c r="B542" i="10"/>
  <c r="A542" i="10"/>
  <c r="J541" i="10"/>
  <c r="E541" i="10"/>
  <c r="D541" i="10"/>
  <c r="B541" i="10"/>
  <c r="A541" i="10"/>
  <c r="J540" i="10"/>
  <c r="E540" i="10"/>
  <c r="D540" i="10"/>
  <c r="B540" i="10"/>
  <c r="A540" i="10"/>
  <c r="E539" i="10"/>
  <c r="D539" i="10"/>
  <c r="B539" i="10"/>
  <c r="A539" i="10"/>
  <c r="E538" i="10"/>
  <c r="D538" i="10"/>
  <c r="B538" i="10"/>
  <c r="A538" i="10"/>
  <c r="J537" i="10"/>
  <c r="E537" i="10"/>
  <c r="D537" i="10"/>
  <c r="B537" i="10"/>
  <c r="A537" i="10"/>
  <c r="E536" i="10"/>
  <c r="D536" i="10"/>
  <c r="B536" i="10"/>
  <c r="A536" i="10"/>
  <c r="E535" i="10"/>
  <c r="D535" i="10"/>
  <c r="B535" i="10"/>
  <c r="A535" i="10"/>
  <c r="J534" i="10"/>
  <c r="E534" i="10"/>
  <c r="D534" i="10"/>
  <c r="B534" i="10"/>
  <c r="A534" i="10"/>
  <c r="J533" i="10"/>
  <c r="E533" i="10"/>
  <c r="D533" i="10"/>
  <c r="B533" i="10"/>
  <c r="A533" i="10"/>
  <c r="E532" i="10"/>
  <c r="D532" i="10"/>
  <c r="B532" i="10"/>
  <c r="A532" i="10"/>
  <c r="J531" i="10"/>
  <c r="E531" i="10"/>
  <c r="D531" i="10"/>
  <c r="B531" i="10"/>
  <c r="A531" i="10"/>
  <c r="E530" i="10"/>
  <c r="D530" i="10"/>
  <c r="B530" i="10"/>
  <c r="A530" i="10"/>
  <c r="E529" i="10"/>
  <c r="D529" i="10"/>
  <c r="B529" i="10"/>
  <c r="A529" i="10"/>
  <c r="E528" i="10"/>
  <c r="D528" i="10"/>
  <c r="B528" i="10"/>
  <c r="A528" i="10"/>
  <c r="J527" i="10"/>
  <c r="E527" i="10"/>
  <c r="D527" i="10"/>
  <c r="B527" i="10"/>
  <c r="A527" i="10"/>
  <c r="E526" i="10"/>
  <c r="D526" i="10"/>
  <c r="B526" i="10"/>
  <c r="J526" i="10" s="1"/>
  <c r="A526" i="10"/>
  <c r="E525" i="10"/>
  <c r="D525" i="10"/>
  <c r="B525" i="10"/>
  <c r="A525" i="10"/>
  <c r="J524" i="10"/>
  <c r="E524" i="10"/>
  <c r="D524" i="10"/>
  <c r="B524" i="10"/>
  <c r="A524" i="10"/>
  <c r="E523" i="10"/>
  <c r="D523" i="10"/>
  <c r="B523" i="10"/>
  <c r="A523" i="10"/>
  <c r="J523" i="10" s="1"/>
  <c r="E522" i="10"/>
  <c r="D522" i="10"/>
  <c r="B522" i="10"/>
  <c r="A522" i="10"/>
  <c r="J521" i="10"/>
  <c r="E521" i="10"/>
  <c r="D521" i="10"/>
  <c r="B521" i="10"/>
  <c r="A521" i="10"/>
  <c r="E520" i="10"/>
  <c r="D520" i="10"/>
  <c r="B520" i="10"/>
  <c r="A520" i="10"/>
  <c r="E519" i="10"/>
  <c r="D519" i="10"/>
  <c r="B519" i="10"/>
  <c r="A519" i="10"/>
  <c r="E518" i="10"/>
  <c r="D518" i="10"/>
  <c r="B518" i="10"/>
  <c r="A518" i="10"/>
  <c r="J517" i="10"/>
  <c r="E517" i="10"/>
  <c r="D517" i="10"/>
  <c r="B517" i="10"/>
  <c r="A517" i="10"/>
  <c r="E516" i="10"/>
  <c r="D516" i="10"/>
  <c r="B516" i="10"/>
  <c r="A516" i="10"/>
  <c r="J515" i="10"/>
  <c r="E515" i="10"/>
  <c r="D515" i="10"/>
  <c r="B515" i="10"/>
  <c r="A515" i="10"/>
  <c r="J514" i="10"/>
  <c r="E514" i="10"/>
  <c r="D514" i="10"/>
  <c r="B514" i="10"/>
  <c r="A514" i="10"/>
  <c r="J513" i="10"/>
  <c r="E513" i="10"/>
  <c r="D513" i="10"/>
  <c r="B513" i="10"/>
  <c r="A513" i="10"/>
  <c r="E512" i="10"/>
  <c r="D512" i="10"/>
  <c r="B512" i="10"/>
  <c r="A512" i="10"/>
  <c r="J511" i="10"/>
  <c r="E511" i="10"/>
  <c r="D511" i="10"/>
  <c r="B511" i="10"/>
  <c r="A511" i="10"/>
  <c r="J510" i="10"/>
  <c r="E510" i="10"/>
  <c r="D510" i="10"/>
  <c r="B510" i="10"/>
  <c r="A510" i="10"/>
  <c r="E509" i="10"/>
  <c r="D509" i="10"/>
  <c r="B509" i="10"/>
  <c r="A509" i="10"/>
  <c r="J508" i="10"/>
  <c r="E508" i="10"/>
  <c r="D508" i="10"/>
  <c r="B508" i="10"/>
  <c r="A508" i="10"/>
  <c r="J507" i="10"/>
  <c r="E507" i="10"/>
  <c r="D507" i="10"/>
  <c r="B507" i="10"/>
  <c r="A507" i="10"/>
  <c r="E506" i="10"/>
  <c r="D506" i="10"/>
  <c r="B506" i="10"/>
  <c r="A506" i="10"/>
  <c r="J505" i="10"/>
  <c r="E505" i="10"/>
  <c r="D505" i="10"/>
  <c r="B505" i="10"/>
  <c r="A505" i="10"/>
  <c r="J504" i="10"/>
  <c r="E504" i="10"/>
  <c r="D504" i="10"/>
  <c r="B504" i="10"/>
  <c r="A504" i="10"/>
  <c r="J503" i="10"/>
  <c r="E503" i="10"/>
  <c r="D503" i="10"/>
  <c r="B503" i="10"/>
  <c r="A503" i="10"/>
  <c r="E502" i="10"/>
  <c r="D502" i="10"/>
  <c r="B502" i="10"/>
  <c r="A502" i="10"/>
  <c r="J501" i="10"/>
  <c r="E501" i="10"/>
  <c r="D501" i="10"/>
  <c r="B501" i="10"/>
  <c r="A501" i="10"/>
  <c r="J500" i="10"/>
  <c r="E500" i="10"/>
  <c r="D500" i="10"/>
  <c r="B500" i="10"/>
  <c r="A500" i="10"/>
  <c r="E499" i="10"/>
  <c r="D499" i="10"/>
  <c r="B499" i="10"/>
  <c r="A499" i="10"/>
  <c r="E498" i="10"/>
  <c r="D498" i="10"/>
  <c r="B498" i="10"/>
  <c r="J498" i="10" s="1"/>
  <c r="A498" i="10"/>
  <c r="J497" i="10"/>
  <c r="E497" i="10"/>
  <c r="D497" i="10"/>
  <c r="B497" i="10"/>
  <c r="A497" i="10"/>
  <c r="E496" i="10"/>
  <c r="D496" i="10"/>
  <c r="B496" i="10"/>
  <c r="A496" i="10"/>
  <c r="E495" i="10"/>
  <c r="D495" i="10"/>
  <c r="B495" i="10"/>
  <c r="A495" i="10"/>
  <c r="J494" i="10"/>
  <c r="E494" i="10"/>
  <c r="D494" i="10"/>
  <c r="B494" i="10"/>
  <c r="A494" i="10"/>
  <c r="E493" i="10"/>
  <c r="D493" i="10"/>
  <c r="B493" i="10"/>
  <c r="A493" i="10"/>
  <c r="J493" i="10" s="1"/>
  <c r="E492" i="10"/>
  <c r="D492" i="10"/>
  <c r="B492" i="10"/>
  <c r="A492" i="10"/>
  <c r="E491" i="10"/>
  <c r="D491" i="10"/>
  <c r="B491" i="10"/>
  <c r="A491" i="10"/>
  <c r="J491" i="10" s="1"/>
  <c r="J490" i="10"/>
  <c r="E490" i="10"/>
  <c r="D490" i="10"/>
  <c r="B490" i="10"/>
  <c r="A490" i="10"/>
  <c r="E489" i="10"/>
  <c r="D489" i="10"/>
  <c r="B489" i="10"/>
  <c r="A489" i="10"/>
  <c r="J488" i="10"/>
  <c r="E488" i="10"/>
  <c r="D488" i="10"/>
  <c r="B488" i="10"/>
  <c r="A488" i="10"/>
  <c r="J487" i="10"/>
  <c r="E487" i="10"/>
  <c r="D487" i="10"/>
  <c r="B487" i="10"/>
  <c r="A487" i="10"/>
  <c r="E486" i="10"/>
  <c r="D486" i="10"/>
  <c r="B486" i="10"/>
  <c r="A486" i="10"/>
  <c r="J485" i="10"/>
  <c r="E485" i="10"/>
  <c r="D485" i="10"/>
  <c r="B485" i="10"/>
  <c r="A485" i="10"/>
  <c r="J484" i="10"/>
  <c r="E484" i="10"/>
  <c r="D484" i="10"/>
  <c r="B484" i="10"/>
  <c r="A484" i="10"/>
  <c r="J483" i="10"/>
  <c r="E483" i="10"/>
  <c r="D483" i="10"/>
  <c r="B483" i="10"/>
  <c r="A483" i="10"/>
  <c r="E482" i="10"/>
  <c r="D482" i="10"/>
  <c r="B482" i="10"/>
  <c r="A482" i="10"/>
  <c r="E481" i="10"/>
  <c r="D481" i="10"/>
  <c r="B481" i="10"/>
  <c r="A481" i="10"/>
  <c r="J481" i="10" s="1"/>
  <c r="J480" i="10"/>
  <c r="E480" i="10"/>
  <c r="D480" i="10"/>
  <c r="B480" i="10"/>
  <c r="A480" i="10"/>
  <c r="E479" i="10"/>
  <c r="D479" i="10"/>
  <c r="B479" i="10"/>
  <c r="A479" i="10"/>
  <c r="E478" i="10"/>
  <c r="D478" i="10"/>
  <c r="B478" i="10"/>
  <c r="A478" i="10"/>
  <c r="J478" i="10" s="1"/>
  <c r="J477" i="10"/>
  <c r="E477" i="10"/>
  <c r="D477" i="10"/>
  <c r="B477" i="10"/>
  <c r="A477" i="10"/>
  <c r="E476" i="10"/>
  <c r="D476" i="10"/>
  <c r="B476" i="10"/>
  <c r="A476" i="10"/>
  <c r="E475" i="10"/>
  <c r="D475" i="10"/>
  <c r="B475" i="10"/>
  <c r="A475" i="10"/>
  <c r="J474" i="10"/>
  <c r="E474" i="10"/>
  <c r="D474" i="10"/>
  <c r="B474" i="10"/>
  <c r="A474" i="10"/>
  <c r="E473" i="10"/>
  <c r="D473" i="10"/>
  <c r="B473" i="10"/>
  <c r="A473" i="10"/>
  <c r="E472" i="10"/>
  <c r="D472" i="10"/>
  <c r="B472" i="10"/>
  <c r="A472" i="10"/>
  <c r="E471" i="10"/>
  <c r="D471" i="10"/>
  <c r="B471" i="10"/>
  <c r="A471" i="10"/>
  <c r="J471" i="10" s="1"/>
  <c r="J470" i="10"/>
  <c r="E470" i="10"/>
  <c r="D470" i="10"/>
  <c r="B470" i="10"/>
  <c r="A470" i="10"/>
  <c r="E469" i="10"/>
  <c r="D469" i="10"/>
  <c r="B469" i="10"/>
  <c r="A469" i="10"/>
  <c r="E468" i="10"/>
  <c r="D468" i="10"/>
  <c r="B468" i="10"/>
  <c r="A468" i="10"/>
  <c r="J467" i="10"/>
  <c r="E467" i="10"/>
  <c r="D467" i="10"/>
  <c r="B467" i="10"/>
  <c r="A467" i="10"/>
  <c r="E466" i="10"/>
  <c r="D466" i="10"/>
  <c r="B466" i="10"/>
  <c r="A466" i="10"/>
  <c r="J465" i="10"/>
  <c r="E465" i="10"/>
  <c r="D465" i="10"/>
  <c r="B465" i="10"/>
  <c r="A465" i="10"/>
  <c r="J464" i="10"/>
  <c r="E464" i="10"/>
  <c r="D464" i="10"/>
  <c r="B464" i="10"/>
  <c r="A464" i="10"/>
  <c r="J463" i="10"/>
  <c r="E463" i="10"/>
  <c r="D463" i="10"/>
  <c r="B463" i="10"/>
  <c r="A463" i="10"/>
  <c r="E462" i="10"/>
  <c r="D462" i="10"/>
  <c r="B462" i="10"/>
  <c r="A462" i="10"/>
  <c r="E461" i="10"/>
  <c r="D461" i="10"/>
  <c r="B461" i="10"/>
  <c r="A461" i="10"/>
  <c r="J461" i="10" s="1"/>
  <c r="E460" i="10"/>
  <c r="D460" i="10"/>
  <c r="B460" i="10"/>
  <c r="A460" i="10"/>
  <c r="E459" i="10"/>
  <c r="D459" i="10"/>
  <c r="B459" i="10"/>
  <c r="A459" i="10"/>
  <c r="E458" i="10"/>
  <c r="D458" i="10"/>
  <c r="B458" i="10"/>
  <c r="A458" i="10"/>
  <c r="J457" i="10"/>
  <c r="E457" i="10"/>
  <c r="D457" i="10"/>
  <c r="B457" i="10"/>
  <c r="A457" i="10"/>
  <c r="E456" i="10"/>
  <c r="D456" i="10"/>
  <c r="B456" i="10"/>
  <c r="A456" i="10"/>
  <c r="E455" i="10"/>
  <c r="D455" i="10"/>
  <c r="B455" i="10"/>
  <c r="A455" i="10"/>
  <c r="J454" i="10"/>
  <c r="E454" i="10"/>
  <c r="D454" i="10"/>
  <c r="B454" i="10"/>
  <c r="A454" i="10"/>
  <c r="E453" i="10"/>
  <c r="D453" i="10"/>
  <c r="B453" i="10"/>
  <c r="A453" i="10"/>
  <c r="E452" i="10"/>
  <c r="D452" i="10"/>
  <c r="B452" i="10"/>
  <c r="A452" i="10"/>
  <c r="E451" i="10"/>
  <c r="D451" i="10"/>
  <c r="B451" i="10"/>
  <c r="A451" i="10"/>
  <c r="J451" i="10" s="1"/>
  <c r="E450" i="10"/>
  <c r="D450" i="10"/>
  <c r="B450" i="10"/>
  <c r="A450" i="10"/>
  <c r="E449" i="10"/>
  <c r="D449" i="10"/>
  <c r="B449" i="10"/>
  <c r="A449" i="10"/>
  <c r="E448" i="10"/>
  <c r="D448" i="10"/>
  <c r="B448" i="10"/>
  <c r="J448" i="10" s="1"/>
  <c r="A448" i="10"/>
  <c r="J447" i="10"/>
  <c r="E447" i="10"/>
  <c r="D447" i="10"/>
  <c r="B447" i="10"/>
  <c r="A447" i="10"/>
  <c r="E446" i="10"/>
  <c r="D446" i="10"/>
  <c r="B446" i="10"/>
  <c r="J446" i="10" s="1"/>
  <c r="A446" i="10"/>
  <c r="E445" i="10"/>
  <c r="D445" i="10"/>
  <c r="B445" i="10"/>
  <c r="A445" i="10"/>
  <c r="J444" i="10"/>
  <c r="E444" i="10"/>
  <c r="D444" i="10"/>
  <c r="B444" i="10"/>
  <c r="A444" i="10"/>
  <c r="J443" i="10"/>
  <c r="E443" i="10"/>
  <c r="D443" i="10"/>
  <c r="B443" i="10"/>
  <c r="A443" i="10"/>
  <c r="E442" i="10"/>
  <c r="D442" i="10"/>
  <c r="B442" i="10"/>
  <c r="A442" i="10"/>
  <c r="J441" i="10"/>
  <c r="E441" i="10"/>
  <c r="D441" i="10"/>
  <c r="B441" i="10"/>
  <c r="A441" i="10"/>
  <c r="E440" i="10"/>
  <c r="D440" i="10"/>
  <c r="B440" i="10"/>
  <c r="A440" i="10"/>
  <c r="E439" i="10"/>
  <c r="D439" i="10"/>
  <c r="B439" i="10"/>
  <c r="A439" i="10"/>
  <c r="E438" i="10"/>
  <c r="D438" i="10"/>
  <c r="B438" i="10"/>
  <c r="A438" i="10"/>
  <c r="J437" i="10"/>
  <c r="E437" i="10"/>
  <c r="D437" i="10"/>
  <c r="B437" i="10"/>
  <c r="A437" i="10"/>
  <c r="E436" i="10"/>
  <c r="D436" i="10"/>
  <c r="B436" i="10"/>
  <c r="A436" i="10"/>
  <c r="E435" i="10"/>
  <c r="D435" i="10"/>
  <c r="B435" i="10"/>
  <c r="A435" i="10"/>
  <c r="J434" i="10"/>
  <c r="E434" i="10"/>
  <c r="D434" i="10"/>
  <c r="B434" i="10"/>
  <c r="A434" i="10"/>
  <c r="E433" i="10"/>
  <c r="D433" i="10"/>
  <c r="B433" i="10"/>
  <c r="A433" i="10"/>
  <c r="E432" i="10"/>
  <c r="D432" i="10"/>
  <c r="B432" i="10"/>
  <c r="A432" i="10"/>
  <c r="J431" i="10"/>
  <c r="E431" i="10"/>
  <c r="D431" i="10"/>
  <c r="B431" i="10"/>
  <c r="A431" i="10"/>
  <c r="E430" i="10"/>
  <c r="D430" i="10"/>
  <c r="B430" i="10"/>
  <c r="A430" i="10"/>
  <c r="E429" i="10"/>
  <c r="D429" i="10"/>
  <c r="B429" i="10"/>
  <c r="A429" i="10"/>
  <c r="E428" i="10"/>
  <c r="D428" i="10"/>
  <c r="B428" i="10"/>
  <c r="A428" i="10"/>
  <c r="J427" i="10"/>
  <c r="E427" i="10"/>
  <c r="D427" i="10"/>
  <c r="B427" i="10"/>
  <c r="A427" i="10"/>
  <c r="E426" i="10"/>
  <c r="D426" i="10"/>
  <c r="B426" i="10"/>
  <c r="J426" i="10" s="1"/>
  <c r="A426" i="10"/>
  <c r="E425" i="10"/>
  <c r="D425" i="10"/>
  <c r="B425" i="10"/>
  <c r="A425" i="10"/>
  <c r="J425" i="10" s="1"/>
  <c r="J424" i="10"/>
  <c r="E424" i="10"/>
  <c r="D424" i="10"/>
  <c r="B424" i="10"/>
  <c r="A424" i="10"/>
  <c r="E423" i="10"/>
  <c r="D423" i="10"/>
  <c r="B423" i="10"/>
  <c r="A423" i="10"/>
  <c r="E422" i="10"/>
  <c r="D422" i="10"/>
  <c r="B422" i="10"/>
  <c r="A422" i="10"/>
  <c r="J421" i="10"/>
  <c r="E421" i="10"/>
  <c r="D421" i="10"/>
  <c r="B421" i="10"/>
  <c r="A421" i="10"/>
  <c r="E420" i="10"/>
  <c r="D420" i="10"/>
  <c r="B420" i="10"/>
  <c r="A420" i="10"/>
  <c r="E419" i="10"/>
  <c r="D419" i="10"/>
  <c r="B419" i="10"/>
  <c r="A419" i="10"/>
  <c r="E418" i="10"/>
  <c r="D418" i="10"/>
  <c r="B418" i="10"/>
  <c r="A418" i="10"/>
  <c r="J417" i="10"/>
  <c r="E417" i="10"/>
  <c r="D417" i="10"/>
  <c r="B417" i="10"/>
  <c r="A417" i="10"/>
  <c r="E416" i="10"/>
  <c r="D416" i="10"/>
  <c r="B416" i="10"/>
  <c r="A416" i="10"/>
  <c r="E415" i="10"/>
  <c r="D415" i="10"/>
  <c r="B415" i="10"/>
  <c r="A415" i="10"/>
  <c r="J415" i="10" s="1"/>
  <c r="J414" i="10"/>
  <c r="E414" i="10"/>
  <c r="D414" i="10"/>
  <c r="B414" i="10"/>
  <c r="A414" i="10"/>
  <c r="E413" i="10"/>
  <c r="D413" i="10"/>
  <c r="B413" i="10"/>
  <c r="A413" i="10"/>
  <c r="E412" i="10"/>
  <c r="D412" i="10"/>
  <c r="B412" i="10"/>
  <c r="A412" i="10"/>
  <c r="E411" i="10"/>
  <c r="D411" i="10"/>
  <c r="B411" i="10"/>
  <c r="A411" i="10"/>
  <c r="J411" i="10" s="1"/>
  <c r="E410" i="10"/>
  <c r="D410" i="10"/>
  <c r="B410" i="10"/>
  <c r="A410" i="10"/>
  <c r="E409" i="10"/>
  <c r="D409" i="10"/>
  <c r="B409" i="10"/>
  <c r="A409" i="10"/>
  <c r="E408" i="10"/>
  <c r="D408" i="10"/>
  <c r="B408" i="10"/>
  <c r="A408" i="10"/>
  <c r="J407" i="10"/>
  <c r="E407" i="10"/>
  <c r="D407" i="10"/>
  <c r="B407" i="10"/>
  <c r="A407" i="10"/>
  <c r="E406" i="10"/>
  <c r="D406" i="10"/>
  <c r="B406" i="10"/>
  <c r="J406" i="10" s="1"/>
  <c r="A406" i="10"/>
  <c r="E405" i="10"/>
  <c r="D405" i="10"/>
  <c r="B405" i="10"/>
  <c r="A405" i="10"/>
  <c r="J404" i="10"/>
  <c r="E404" i="10"/>
  <c r="D404" i="10"/>
  <c r="B404" i="10"/>
  <c r="A404" i="10"/>
  <c r="E403" i="10"/>
  <c r="D403" i="10"/>
  <c r="B403" i="10"/>
  <c r="A403" i="10"/>
  <c r="E402" i="10"/>
  <c r="D402" i="10"/>
  <c r="B402" i="10"/>
  <c r="A402" i="10"/>
  <c r="J401" i="10"/>
  <c r="E401" i="10"/>
  <c r="D401" i="10"/>
  <c r="B401" i="10"/>
  <c r="A401" i="10"/>
  <c r="E400" i="10"/>
  <c r="D400" i="10"/>
  <c r="B400" i="10"/>
  <c r="A400" i="10"/>
  <c r="E399" i="10"/>
  <c r="D399" i="10"/>
  <c r="B399" i="10"/>
  <c r="A399" i="10"/>
  <c r="E398" i="10"/>
  <c r="D398" i="10"/>
  <c r="B398" i="10"/>
  <c r="A398" i="10"/>
  <c r="J397" i="10"/>
  <c r="E397" i="10"/>
  <c r="D397" i="10"/>
  <c r="B397" i="10"/>
  <c r="A397" i="10"/>
  <c r="E396" i="10"/>
  <c r="D396" i="10"/>
  <c r="B396" i="10"/>
  <c r="J396" i="10" s="1"/>
  <c r="A396" i="10"/>
  <c r="E395" i="10"/>
  <c r="D395" i="10"/>
  <c r="B395" i="10"/>
  <c r="A395" i="10"/>
  <c r="J394" i="10"/>
  <c r="E394" i="10"/>
  <c r="D394" i="10"/>
  <c r="B394" i="10"/>
  <c r="A394" i="10"/>
  <c r="E393" i="10"/>
  <c r="D393" i="10"/>
  <c r="B393" i="10"/>
  <c r="A393" i="10"/>
  <c r="E392" i="10"/>
  <c r="D392" i="10"/>
  <c r="B392" i="10"/>
  <c r="A392" i="10"/>
  <c r="J391" i="10"/>
  <c r="E391" i="10"/>
  <c r="D391" i="10"/>
  <c r="B391" i="10"/>
  <c r="A391" i="10"/>
  <c r="E390" i="10"/>
  <c r="D390" i="10"/>
  <c r="B390" i="10"/>
  <c r="A390" i="10"/>
  <c r="E389" i="10"/>
  <c r="D389" i="10"/>
  <c r="B389" i="10"/>
  <c r="A389" i="10"/>
  <c r="J388" i="10"/>
  <c r="E388" i="10"/>
  <c r="D388" i="10"/>
  <c r="B388" i="10"/>
  <c r="A388" i="10"/>
  <c r="E387" i="10"/>
  <c r="D387" i="10"/>
  <c r="B387" i="10"/>
  <c r="J387" i="10" s="1"/>
  <c r="A387" i="10"/>
  <c r="E386" i="10"/>
  <c r="D386" i="10"/>
  <c r="B386" i="10"/>
  <c r="A386" i="10"/>
  <c r="J385" i="10"/>
  <c r="E385" i="10"/>
  <c r="D385" i="10"/>
  <c r="B385" i="10"/>
  <c r="A385" i="10"/>
  <c r="E384" i="10"/>
  <c r="D384" i="10"/>
  <c r="B384" i="10"/>
  <c r="A384" i="10"/>
  <c r="E383" i="10"/>
  <c r="D383" i="10"/>
  <c r="B383" i="10"/>
  <c r="A383" i="10"/>
  <c r="E382" i="10"/>
  <c r="D382" i="10"/>
  <c r="B382" i="10"/>
  <c r="A382" i="10"/>
  <c r="J382" i="10" s="1"/>
  <c r="J381" i="10"/>
  <c r="E381" i="10"/>
  <c r="D381" i="10"/>
  <c r="B381" i="10"/>
  <c r="A381" i="10"/>
  <c r="E380" i="10"/>
  <c r="D380" i="10"/>
  <c r="B380" i="10"/>
  <c r="A380" i="10"/>
  <c r="E379" i="10"/>
  <c r="D379" i="10"/>
  <c r="B379" i="10"/>
  <c r="A379" i="10"/>
  <c r="J378" i="10"/>
  <c r="E378" i="10"/>
  <c r="D378" i="10"/>
  <c r="B378" i="10"/>
  <c r="A378" i="10"/>
  <c r="E377" i="10"/>
  <c r="D377" i="10"/>
  <c r="B377" i="10"/>
  <c r="A377" i="10"/>
  <c r="E376" i="10"/>
  <c r="D376" i="10"/>
  <c r="B376" i="10"/>
  <c r="A376" i="10"/>
  <c r="J375" i="10"/>
  <c r="E375" i="10"/>
  <c r="D375" i="10"/>
  <c r="B375" i="10"/>
  <c r="A375" i="10"/>
  <c r="E374" i="10"/>
  <c r="D374" i="10"/>
  <c r="B374" i="10"/>
  <c r="A374" i="10"/>
  <c r="E373" i="10"/>
  <c r="D373" i="10"/>
  <c r="B373" i="10"/>
  <c r="A373" i="10"/>
  <c r="E372" i="10"/>
  <c r="D372" i="10"/>
  <c r="B372" i="10"/>
  <c r="A372" i="10"/>
  <c r="J372" i="10" s="1"/>
  <c r="J371" i="10"/>
  <c r="E371" i="10"/>
  <c r="D371" i="10"/>
  <c r="B371" i="10"/>
  <c r="A371" i="10"/>
  <c r="E370" i="10"/>
  <c r="D370" i="10"/>
  <c r="B370" i="10"/>
  <c r="A370" i="10"/>
  <c r="J369" i="10"/>
  <c r="E369" i="10"/>
  <c r="D369" i="10"/>
  <c r="B369" i="10"/>
  <c r="A369" i="10"/>
  <c r="J368" i="10"/>
  <c r="E368" i="10"/>
  <c r="D368" i="10"/>
  <c r="B368" i="10"/>
  <c r="A368" i="10"/>
  <c r="E367" i="10"/>
  <c r="D367" i="10"/>
  <c r="B367" i="10"/>
  <c r="A367" i="10"/>
  <c r="E366" i="10"/>
  <c r="D366" i="10"/>
  <c r="B366" i="10"/>
  <c r="A366" i="10"/>
  <c r="J365" i="10"/>
  <c r="E365" i="10"/>
  <c r="D365" i="10"/>
  <c r="B365" i="10"/>
  <c r="A365" i="10"/>
  <c r="J364" i="10"/>
  <c r="E364" i="10"/>
  <c r="D364" i="10"/>
  <c r="B364" i="10"/>
  <c r="A364" i="10"/>
  <c r="E363" i="10"/>
  <c r="D363" i="10"/>
  <c r="B363" i="10"/>
  <c r="A363" i="10"/>
  <c r="J362" i="10"/>
  <c r="E362" i="10"/>
  <c r="D362" i="10"/>
  <c r="B362" i="10"/>
  <c r="A362" i="10"/>
  <c r="J361" i="10"/>
  <c r="E361" i="10"/>
  <c r="D361" i="10"/>
  <c r="B361" i="10"/>
  <c r="A361" i="10"/>
  <c r="E360" i="10"/>
  <c r="D360" i="10"/>
  <c r="B360" i="10"/>
  <c r="A360" i="10"/>
  <c r="J359" i="10"/>
  <c r="E359" i="10"/>
  <c r="D359" i="10"/>
  <c r="B359" i="10"/>
  <c r="A359" i="10"/>
  <c r="J358" i="10"/>
  <c r="E358" i="10"/>
  <c r="D358" i="10"/>
  <c r="B358" i="10"/>
  <c r="A358" i="10"/>
  <c r="E357" i="10"/>
  <c r="D357" i="10"/>
  <c r="B357" i="10"/>
  <c r="A357" i="10"/>
  <c r="E356" i="10"/>
  <c r="D356" i="10"/>
  <c r="B356" i="10"/>
  <c r="A356" i="10"/>
  <c r="J355" i="10"/>
  <c r="E355" i="10"/>
  <c r="D355" i="10"/>
  <c r="B355" i="10"/>
  <c r="A355" i="10"/>
  <c r="J354" i="10"/>
  <c r="E354" i="10"/>
  <c r="D354" i="10"/>
  <c r="B354" i="10"/>
  <c r="A354" i="10"/>
  <c r="E353" i="10"/>
  <c r="D353" i="10"/>
  <c r="B353" i="10"/>
  <c r="A353" i="10"/>
  <c r="J352" i="10"/>
  <c r="E352" i="10"/>
  <c r="D352" i="10"/>
  <c r="B352" i="10"/>
  <c r="A352" i="10"/>
  <c r="J351" i="10"/>
  <c r="E351" i="10"/>
  <c r="D351" i="10"/>
  <c r="B351" i="10"/>
  <c r="A351" i="10"/>
  <c r="E350" i="10"/>
  <c r="D350" i="10"/>
  <c r="B350" i="10"/>
  <c r="A350" i="10"/>
  <c r="J349" i="10"/>
  <c r="E349" i="10"/>
  <c r="D349" i="10"/>
  <c r="B349" i="10"/>
  <c r="A349" i="10"/>
  <c r="J348" i="10"/>
  <c r="E348" i="10"/>
  <c r="D348" i="10"/>
  <c r="B348" i="10"/>
  <c r="A348" i="10"/>
  <c r="E347" i="10"/>
  <c r="D347" i="10"/>
  <c r="B347" i="10"/>
  <c r="A347" i="10"/>
  <c r="E346" i="10"/>
  <c r="D346" i="10"/>
  <c r="B346" i="10"/>
  <c r="A346" i="10"/>
  <c r="J345" i="10"/>
  <c r="E345" i="10"/>
  <c r="D345" i="10"/>
  <c r="B345" i="10"/>
  <c r="A345" i="10"/>
  <c r="E344" i="10"/>
  <c r="D344" i="10"/>
  <c r="B344" i="10"/>
  <c r="J344" i="10" s="1"/>
  <c r="A344" i="10"/>
  <c r="E343" i="10"/>
  <c r="D343" i="10"/>
  <c r="B343" i="10"/>
  <c r="A343" i="10"/>
  <c r="J342" i="10"/>
  <c r="E342" i="10"/>
  <c r="D342" i="10"/>
  <c r="B342" i="10"/>
  <c r="A342" i="10"/>
  <c r="J341" i="10"/>
  <c r="E341" i="10"/>
  <c r="D341" i="10"/>
  <c r="B341" i="10"/>
  <c r="A341" i="10"/>
  <c r="E340" i="10"/>
  <c r="D340" i="10"/>
  <c r="B340" i="10"/>
  <c r="A340" i="10"/>
  <c r="E339" i="10"/>
  <c r="D339" i="10"/>
  <c r="B339" i="10"/>
  <c r="A339" i="10"/>
  <c r="J338" i="10"/>
  <c r="E338" i="10"/>
  <c r="D338" i="10"/>
  <c r="B338" i="10"/>
  <c r="A338" i="10"/>
  <c r="E337" i="10"/>
  <c r="D337" i="10"/>
  <c r="B337" i="10"/>
  <c r="J337" i="10" s="1"/>
  <c r="A337" i="10"/>
  <c r="E336" i="10"/>
  <c r="D336" i="10"/>
  <c r="B336" i="10"/>
  <c r="A336" i="10"/>
  <c r="J335" i="10"/>
  <c r="E335" i="10"/>
  <c r="D335" i="10"/>
  <c r="B335" i="10"/>
  <c r="A335" i="10"/>
  <c r="E334" i="10"/>
  <c r="D334" i="10"/>
  <c r="B334" i="10"/>
  <c r="A334" i="10"/>
  <c r="E333" i="10"/>
  <c r="D333" i="10"/>
  <c r="B333" i="10"/>
  <c r="A333" i="10"/>
  <c r="E332" i="10"/>
  <c r="D332" i="10"/>
  <c r="B332" i="10"/>
  <c r="A332" i="10"/>
  <c r="J332" i="10" s="1"/>
  <c r="J331" i="10"/>
  <c r="E331" i="10"/>
  <c r="D331" i="10"/>
  <c r="B331" i="10"/>
  <c r="A331" i="10"/>
  <c r="E330" i="10"/>
  <c r="D330" i="10"/>
  <c r="B330" i="10"/>
  <c r="A330" i="10"/>
  <c r="E329" i="10"/>
  <c r="D329" i="10"/>
  <c r="B329" i="10"/>
  <c r="A329" i="10"/>
  <c r="J328" i="10"/>
  <c r="E328" i="10"/>
  <c r="D328" i="10"/>
  <c r="B328" i="10"/>
  <c r="A328" i="10"/>
  <c r="E327" i="10"/>
  <c r="D327" i="10"/>
  <c r="B327" i="10"/>
  <c r="A327" i="10"/>
  <c r="E326" i="10"/>
  <c r="D326" i="10"/>
  <c r="B326" i="10"/>
  <c r="A326" i="10"/>
  <c r="J325" i="10"/>
  <c r="E325" i="10"/>
  <c r="D325" i="10"/>
  <c r="B325" i="10"/>
  <c r="A325" i="10"/>
  <c r="E324" i="10"/>
  <c r="D324" i="10"/>
  <c r="B324" i="10"/>
  <c r="A324" i="10"/>
  <c r="E323" i="10"/>
  <c r="D323" i="10"/>
  <c r="B323" i="10"/>
  <c r="A323" i="10"/>
  <c r="E322" i="10"/>
  <c r="D322" i="10"/>
  <c r="B322" i="10"/>
  <c r="A322" i="10"/>
  <c r="J322" i="10" s="1"/>
  <c r="J321" i="10"/>
  <c r="E321" i="10"/>
  <c r="D321" i="10"/>
  <c r="B321" i="10"/>
  <c r="A321" i="10"/>
  <c r="E320" i="10"/>
  <c r="D320" i="10"/>
  <c r="B320" i="10"/>
  <c r="A320" i="10"/>
  <c r="J319" i="10"/>
  <c r="E319" i="10"/>
  <c r="D319" i="10"/>
  <c r="B319" i="10"/>
  <c r="A319" i="10"/>
  <c r="J318" i="10"/>
  <c r="E318" i="10"/>
  <c r="D318" i="10"/>
  <c r="B318" i="10"/>
  <c r="A318" i="10"/>
  <c r="E317" i="10"/>
  <c r="D317" i="10"/>
  <c r="B317" i="10"/>
  <c r="A317" i="10"/>
  <c r="E316" i="10"/>
  <c r="D316" i="10"/>
  <c r="B316" i="10"/>
  <c r="A316" i="10"/>
  <c r="J315" i="10"/>
  <c r="E315" i="10"/>
  <c r="D315" i="10"/>
  <c r="B315" i="10"/>
  <c r="A315" i="10"/>
  <c r="J314" i="10"/>
  <c r="E314" i="10"/>
  <c r="D314" i="10"/>
  <c r="B314" i="10"/>
  <c r="A314" i="10"/>
  <c r="E313" i="10"/>
  <c r="D313" i="10"/>
  <c r="B313" i="10"/>
  <c r="A313" i="10"/>
  <c r="J312" i="10"/>
  <c r="E312" i="10"/>
  <c r="D312" i="10"/>
  <c r="B312" i="10"/>
  <c r="A312" i="10"/>
  <c r="J311" i="10"/>
  <c r="E311" i="10"/>
  <c r="D311" i="10"/>
  <c r="B311" i="10"/>
  <c r="A311" i="10"/>
  <c r="E310" i="10"/>
  <c r="D310" i="10"/>
  <c r="B310" i="10"/>
  <c r="A310" i="10"/>
  <c r="J309" i="10"/>
  <c r="E309" i="10"/>
  <c r="D309" i="10"/>
  <c r="B309" i="10"/>
  <c r="A309" i="10"/>
  <c r="J308" i="10"/>
  <c r="E308" i="10"/>
  <c r="D308" i="10"/>
  <c r="B308" i="10"/>
  <c r="A308" i="10"/>
  <c r="E307" i="10"/>
  <c r="D307" i="10"/>
  <c r="B307" i="10"/>
  <c r="A307" i="10"/>
  <c r="E306" i="10"/>
  <c r="D306" i="10"/>
  <c r="B306" i="10"/>
  <c r="A306" i="10"/>
  <c r="J305" i="10"/>
  <c r="E305" i="10"/>
  <c r="D305" i="10"/>
  <c r="B305" i="10"/>
  <c r="A305" i="10"/>
  <c r="J304" i="10"/>
  <c r="E304" i="10"/>
  <c r="D304" i="10"/>
  <c r="B304" i="10"/>
  <c r="A304" i="10"/>
  <c r="E303" i="10"/>
  <c r="D303" i="10"/>
  <c r="B303" i="10"/>
  <c r="A303" i="10"/>
  <c r="J302" i="10"/>
  <c r="E302" i="10"/>
  <c r="D302" i="10"/>
  <c r="B302" i="10"/>
  <c r="A302" i="10"/>
  <c r="J301" i="10"/>
  <c r="E301" i="10"/>
  <c r="D301" i="10"/>
  <c r="B301" i="10"/>
  <c r="A301" i="10"/>
  <c r="E300" i="10"/>
  <c r="D300" i="10"/>
  <c r="B300" i="10"/>
  <c r="A300" i="10"/>
  <c r="E299" i="10"/>
  <c r="D299" i="10"/>
  <c r="B299" i="10"/>
  <c r="J299" i="10" s="1"/>
  <c r="A299" i="10"/>
  <c r="J298" i="10"/>
  <c r="E298" i="10"/>
  <c r="D298" i="10"/>
  <c r="B298" i="10"/>
  <c r="A298" i="10"/>
  <c r="E297" i="10"/>
  <c r="D297" i="10"/>
  <c r="B297" i="10"/>
  <c r="A297" i="10"/>
  <c r="E296" i="10"/>
  <c r="D296" i="10"/>
  <c r="B296" i="10"/>
  <c r="A296" i="10"/>
  <c r="J295" i="10"/>
  <c r="E295" i="10"/>
  <c r="D295" i="10"/>
  <c r="B295" i="10"/>
  <c r="A295" i="10"/>
  <c r="E294" i="10"/>
  <c r="D294" i="10"/>
  <c r="B294" i="10"/>
  <c r="J294" i="10" s="1"/>
  <c r="A294" i="10"/>
  <c r="E293" i="10"/>
  <c r="D293" i="10"/>
  <c r="B293" i="10"/>
  <c r="A293" i="10"/>
  <c r="J292" i="10"/>
  <c r="E292" i="10"/>
  <c r="D292" i="10"/>
  <c r="B292" i="10"/>
  <c r="A292" i="10"/>
  <c r="J291" i="10"/>
  <c r="E291" i="10"/>
  <c r="D291" i="10"/>
  <c r="B291" i="10"/>
  <c r="A291" i="10"/>
  <c r="E290" i="10"/>
  <c r="D290" i="10"/>
  <c r="B290" i="10"/>
  <c r="A290" i="10"/>
  <c r="E289" i="10"/>
  <c r="D289" i="10"/>
  <c r="B289" i="10"/>
  <c r="A289" i="10"/>
  <c r="J288" i="10"/>
  <c r="E288" i="10"/>
  <c r="D288" i="10"/>
  <c r="B288" i="10"/>
  <c r="A288" i="10"/>
  <c r="E287" i="10"/>
  <c r="D287" i="10"/>
  <c r="B287" i="10"/>
  <c r="J287" i="10" s="1"/>
  <c r="A287" i="10"/>
  <c r="E286" i="10"/>
  <c r="D286" i="10"/>
  <c r="B286" i="10"/>
  <c r="A286" i="10"/>
  <c r="J285" i="10"/>
  <c r="E285" i="10"/>
  <c r="D285" i="10"/>
  <c r="B285" i="10"/>
  <c r="A285" i="10"/>
  <c r="E284" i="10"/>
  <c r="D284" i="10"/>
  <c r="B284" i="10"/>
  <c r="A284" i="10"/>
  <c r="E283" i="10"/>
  <c r="D283" i="10"/>
  <c r="B283" i="10"/>
  <c r="A283" i="10"/>
  <c r="E282" i="10"/>
  <c r="D282" i="10"/>
  <c r="B282" i="10"/>
  <c r="A282" i="10"/>
  <c r="J282" i="10" s="1"/>
  <c r="J281" i="10"/>
  <c r="E281" i="10"/>
  <c r="D281" i="10"/>
  <c r="B281" i="10"/>
  <c r="A281" i="10"/>
  <c r="E280" i="10"/>
  <c r="D280" i="10"/>
  <c r="B280" i="10"/>
  <c r="A280" i="10"/>
  <c r="E279" i="10"/>
  <c r="D279" i="10"/>
  <c r="B279" i="10"/>
  <c r="A279" i="10"/>
  <c r="J278" i="10"/>
  <c r="E278" i="10"/>
  <c r="D278" i="10"/>
  <c r="B278" i="10"/>
  <c r="A278" i="10"/>
  <c r="E277" i="10"/>
  <c r="D277" i="10"/>
  <c r="B277" i="10"/>
  <c r="A277" i="10"/>
  <c r="E276" i="10"/>
  <c r="D276" i="10"/>
  <c r="B276" i="10"/>
  <c r="A276" i="10"/>
  <c r="J275" i="10"/>
  <c r="E275" i="10"/>
  <c r="D275" i="10"/>
  <c r="B275" i="10"/>
  <c r="A275" i="10"/>
  <c r="E274" i="10"/>
  <c r="D274" i="10"/>
  <c r="B274" i="10"/>
  <c r="A274" i="10"/>
  <c r="E273" i="10"/>
  <c r="D273" i="10"/>
  <c r="B273" i="10"/>
  <c r="A273" i="10"/>
  <c r="E272" i="10"/>
  <c r="D272" i="10"/>
  <c r="B272" i="10"/>
  <c r="A272" i="10"/>
  <c r="J272" i="10" s="1"/>
  <c r="J271" i="10"/>
  <c r="E271" i="10"/>
  <c r="D271" i="10"/>
  <c r="B271" i="10"/>
  <c r="A271" i="10"/>
  <c r="E270" i="10"/>
  <c r="D270" i="10"/>
  <c r="B270" i="10"/>
  <c r="A270" i="10"/>
  <c r="J269" i="10"/>
  <c r="E269" i="10"/>
  <c r="D269" i="10"/>
  <c r="B269" i="10"/>
  <c r="A269" i="10"/>
  <c r="J268" i="10"/>
  <c r="E268" i="10"/>
  <c r="D268" i="10"/>
  <c r="B268" i="10"/>
  <c r="A268" i="10"/>
  <c r="E267" i="10"/>
  <c r="D267" i="10"/>
  <c r="B267" i="10"/>
  <c r="A267" i="10"/>
  <c r="E266" i="10"/>
  <c r="D266" i="10"/>
  <c r="B266" i="10"/>
  <c r="A266" i="10"/>
  <c r="J265" i="10"/>
  <c r="E265" i="10"/>
  <c r="D265" i="10"/>
  <c r="B265" i="10"/>
  <c r="A265" i="10"/>
  <c r="J264" i="10"/>
  <c r="E264" i="10"/>
  <c r="D264" i="10"/>
  <c r="B264" i="10"/>
  <c r="A264" i="10"/>
  <c r="E263" i="10"/>
  <c r="D263" i="10"/>
  <c r="B263" i="10"/>
  <c r="A263" i="10"/>
  <c r="J262" i="10"/>
  <c r="E262" i="10"/>
  <c r="D262" i="10"/>
  <c r="B262" i="10"/>
  <c r="A262" i="10"/>
  <c r="J261" i="10"/>
  <c r="E261" i="10"/>
  <c r="D261" i="10"/>
  <c r="B261" i="10"/>
  <c r="A261" i="10"/>
  <c r="E260" i="10"/>
  <c r="D260" i="10"/>
  <c r="B260" i="10"/>
  <c r="A260" i="10"/>
  <c r="J259" i="10"/>
  <c r="E259" i="10"/>
  <c r="D259" i="10"/>
  <c r="B259" i="10"/>
  <c r="A259" i="10"/>
  <c r="J258" i="10"/>
  <c r="E258" i="10"/>
  <c r="D258" i="10"/>
  <c r="B258" i="10"/>
  <c r="A258" i="10"/>
  <c r="E257" i="10"/>
  <c r="D257" i="10"/>
  <c r="B257" i="10"/>
  <c r="A257" i="10"/>
  <c r="E256" i="10"/>
  <c r="D256" i="10"/>
  <c r="B256" i="10"/>
  <c r="A256" i="10"/>
  <c r="J255" i="10"/>
  <c r="E255" i="10"/>
  <c r="D255" i="10"/>
  <c r="B255" i="10"/>
  <c r="A255" i="10"/>
  <c r="J254" i="10"/>
  <c r="E254" i="10"/>
  <c r="D254" i="10"/>
  <c r="B254" i="10"/>
  <c r="A254" i="10"/>
  <c r="E253" i="10"/>
  <c r="D253" i="10"/>
  <c r="B253" i="10"/>
  <c r="A253" i="10"/>
  <c r="J252" i="10"/>
  <c r="E252" i="10"/>
  <c r="D252" i="10"/>
  <c r="B252" i="10"/>
  <c r="A252" i="10"/>
  <c r="J251" i="10"/>
  <c r="E251" i="10"/>
  <c r="D251" i="10"/>
  <c r="B251" i="10"/>
  <c r="A251" i="10"/>
  <c r="E250" i="10"/>
  <c r="D250" i="10"/>
  <c r="B250" i="10"/>
  <c r="A250" i="10"/>
  <c r="E249" i="10"/>
  <c r="D249" i="10"/>
  <c r="B249" i="10"/>
  <c r="A249" i="10"/>
  <c r="J248" i="10"/>
  <c r="E248" i="10"/>
  <c r="D248" i="10"/>
  <c r="B248" i="10"/>
  <c r="A248" i="10"/>
  <c r="E247" i="10"/>
  <c r="D247" i="10"/>
  <c r="B247" i="10"/>
  <c r="A247" i="10"/>
  <c r="E246" i="10"/>
  <c r="D246" i="10"/>
  <c r="B246" i="10"/>
  <c r="A246" i="10"/>
  <c r="J245" i="10"/>
  <c r="E245" i="10"/>
  <c r="D245" i="10"/>
  <c r="B245" i="10"/>
  <c r="A245" i="10"/>
  <c r="E244" i="10"/>
  <c r="D244" i="10"/>
  <c r="B244" i="10"/>
  <c r="J244" i="10" s="1"/>
  <c r="A244" i="10"/>
  <c r="E243" i="10"/>
  <c r="D243" i="10"/>
  <c r="B243" i="10"/>
  <c r="A243" i="10"/>
  <c r="J242" i="10"/>
  <c r="E242" i="10"/>
  <c r="D242" i="10"/>
  <c r="B242" i="10"/>
  <c r="A242" i="10"/>
  <c r="J241" i="10"/>
  <c r="E241" i="10"/>
  <c r="D241" i="10"/>
  <c r="B241" i="10"/>
  <c r="A241" i="10"/>
  <c r="E240" i="10"/>
  <c r="D240" i="10"/>
  <c r="B240" i="10"/>
  <c r="A240" i="10"/>
  <c r="E239" i="10"/>
  <c r="D239" i="10"/>
  <c r="B239" i="10"/>
  <c r="A239" i="10"/>
  <c r="J238" i="10"/>
  <c r="E238" i="10"/>
  <c r="D238" i="10"/>
  <c r="B238" i="10"/>
  <c r="A238" i="10"/>
  <c r="E237" i="10"/>
  <c r="D237" i="10"/>
  <c r="B237" i="10"/>
  <c r="J237" i="10" s="1"/>
  <c r="A237" i="10"/>
  <c r="E236" i="10"/>
  <c r="D236" i="10"/>
  <c r="B236" i="10"/>
  <c r="A236" i="10"/>
  <c r="J235" i="10"/>
  <c r="E235" i="10"/>
  <c r="D235" i="10"/>
  <c r="B235" i="10"/>
  <c r="A235" i="10"/>
  <c r="E234" i="10"/>
  <c r="D234" i="10"/>
  <c r="B234" i="10"/>
  <c r="A234" i="10"/>
  <c r="E233" i="10"/>
  <c r="D233" i="10"/>
  <c r="B233" i="10"/>
  <c r="A233" i="10"/>
  <c r="E232" i="10"/>
  <c r="D232" i="10"/>
  <c r="B232" i="10"/>
  <c r="A232" i="10"/>
  <c r="J232" i="10" s="1"/>
  <c r="J231" i="10"/>
  <c r="E231" i="10"/>
  <c r="D231" i="10"/>
  <c r="B231" i="10"/>
  <c r="A231" i="10"/>
  <c r="E230" i="10"/>
  <c r="D230" i="10"/>
  <c r="B230" i="10"/>
  <c r="A230" i="10"/>
  <c r="E229" i="10"/>
  <c r="D229" i="10"/>
  <c r="B229" i="10"/>
  <c r="A229" i="10"/>
  <c r="J228" i="10"/>
  <c r="E228" i="10"/>
  <c r="D228" i="10"/>
  <c r="B228" i="10"/>
  <c r="A228" i="10"/>
  <c r="E227" i="10"/>
  <c r="D227" i="10"/>
  <c r="B227" i="10"/>
  <c r="A227" i="10"/>
  <c r="E226" i="10"/>
  <c r="D226" i="10"/>
  <c r="B226" i="10"/>
  <c r="A226" i="10"/>
  <c r="J225" i="10"/>
  <c r="E225" i="10"/>
  <c r="D225" i="10"/>
  <c r="B225" i="10"/>
  <c r="A225" i="10"/>
  <c r="E224" i="10"/>
  <c r="D224" i="10"/>
  <c r="B224" i="10"/>
  <c r="A224" i="10"/>
  <c r="E223" i="10"/>
  <c r="D223" i="10"/>
  <c r="B223" i="10"/>
  <c r="A223" i="10"/>
  <c r="E222" i="10"/>
  <c r="D222" i="10"/>
  <c r="B222" i="10"/>
  <c r="A222" i="10"/>
  <c r="J222" i="10" s="1"/>
  <c r="J221" i="10"/>
  <c r="E221" i="10"/>
  <c r="D221" i="10"/>
  <c r="B221" i="10"/>
  <c r="A221" i="10"/>
  <c r="E220" i="10"/>
  <c r="D220" i="10"/>
  <c r="B220" i="10"/>
  <c r="A220" i="10"/>
  <c r="J219" i="10"/>
  <c r="E219" i="10"/>
  <c r="D219" i="10"/>
  <c r="B219" i="10"/>
  <c r="A219" i="10"/>
  <c r="J218" i="10"/>
  <c r="E218" i="10"/>
  <c r="D218" i="10"/>
  <c r="B218" i="10"/>
  <c r="A218" i="10"/>
  <c r="E217" i="10"/>
  <c r="D217" i="10"/>
  <c r="B217" i="10"/>
  <c r="A217" i="10"/>
  <c r="E216" i="10"/>
  <c r="D216" i="10"/>
  <c r="B216" i="10"/>
  <c r="A216" i="10"/>
  <c r="J215" i="10"/>
  <c r="E215" i="10"/>
  <c r="D215" i="10"/>
  <c r="B215" i="10"/>
  <c r="A215" i="10"/>
  <c r="J214" i="10"/>
  <c r="E214" i="10"/>
  <c r="D214" i="10"/>
  <c r="B214" i="10"/>
  <c r="A214" i="10"/>
  <c r="E213" i="10"/>
  <c r="D213" i="10"/>
  <c r="B213" i="10"/>
  <c r="A213" i="10"/>
  <c r="J212" i="10"/>
  <c r="E212" i="10"/>
  <c r="D212" i="10"/>
  <c r="B212" i="10"/>
  <c r="A212" i="10"/>
  <c r="J211" i="10"/>
  <c r="E211" i="10"/>
  <c r="D211" i="10"/>
  <c r="B211" i="10"/>
  <c r="A211" i="10"/>
  <c r="E210" i="10"/>
  <c r="D210" i="10"/>
  <c r="B210" i="10"/>
  <c r="A210" i="10"/>
  <c r="J209" i="10"/>
  <c r="E209" i="10"/>
  <c r="D209" i="10"/>
  <c r="B209" i="10"/>
  <c r="A209" i="10"/>
  <c r="J208" i="10"/>
  <c r="E208" i="10"/>
  <c r="D208" i="10"/>
  <c r="B208" i="10"/>
  <c r="A208" i="10"/>
  <c r="E207" i="10"/>
  <c r="D207" i="10"/>
  <c r="B207" i="10"/>
  <c r="A207" i="10"/>
  <c r="E206" i="10"/>
  <c r="D206" i="10"/>
  <c r="B206" i="10"/>
  <c r="A206" i="10"/>
  <c r="J205" i="10"/>
  <c r="E205" i="10"/>
  <c r="D205" i="10"/>
  <c r="B205" i="10"/>
  <c r="A205" i="10"/>
  <c r="J204" i="10"/>
  <c r="E204" i="10"/>
  <c r="D204" i="10"/>
  <c r="B204" i="10"/>
  <c r="A204" i="10"/>
  <c r="E203" i="10"/>
  <c r="D203" i="10"/>
  <c r="B203" i="10"/>
  <c r="A203" i="10"/>
  <c r="J202" i="10"/>
  <c r="E202" i="10"/>
  <c r="D202" i="10"/>
  <c r="B202" i="10"/>
  <c r="A202" i="10"/>
  <c r="J201" i="10"/>
  <c r="E201" i="10"/>
  <c r="D201" i="10"/>
  <c r="B201" i="10"/>
  <c r="A201" i="10"/>
  <c r="E200" i="10"/>
  <c r="D200" i="10"/>
  <c r="B200" i="10"/>
  <c r="A200" i="10"/>
  <c r="E199" i="10"/>
  <c r="D199" i="10"/>
  <c r="B199" i="10"/>
  <c r="A199" i="10"/>
  <c r="J198" i="10"/>
  <c r="E198" i="10"/>
  <c r="D198" i="10"/>
  <c r="B198" i="10"/>
  <c r="A198" i="10"/>
  <c r="E197" i="10"/>
  <c r="D197" i="10"/>
  <c r="B197" i="10"/>
  <c r="A197" i="10"/>
  <c r="E196" i="10"/>
  <c r="D196" i="10"/>
  <c r="B196" i="10"/>
  <c r="A196" i="10"/>
  <c r="J195" i="10"/>
  <c r="E195" i="10"/>
  <c r="D195" i="10"/>
  <c r="B195" i="10"/>
  <c r="A195" i="10"/>
  <c r="E194" i="10"/>
  <c r="D194" i="10"/>
  <c r="B194" i="10"/>
  <c r="J194" i="10" s="1"/>
  <c r="A194" i="10"/>
  <c r="E193" i="10"/>
  <c r="D193" i="10"/>
  <c r="B193" i="10"/>
  <c r="A193" i="10"/>
  <c r="J192" i="10"/>
  <c r="E192" i="10"/>
  <c r="D192" i="10"/>
  <c r="B192" i="10"/>
  <c r="A192" i="10"/>
  <c r="J191" i="10"/>
  <c r="E191" i="10"/>
  <c r="D191" i="10"/>
  <c r="B191" i="10"/>
  <c r="A191" i="10"/>
  <c r="E190" i="10"/>
  <c r="D190" i="10"/>
  <c r="B190" i="10"/>
  <c r="A190" i="10"/>
  <c r="E189" i="10"/>
  <c r="D189" i="10"/>
  <c r="B189" i="10"/>
  <c r="A189" i="10"/>
  <c r="J188" i="10"/>
  <c r="E188" i="10"/>
  <c r="D188" i="10"/>
  <c r="B188" i="10"/>
  <c r="A188" i="10"/>
  <c r="E187" i="10"/>
  <c r="D187" i="10"/>
  <c r="B187" i="10"/>
  <c r="J187" i="10" s="1"/>
  <c r="A187" i="10"/>
  <c r="E186" i="10"/>
  <c r="D186" i="10"/>
  <c r="B186" i="10"/>
  <c r="A186" i="10"/>
  <c r="J185" i="10"/>
  <c r="E185" i="10"/>
  <c r="D185" i="10"/>
  <c r="B185" i="10"/>
  <c r="A185" i="10"/>
  <c r="E184" i="10"/>
  <c r="D184" i="10"/>
  <c r="B184" i="10"/>
  <c r="A184" i="10"/>
  <c r="E183" i="10"/>
  <c r="D183" i="10"/>
  <c r="B183" i="10"/>
  <c r="A183" i="10"/>
  <c r="E182" i="10"/>
  <c r="D182" i="10"/>
  <c r="B182" i="10"/>
  <c r="J182" i="10" s="1"/>
  <c r="A182" i="10"/>
  <c r="E181" i="10"/>
  <c r="D181" i="10"/>
  <c r="B181" i="10"/>
  <c r="A181" i="10"/>
  <c r="E180" i="10"/>
  <c r="D180" i="10"/>
  <c r="B180" i="10"/>
  <c r="A180" i="10"/>
  <c r="E179" i="10"/>
  <c r="D179" i="10"/>
  <c r="B179" i="10"/>
  <c r="A179" i="10"/>
  <c r="J178" i="10"/>
  <c r="E178" i="10"/>
  <c r="D178" i="10"/>
  <c r="B178" i="10"/>
  <c r="A178" i="10"/>
  <c r="J177" i="10"/>
  <c r="E177" i="10"/>
  <c r="D177" i="10"/>
  <c r="B177" i="10"/>
  <c r="A177" i="10"/>
  <c r="E176" i="10"/>
  <c r="D176" i="10"/>
  <c r="B176" i="10"/>
  <c r="A176" i="10"/>
  <c r="E175" i="10"/>
  <c r="D175" i="10"/>
  <c r="B175" i="10"/>
  <c r="A175" i="10"/>
  <c r="J175" i="10" s="1"/>
  <c r="J174" i="10"/>
  <c r="E174" i="10"/>
  <c r="D174" i="10"/>
  <c r="B174" i="10"/>
  <c r="A174" i="10"/>
  <c r="E173" i="10"/>
  <c r="D173" i="10"/>
  <c r="B173" i="10"/>
  <c r="A173" i="10"/>
  <c r="J172" i="10"/>
  <c r="E172" i="10"/>
  <c r="D172" i="10"/>
  <c r="B172" i="10"/>
  <c r="A172" i="10"/>
  <c r="J171" i="10"/>
  <c r="E171" i="10"/>
  <c r="D171" i="10"/>
  <c r="B171" i="10"/>
  <c r="A171" i="10"/>
  <c r="E170" i="10"/>
  <c r="D170" i="10"/>
  <c r="B170" i="10"/>
  <c r="A170" i="10"/>
  <c r="J169" i="10"/>
  <c r="E169" i="10"/>
  <c r="D169" i="10"/>
  <c r="B169" i="10"/>
  <c r="A169" i="10"/>
  <c r="J168" i="10"/>
  <c r="E168" i="10"/>
  <c r="D168" i="10"/>
  <c r="B168" i="10"/>
  <c r="A168" i="10"/>
  <c r="E167" i="10"/>
  <c r="D167" i="10"/>
  <c r="B167" i="10"/>
  <c r="A167" i="10"/>
  <c r="J166" i="10"/>
  <c r="E166" i="10"/>
  <c r="D166" i="10"/>
  <c r="B166" i="10"/>
  <c r="A166" i="10"/>
  <c r="E165" i="10"/>
  <c r="D165" i="10"/>
  <c r="B165" i="10"/>
  <c r="A165" i="10"/>
  <c r="J165" i="10" s="1"/>
  <c r="E164" i="10"/>
  <c r="D164" i="10"/>
  <c r="B164" i="10"/>
  <c r="A164" i="10"/>
  <c r="E163" i="10"/>
  <c r="D163" i="10"/>
  <c r="B163" i="10"/>
  <c r="A163" i="10"/>
  <c r="E162" i="10"/>
  <c r="D162" i="10"/>
  <c r="B162" i="10"/>
  <c r="A162" i="10"/>
  <c r="J161" i="10"/>
  <c r="E161" i="10"/>
  <c r="D161" i="10"/>
  <c r="B161" i="10"/>
  <c r="A161" i="10"/>
  <c r="E160" i="10"/>
  <c r="D160" i="10"/>
  <c r="B160" i="10"/>
  <c r="J160" i="10" s="1"/>
  <c r="A160" i="10"/>
  <c r="E159" i="10"/>
  <c r="D159" i="10"/>
  <c r="B159" i="10"/>
  <c r="A159" i="10"/>
  <c r="J158" i="10"/>
  <c r="E158" i="10"/>
  <c r="D158" i="10"/>
  <c r="B158" i="10"/>
  <c r="A158" i="10"/>
  <c r="J157" i="10"/>
  <c r="E157" i="10"/>
  <c r="D157" i="10"/>
  <c r="B157" i="10"/>
  <c r="A157" i="10"/>
  <c r="E156" i="10"/>
  <c r="D156" i="10"/>
  <c r="B156" i="10"/>
  <c r="A156" i="10"/>
  <c r="J155" i="10"/>
  <c r="E155" i="10"/>
  <c r="D155" i="10"/>
  <c r="B155" i="10"/>
  <c r="A155" i="10"/>
  <c r="E154" i="10"/>
  <c r="D154" i="10"/>
  <c r="B154" i="10"/>
  <c r="J154" i="10" s="1"/>
  <c r="A154" i="10"/>
  <c r="E153" i="10"/>
  <c r="D153" i="10"/>
  <c r="B153" i="10"/>
  <c r="A153" i="10"/>
  <c r="J152" i="10"/>
  <c r="E152" i="10"/>
  <c r="D152" i="10"/>
  <c r="B152" i="10"/>
  <c r="A152" i="10"/>
  <c r="E151" i="10"/>
  <c r="D151" i="10"/>
  <c r="B151" i="10"/>
  <c r="A151" i="10"/>
  <c r="E150" i="10"/>
  <c r="D150" i="10"/>
  <c r="B150" i="10"/>
  <c r="A150" i="10"/>
  <c r="J149" i="10"/>
  <c r="E149" i="10"/>
  <c r="D149" i="10"/>
  <c r="B149" i="10"/>
  <c r="A149" i="10"/>
  <c r="J148" i="10"/>
  <c r="E148" i="10"/>
  <c r="D148" i="10"/>
  <c r="B148" i="10"/>
  <c r="A148" i="10"/>
  <c r="J147" i="10"/>
  <c r="E147" i="10"/>
  <c r="D147" i="10"/>
  <c r="B147" i="10"/>
  <c r="A147" i="10"/>
  <c r="E146" i="10"/>
  <c r="D146" i="10"/>
  <c r="B146" i="10"/>
  <c r="A146" i="10"/>
  <c r="E145" i="10"/>
  <c r="D145" i="10"/>
  <c r="B145" i="10"/>
  <c r="A145" i="10"/>
  <c r="J145" i="10" s="1"/>
  <c r="J144" i="10"/>
  <c r="E144" i="10"/>
  <c r="D144" i="10"/>
  <c r="B144" i="10"/>
  <c r="A144" i="10"/>
  <c r="E143" i="10"/>
  <c r="D143" i="10"/>
  <c r="B143" i="10"/>
  <c r="A143" i="10"/>
  <c r="E142" i="10"/>
  <c r="D142" i="10"/>
  <c r="B142" i="10"/>
  <c r="A142" i="10"/>
  <c r="J141" i="10"/>
  <c r="E141" i="10"/>
  <c r="D141" i="10"/>
  <c r="B141" i="10"/>
  <c r="A141" i="10"/>
  <c r="E140" i="10"/>
  <c r="D140" i="10"/>
  <c r="B140" i="10"/>
  <c r="A140" i="10"/>
  <c r="E139" i="10"/>
  <c r="D139" i="10"/>
  <c r="B139" i="10"/>
  <c r="A139" i="10"/>
  <c r="J138" i="10"/>
  <c r="E138" i="10"/>
  <c r="D138" i="10"/>
  <c r="B138" i="10"/>
  <c r="A138" i="10"/>
  <c r="E137" i="10"/>
  <c r="D137" i="10"/>
  <c r="B137" i="10"/>
  <c r="A137" i="10"/>
  <c r="E136" i="10"/>
  <c r="D136" i="10"/>
  <c r="B136" i="10"/>
  <c r="A136" i="10"/>
  <c r="J136" i="10" s="1"/>
  <c r="J135" i="10"/>
  <c r="E135" i="10"/>
  <c r="D135" i="10"/>
  <c r="B135" i="10"/>
  <c r="A135" i="10"/>
  <c r="E134" i="10"/>
  <c r="D134" i="10"/>
  <c r="B134" i="10"/>
  <c r="A134" i="10"/>
  <c r="E133" i="10"/>
  <c r="D133" i="10"/>
  <c r="B133" i="10"/>
  <c r="A133" i="10"/>
  <c r="E132" i="10"/>
  <c r="D132" i="10"/>
  <c r="B132" i="10"/>
  <c r="J132" i="10" s="1"/>
  <c r="A132" i="10"/>
  <c r="E131" i="10"/>
  <c r="D131" i="10"/>
  <c r="B131" i="10"/>
  <c r="A131" i="10"/>
  <c r="E130" i="10"/>
  <c r="D130" i="10"/>
  <c r="B130" i="10"/>
  <c r="A130" i="10"/>
  <c r="E129" i="10"/>
  <c r="D129" i="10"/>
  <c r="B129" i="10"/>
  <c r="J129" i="10" s="1"/>
  <c r="A129" i="10"/>
  <c r="J128" i="10"/>
  <c r="E128" i="10"/>
  <c r="D128" i="10"/>
  <c r="B128" i="10"/>
  <c r="A128" i="10"/>
  <c r="J127" i="10"/>
  <c r="E127" i="10"/>
  <c r="D127" i="10"/>
  <c r="B127" i="10"/>
  <c r="A127" i="10"/>
  <c r="E126" i="10"/>
  <c r="D126" i="10"/>
  <c r="B126" i="10"/>
  <c r="J126" i="10" s="1"/>
  <c r="A126" i="10"/>
  <c r="E125" i="10"/>
  <c r="D125" i="10"/>
  <c r="B125" i="10"/>
  <c r="A125" i="10"/>
  <c r="J125" i="10" s="1"/>
  <c r="J124" i="10"/>
  <c r="E124" i="10"/>
  <c r="D124" i="10"/>
  <c r="B124" i="10"/>
  <c r="A124" i="10"/>
  <c r="E123" i="10"/>
  <c r="D123" i="10"/>
  <c r="B123" i="10"/>
  <c r="A123" i="10"/>
  <c r="E122" i="10"/>
  <c r="D122" i="10"/>
  <c r="B122" i="10"/>
  <c r="A122" i="10"/>
  <c r="J122" i="10" s="1"/>
  <c r="J121" i="10"/>
  <c r="E121" i="10"/>
  <c r="D121" i="10"/>
  <c r="B121" i="10"/>
  <c r="A121" i="10"/>
  <c r="E120" i="10"/>
  <c r="D120" i="10"/>
  <c r="B120" i="10"/>
  <c r="A120" i="10"/>
  <c r="J119" i="10"/>
  <c r="E119" i="10"/>
  <c r="D119" i="10"/>
  <c r="B119" i="10"/>
  <c r="A119" i="10"/>
  <c r="J118" i="10"/>
  <c r="E118" i="10"/>
  <c r="D118" i="10"/>
  <c r="B118" i="10"/>
  <c r="A118" i="10"/>
  <c r="E117" i="10"/>
  <c r="D117" i="10"/>
  <c r="B117" i="10"/>
  <c r="A117" i="10"/>
  <c r="J116" i="10"/>
  <c r="E116" i="10"/>
  <c r="D116" i="10"/>
  <c r="B116" i="10"/>
  <c r="A116" i="10"/>
  <c r="E115" i="10"/>
  <c r="D115" i="10"/>
  <c r="B115" i="10"/>
  <c r="A115" i="10"/>
  <c r="J115" i="10" s="1"/>
  <c r="E114" i="10"/>
  <c r="D114" i="10"/>
  <c r="B114" i="10"/>
  <c r="A114" i="10"/>
  <c r="E113" i="10"/>
  <c r="D113" i="10"/>
  <c r="B113" i="10"/>
  <c r="A113" i="10"/>
  <c r="E112" i="10"/>
  <c r="D112" i="10"/>
  <c r="B112" i="10"/>
  <c r="A112" i="10"/>
  <c r="E111" i="10"/>
  <c r="D111" i="10"/>
  <c r="B111" i="10"/>
  <c r="J111" i="10" s="1"/>
  <c r="A111" i="10"/>
  <c r="E110" i="10"/>
  <c r="D110" i="10"/>
  <c r="B110" i="10"/>
  <c r="J110" i="10" s="1"/>
  <c r="A110" i="10"/>
  <c r="E109" i="10"/>
  <c r="D109" i="10"/>
  <c r="B109" i="10"/>
  <c r="A109" i="10"/>
  <c r="J108" i="10"/>
  <c r="E108" i="10"/>
  <c r="D108" i="10"/>
  <c r="B108" i="10"/>
  <c r="A108" i="10"/>
  <c r="J107" i="10"/>
  <c r="E107" i="10"/>
  <c r="D107" i="10"/>
  <c r="B107" i="10"/>
  <c r="A107" i="10"/>
  <c r="E106" i="10"/>
  <c r="D106" i="10"/>
  <c r="B106" i="10"/>
  <c r="A106" i="10"/>
  <c r="J105" i="10"/>
  <c r="E105" i="10"/>
  <c r="D105" i="10"/>
  <c r="B105" i="10"/>
  <c r="A105" i="10"/>
  <c r="J104" i="10"/>
  <c r="E104" i="10"/>
  <c r="D104" i="10"/>
  <c r="B104" i="10"/>
  <c r="A104" i="10"/>
  <c r="E103" i="10"/>
  <c r="D103" i="10"/>
  <c r="B103" i="10"/>
  <c r="A103" i="10"/>
  <c r="J102" i="10"/>
  <c r="E102" i="10"/>
  <c r="D102" i="10"/>
  <c r="B102" i="10"/>
  <c r="A102" i="10"/>
  <c r="E101" i="10"/>
  <c r="D101" i="10"/>
  <c r="B101" i="10"/>
  <c r="J101" i="10" s="1"/>
  <c r="A101" i="10"/>
  <c r="E100" i="10"/>
  <c r="D100" i="10"/>
  <c r="B100" i="10"/>
  <c r="A100" i="10"/>
  <c r="J99" i="10"/>
  <c r="E99" i="10"/>
  <c r="D99" i="10"/>
  <c r="B99" i="10"/>
  <c r="A99" i="10"/>
  <c r="E98" i="10"/>
  <c r="D98" i="10"/>
  <c r="B98" i="10"/>
  <c r="A98" i="10"/>
  <c r="J98" i="10" s="1"/>
  <c r="J97" i="10"/>
  <c r="E97" i="10"/>
  <c r="D97" i="10"/>
  <c r="B97" i="10"/>
  <c r="A97" i="10"/>
  <c r="J96" i="10"/>
  <c r="E96" i="10"/>
  <c r="D96" i="10"/>
  <c r="B96" i="10"/>
  <c r="A96" i="10"/>
  <c r="E95" i="10"/>
  <c r="D95" i="10"/>
  <c r="B95" i="10"/>
  <c r="A95" i="10"/>
  <c r="E94" i="10"/>
  <c r="D94" i="10"/>
  <c r="B94" i="10"/>
  <c r="A94" i="10"/>
  <c r="E93" i="10"/>
  <c r="D93" i="10"/>
  <c r="B93" i="10"/>
  <c r="J93" i="10" s="1"/>
  <c r="A93" i="10"/>
  <c r="E92" i="10"/>
  <c r="D92" i="10"/>
  <c r="B92" i="10"/>
  <c r="A92" i="10"/>
  <c r="E91" i="10"/>
  <c r="D91" i="10"/>
  <c r="B91" i="10"/>
  <c r="J91" i="10" s="1"/>
  <c r="A91" i="10"/>
  <c r="J90" i="10"/>
  <c r="E90" i="10"/>
  <c r="D90" i="10"/>
  <c r="B90" i="10"/>
  <c r="A90" i="10"/>
  <c r="E89" i="10"/>
  <c r="D89" i="10"/>
  <c r="B89" i="10"/>
  <c r="J89" i="10" s="1"/>
  <c r="A89" i="10"/>
  <c r="J88" i="10"/>
  <c r="E88" i="10"/>
  <c r="D88" i="10"/>
  <c r="B88" i="10"/>
  <c r="A88" i="10"/>
  <c r="J87" i="10"/>
  <c r="E87" i="10"/>
  <c r="D87" i="10"/>
  <c r="B87" i="10"/>
  <c r="A87" i="10"/>
  <c r="E86" i="10"/>
  <c r="D86" i="10"/>
  <c r="B86" i="10"/>
  <c r="A86" i="10"/>
  <c r="E85" i="10"/>
  <c r="D85" i="10"/>
  <c r="B85" i="10"/>
  <c r="A85" i="10"/>
  <c r="J84" i="10"/>
  <c r="E84" i="10"/>
  <c r="D84" i="10"/>
  <c r="B84" i="10"/>
  <c r="A84" i="10"/>
  <c r="E83" i="10"/>
  <c r="D83" i="10"/>
  <c r="B83" i="10"/>
  <c r="A83" i="10"/>
  <c r="E82" i="10"/>
  <c r="D82" i="10"/>
  <c r="B82" i="10"/>
  <c r="A82" i="10"/>
  <c r="J81" i="10"/>
  <c r="E81" i="10"/>
  <c r="D81" i="10"/>
  <c r="B81" i="10"/>
  <c r="A81" i="10"/>
  <c r="E80" i="10"/>
  <c r="D80" i="10"/>
  <c r="B80" i="10"/>
  <c r="J80" i="10" s="1"/>
  <c r="A80" i="10"/>
  <c r="E79" i="10"/>
  <c r="D79" i="10"/>
  <c r="B79" i="10"/>
  <c r="A79" i="10"/>
  <c r="J78" i="10"/>
  <c r="E78" i="10"/>
  <c r="D78" i="10"/>
  <c r="B78" i="10"/>
  <c r="A78" i="10"/>
  <c r="E77" i="10"/>
  <c r="D77" i="10"/>
  <c r="B77" i="10"/>
  <c r="A77" i="10"/>
  <c r="E76" i="10"/>
  <c r="D76" i="10"/>
  <c r="B76" i="10"/>
  <c r="A76" i="10"/>
  <c r="J75" i="10"/>
  <c r="E75" i="10"/>
  <c r="D75" i="10"/>
  <c r="B75" i="10"/>
  <c r="A75" i="10"/>
  <c r="E74" i="10"/>
  <c r="D74" i="10"/>
  <c r="B74" i="10"/>
  <c r="J74" i="10" s="1"/>
  <c r="A74" i="10"/>
  <c r="E73" i="10"/>
  <c r="D73" i="10"/>
  <c r="B73" i="10"/>
  <c r="A73" i="10"/>
  <c r="J72" i="10"/>
  <c r="E72" i="10"/>
  <c r="D72" i="10"/>
  <c r="B72" i="10"/>
  <c r="A72" i="10"/>
  <c r="E71" i="10"/>
  <c r="D71" i="10"/>
  <c r="B71" i="10"/>
  <c r="J71" i="10" s="1"/>
  <c r="A71" i="10"/>
  <c r="E70" i="10"/>
  <c r="D70" i="10"/>
  <c r="B70" i="10"/>
  <c r="A70" i="10"/>
  <c r="J69" i="10"/>
  <c r="E69" i="10"/>
  <c r="D69" i="10"/>
  <c r="B69" i="10"/>
  <c r="A69" i="10"/>
  <c r="E68" i="10"/>
  <c r="D68" i="10"/>
  <c r="B68" i="10"/>
  <c r="A68" i="10"/>
  <c r="J68" i="10" s="1"/>
  <c r="E67" i="10"/>
  <c r="D67" i="10"/>
  <c r="B67" i="10"/>
  <c r="A67" i="10"/>
  <c r="J66" i="10"/>
  <c r="E66" i="10"/>
  <c r="D66" i="10"/>
  <c r="B66" i="10"/>
  <c r="A66" i="10"/>
  <c r="E65" i="10"/>
  <c r="D65" i="10"/>
  <c r="B65" i="10"/>
  <c r="A65" i="10"/>
  <c r="E64" i="10"/>
  <c r="D64" i="10"/>
  <c r="B64" i="10"/>
  <c r="A64" i="10"/>
  <c r="E63" i="10"/>
  <c r="D63" i="10"/>
  <c r="B63" i="10"/>
  <c r="A63" i="10"/>
  <c r="E62" i="10"/>
  <c r="D62" i="10"/>
  <c r="B62" i="10"/>
  <c r="A62" i="10"/>
  <c r="E61" i="10"/>
  <c r="D61" i="10"/>
  <c r="B61" i="10"/>
  <c r="A61" i="10"/>
  <c r="J60" i="10"/>
  <c r="E60" i="10"/>
  <c r="D60" i="10"/>
  <c r="B60" i="10"/>
  <c r="A60" i="10"/>
  <c r="J59" i="10"/>
  <c r="E59" i="10"/>
  <c r="D59" i="10"/>
  <c r="B59" i="10"/>
  <c r="A59" i="10"/>
  <c r="E58" i="10"/>
  <c r="D58" i="10"/>
  <c r="B58" i="10"/>
  <c r="A58" i="10"/>
  <c r="J58" i="10" s="1"/>
  <c r="J57" i="10"/>
  <c r="E57" i="10"/>
  <c r="D57" i="10"/>
  <c r="B57" i="10"/>
  <c r="A57" i="10"/>
  <c r="J56" i="10"/>
  <c r="E56" i="10"/>
  <c r="D56" i="10"/>
  <c r="B56" i="10"/>
  <c r="A56" i="10"/>
  <c r="E55" i="10"/>
  <c r="D55" i="10"/>
  <c r="B55" i="10"/>
  <c r="A55" i="10"/>
  <c r="J54" i="10"/>
  <c r="E54" i="10"/>
  <c r="D54" i="10"/>
  <c r="B54" i="10"/>
  <c r="A54" i="10"/>
  <c r="E53" i="10"/>
  <c r="D53" i="10"/>
  <c r="B53" i="10"/>
  <c r="J53" i="10" s="1"/>
  <c r="A53" i="10"/>
  <c r="E52" i="10"/>
  <c r="D52" i="10"/>
  <c r="B52" i="10"/>
  <c r="A52" i="10"/>
  <c r="J51" i="10"/>
  <c r="E51" i="10"/>
  <c r="D51" i="10"/>
  <c r="B51" i="10"/>
  <c r="A51" i="10"/>
  <c r="E50" i="10"/>
  <c r="D50" i="10"/>
  <c r="B50" i="10"/>
  <c r="A50" i="10"/>
  <c r="E49" i="10"/>
  <c r="D49" i="10"/>
  <c r="B49" i="10"/>
  <c r="A49" i="10"/>
  <c r="E48" i="10"/>
  <c r="D48" i="10"/>
  <c r="B48" i="10"/>
  <c r="A48" i="10"/>
  <c r="J48" i="10" s="1"/>
  <c r="J47" i="10"/>
  <c r="E47" i="10"/>
  <c r="D47" i="10"/>
  <c r="B47" i="10"/>
  <c r="A47" i="10"/>
  <c r="E46" i="10"/>
  <c r="D46" i="10"/>
  <c r="B46" i="10"/>
  <c r="A46" i="10"/>
  <c r="J45" i="10"/>
  <c r="E45" i="10"/>
  <c r="D45" i="10"/>
  <c r="B45" i="10"/>
  <c r="A45" i="10"/>
  <c r="J44" i="10"/>
  <c r="E44" i="10"/>
  <c r="D44" i="10"/>
  <c r="B44" i="10"/>
  <c r="A44" i="10"/>
  <c r="E43" i="10"/>
  <c r="D43" i="10"/>
  <c r="B43" i="10"/>
  <c r="J43" i="10" s="1"/>
  <c r="A43" i="10"/>
  <c r="E42" i="10"/>
  <c r="D42" i="10"/>
  <c r="B42" i="10"/>
  <c r="A42" i="10"/>
  <c r="J41" i="10"/>
  <c r="E41" i="10"/>
  <c r="D41" i="10"/>
  <c r="B41" i="10"/>
  <c r="A41" i="10"/>
  <c r="J40" i="10"/>
  <c r="E40" i="10"/>
  <c r="D40" i="10"/>
  <c r="B40" i="10"/>
  <c r="A40" i="10"/>
  <c r="E39" i="10"/>
  <c r="D39" i="10"/>
  <c r="B39" i="10"/>
  <c r="A39" i="10"/>
  <c r="J38" i="10"/>
  <c r="E38" i="10"/>
  <c r="D38" i="10"/>
  <c r="B38" i="10"/>
  <c r="A38" i="10"/>
  <c r="J37" i="10"/>
  <c r="E37" i="10"/>
  <c r="D37" i="10"/>
  <c r="B37" i="10"/>
  <c r="A37" i="10"/>
  <c r="E36" i="10"/>
  <c r="D36" i="10"/>
  <c r="B36" i="10"/>
  <c r="A36" i="10"/>
  <c r="J35" i="10"/>
  <c r="E35" i="10"/>
  <c r="D35" i="10"/>
  <c r="B35" i="10"/>
  <c r="A35" i="10"/>
  <c r="J34" i="10"/>
  <c r="E34" i="10"/>
  <c r="D34" i="10"/>
  <c r="B34" i="10"/>
  <c r="A34" i="10"/>
  <c r="E33" i="10"/>
  <c r="D33" i="10"/>
  <c r="B33" i="10"/>
  <c r="A33" i="10"/>
  <c r="E32" i="10"/>
  <c r="D32" i="10"/>
  <c r="B32" i="10"/>
  <c r="A32" i="10"/>
  <c r="J31" i="10"/>
  <c r="E31" i="10"/>
  <c r="D31" i="10"/>
  <c r="B31" i="10"/>
  <c r="A31" i="10"/>
  <c r="J30" i="10"/>
  <c r="E30" i="10"/>
  <c r="D30" i="10"/>
  <c r="B30" i="10"/>
  <c r="A30" i="10"/>
  <c r="E29" i="10"/>
  <c r="D29" i="10"/>
  <c r="B29" i="10"/>
  <c r="A29" i="10"/>
  <c r="J28" i="10"/>
  <c r="E28" i="10"/>
  <c r="D28" i="10"/>
  <c r="B28" i="10"/>
  <c r="A28" i="10"/>
  <c r="J27" i="10"/>
  <c r="E27" i="10"/>
  <c r="D27" i="10"/>
  <c r="B27" i="10"/>
  <c r="A27" i="10"/>
  <c r="E26" i="10"/>
  <c r="D26" i="10"/>
  <c r="B26" i="10"/>
  <c r="A26" i="10"/>
  <c r="E25" i="10"/>
  <c r="D25" i="10"/>
  <c r="B25" i="10"/>
  <c r="A25" i="10"/>
  <c r="J24" i="10"/>
  <c r="E24" i="10"/>
  <c r="D24" i="10"/>
  <c r="B24" i="10"/>
  <c r="A24" i="10"/>
  <c r="E23" i="10"/>
  <c r="D23" i="10"/>
  <c r="B23" i="10"/>
  <c r="J23" i="10" s="1"/>
  <c r="A23" i="10"/>
  <c r="E22" i="10"/>
  <c r="D22" i="10"/>
  <c r="B22" i="10"/>
  <c r="A22" i="10"/>
  <c r="J21" i="10"/>
  <c r="E21" i="10"/>
  <c r="D21" i="10"/>
  <c r="B21" i="10"/>
  <c r="A21" i="10"/>
  <c r="E20" i="10"/>
  <c r="D20" i="10"/>
  <c r="B20" i="10"/>
  <c r="J20" i="10" s="1"/>
  <c r="A20" i="10"/>
  <c r="E19" i="10"/>
  <c r="D19" i="10"/>
  <c r="B19" i="10"/>
  <c r="A19" i="10"/>
  <c r="J18" i="10"/>
  <c r="E18" i="10"/>
  <c r="D18" i="10"/>
  <c r="B18" i="10"/>
  <c r="A18" i="10"/>
  <c r="J17" i="10"/>
  <c r="E17" i="10"/>
  <c r="D17" i="10"/>
  <c r="B17" i="10"/>
  <c r="A17" i="10"/>
  <c r="E16" i="10"/>
  <c r="D16" i="10"/>
  <c r="B16" i="10"/>
  <c r="A16" i="10"/>
  <c r="E15" i="10"/>
  <c r="D15" i="10"/>
  <c r="B15" i="10"/>
  <c r="A15" i="10"/>
  <c r="J14" i="10"/>
  <c r="E14" i="10"/>
  <c r="D14" i="10"/>
  <c r="B14" i="10"/>
  <c r="A14" i="10"/>
  <c r="E13" i="10"/>
  <c r="D13" i="10"/>
  <c r="B13" i="10"/>
  <c r="J13" i="10" s="1"/>
  <c r="A13" i="10"/>
  <c r="E12" i="10"/>
  <c r="D12" i="10"/>
  <c r="B12" i="10"/>
  <c r="A12" i="10"/>
  <c r="J11" i="10"/>
  <c r="E11" i="10"/>
  <c r="D11" i="10"/>
  <c r="B11" i="10"/>
  <c r="A11" i="10"/>
  <c r="E10" i="10"/>
  <c r="D10" i="10"/>
  <c r="B10" i="10"/>
  <c r="A10" i="10"/>
  <c r="E9" i="10"/>
  <c r="D9" i="10"/>
  <c r="B9" i="10"/>
  <c r="A9" i="10"/>
  <c r="E8" i="10"/>
  <c r="D8" i="10"/>
  <c r="B8" i="10"/>
  <c r="A8" i="10"/>
  <c r="J8" i="10" s="1"/>
  <c r="J7" i="10"/>
  <c r="E7" i="10"/>
  <c r="D7" i="10"/>
  <c r="B7" i="10"/>
  <c r="A7" i="10"/>
  <c r="E6" i="10"/>
  <c r="D6" i="10"/>
  <c r="B6" i="10"/>
  <c r="A6" i="10"/>
  <c r="E5" i="10"/>
  <c r="D5" i="10"/>
  <c r="B5" i="10"/>
  <c r="A5" i="10"/>
  <c r="J4" i="10"/>
  <c r="E4" i="10"/>
  <c r="D4" i="10"/>
  <c r="B4" i="10"/>
  <c r="A4" i="10"/>
  <c r="E3" i="10"/>
  <c r="D3" i="10"/>
  <c r="B3" i="10"/>
  <c r="A3" i="10"/>
  <c r="I502" i="9"/>
  <c r="H502" i="9"/>
  <c r="G502" i="9"/>
  <c r="F502" i="9"/>
  <c r="I501" i="9"/>
  <c r="H501" i="9"/>
  <c r="G501" i="9"/>
  <c r="F501" i="9"/>
  <c r="I500" i="9"/>
  <c r="H500" i="9"/>
  <c r="G500" i="9"/>
  <c r="F500" i="9"/>
  <c r="I499" i="9"/>
  <c r="H499" i="9"/>
  <c r="G499" i="9"/>
  <c r="F499" i="9"/>
  <c r="I498" i="9"/>
  <c r="H498" i="9"/>
  <c r="G498" i="9"/>
  <c r="F498" i="9"/>
  <c r="I497" i="9"/>
  <c r="H497" i="9"/>
  <c r="G497" i="9"/>
  <c r="F497" i="9"/>
  <c r="I496" i="9"/>
  <c r="H496" i="9"/>
  <c r="G496" i="9"/>
  <c r="F496" i="9"/>
  <c r="I495" i="9"/>
  <c r="H495" i="9"/>
  <c r="G495" i="9"/>
  <c r="F495" i="9"/>
  <c r="I494" i="9"/>
  <c r="H494" i="9"/>
  <c r="G494" i="9"/>
  <c r="F494" i="9"/>
  <c r="I493" i="9"/>
  <c r="H493" i="9"/>
  <c r="G493" i="9"/>
  <c r="F493" i="9"/>
  <c r="I492" i="9"/>
  <c r="H492" i="9"/>
  <c r="G492" i="9"/>
  <c r="F492" i="9"/>
  <c r="I491" i="9"/>
  <c r="H491" i="9"/>
  <c r="G491" i="9"/>
  <c r="F491" i="9"/>
  <c r="I490" i="9"/>
  <c r="H490" i="9"/>
  <c r="G490" i="9"/>
  <c r="F490" i="9"/>
  <c r="I489" i="9"/>
  <c r="H489" i="9"/>
  <c r="G489" i="9"/>
  <c r="F489" i="9"/>
  <c r="I488" i="9"/>
  <c r="H488" i="9"/>
  <c r="G488" i="9"/>
  <c r="F488" i="9"/>
  <c r="I487" i="9"/>
  <c r="H487" i="9"/>
  <c r="G487" i="9"/>
  <c r="F487" i="9"/>
  <c r="I486" i="9"/>
  <c r="H486" i="9"/>
  <c r="G486" i="9"/>
  <c r="F486" i="9"/>
  <c r="I485" i="9"/>
  <c r="H485" i="9"/>
  <c r="G485" i="9"/>
  <c r="F485" i="9"/>
  <c r="I484" i="9"/>
  <c r="H484" i="9"/>
  <c r="G484" i="9"/>
  <c r="F484" i="9"/>
  <c r="I483" i="9"/>
  <c r="H483" i="9"/>
  <c r="G483" i="9"/>
  <c r="F483" i="9"/>
  <c r="I482" i="9"/>
  <c r="H482" i="9"/>
  <c r="G482" i="9"/>
  <c r="F482" i="9"/>
  <c r="I481" i="9"/>
  <c r="H481" i="9"/>
  <c r="G481" i="9"/>
  <c r="F481" i="9"/>
  <c r="I480" i="9"/>
  <c r="H480" i="9"/>
  <c r="G480" i="9"/>
  <c r="F480" i="9"/>
  <c r="I479" i="9"/>
  <c r="H479" i="9"/>
  <c r="G479" i="9"/>
  <c r="F479" i="9"/>
  <c r="I478" i="9"/>
  <c r="H478" i="9"/>
  <c r="G478" i="9"/>
  <c r="F478" i="9"/>
  <c r="I477" i="9"/>
  <c r="H477" i="9"/>
  <c r="G477" i="9"/>
  <c r="F477" i="9"/>
  <c r="I476" i="9"/>
  <c r="H476" i="9"/>
  <c r="G476" i="9"/>
  <c r="F476" i="9"/>
  <c r="I475" i="9"/>
  <c r="H475" i="9"/>
  <c r="G475" i="9"/>
  <c r="F475" i="9"/>
  <c r="I474" i="9"/>
  <c r="H474" i="9"/>
  <c r="G474" i="9"/>
  <c r="F474" i="9"/>
  <c r="I473" i="9"/>
  <c r="H473" i="9"/>
  <c r="G473" i="9"/>
  <c r="F473" i="9"/>
  <c r="I472" i="9"/>
  <c r="H472" i="9"/>
  <c r="G472" i="9"/>
  <c r="F472" i="9"/>
  <c r="I471" i="9"/>
  <c r="H471" i="9"/>
  <c r="G471" i="9"/>
  <c r="F471" i="9"/>
  <c r="I470" i="9"/>
  <c r="H470" i="9"/>
  <c r="G470" i="9"/>
  <c r="F470" i="9"/>
  <c r="I469" i="9"/>
  <c r="H469" i="9"/>
  <c r="G469" i="9"/>
  <c r="F469" i="9"/>
  <c r="I468" i="9"/>
  <c r="H468" i="9"/>
  <c r="G468" i="9"/>
  <c r="F468" i="9"/>
  <c r="I467" i="9"/>
  <c r="H467" i="9"/>
  <c r="G467" i="9"/>
  <c r="F467" i="9"/>
  <c r="I466" i="9"/>
  <c r="H466" i="9"/>
  <c r="G466" i="9"/>
  <c r="F466" i="9"/>
  <c r="I465" i="9"/>
  <c r="H465" i="9"/>
  <c r="G465" i="9"/>
  <c r="F465" i="9"/>
  <c r="I464" i="9"/>
  <c r="H464" i="9"/>
  <c r="G464" i="9"/>
  <c r="F464" i="9"/>
  <c r="I463" i="9"/>
  <c r="H463" i="9"/>
  <c r="G463" i="9"/>
  <c r="F463" i="9"/>
  <c r="I462" i="9"/>
  <c r="H462" i="9"/>
  <c r="G462" i="9"/>
  <c r="F462" i="9"/>
  <c r="I461" i="9"/>
  <c r="H461" i="9"/>
  <c r="G461" i="9"/>
  <c r="F461" i="9"/>
  <c r="I460" i="9"/>
  <c r="H460" i="9"/>
  <c r="G460" i="9"/>
  <c r="F460" i="9"/>
  <c r="I459" i="9"/>
  <c r="H459" i="9"/>
  <c r="G459" i="9"/>
  <c r="F459" i="9"/>
  <c r="I458" i="9"/>
  <c r="H458" i="9"/>
  <c r="G458" i="9"/>
  <c r="F458" i="9"/>
  <c r="I457" i="9"/>
  <c r="H457" i="9"/>
  <c r="G457" i="9"/>
  <c r="F457" i="9"/>
  <c r="I456" i="9"/>
  <c r="H456" i="9"/>
  <c r="G456" i="9"/>
  <c r="F456" i="9"/>
  <c r="I455" i="9"/>
  <c r="H455" i="9"/>
  <c r="G455" i="9"/>
  <c r="F455" i="9"/>
  <c r="I454" i="9"/>
  <c r="H454" i="9"/>
  <c r="G454" i="9"/>
  <c r="F454" i="9"/>
  <c r="I453" i="9"/>
  <c r="H453" i="9"/>
  <c r="G453" i="9"/>
  <c r="F453" i="9"/>
  <c r="I452" i="9"/>
  <c r="H452" i="9"/>
  <c r="G452" i="9"/>
  <c r="F452" i="9"/>
  <c r="I451" i="9"/>
  <c r="H451" i="9"/>
  <c r="G451" i="9"/>
  <c r="F451" i="9"/>
  <c r="I450" i="9"/>
  <c r="H450" i="9"/>
  <c r="G450" i="9"/>
  <c r="F450" i="9"/>
  <c r="I449" i="9"/>
  <c r="H449" i="9"/>
  <c r="G449" i="9"/>
  <c r="F449" i="9"/>
  <c r="I448" i="9"/>
  <c r="H448" i="9"/>
  <c r="G448" i="9"/>
  <c r="F448" i="9"/>
  <c r="I447" i="9"/>
  <c r="H447" i="9"/>
  <c r="G447" i="9"/>
  <c r="F447" i="9"/>
  <c r="I446" i="9"/>
  <c r="H446" i="9"/>
  <c r="G446" i="9"/>
  <c r="F446" i="9"/>
  <c r="I445" i="9"/>
  <c r="H445" i="9"/>
  <c r="G445" i="9"/>
  <c r="F445" i="9"/>
  <c r="I444" i="9"/>
  <c r="H444" i="9"/>
  <c r="G444" i="9"/>
  <c r="F444" i="9"/>
  <c r="I443" i="9"/>
  <c r="H443" i="9"/>
  <c r="G443" i="9"/>
  <c r="F443" i="9"/>
  <c r="I442" i="9"/>
  <c r="H442" i="9"/>
  <c r="G442" i="9"/>
  <c r="F442" i="9"/>
  <c r="I441" i="9"/>
  <c r="H441" i="9"/>
  <c r="G441" i="9"/>
  <c r="F441" i="9"/>
  <c r="I440" i="9"/>
  <c r="H440" i="9"/>
  <c r="G440" i="9"/>
  <c r="F440" i="9"/>
  <c r="I439" i="9"/>
  <c r="H439" i="9"/>
  <c r="G439" i="9"/>
  <c r="F439" i="9"/>
  <c r="I438" i="9"/>
  <c r="H438" i="9"/>
  <c r="G438" i="9"/>
  <c r="F438" i="9"/>
  <c r="I437" i="9"/>
  <c r="H437" i="9"/>
  <c r="G437" i="9"/>
  <c r="F437" i="9"/>
  <c r="I436" i="9"/>
  <c r="H436" i="9"/>
  <c r="G436" i="9"/>
  <c r="F436" i="9"/>
  <c r="I435" i="9"/>
  <c r="H435" i="9"/>
  <c r="G435" i="9"/>
  <c r="F435" i="9"/>
  <c r="I434" i="9"/>
  <c r="H434" i="9"/>
  <c r="G434" i="9"/>
  <c r="F434" i="9"/>
  <c r="I433" i="9"/>
  <c r="H433" i="9"/>
  <c r="G433" i="9"/>
  <c r="F433" i="9"/>
  <c r="I432" i="9"/>
  <c r="H432" i="9"/>
  <c r="G432" i="9"/>
  <c r="F432" i="9"/>
  <c r="I431" i="9"/>
  <c r="H431" i="9"/>
  <c r="G431" i="9"/>
  <c r="F431" i="9"/>
  <c r="I430" i="9"/>
  <c r="H430" i="9"/>
  <c r="G430" i="9"/>
  <c r="F430" i="9"/>
  <c r="I429" i="9"/>
  <c r="H429" i="9"/>
  <c r="G429" i="9"/>
  <c r="F429" i="9"/>
  <c r="I428" i="9"/>
  <c r="H428" i="9"/>
  <c r="G428" i="9"/>
  <c r="F428" i="9"/>
  <c r="I427" i="9"/>
  <c r="H427" i="9"/>
  <c r="G427" i="9"/>
  <c r="F427" i="9"/>
  <c r="I426" i="9"/>
  <c r="H426" i="9"/>
  <c r="G426" i="9"/>
  <c r="F426" i="9"/>
  <c r="I425" i="9"/>
  <c r="H425" i="9"/>
  <c r="G425" i="9"/>
  <c r="F425" i="9"/>
  <c r="I424" i="9"/>
  <c r="H424" i="9"/>
  <c r="G424" i="9"/>
  <c r="F424" i="9"/>
  <c r="I423" i="9"/>
  <c r="H423" i="9"/>
  <c r="G423" i="9"/>
  <c r="F423" i="9"/>
  <c r="I422" i="9"/>
  <c r="H422" i="9"/>
  <c r="G422" i="9"/>
  <c r="F422" i="9"/>
  <c r="I421" i="9"/>
  <c r="H421" i="9"/>
  <c r="G421" i="9"/>
  <c r="F421" i="9"/>
  <c r="I420" i="9"/>
  <c r="H420" i="9"/>
  <c r="G420" i="9"/>
  <c r="F420" i="9"/>
  <c r="I419" i="9"/>
  <c r="H419" i="9"/>
  <c r="G419" i="9"/>
  <c r="F419" i="9"/>
  <c r="I418" i="9"/>
  <c r="H418" i="9"/>
  <c r="G418" i="9"/>
  <c r="F418" i="9"/>
  <c r="I417" i="9"/>
  <c r="H417" i="9"/>
  <c r="G417" i="9"/>
  <c r="F417" i="9"/>
  <c r="I416" i="9"/>
  <c r="H416" i="9"/>
  <c r="G416" i="9"/>
  <c r="F416" i="9"/>
  <c r="I415" i="9"/>
  <c r="H415" i="9"/>
  <c r="G415" i="9"/>
  <c r="F415" i="9"/>
  <c r="I414" i="9"/>
  <c r="H414" i="9"/>
  <c r="G414" i="9"/>
  <c r="F414" i="9"/>
  <c r="I413" i="9"/>
  <c r="H413" i="9"/>
  <c r="G413" i="9"/>
  <c r="F413" i="9"/>
  <c r="I412" i="9"/>
  <c r="H412" i="9"/>
  <c r="G412" i="9"/>
  <c r="F412" i="9"/>
  <c r="I411" i="9"/>
  <c r="H411" i="9"/>
  <c r="G411" i="9"/>
  <c r="F411" i="9"/>
  <c r="I410" i="9"/>
  <c r="H410" i="9"/>
  <c r="G410" i="9"/>
  <c r="F410" i="9"/>
  <c r="I409" i="9"/>
  <c r="H409" i="9"/>
  <c r="G409" i="9"/>
  <c r="F409" i="9"/>
  <c r="I408" i="9"/>
  <c r="H408" i="9"/>
  <c r="G408" i="9"/>
  <c r="F408" i="9"/>
  <c r="I407" i="9"/>
  <c r="H407" i="9"/>
  <c r="G407" i="9"/>
  <c r="F407" i="9"/>
  <c r="I406" i="9"/>
  <c r="H406" i="9"/>
  <c r="G406" i="9"/>
  <c r="F406" i="9"/>
  <c r="I405" i="9"/>
  <c r="H405" i="9"/>
  <c r="G405" i="9"/>
  <c r="F405" i="9"/>
  <c r="I404" i="9"/>
  <c r="H404" i="9"/>
  <c r="G404" i="9"/>
  <c r="F404" i="9"/>
  <c r="I403" i="9"/>
  <c r="H403" i="9"/>
  <c r="G403" i="9"/>
  <c r="F403" i="9"/>
  <c r="I402" i="9"/>
  <c r="H402" i="9"/>
  <c r="G402" i="9"/>
  <c r="F402" i="9"/>
  <c r="I401" i="9"/>
  <c r="H401" i="9"/>
  <c r="G401" i="9"/>
  <c r="F401" i="9"/>
  <c r="I400" i="9"/>
  <c r="H400" i="9"/>
  <c r="G400" i="9"/>
  <c r="F400" i="9"/>
  <c r="I399" i="9"/>
  <c r="H399" i="9"/>
  <c r="G399" i="9"/>
  <c r="F399" i="9"/>
  <c r="I398" i="9"/>
  <c r="H398" i="9"/>
  <c r="G398" i="9"/>
  <c r="F398" i="9"/>
  <c r="I397" i="9"/>
  <c r="H397" i="9"/>
  <c r="G397" i="9"/>
  <c r="F397" i="9"/>
  <c r="I396" i="9"/>
  <c r="H396" i="9"/>
  <c r="G396" i="9"/>
  <c r="F396" i="9"/>
  <c r="I395" i="9"/>
  <c r="H395" i="9"/>
  <c r="G395" i="9"/>
  <c r="F395" i="9"/>
  <c r="I394" i="9"/>
  <c r="H394" i="9"/>
  <c r="G394" i="9"/>
  <c r="F394" i="9"/>
  <c r="I393" i="9"/>
  <c r="H393" i="9"/>
  <c r="G393" i="9"/>
  <c r="F393" i="9"/>
  <c r="I392" i="9"/>
  <c r="H392" i="9"/>
  <c r="G392" i="9"/>
  <c r="F392" i="9"/>
  <c r="I391" i="9"/>
  <c r="H391" i="9"/>
  <c r="G391" i="9"/>
  <c r="F391" i="9"/>
  <c r="I390" i="9"/>
  <c r="H390" i="9"/>
  <c r="G390" i="9"/>
  <c r="F390" i="9"/>
  <c r="I389" i="9"/>
  <c r="H389" i="9"/>
  <c r="G389" i="9"/>
  <c r="F389" i="9"/>
  <c r="I388" i="9"/>
  <c r="H388" i="9"/>
  <c r="G388" i="9"/>
  <c r="F388" i="9"/>
  <c r="I387" i="9"/>
  <c r="H387" i="9"/>
  <c r="G387" i="9"/>
  <c r="F387" i="9"/>
  <c r="I386" i="9"/>
  <c r="H386" i="9"/>
  <c r="G386" i="9"/>
  <c r="F386" i="9"/>
  <c r="I385" i="9"/>
  <c r="H385" i="9"/>
  <c r="G385" i="9"/>
  <c r="F385" i="9"/>
  <c r="I384" i="9"/>
  <c r="H384" i="9"/>
  <c r="G384" i="9"/>
  <c r="F384" i="9"/>
  <c r="I383" i="9"/>
  <c r="H383" i="9"/>
  <c r="G383" i="9"/>
  <c r="F383" i="9"/>
  <c r="I382" i="9"/>
  <c r="H382" i="9"/>
  <c r="G382" i="9"/>
  <c r="F382" i="9"/>
  <c r="I381" i="9"/>
  <c r="H381" i="9"/>
  <c r="G381" i="9"/>
  <c r="F381" i="9"/>
  <c r="I380" i="9"/>
  <c r="H380" i="9"/>
  <c r="G380" i="9"/>
  <c r="F380" i="9"/>
  <c r="I379" i="9"/>
  <c r="H379" i="9"/>
  <c r="G379" i="9"/>
  <c r="F379" i="9"/>
  <c r="I378" i="9"/>
  <c r="H378" i="9"/>
  <c r="G378" i="9"/>
  <c r="F378" i="9"/>
  <c r="I377" i="9"/>
  <c r="H377" i="9"/>
  <c r="G377" i="9"/>
  <c r="F377" i="9"/>
  <c r="I376" i="9"/>
  <c r="H376" i="9"/>
  <c r="G376" i="9"/>
  <c r="F376" i="9"/>
  <c r="I375" i="9"/>
  <c r="H375" i="9"/>
  <c r="G375" i="9"/>
  <c r="F375" i="9"/>
  <c r="I374" i="9"/>
  <c r="H374" i="9"/>
  <c r="G374" i="9"/>
  <c r="F374" i="9"/>
  <c r="I373" i="9"/>
  <c r="H373" i="9"/>
  <c r="G373" i="9"/>
  <c r="F373" i="9"/>
  <c r="I372" i="9"/>
  <c r="H372" i="9"/>
  <c r="G372" i="9"/>
  <c r="F372" i="9"/>
  <c r="I371" i="9"/>
  <c r="H371" i="9"/>
  <c r="G371" i="9"/>
  <c r="F371" i="9"/>
  <c r="I370" i="9"/>
  <c r="H370" i="9"/>
  <c r="G370" i="9"/>
  <c r="F370" i="9"/>
  <c r="I369" i="9"/>
  <c r="H369" i="9"/>
  <c r="G369" i="9"/>
  <c r="F369" i="9"/>
  <c r="I368" i="9"/>
  <c r="H368" i="9"/>
  <c r="G368" i="9"/>
  <c r="F368" i="9"/>
  <c r="I367" i="9"/>
  <c r="H367" i="9"/>
  <c r="G367" i="9"/>
  <c r="F367" i="9"/>
  <c r="I366" i="9"/>
  <c r="H366" i="9"/>
  <c r="G366" i="9"/>
  <c r="F366" i="9"/>
  <c r="I365" i="9"/>
  <c r="H365" i="9"/>
  <c r="G365" i="9"/>
  <c r="F365" i="9"/>
  <c r="I364" i="9"/>
  <c r="H364" i="9"/>
  <c r="G364" i="9"/>
  <c r="F364" i="9"/>
  <c r="I363" i="9"/>
  <c r="H363" i="9"/>
  <c r="G363" i="9"/>
  <c r="F363" i="9"/>
  <c r="I362" i="9"/>
  <c r="H362" i="9"/>
  <c r="G362" i="9"/>
  <c r="F362" i="9"/>
  <c r="I361" i="9"/>
  <c r="H361" i="9"/>
  <c r="G361" i="9"/>
  <c r="F361" i="9"/>
  <c r="I360" i="9"/>
  <c r="H360" i="9"/>
  <c r="G360" i="9"/>
  <c r="F360" i="9"/>
  <c r="I359" i="9"/>
  <c r="H359" i="9"/>
  <c r="G359" i="9"/>
  <c r="F359" i="9"/>
  <c r="I358" i="9"/>
  <c r="H358" i="9"/>
  <c r="G358" i="9"/>
  <c r="F358" i="9"/>
  <c r="I357" i="9"/>
  <c r="H357" i="9"/>
  <c r="G357" i="9"/>
  <c r="F357" i="9"/>
  <c r="I356" i="9"/>
  <c r="H356" i="9"/>
  <c r="G356" i="9"/>
  <c r="F356" i="9"/>
  <c r="I355" i="9"/>
  <c r="H355" i="9"/>
  <c r="G355" i="9"/>
  <c r="F355" i="9"/>
  <c r="I354" i="9"/>
  <c r="H354" i="9"/>
  <c r="G354" i="9"/>
  <c r="F354" i="9"/>
  <c r="I353" i="9"/>
  <c r="H353" i="9"/>
  <c r="G353" i="9"/>
  <c r="F353" i="9"/>
  <c r="I352" i="9"/>
  <c r="H352" i="9"/>
  <c r="G352" i="9"/>
  <c r="F352" i="9"/>
  <c r="I351" i="9"/>
  <c r="H351" i="9"/>
  <c r="G351" i="9"/>
  <c r="F351" i="9"/>
  <c r="I350" i="9"/>
  <c r="H350" i="9"/>
  <c r="G350" i="9"/>
  <c r="F350" i="9"/>
  <c r="I349" i="9"/>
  <c r="H349" i="9"/>
  <c r="G349" i="9"/>
  <c r="F349" i="9"/>
  <c r="I348" i="9"/>
  <c r="H348" i="9"/>
  <c r="G348" i="9"/>
  <c r="F348" i="9"/>
  <c r="I347" i="9"/>
  <c r="H347" i="9"/>
  <c r="G347" i="9"/>
  <c r="F347" i="9"/>
  <c r="I346" i="9"/>
  <c r="H346" i="9"/>
  <c r="G346" i="9"/>
  <c r="F346" i="9"/>
  <c r="I345" i="9"/>
  <c r="H345" i="9"/>
  <c r="G345" i="9"/>
  <c r="F345" i="9"/>
  <c r="I344" i="9"/>
  <c r="H344" i="9"/>
  <c r="G344" i="9"/>
  <c r="F344" i="9"/>
  <c r="I343" i="9"/>
  <c r="H343" i="9"/>
  <c r="G343" i="9"/>
  <c r="F343" i="9"/>
  <c r="I342" i="9"/>
  <c r="H342" i="9"/>
  <c r="G342" i="9"/>
  <c r="F342" i="9"/>
  <c r="I341" i="9"/>
  <c r="H341" i="9"/>
  <c r="G341" i="9"/>
  <c r="F341" i="9"/>
  <c r="I340" i="9"/>
  <c r="H340" i="9"/>
  <c r="G340" i="9"/>
  <c r="F340" i="9"/>
  <c r="I339" i="9"/>
  <c r="H339" i="9"/>
  <c r="G339" i="9"/>
  <c r="F339" i="9"/>
  <c r="I338" i="9"/>
  <c r="H338" i="9"/>
  <c r="G338" i="9"/>
  <c r="F338" i="9"/>
  <c r="I337" i="9"/>
  <c r="H337" i="9"/>
  <c r="G337" i="9"/>
  <c r="F337" i="9"/>
  <c r="I336" i="9"/>
  <c r="H336" i="9"/>
  <c r="G336" i="9"/>
  <c r="F336" i="9"/>
  <c r="I335" i="9"/>
  <c r="H335" i="9"/>
  <c r="G335" i="9"/>
  <c r="F335" i="9"/>
  <c r="I334" i="9"/>
  <c r="H334" i="9"/>
  <c r="G334" i="9"/>
  <c r="F334" i="9"/>
  <c r="I333" i="9"/>
  <c r="H333" i="9"/>
  <c r="G333" i="9"/>
  <c r="F333" i="9"/>
  <c r="I332" i="9"/>
  <c r="H332" i="9"/>
  <c r="G332" i="9"/>
  <c r="F332" i="9"/>
  <c r="I331" i="9"/>
  <c r="H331" i="9"/>
  <c r="G331" i="9"/>
  <c r="F331" i="9"/>
  <c r="I330" i="9"/>
  <c r="H330" i="9"/>
  <c r="G330" i="9"/>
  <c r="F330" i="9"/>
  <c r="I329" i="9"/>
  <c r="H329" i="9"/>
  <c r="G329" i="9"/>
  <c r="F329" i="9"/>
  <c r="I328" i="9"/>
  <c r="H328" i="9"/>
  <c r="G328" i="9"/>
  <c r="F328" i="9"/>
  <c r="I327" i="9"/>
  <c r="H327" i="9"/>
  <c r="G327" i="9"/>
  <c r="F327" i="9"/>
  <c r="I326" i="9"/>
  <c r="H326" i="9"/>
  <c r="G326" i="9"/>
  <c r="F326" i="9"/>
  <c r="I325" i="9"/>
  <c r="H325" i="9"/>
  <c r="G325" i="9"/>
  <c r="F325" i="9"/>
  <c r="I324" i="9"/>
  <c r="H324" i="9"/>
  <c r="G324" i="9"/>
  <c r="F324" i="9"/>
  <c r="I323" i="9"/>
  <c r="H323" i="9"/>
  <c r="G323" i="9"/>
  <c r="F323" i="9"/>
  <c r="I322" i="9"/>
  <c r="H322" i="9"/>
  <c r="G322" i="9"/>
  <c r="F322" i="9"/>
  <c r="I321" i="9"/>
  <c r="H321" i="9"/>
  <c r="G321" i="9"/>
  <c r="F321" i="9"/>
  <c r="I320" i="9"/>
  <c r="H320" i="9"/>
  <c r="G320" i="9"/>
  <c r="F320" i="9"/>
  <c r="I319" i="9"/>
  <c r="H319" i="9"/>
  <c r="G319" i="9"/>
  <c r="F319" i="9"/>
  <c r="I318" i="9"/>
  <c r="H318" i="9"/>
  <c r="G318" i="9"/>
  <c r="F318" i="9"/>
  <c r="I317" i="9"/>
  <c r="H317" i="9"/>
  <c r="G317" i="9"/>
  <c r="F317" i="9"/>
  <c r="I316" i="9"/>
  <c r="H316" i="9"/>
  <c r="G316" i="9"/>
  <c r="F316" i="9"/>
  <c r="I315" i="9"/>
  <c r="H315" i="9"/>
  <c r="G315" i="9"/>
  <c r="F315" i="9"/>
  <c r="I314" i="9"/>
  <c r="H314" i="9"/>
  <c r="G314" i="9"/>
  <c r="F314" i="9"/>
  <c r="I313" i="9"/>
  <c r="H313" i="9"/>
  <c r="G313" i="9"/>
  <c r="F313" i="9"/>
  <c r="I312" i="9"/>
  <c r="H312" i="9"/>
  <c r="G312" i="9"/>
  <c r="F312" i="9"/>
  <c r="I311" i="9"/>
  <c r="H311" i="9"/>
  <c r="G311" i="9"/>
  <c r="F311" i="9"/>
  <c r="I310" i="9"/>
  <c r="H310" i="9"/>
  <c r="G310" i="9"/>
  <c r="F310" i="9"/>
  <c r="I309" i="9"/>
  <c r="H309" i="9"/>
  <c r="G309" i="9"/>
  <c r="F309" i="9"/>
  <c r="I308" i="9"/>
  <c r="H308" i="9"/>
  <c r="G308" i="9"/>
  <c r="F308" i="9"/>
  <c r="I307" i="9"/>
  <c r="H307" i="9"/>
  <c r="G307" i="9"/>
  <c r="F307" i="9"/>
  <c r="I306" i="9"/>
  <c r="H306" i="9"/>
  <c r="G306" i="9"/>
  <c r="F306" i="9"/>
  <c r="I305" i="9"/>
  <c r="H305" i="9"/>
  <c r="G305" i="9"/>
  <c r="F305" i="9"/>
  <c r="I304" i="9"/>
  <c r="H304" i="9"/>
  <c r="G304" i="9"/>
  <c r="F304" i="9"/>
  <c r="I303" i="9"/>
  <c r="H303" i="9"/>
  <c r="G303" i="9"/>
  <c r="F303" i="9"/>
  <c r="I302" i="9"/>
  <c r="H302" i="9"/>
  <c r="G302" i="9"/>
  <c r="F302" i="9"/>
  <c r="I301" i="9"/>
  <c r="H301" i="9"/>
  <c r="G301" i="9"/>
  <c r="F301" i="9"/>
  <c r="I300" i="9"/>
  <c r="H300" i="9"/>
  <c r="G300" i="9"/>
  <c r="F300" i="9"/>
  <c r="I299" i="9"/>
  <c r="H299" i="9"/>
  <c r="G299" i="9"/>
  <c r="F299" i="9"/>
  <c r="I298" i="9"/>
  <c r="H298" i="9"/>
  <c r="G298" i="9"/>
  <c r="F298" i="9"/>
  <c r="I297" i="9"/>
  <c r="H297" i="9"/>
  <c r="G297" i="9"/>
  <c r="F297" i="9"/>
  <c r="I296" i="9"/>
  <c r="H296" i="9"/>
  <c r="G296" i="9"/>
  <c r="F296" i="9"/>
  <c r="I295" i="9"/>
  <c r="H295" i="9"/>
  <c r="G295" i="9"/>
  <c r="F295" i="9"/>
  <c r="I294" i="9"/>
  <c r="H294" i="9"/>
  <c r="G294" i="9"/>
  <c r="F294" i="9"/>
  <c r="I293" i="9"/>
  <c r="H293" i="9"/>
  <c r="G293" i="9"/>
  <c r="F293" i="9"/>
  <c r="I292" i="9"/>
  <c r="H292" i="9"/>
  <c r="G292" i="9"/>
  <c r="F292" i="9"/>
  <c r="I291" i="9"/>
  <c r="H291" i="9"/>
  <c r="G291" i="9"/>
  <c r="F291" i="9"/>
  <c r="I290" i="9"/>
  <c r="H290" i="9"/>
  <c r="G290" i="9"/>
  <c r="F290" i="9"/>
  <c r="I289" i="9"/>
  <c r="H289" i="9"/>
  <c r="G289" i="9"/>
  <c r="F289" i="9"/>
  <c r="I288" i="9"/>
  <c r="H288" i="9"/>
  <c r="G288" i="9"/>
  <c r="F288" i="9"/>
  <c r="I287" i="9"/>
  <c r="H287" i="9"/>
  <c r="G287" i="9"/>
  <c r="F287" i="9"/>
  <c r="I286" i="9"/>
  <c r="H286" i="9"/>
  <c r="G286" i="9"/>
  <c r="F286" i="9"/>
  <c r="I285" i="9"/>
  <c r="H285" i="9"/>
  <c r="G285" i="9"/>
  <c r="F285" i="9"/>
  <c r="I284" i="9"/>
  <c r="H284" i="9"/>
  <c r="G284" i="9"/>
  <c r="F284" i="9"/>
  <c r="I283" i="9"/>
  <c r="H283" i="9"/>
  <c r="G283" i="9"/>
  <c r="F283" i="9"/>
  <c r="I282" i="9"/>
  <c r="H282" i="9"/>
  <c r="G282" i="9"/>
  <c r="F282" i="9"/>
  <c r="I281" i="9"/>
  <c r="H281" i="9"/>
  <c r="G281" i="9"/>
  <c r="F281" i="9"/>
  <c r="I280" i="9"/>
  <c r="H280" i="9"/>
  <c r="G280" i="9"/>
  <c r="F280" i="9"/>
  <c r="I279" i="9"/>
  <c r="H279" i="9"/>
  <c r="G279" i="9"/>
  <c r="F279" i="9"/>
  <c r="I278" i="9"/>
  <c r="H278" i="9"/>
  <c r="G278" i="9"/>
  <c r="F278" i="9"/>
  <c r="I277" i="9"/>
  <c r="H277" i="9"/>
  <c r="G277" i="9"/>
  <c r="F277" i="9"/>
  <c r="I276" i="9"/>
  <c r="H276" i="9"/>
  <c r="G276" i="9"/>
  <c r="F276" i="9"/>
  <c r="I275" i="9"/>
  <c r="H275" i="9"/>
  <c r="G275" i="9"/>
  <c r="F275" i="9"/>
  <c r="I274" i="9"/>
  <c r="H274" i="9"/>
  <c r="G274" i="9"/>
  <c r="F274" i="9"/>
  <c r="I273" i="9"/>
  <c r="H273" i="9"/>
  <c r="G273" i="9"/>
  <c r="F273" i="9"/>
  <c r="I272" i="9"/>
  <c r="H272" i="9"/>
  <c r="G272" i="9"/>
  <c r="F272" i="9"/>
  <c r="I271" i="9"/>
  <c r="H271" i="9"/>
  <c r="G271" i="9"/>
  <c r="F271" i="9"/>
  <c r="I270" i="9"/>
  <c r="H270" i="9"/>
  <c r="G270" i="9"/>
  <c r="F270" i="9"/>
  <c r="I269" i="9"/>
  <c r="H269" i="9"/>
  <c r="G269" i="9"/>
  <c r="F269" i="9"/>
  <c r="I268" i="9"/>
  <c r="H268" i="9"/>
  <c r="G268" i="9"/>
  <c r="F268" i="9"/>
  <c r="I267" i="9"/>
  <c r="H267" i="9"/>
  <c r="G267" i="9"/>
  <c r="F267" i="9"/>
  <c r="I266" i="9"/>
  <c r="H266" i="9"/>
  <c r="G266" i="9"/>
  <c r="F266" i="9"/>
  <c r="I265" i="9"/>
  <c r="H265" i="9"/>
  <c r="G265" i="9"/>
  <c r="F265" i="9"/>
  <c r="I264" i="9"/>
  <c r="H264" i="9"/>
  <c r="G264" i="9"/>
  <c r="F264" i="9"/>
  <c r="I263" i="9"/>
  <c r="H263" i="9"/>
  <c r="G263" i="9"/>
  <c r="F263" i="9"/>
  <c r="I262" i="9"/>
  <c r="H262" i="9"/>
  <c r="G262" i="9"/>
  <c r="F262" i="9"/>
  <c r="I261" i="9"/>
  <c r="H261" i="9"/>
  <c r="G261" i="9"/>
  <c r="F261" i="9"/>
  <c r="I260" i="9"/>
  <c r="H260" i="9"/>
  <c r="G260" i="9"/>
  <c r="F260" i="9"/>
  <c r="I259" i="9"/>
  <c r="H259" i="9"/>
  <c r="G259" i="9"/>
  <c r="F259" i="9"/>
  <c r="I258" i="9"/>
  <c r="H258" i="9"/>
  <c r="G258" i="9"/>
  <c r="F258" i="9"/>
  <c r="I257" i="9"/>
  <c r="H257" i="9"/>
  <c r="G257" i="9"/>
  <c r="F257" i="9"/>
  <c r="I256" i="9"/>
  <c r="H256" i="9"/>
  <c r="G256" i="9"/>
  <c r="F256" i="9"/>
  <c r="I255" i="9"/>
  <c r="H255" i="9"/>
  <c r="G255" i="9"/>
  <c r="F255" i="9"/>
  <c r="I254" i="9"/>
  <c r="H254" i="9"/>
  <c r="G254" i="9"/>
  <c r="F254" i="9"/>
  <c r="I253" i="9"/>
  <c r="H253" i="9"/>
  <c r="G253" i="9"/>
  <c r="F253" i="9"/>
  <c r="I252" i="9"/>
  <c r="H252" i="9"/>
  <c r="G252" i="9"/>
  <c r="F252" i="9"/>
  <c r="I251" i="9"/>
  <c r="H251" i="9"/>
  <c r="G251" i="9"/>
  <c r="F251" i="9"/>
  <c r="I250" i="9"/>
  <c r="H250" i="9"/>
  <c r="G250" i="9"/>
  <c r="F250" i="9"/>
  <c r="I249" i="9"/>
  <c r="H249" i="9"/>
  <c r="G249" i="9"/>
  <c r="F249" i="9"/>
  <c r="I248" i="9"/>
  <c r="H248" i="9"/>
  <c r="G248" i="9"/>
  <c r="F248" i="9"/>
  <c r="I247" i="9"/>
  <c r="H247" i="9"/>
  <c r="G247" i="9"/>
  <c r="F247" i="9"/>
  <c r="I246" i="9"/>
  <c r="H246" i="9"/>
  <c r="G246" i="9"/>
  <c r="F246" i="9"/>
  <c r="I245" i="9"/>
  <c r="H245" i="9"/>
  <c r="G245" i="9"/>
  <c r="F245" i="9"/>
  <c r="I244" i="9"/>
  <c r="H244" i="9"/>
  <c r="G244" i="9"/>
  <c r="F244" i="9"/>
  <c r="I243" i="9"/>
  <c r="H243" i="9"/>
  <c r="G243" i="9"/>
  <c r="F243" i="9"/>
  <c r="I242" i="9"/>
  <c r="H242" i="9"/>
  <c r="G242" i="9"/>
  <c r="F242" i="9"/>
  <c r="I241" i="9"/>
  <c r="H241" i="9"/>
  <c r="G241" i="9"/>
  <c r="F241" i="9"/>
  <c r="I240" i="9"/>
  <c r="H240" i="9"/>
  <c r="G240" i="9"/>
  <c r="F240" i="9"/>
  <c r="I239" i="9"/>
  <c r="H239" i="9"/>
  <c r="G239" i="9"/>
  <c r="F239" i="9"/>
  <c r="I238" i="9"/>
  <c r="H238" i="9"/>
  <c r="G238" i="9"/>
  <c r="F238" i="9"/>
  <c r="I237" i="9"/>
  <c r="H237" i="9"/>
  <c r="G237" i="9"/>
  <c r="F237" i="9"/>
  <c r="I236" i="9"/>
  <c r="H236" i="9"/>
  <c r="G236" i="9"/>
  <c r="F236" i="9"/>
  <c r="I235" i="9"/>
  <c r="H235" i="9"/>
  <c r="G235" i="9"/>
  <c r="F235" i="9"/>
  <c r="I234" i="9"/>
  <c r="H234" i="9"/>
  <c r="G234" i="9"/>
  <c r="F234" i="9"/>
  <c r="I233" i="9"/>
  <c r="H233" i="9"/>
  <c r="G233" i="9"/>
  <c r="F233" i="9"/>
  <c r="I232" i="9"/>
  <c r="H232" i="9"/>
  <c r="G232" i="9"/>
  <c r="F232" i="9"/>
  <c r="I231" i="9"/>
  <c r="H231" i="9"/>
  <c r="G231" i="9"/>
  <c r="F231" i="9"/>
  <c r="I230" i="9"/>
  <c r="H230" i="9"/>
  <c r="G230" i="9"/>
  <c r="F230" i="9"/>
  <c r="I229" i="9"/>
  <c r="H229" i="9"/>
  <c r="G229" i="9"/>
  <c r="F229" i="9"/>
  <c r="I228" i="9"/>
  <c r="H228" i="9"/>
  <c r="G228" i="9"/>
  <c r="F228" i="9"/>
  <c r="I227" i="9"/>
  <c r="H227" i="9"/>
  <c r="G227" i="9"/>
  <c r="F227" i="9"/>
  <c r="I226" i="9"/>
  <c r="H226" i="9"/>
  <c r="G226" i="9"/>
  <c r="F226" i="9"/>
  <c r="I225" i="9"/>
  <c r="H225" i="9"/>
  <c r="G225" i="9"/>
  <c r="F225" i="9"/>
  <c r="I224" i="9"/>
  <c r="H224" i="9"/>
  <c r="G224" i="9"/>
  <c r="F224" i="9"/>
  <c r="I223" i="9"/>
  <c r="H223" i="9"/>
  <c r="G223" i="9"/>
  <c r="F223" i="9"/>
  <c r="I222" i="9"/>
  <c r="H222" i="9"/>
  <c r="G222" i="9"/>
  <c r="F222" i="9"/>
  <c r="I221" i="9"/>
  <c r="H221" i="9"/>
  <c r="G221" i="9"/>
  <c r="F221" i="9"/>
  <c r="I220" i="9"/>
  <c r="H220" i="9"/>
  <c r="G220" i="9"/>
  <c r="F220" i="9"/>
  <c r="I219" i="9"/>
  <c r="H219" i="9"/>
  <c r="G219" i="9"/>
  <c r="F219" i="9"/>
  <c r="I218" i="9"/>
  <c r="H218" i="9"/>
  <c r="G218" i="9"/>
  <c r="F218" i="9"/>
  <c r="I217" i="9"/>
  <c r="H217" i="9"/>
  <c r="G217" i="9"/>
  <c r="F217" i="9"/>
  <c r="I216" i="9"/>
  <c r="H216" i="9"/>
  <c r="G216" i="9"/>
  <c r="F216" i="9"/>
  <c r="I215" i="9"/>
  <c r="H215" i="9"/>
  <c r="G215" i="9"/>
  <c r="F215" i="9"/>
  <c r="I214" i="9"/>
  <c r="H214" i="9"/>
  <c r="G214" i="9"/>
  <c r="F214" i="9"/>
  <c r="I213" i="9"/>
  <c r="H213" i="9"/>
  <c r="G213" i="9"/>
  <c r="F213" i="9"/>
  <c r="I212" i="9"/>
  <c r="H212" i="9"/>
  <c r="G212" i="9"/>
  <c r="F212" i="9"/>
  <c r="I211" i="9"/>
  <c r="H211" i="9"/>
  <c r="G211" i="9"/>
  <c r="F211" i="9"/>
  <c r="I210" i="9"/>
  <c r="H210" i="9"/>
  <c r="G210" i="9"/>
  <c r="F210" i="9"/>
  <c r="I209" i="9"/>
  <c r="H209" i="9"/>
  <c r="G209" i="9"/>
  <c r="F209" i="9"/>
  <c r="I208" i="9"/>
  <c r="H208" i="9"/>
  <c r="G208" i="9"/>
  <c r="F208" i="9"/>
  <c r="I207" i="9"/>
  <c r="H207" i="9"/>
  <c r="G207" i="9"/>
  <c r="F207" i="9"/>
  <c r="I206" i="9"/>
  <c r="H206" i="9"/>
  <c r="G206" i="9"/>
  <c r="F206" i="9"/>
  <c r="I205" i="9"/>
  <c r="H205" i="9"/>
  <c r="G205" i="9"/>
  <c r="F205" i="9"/>
  <c r="I204" i="9"/>
  <c r="H204" i="9"/>
  <c r="G204" i="9"/>
  <c r="F204" i="9"/>
  <c r="I203" i="9"/>
  <c r="H203" i="9"/>
  <c r="G203" i="9"/>
  <c r="F203" i="9"/>
  <c r="I202" i="9"/>
  <c r="H202" i="9"/>
  <c r="G202" i="9"/>
  <c r="F202" i="9"/>
  <c r="I201" i="9"/>
  <c r="H201" i="9"/>
  <c r="G201" i="9"/>
  <c r="F201" i="9"/>
  <c r="I200" i="9"/>
  <c r="H200" i="9"/>
  <c r="G200" i="9"/>
  <c r="F200" i="9"/>
  <c r="I199" i="9"/>
  <c r="H199" i="9"/>
  <c r="G199" i="9"/>
  <c r="F199" i="9"/>
  <c r="I198" i="9"/>
  <c r="H198" i="9"/>
  <c r="G198" i="9"/>
  <c r="F198" i="9"/>
  <c r="I197" i="9"/>
  <c r="H197" i="9"/>
  <c r="G197" i="9"/>
  <c r="F197" i="9"/>
  <c r="I196" i="9"/>
  <c r="H196" i="9"/>
  <c r="G196" i="9"/>
  <c r="F196" i="9"/>
  <c r="I195" i="9"/>
  <c r="H195" i="9"/>
  <c r="G195" i="9"/>
  <c r="F195" i="9"/>
  <c r="I194" i="9"/>
  <c r="H194" i="9"/>
  <c r="G194" i="9"/>
  <c r="F194" i="9"/>
  <c r="I193" i="9"/>
  <c r="H193" i="9"/>
  <c r="G193" i="9"/>
  <c r="F193" i="9"/>
  <c r="I192" i="9"/>
  <c r="H192" i="9"/>
  <c r="G192" i="9"/>
  <c r="F192" i="9"/>
  <c r="I191" i="9"/>
  <c r="H191" i="9"/>
  <c r="G191" i="9"/>
  <c r="F191" i="9"/>
  <c r="I190" i="9"/>
  <c r="H190" i="9"/>
  <c r="G190" i="9"/>
  <c r="F190" i="9"/>
  <c r="I189" i="9"/>
  <c r="H189" i="9"/>
  <c r="G189" i="9"/>
  <c r="F189" i="9"/>
  <c r="I188" i="9"/>
  <c r="H188" i="9"/>
  <c r="G188" i="9"/>
  <c r="F188" i="9"/>
  <c r="I187" i="9"/>
  <c r="H187" i="9"/>
  <c r="G187" i="9"/>
  <c r="F187" i="9"/>
  <c r="I186" i="9"/>
  <c r="H186" i="9"/>
  <c r="G186" i="9"/>
  <c r="F186" i="9"/>
  <c r="I185" i="9"/>
  <c r="H185" i="9"/>
  <c r="G185" i="9"/>
  <c r="F185" i="9"/>
  <c r="I184" i="9"/>
  <c r="H184" i="9"/>
  <c r="G184" i="9"/>
  <c r="F184" i="9"/>
  <c r="I183" i="9"/>
  <c r="H183" i="9"/>
  <c r="G183" i="9"/>
  <c r="F183" i="9"/>
  <c r="I182" i="9"/>
  <c r="H182" i="9"/>
  <c r="G182" i="9"/>
  <c r="F182" i="9"/>
  <c r="I181" i="9"/>
  <c r="H181" i="9"/>
  <c r="G181" i="9"/>
  <c r="F181" i="9"/>
  <c r="I180" i="9"/>
  <c r="H180" i="9"/>
  <c r="G180" i="9"/>
  <c r="F180" i="9"/>
  <c r="I179" i="9"/>
  <c r="H179" i="9"/>
  <c r="G179" i="9"/>
  <c r="F179" i="9"/>
  <c r="I178" i="9"/>
  <c r="H178" i="9"/>
  <c r="G178" i="9"/>
  <c r="F178" i="9"/>
  <c r="I177" i="9"/>
  <c r="H177" i="9"/>
  <c r="G177" i="9"/>
  <c r="F177" i="9"/>
  <c r="I176" i="9"/>
  <c r="H176" i="9"/>
  <c r="G176" i="9"/>
  <c r="F176" i="9"/>
  <c r="I175" i="9"/>
  <c r="H175" i="9"/>
  <c r="G175" i="9"/>
  <c r="F175" i="9"/>
  <c r="I174" i="9"/>
  <c r="H174" i="9"/>
  <c r="G174" i="9"/>
  <c r="F174" i="9"/>
  <c r="I173" i="9"/>
  <c r="H173" i="9"/>
  <c r="G173" i="9"/>
  <c r="F173" i="9"/>
  <c r="I172" i="9"/>
  <c r="H172" i="9"/>
  <c r="G172" i="9"/>
  <c r="F172" i="9"/>
  <c r="I171" i="9"/>
  <c r="H171" i="9"/>
  <c r="G171" i="9"/>
  <c r="F171" i="9"/>
  <c r="I170" i="9"/>
  <c r="H170" i="9"/>
  <c r="G170" i="9"/>
  <c r="F170" i="9"/>
  <c r="I169" i="9"/>
  <c r="H169" i="9"/>
  <c r="G169" i="9"/>
  <c r="F169" i="9"/>
  <c r="I168" i="9"/>
  <c r="H168" i="9"/>
  <c r="G168" i="9"/>
  <c r="F168" i="9"/>
  <c r="I167" i="9"/>
  <c r="H167" i="9"/>
  <c r="G167" i="9"/>
  <c r="F167" i="9"/>
  <c r="I166" i="9"/>
  <c r="H166" i="9"/>
  <c r="G166" i="9"/>
  <c r="F166" i="9"/>
  <c r="I165" i="9"/>
  <c r="H165" i="9"/>
  <c r="G165" i="9"/>
  <c r="F165" i="9"/>
  <c r="I164" i="9"/>
  <c r="H164" i="9"/>
  <c r="G164" i="9"/>
  <c r="F164" i="9"/>
  <c r="I163" i="9"/>
  <c r="H163" i="9"/>
  <c r="G163" i="9"/>
  <c r="F163" i="9"/>
  <c r="I162" i="9"/>
  <c r="H162" i="9"/>
  <c r="G162" i="9"/>
  <c r="F162" i="9"/>
  <c r="I161" i="9"/>
  <c r="H161" i="9"/>
  <c r="G161" i="9"/>
  <c r="F161" i="9"/>
  <c r="I160" i="9"/>
  <c r="H160" i="9"/>
  <c r="G160" i="9"/>
  <c r="F160" i="9"/>
  <c r="I159" i="9"/>
  <c r="H159" i="9"/>
  <c r="G159" i="9"/>
  <c r="F159" i="9"/>
  <c r="I158" i="9"/>
  <c r="H158" i="9"/>
  <c r="G158" i="9"/>
  <c r="F158" i="9"/>
  <c r="I157" i="9"/>
  <c r="H157" i="9"/>
  <c r="G157" i="9"/>
  <c r="F157" i="9"/>
  <c r="I156" i="9"/>
  <c r="H156" i="9"/>
  <c r="G156" i="9"/>
  <c r="F156" i="9"/>
  <c r="I155" i="9"/>
  <c r="H155" i="9"/>
  <c r="G155" i="9"/>
  <c r="F155" i="9"/>
  <c r="I154" i="9"/>
  <c r="H154" i="9"/>
  <c r="G154" i="9"/>
  <c r="F154" i="9"/>
  <c r="I153" i="9"/>
  <c r="H153" i="9"/>
  <c r="G153" i="9"/>
  <c r="F153" i="9"/>
  <c r="I152" i="9"/>
  <c r="H152" i="9"/>
  <c r="G152" i="9"/>
  <c r="F152" i="9"/>
  <c r="I151" i="9"/>
  <c r="H151" i="9"/>
  <c r="G151" i="9"/>
  <c r="F151" i="9"/>
  <c r="I150" i="9"/>
  <c r="H150" i="9"/>
  <c r="G150" i="9"/>
  <c r="F150" i="9"/>
  <c r="I149" i="9"/>
  <c r="H149" i="9"/>
  <c r="G149" i="9"/>
  <c r="F149" i="9"/>
  <c r="I148" i="9"/>
  <c r="H148" i="9"/>
  <c r="G148" i="9"/>
  <c r="F148" i="9"/>
  <c r="I147" i="9"/>
  <c r="H147" i="9"/>
  <c r="G147" i="9"/>
  <c r="F147" i="9"/>
  <c r="I146" i="9"/>
  <c r="H146" i="9"/>
  <c r="G146" i="9"/>
  <c r="F146" i="9"/>
  <c r="I145" i="9"/>
  <c r="H145" i="9"/>
  <c r="G145" i="9"/>
  <c r="F145" i="9"/>
  <c r="I144" i="9"/>
  <c r="H144" i="9"/>
  <c r="G144" i="9"/>
  <c r="F144" i="9"/>
  <c r="I143" i="9"/>
  <c r="H143" i="9"/>
  <c r="G143" i="9"/>
  <c r="F143" i="9"/>
  <c r="I142" i="9"/>
  <c r="H142" i="9"/>
  <c r="G142" i="9"/>
  <c r="F142" i="9"/>
  <c r="I141" i="9"/>
  <c r="H141" i="9"/>
  <c r="G141" i="9"/>
  <c r="F141" i="9"/>
  <c r="I140" i="9"/>
  <c r="H140" i="9"/>
  <c r="G140" i="9"/>
  <c r="F140" i="9"/>
  <c r="I139" i="9"/>
  <c r="H139" i="9"/>
  <c r="G139" i="9"/>
  <c r="F139" i="9"/>
  <c r="I138" i="9"/>
  <c r="H138" i="9"/>
  <c r="G138" i="9"/>
  <c r="F138" i="9"/>
  <c r="I137" i="9"/>
  <c r="H137" i="9"/>
  <c r="G137" i="9"/>
  <c r="F137" i="9"/>
  <c r="I136" i="9"/>
  <c r="H136" i="9"/>
  <c r="G136" i="9"/>
  <c r="F136" i="9"/>
  <c r="I135" i="9"/>
  <c r="H135" i="9"/>
  <c r="G135" i="9"/>
  <c r="F135" i="9"/>
  <c r="I134" i="9"/>
  <c r="H134" i="9"/>
  <c r="G134" i="9"/>
  <c r="F134" i="9"/>
  <c r="I133" i="9"/>
  <c r="H133" i="9"/>
  <c r="G133" i="9"/>
  <c r="F133" i="9"/>
  <c r="I132" i="9"/>
  <c r="H132" i="9"/>
  <c r="G132" i="9"/>
  <c r="F132" i="9"/>
  <c r="I131" i="9"/>
  <c r="H131" i="9"/>
  <c r="G131" i="9"/>
  <c r="F131" i="9"/>
  <c r="I130" i="9"/>
  <c r="H130" i="9"/>
  <c r="G130" i="9"/>
  <c r="F130" i="9"/>
  <c r="I129" i="9"/>
  <c r="H129" i="9"/>
  <c r="G129" i="9"/>
  <c r="F129" i="9"/>
  <c r="I128" i="9"/>
  <c r="H128" i="9"/>
  <c r="G128" i="9"/>
  <c r="F128" i="9"/>
  <c r="I127" i="9"/>
  <c r="H127" i="9"/>
  <c r="G127" i="9"/>
  <c r="F127" i="9"/>
  <c r="I126" i="9"/>
  <c r="H126" i="9"/>
  <c r="G126" i="9"/>
  <c r="F126" i="9"/>
  <c r="I125" i="9"/>
  <c r="H125" i="9"/>
  <c r="G125" i="9"/>
  <c r="F125" i="9"/>
  <c r="I124" i="9"/>
  <c r="H124" i="9"/>
  <c r="G124" i="9"/>
  <c r="F124" i="9"/>
  <c r="I123" i="9"/>
  <c r="H123" i="9"/>
  <c r="G123" i="9"/>
  <c r="F123" i="9"/>
  <c r="I122" i="9"/>
  <c r="H122" i="9"/>
  <c r="G122" i="9"/>
  <c r="F122" i="9"/>
  <c r="I121" i="9"/>
  <c r="H121" i="9"/>
  <c r="G121" i="9"/>
  <c r="F121" i="9"/>
  <c r="I120" i="9"/>
  <c r="H120" i="9"/>
  <c r="G120" i="9"/>
  <c r="F120" i="9"/>
  <c r="I119" i="9"/>
  <c r="H119" i="9"/>
  <c r="G119" i="9"/>
  <c r="F119" i="9"/>
  <c r="I118" i="9"/>
  <c r="H118" i="9"/>
  <c r="G118" i="9"/>
  <c r="F118" i="9"/>
  <c r="I117" i="9"/>
  <c r="H117" i="9"/>
  <c r="G117" i="9"/>
  <c r="F117" i="9"/>
  <c r="I116" i="9"/>
  <c r="H116" i="9"/>
  <c r="G116" i="9"/>
  <c r="F116" i="9"/>
  <c r="I115" i="9"/>
  <c r="H115" i="9"/>
  <c r="G115" i="9"/>
  <c r="F115" i="9"/>
  <c r="I114" i="9"/>
  <c r="H114" i="9"/>
  <c r="G114" i="9"/>
  <c r="F114" i="9"/>
  <c r="I113" i="9"/>
  <c r="H113" i="9"/>
  <c r="G113" i="9"/>
  <c r="F113" i="9"/>
  <c r="I112" i="9"/>
  <c r="H112" i="9"/>
  <c r="G112" i="9"/>
  <c r="F112" i="9"/>
  <c r="I111" i="9"/>
  <c r="H111" i="9"/>
  <c r="G111" i="9"/>
  <c r="F111" i="9"/>
  <c r="I110" i="9"/>
  <c r="H110" i="9"/>
  <c r="G110" i="9"/>
  <c r="F110" i="9"/>
  <c r="I109" i="9"/>
  <c r="H109" i="9"/>
  <c r="G109" i="9"/>
  <c r="F109" i="9"/>
  <c r="I108" i="9"/>
  <c r="H108" i="9"/>
  <c r="G108" i="9"/>
  <c r="F108" i="9"/>
  <c r="I107" i="9"/>
  <c r="H107" i="9"/>
  <c r="G107" i="9"/>
  <c r="F107" i="9"/>
  <c r="I106" i="9"/>
  <c r="H106" i="9"/>
  <c r="G106" i="9"/>
  <c r="F106" i="9"/>
  <c r="I105" i="9"/>
  <c r="H105" i="9"/>
  <c r="G105" i="9"/>
  <c r="F105" i="9"/>
  <c r="I104" i="9"/>
  <c r="H104" i="9"/>
  <c r="G104" i="9"/>
  <c r="F104" i="9"/>
  <c r="I103" i="9"/>
  <c r="H103" i="9"/>
  <c r="G103" i="9"/>
  <c r="F103" i="9"/>
  <c r="I102" i="9"/>
  <c r="H102" i="9"/>
  <c r="G102" i="9"/>
  <c r="F102" i="9"/>
  <c r="I101" i="9"/>
  <c r="H101" i="9"/>
  <c r="G101" i="9"/>
  <c r="F101" i="9"/>
  <c r="I100" i="9"/>
  <c r="H100" i="9"/>
  <c r="G100" i="9"/>
  <c r="F100" i="9"/>
  <c r="I99" i="9"/>
  <c r="H99" i="9"/>
  <c r="G99" i="9"/>
  <c r="F99" i="9"/>
  <c r="I98" i="9"/>
  <c r="H98" i="9"/>
  <c r="G98" i="9"/>
  <c r="F98" i="9"/>
  <c r="I97" i="9"/>
  <c r="H97" i="9"/>
  <c r="G97" i="9"/>
  <c r="F97" i="9"/>
  <c r="I96" i="9"/>
  <c r="H96" i="9"/>
  <c r="G96" i="9"/>
  <c r="F96" i="9"/>
  <c r="I95" i="9"/>
  <c r="H95" i="9"/>
  <c r="G95" i="9"/>
  <c r="F95" i="9"/>
  <c r="I94" i="9"/>
  <c r="H94" i="9"/>
  <c r="G94" i="9"/>
  <c r="F94" i="9"/>
  <c r="I93" i="9"/>
  <c r="H93" i="9"/>
  <c r="G93" i="9"/>
  <c r="F93" i="9"/>
  <c r="I92" i="9"/>
  <c r="H92" i="9"/>
  <c r="G92" i="9"/>
  <c r="F92" i="9"/>
  <c r="I91" i="9"/>
  <c r="H91" i="9"/>
  <c r="G91" i="9"/>
  <c r="F91" i="9"/>
  <c r="I90" i="9"/>
  <c r="H90" i="9"/>
  <c r="G90" i="9"/>
  <c r="F90" i="9"/>
  <c r="I89" i="9"/>
  <c r="H89" i="9"/>
  <c r="G89" i="9"/>
  <c r="F89" i="9"/>
  <c r="I88" i="9"/>
  <c r="H88" i="9"/>
  <c r="G88" i="9"/>
  <c r="F88" i="9"/>
  <c r="I87" i="9"/>
  <c r="H87" i="9"/>
  <c r="G87" i="9"/>
  <c r="F87" i="9"/>
  <c r="I86" i="9"/>
  <c r="H86" i="9"/>
  <c r="G86" i="9"/>
  <c r="F86" i="9"/>
  <c r="I85" i="9"/>
  <c r="H85" i="9"/>
  <c r="G85" i="9"/>
  <c r="F85" i="9"/>
  <c r="I84" i="9"/>
  <c r="H84" i="9"/>
  <c r="G84" i="9"/>
  <c r="F84" i="9"/>
  <c r="I83" i="9"/>
  <c r="H83" i="9"/>
  <c r="G83" i="9"/>
  <c r="F83" i="9"/>
  <c r="I82" i="9"/>
  <c r="H82" i="9"/>
  <c r="G82" i="9"/>
  <c r="F82" i="9"/>
  <c r="I81" i="9"/>
  <c r="H81" i="9"/>
  <c r="G81" i="9"/>
  <c r="F81" i="9"/>
  <c r="I80" i="9"/>
  <c r="H80" i="9"/>
  <c r="G80" i="9"/>
  <c r="F80" i="9"/>
  <c r="I79" i="9"/>
  <c r="H79" i="9"/>
  <c r="G79" i="9"/>
  <c r="F79" i="9"/>
  <c r="I78" i="9"/>
  <c r="H78" i="9"/>
  <c r="G78" i="9"/>
  <c r="F78" i="9"/>
  <c r="I77" i="9"/>
  <c r="H77" i="9"/>
  <c r="G77" i="9"/>
  <c r="F77" i="9"/>
  <c r="I76" i="9"/>
  <c r="H76" i="9"/>
  <c r="G76" i="9"/>
  <c r="F76" i="9"/>
  <c r="I75" i="9"/>
  <c r="H75" i="9"/>
  <c r="G75" i="9"/>
  <c r="F75" i="9"/>
  <c r="I74" i="9"/>
  <c r="H74" i="9"/>
  <c r="G74" i="9"/>
  <c r="F74" i="9"/>
  <c r="I73" i="9"/>
  <c r="H73" i="9"/>
  <c r="G73" i="9"/>
  <c r="F73" i="9"/>
  <c r="I72" i="9"/>
  <c r="H72" i="9"/>
  <c r="G72" i="9"/>
  <c r="F72" i="9"/>
  <c r="I71" i="9"/>
  <c r="H71" i="9"/>
  <c r="G71" i="9"/>
  <c r="F71" i="9"/>
  <c r="I70" i="9"/>
  <c r="H70" i="9"/>
  <c r="G70" i="9"/>
  <c r="F70" i="9"/>
  <c r="I69" i="9"/>
  <c r="H69" i="9"/>
  <c r="G69" i="9"/>
  <c r="F69" i="9"/>
  <c r="I68" i="9"/>
  <c r="H68" i="9"/>
  <c r="G68" i="9"/>
  <c r="F68" i="9"/>
  <c r="I67" i="9"/>
  <c r="H67" i="9"/>
  <c r="G67" i="9"/>
  <c r="F67" i="9"/>
  <c r="I66" i="9"/>
  <c r="H66" i="9"/>
  <c r="G66" i="9"/>
  <c r="F66" i="9"/>
  <c r="I65" i="9"/>
  <c r="H65" i="9"/>
  <c r="G65" i="9"/>
  <c r="F65" i="9"/>
  <c r="I64" i="9"/>
  <c r="H64" i="9"/>
  <c r="G64" i="9"/>
  <c r="F64" i="9"/>
  <c r="I63" i="9"/>
  <c r="H63" i="9"/>
  <c r="G63" i="9"/>
  <c r="F63" i="9"/>
  <c r="I62" i="9"/>
  <c r="H62" i="9"/>
  <c r="G62" i="9"/>
  <c r="F62" i="9"/>
  <c r="I61" i="9"/>
  <c r="H61" i="9"/>
  <c r="G61" i="9"/>
  <c r="F61" i="9"/>
  <c r="I60" i="9"/>
  <c r="H60" i="9"/>
  <c r="G60" i="9"/>
  <c r="F60" i="9"/>
  <c r="I59" i="9"/>
  <c r="H59" i="9"/>
  <c r="G59" i="9"/>
  <c r="F59" i="9"/>
  <c r="I58" i="9"/>
  <c r="H58" i="9"/>
  <c r="G58" i="9"/>
  <c r="F58" i="9"/>
  <c r="I57" i="9"/>
  <c r="H57" i="9"/>
  <c r="G57" i="9"/>
  <c r="F57" i="9"/>
  <c r="I56" i="9"/>
  <c r="H56" i="9"/>
  <c r="G56" i="9"/>
  <c r="F56" i="9"/>
  <c r="I55" i="9"/>
  <c r="H55" i="9"/>
  <c r="G55" i="9"/>
  <c r="F55" i="9"/>
  <c r="I54" i="9"/>
  <c r="H54" i="9"/>
  <c r="G54" i="9"/>
  <c r="F54" i="9"/>
  <c r="I53" i="9"/>
  <c r="H53" i="9"/>
  <c r="G53" i="9"/>
  <c r="F53" i="9"/>
  <c r="I52" i="9"/>
  <c r="H52" i="9"/>
  <c r="G52" i="9"/>
  <c r="F52" i="9"/>
  <c r="I51" i="9"/>
  <c r="H51" i="9"/>
  <c r="G51" i="9"/>
  <c r="F51" i="9"/>
  <c r="I50" i="9"/>
  <c r="H50" i="9"/>
  <c r="G50" i="9"/>
  <c r="F50" i="9"/>
  <c r="I49" i="9"/>
  <c r="H49" i="9"/>
  <c r="G49" i="9"/>
  <c r="F49" i="9"/>
  <c r="I48" i="9"/>
  <c r="H48" i="9"/>
  <c r="G48" i="9"/>
  <c r="F48" i="9"/>
  <c r="I47" i="9"/>
  <c r="H47" i="9"/>
  <c r="G47" i="9"/>
  <c r="F47" i="9"/>
  <c r="I46" i="9"/>
  <c r="H46" i="9"/>
  <c r="G46" i="9"/>
  <c r="F46" i="9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" i="8"/>
  <c r="G4" i="8" s="1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I47" i="7"/>
  <c r="H47" i="7"/>
  <c r="G47" i="7"/>
  <c r="F47" i="7"/>
  <c r="E47" i="7"/>
  <c r="D47" i="7"/>
  <c r="C47" i="7"/>
  <c r="B47" i="7"/>
  <c r="L46" i="7"/>
  <c r="L37" i="7"/>
  <c r="J36" i="7"/>
  <c r="L36" i="7" s="1"/>
  <c r="L35" i="7"/>
  <c r="L34" i="7"/>
  <c r="L33" i="7"/>
  <c r="L32" i="7"/>
  <c r="J31" i="7"/>
  <c r="L31" i="7" s="1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N7" i="7" s="1"/>
  <c r="L6" i="7"/>
  <c r="N6" i="7" s="1"/>
  <c r="L5" i="7"/>
  <c r="N5" i="7" s="1"/>
  <c r="L4" i="7"/>
  <c r="G538" i="6"/>
  <c r="F538" i="6"/>
  <c r="E538" i="6"/>
  <c r="J537" i="6"/>
  <c r="J536" i="6"/>
  <c r="J535" i="6"/>
  <c r="J534" i="6"/>
  <c r="J533" i="6"/>
  <c r="J532" i="6"/>
  <c r="J531" i="6"/>
  <c r="J530" i="6"/>
  <c r="J529" i="6"/>
  <c r="J528" i="6"/>
  <c r="J527" i="6"/>
  <c r="J526" i="6"/>
  <c r="J525" i="6"/>
  <c r="J524" i="6"/>
  <c r="J523" i="6"/>
  <c r="J522" i="6"/>
  <c r="J521" i="6"/>
  <c r="J520" i="6"/>
  <c r="J519" i="6"/>
  <c r="J518" i="6"/>
  <c r="J517" i="6"/>
  <c r="J516" i="6"/>
  <c r="J515" i="6"/>
  <c r="J514" i="6"/>
  <c r="J513" i="6"/>
  <c r="J512" i="6"/>
  <c r="J511" i="6"/>
  <c r="J510" i="6"/>
  <c r="J509" i="6"/>
  <c r="J508" i="6"/>
  <c r="J507" i="6"/>
  <c r="J506" i="6"/>
  <c r="J505" i="6"/>
  <c r="J504" i="6"/>
  <c r="J503" i="6"/>
  <c r="J502" i="6"/>
  <c r="J501" i="6"/>
  <c r="J500" i="6"/>
  <c r="J499" i="6"/>
  <c r="J498" i="6"/>
  <c r="J497" i="6"/>
  <c r="J496" i="6"/>
  <c r="J495" i="6"/>
  <c r="J494" i="6"/>
  <c r="J493" i="6"/>
  <c r="J492" i="6"/>
  <c r="J491" i="6"/>
  <c r="J490" i="6"/>
  <c r="J489" i="6"/>
  <c r="J488" i="6"/>
  <c r="J487" i="6"/>
  <c r="J486" i="6"/>
  <c r="J485" i="6"/>
  <c r="J484" i="6"/>
  <c r="J483" i="6"/>
  <c r="J482" i="6"/>
  <c r="J481" i="6"/>
  <c r="J480" i="6"/>
  <c r="J479" i="6"/>
  <c r="J478" i="6"/>
  <c r="J477" i="6"/>
  <c r="J476" i="6"/>
  <c r="J475" i="6"/>
  <c r="J474" i="6"/>
  <c r="J473" i="6"/>
  <c r="J472" i="6"/>
  <c r="J471" i="6"/>
  <c r="J470" i="6"/>
  <c r="J469" i="6"/>
  <c r="J468" i="6"/>
  <c r="J467" i="6"/>
  <c r="J466" i="6"/>
  <c r="J465" i="6"/>
  <c r="J464" i="6"/>
  <c r="J463" i="6"/>
  <c r="J462" i="6"/>
  <c r="J461" i="6"/>
  <c r="J460" i="6"/>
  <c r="J459" i="6"/>
  <c r="J458" i="6"/>
  <c r="J457" i="6"/>
  <c r="J456" i="6"/>
  <c r="J455" i="6"/>
  <c r="J454" i="6"/>
  <c r="J453" i="6"/>
  <c r="J452" i="6"/>
  <c r="J451" i="6"/>
  <c r="J450" i="6"/>
  <c r="J449" i="6"/>
  <c r="J448" i="6"/>
  <c r="J447" i="6"/>
  <c r="J446" i="6"/>
  <c r="J445" i="6"/>
  <c r="J444" i="6"/>
  <c r="J443" i="6"/>
  <c r="J442" i="6"/>
  <c r="J441" i="6"/>
  <c r="J440" i="6"/>
  <c r="J439" i="6"/>
  <c r="J438" i="6"/>
  <c r="J437" i="6"/>
  <c r="J436" i="6"/>
  <c r="L435" i="6"/>
  <c r="J435" i="6"/>
  <c r="L434" i="6"/>
  <c r="J434" i="6"/>
  <c r="J433" i="6"/>
  <c r="J432" i="6"/>
  <c r="J431" i="6"/>
  <c r="J430" i="6"/>
  <c r="J429" i="6"/>
  <c r="J428" i="6"/>
  <c r="J427" i="6"/>
  <c r="J426" i="6"/>
  <c r="J425" i="6"/>
  <c r="J424" i="6"/>
  <c r="J423" i="6"/>
  <c r="J422" i="6"/>
  <c r="J421" i="6"/>
  <c r="H420" i="6"/>
  <c r="J420" i="6" s="1"/>
  <c r="J419" i="6"/>
  <c r="J418" i="6"/>
  <c r="J417" i="6"/>
  <c r="J416" i="6"/>
  <c r="J415" i="6"/>
  <c r="J414" i="6"/>
  <c r="J413" i="6"/>
  <c r="J412" i="6"/>
  <c r="J411" i="6"/>
  <c r="J410" i="6"/>
  <c r="J409" i="6"/>
  <c r="J408" i="6"/>
  <c r="J407" i="6"/>
  <c r="J406" i="6"/>
  <c r="J405" i="6"/>
  <c r="J404" i="6"/>
  <c r="J403" i="6"/>
  <c r="J402" i="6"/>
  <c r="J401" i="6"/>
  <c r="J400" i="6"/>
  <c r="J399" i="6"/>
  <c r="J398" i="6"/>
  <c r="J397" i="6"/>
  <c r="J396" i="6"/>
  <c r="J395" i="6"/>
  <c r="J394" i="6"/>
  <c r="J393" i="6"/>
  <c r="H392" i="6"/>
  <c r="M32" i="7" s="1"/>
  <c r="J391" i="6"/>
  <c r="J390" i="6"/>
  <c r="J389" i="6"/>
  <c r="J388" i="6"/>
  <c r="J387" i="6"/>
  <c r="J386" i="6"/>
  <c r="J385" i="6"/>
  <c r="J384" i="6"/>
  <c r="J383" i="6"/>
  <c r="J382" i="6"/>
  <c r="J381" i="6"/>
  <c r="J380" i="6"/>
  <c r="J379" i="6"/>
  <c r="J378" i="6"/>
  <c r="J377" i="6"/>
  <c r="J376" i="6"/>
  <c r="J375" i="6"/>
  <c r="J374" i="6"/>
  <c r="J373" i="6"/>
  <c r="J372" i="6"/>
  <c r="J371" i="6"/>
  <c r="J370" i="6"/>
  <c r="J369" i="6"/>
  <c r="J368" i="6"/>
  <c r="J367" i="6"/>
  <c r="J366" i="6"/>
  <c r="J365" i="6"/>
  <c r="J364" i="6"/>
  <c r="J363" i="6"/>
  <c r="J362" i="6"/>
  <c r="J361" i="6"/>
  <c r="J360" i="6"/>
  <c r="J359" i="6"/>
  <c r="J358" i="6"/>
  <c r="J357" i="6"/>
  <c r="J356" i="6"/>
  <c r="J355" i="6"/>
  <c r="J354" i="6"/>
  <c r="J353" i="6"/>
  <c r="J352" i="6"/>
  <c r="J349" i="6"/>
  <c r="J348" i="6"/>
  <c r="J347" i="6"/>
  <c r="J346" i="6"/>
  <c r="J345" i="6"/>
  <c r="J344" i="6"/>
  <c r="J343" i="6"/>
  <c r="J342" i="6"/>
  <c r="J341" i="6"/>
  <c r="J340" i="6"/>
  <c r="J339" i="6"/>
  <c r="J338" i="6"/>
  <c r="J337" i="6"/>
  <c r="J336" i="6"/>
  <c r="J334" i="6"/>
  <c r="J333" i="6"/>
  <c r="J332" i="6"/>
  <c r="J331" i="6"/>
  <c r="J330" i="6"/>
  <c r="J329" i="6"/>
  <c r="J328" i="6"/>
  <c r="J327" i="6"/>
  <c r="J326" i="6"/>
  <c r="J325" i="6"/>
  <c r="J324" i="6"/>
  <c r="J323" i="6"/>
  <c r="J322" i="6"/>
  <c r="J319" i="6"/>
  <c r="J318" i="6"/>
  <c r="J317" i="6"/>
  <c r="J316" i="6"/>
  <c r="J315" i="6"/>
  <c r="J314" i="6"/>
  <c r="J313" i="6"/>
  <c r="J312" i="6"/>
  <c r="J311" i="6"/>
  <c r="J310" i="6"/>
  <c r="J309" i="6"/>
  <c r="J308" i="6"/>
  <c r="J307" i="6"/>
  <c r="J305" i="6"/>
  <c r="J304" i="6"/>
  <c r="J303" i="6"/>
  <c r="J302" i="6"/>
  <c r="J301" i="6"/>
  <c r="J300" i="6"/>
  <c r="J299" i="6"/>
  <c r="J298" i="6"/>
  <c r="J297" i="6"/>
  <c r="J296" i="6"/>
  <c r="J295" i="6"/>
  <c r="J294" i="6"/>
  <c r="J292" i="6"/>
  <c r="J291" i="6"/>
  <c r="J290" i="6"/>
  <c r="J289" i="6"/>
  <c r="J288" i="6"/>
  <c r="J287" i="6"/>
  <c r="J286" i="6"/>
  <c r="J285" i="6"/>
  <c r="J284" i="6"/>
  <c r="J283" i="6"/>
  <c r="J282" i="6"/>
  <c r="J281" i="6"/>
  <c r="J280" i="6"/>
  <c r="J279" i="6"/>
  <c r="J278" i="6"/>
  <c r="J277" i="6"/>
  <c r="J276" i="6"/>
  <c r="J275" i="6"/>
  <c r="J274" i="6"/>
  <c r="J273" i="6"/>
  <c r="J272" i="6"/>
  <c r="J271" i="6"/>
  <c r="J270" i="6"/>
  <c r="J269" i="6"/>
  <c r="J268" i="6"/>
  <c r="J267" i="6"/>
  <c r="J266" i="6"/>
  <c r="J263" i="6"/>
  <c r="J262" i="6"/>
  <c r="J261" i="6"/>
  <c r="J260" i="6"/>
  <c r="J259" i="6"/>
  <c r="J258" i="6"/>
  <c r="J257" i="6"/>
  <c r="J256" i="6"/>
  <c r="J255" i="6"/>
  <c r="J254" i="6"/>
  <c r="J253" i="6"/>
  <c r="J252" i="6"/>
  <c r="J250" i="6"/>
  <c r="J249" i="6"/>
  <c r="J248" i="6"/>
  <c r="J247" i="6"/>
  <c r="J246" i="6"/>
  <c r="J245" i="6"/>
  <c r="J244" i="6"/>
  <c r="J243" i="6"/>
  <c r="J242" i="6"/>
  <c r="J241" i="6"/>
  <c r="J240" i="6"/>
  <c r="J239" i="6"/>
  <c r="J238" i="6"/>
  <c r="J237" i="6"/>
  <c r="J236" i="6"/>
  <c r="J235" i="6"/>
  <c r="J233" i="6"/>
  <c r="J232" i="6"/>
  <c r="J231" i="6"/>
  <c r="J230" i="6"/>
  <c r="J229" i="6"/>
  <c r="J228" i="6"/>
  <c r="J227" i="6"/>
  <c r="J226" i="6"/>
  <c r="J225" i="6"/>
  <c r="J224" i="6"/>
  <c r="J223" i="6"/>
  <c r="J222" i="6"/>
  <c r="J221" i="6"/>
  <c r="J220" i="6"/>
  <c r="J219" i="6"/>
  <c r="J218" i="6"/>
  <c r="J217" i="6"/>
  <c r="J216" i="6"/>
  <c r="J215" i="6"/>
  <c r="J214" i="6"/>
  <c r="J213" i="6"/>
  <c r="J212" i="6"/>
  <c r="J211" i="6"/>
  <c r="J210" i="6"/>
  <c r="J209" i="6"/>
  <c r="J206" i="6"/>
  <c r="J205" i="6"/>
  <c r="J204" i="6"/>
  <c r="J203" i="6"/>
  <c r="J202" i="6"/>
  <c r="J201" i="6"/>
  <c r="J200" i="6"/>
  <c r="J199" i="6"/>
  <c r="J198" i="6"/>
  <c r="J197" i="6"/>
  <c r="J196" i="6"/>
  <c r="J195" i="6"/>
  <c r="J193" i="6"/>
  <c r="J192" i="6"/>
  <c r="J191" i="6"/>
  <c r="J190" i="6"/>
  <c r="J189" i="6"/>
  <c r="J188" i="6"/>
  <c r="J187" i="6"/>
  <c r="J186" i="6"/>
  <c r="J185" i="6"/>
  <c r="J184" i="6"/>
  <c r="J183" i="6"/>
  <c r="J182" i="6"/>
  <c r="J181" i="6"/>
  <c r="J179" i="6"/>
  <c r="J178" i="6"/>
  <c r="J177" i="6"/>
  <c r="J176" i="6"/>
  <c r="J175" i="6"/>
  <c r="J174" i="6"/>
  <c r="J173" i="6"/>
  <c r="J172" i="6"/>
  <c r="J171" i="6"/>
  <c r="J170" i="6"/>
  <c r="J168" i="6"/>
  <c r="J167" i="6"/>
  <c r="J166" i="6"/>
  <c r="J165" i="6"/>
  <c r="J164" i="6"/>
  <c r="J163" i="6"/>
  <c r="J162" i="6"/>
  <c r="J161" i="6"/>
  <c r="J160" i="6"/>
  <c r="J159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3" i="6"/>
  <c r="J12" i="6"/>
  <c r="J11" i="6"/>
  <c r="J10" i="6"/>
  <c r="J9" i="6"/>
  <c r="J8" i="6"/>
  <c r="J7" i="6"/>
  <c r="J6" i="6"/>
  <c r="J5" i="6"/>
  <c r="J4" i="6"/>
  <c r="J3" i="6"/>
  <c r="M634" i="5"/>
  <c r="N633" i="5"/>
  <c r="L633" i="5"/>
  <c r="J633" i="5"/>
  <c r="N632" i="5"/>
  <c r="L632" i="5"/>
  <c r="J632" i="5"/>
  <c r="N631" i="5"/>
  <c r="L631" i="5"/>
  <c r="J631" i="5"/>
  <c r="N630" i="5"/>
  <c r="L630" i="5"/>
  <c r="J630" i="5"/>
  <c r="N629" i="5"/>
  <c r="L629" i="5"/>
  <c r="J629" i="5"/>
  <c r="N628" i="5"/>
  <c r="L628" i="5"/>
  <c r="J628" i="5"/>
  <c r="N627" i="5"/>
  <c r="L627" i="5"/>
  <c r="J627" i="5"/>
  <c r="N626" i="5"/>
  <c r="L626" i="5"/>
  <c r="J626" i="5"/>
  <c r="N625" i="5"/>
  <c r="L625" i="5"/>
  <c r="J625" i="5"/>
  <c r="N624" i="5"/>
  <c r="L624" i="5"/>
  <c r="J624" i="5"/>
  <c r="N623" i="5"/>
  <c r="L623" i="5"/>
  <c r="J623" i="5"/>
  <c r="N622" i="5"/>
  <c r="L622" i="5"/>
  <c r="J622" i="5"/>
  <c r="N621" i="5"/>
  <c r="L621" i="5"/>
  <c r="J621" i="5"/>
  <c r="N620" i="5"/>
  <c r="L620" i="5"/>
  <c r="J620" i="5"/>
  <c r="N619" i="5"/>
  <c r="L619" i="5"/>
  <c r="J619" i="5"/>
  <c r="N618" i="5"/>
  <c r="L618" i="5"/>
  <c r="J618" i="5"/>
  <c r="N617" i="5"/>
  <c r="L617" i="5"/>
  <c r="J617" i="5"/>
  <c r="N616" i="5"/>
  <c r="L616" i="5"/>
  <c r="J616" i="5"/>
  <c r="N615" i="5"/>
  <c r="L615" i="5"/>
  <c r="J615" i="5"/>
  <c r="N614" i="5"/>
  <c r="L614" i="5"/>
  <c r="J614" i="5"/>
  <c r="N613" i="5"/>
  <c r="L613" i="5"/>
  <c r="J613" i="5"/>
  <c r="N612" i="5"/>
  <c r="L612" i="5"/>
  <c r="J612" i="5"/>
  <c r="N611" i="5"/>
  <c r="L611" i="5"/>
  <c r="J611" i="5"/>
  <c r="N610" i="5"/>
  <c r="L610" i="5"/>
  <c r="J610" i="5"/>
  <c r="N609" i="5"/>
  <c r="L609" i="5"/>
  <c r="J609" i="5"/>
  <c r="N608" i="5"/>
  <c r="L608" i="5"/>
  <c r="J608" i="5"/>
  <c r="N607" i="5"/>
  <c r="L607" i="5"/>
  <c r="J607" i="5"/>
  <c r="N606" i="5"/>
  <c r="L606" i="5"/>
  <c r="J606" i="5"/>
  <c r="N605" i="5"/>
  <c r="L605" i="5"/>
  <c r="J605" i="5"/>
  <c r="N604" i="5"/>
  <c r="L604" i="5"/>
  <c r="J604" i="5"/>
  <c r="N603" i="5"/>
  <c r="L603" i="5"/>
  <c r="J603" i="5"/>
  <c r="N602" i="5"/>
  <c r="L602" i="5"/>
  <c r="J602" i="5"/>
  <c r="N601" i="5"/>
  <c r="L601" i="5"/>
  <c r="J601" i="5"/>
  <c r="N600" i="5"/>
  <c r="L600" i="5"/>
  <c r="J600" i="5"/>
  <c r="N599" i="5"/>
  <c r="L599" i="5"/>
  <c r="J599" i="5"/>
  <c r="N598" i="5"/>
  <c r="L598" i="5"/>
  <c r="J598" i="5"/>
  <c r="N597" i="5"/>
  <c r="L597" i="5"/>
  <c r="J597" i="5"/>
  <c r="N596" i="5"/>
  <c r="L596" i="5"/>
  <c r="J596" i="5"/>
  <c r="N595" i="5"/>
  <c r="L595" i="5"/>
  <c r="J595" i="5"/>
  <c r="N594" i="5"/>
  <c r="L594" i="5"/>
  <c r="J594" i="5"/>
  <c r="N593" i="5"/>
  <c r="L593" i="5"/>
  <c r="J593" i="5"/>
  <c r="N592" i="5"/>
  <c r="L592" i="5"/>
  <c r="J592" i="5"/>
  <c r="N591" i="5"/>
  <c r="L591" i="5"/>
  <c r="J591" i="5"/>
  <c r="N590" i="5"/>
  <c r="L590" i="5"/>
  <c r="J590" i="5"/>
  <c r="N589" i="5"/>
  <c r="L589" i="5"/>
  <c r="J589" i="5"/>
  <c r="N588" i="5"/>
  <c r="L588" i="5"/>
  <c r="J588" i="5"/>
  <c r="N587" i="5"/>
  <c r="L587" i="5"/>
  <c r="J587" i="5"/>
  <c r="N586" i="5"/>
  <c r="L586" i="5"/>
  <c r="J586" i="5"/>
  <c r="N585" i="5"/>
  <c r="L585" i="5"/>
  <c r="J585" i="5"/>
  <c r="N584" i="5"/>
  <c r="L584" i="5"/>
  <c r="J584" i="5"/>
  <c r="N583" i="5"/>
  <c r="L583" i="5"/>
  <c r="J583" i="5"/>
  <c r="N582" i="5"/>
  <c r="L582" i="5"/>
  <c r="J582" i="5"/>
  <c r="N581" i="5"/>
  <c r="L581" i="5"/>
  <c r="J581" i="5"/>
  <c r="N580" i="5"/>
  <c r="L580" i="5"/>
  <c r="J580" i="5"/>
  <c r="N579" i="5"/>
  <c r="L579" i="5"/>
  <c r="J579" i="5"/>
  <c r="N578" i="5"/>
  <c r="L578" i="5"/>
  <c r="J578" i="5"/>
  <c r="N577" i="5"/>
  <c r="L577" i="5"/>
  <c r="J577" i="5"/>
  <c r="N576" i="5"/>
  <c r="L576" i="5"/>
  <c r="J576" i="5"/>
  <c r="N575" i="5"/>
  <c r="L575" i="5"/>
  <c r="J575" i="5"/>
  <c r="N574" i="5"/>
  <c r="L574" i="5"/>
  <c r="J574" i="5"/>
  <c r="N573" i="5"/>
  <c r="L573" i="5"/>
  <c r="J573" i="5"/>
  <c r="N572" i="5"/>
  <c r="L572" i="5"/>
  <c r="J572" i="5"/>
  <c r="N571" i="5"/>
  <c r="L571" i="5"/>
  <c r="J571" i="5"/>
  <c r="N570" i="5"/>
  <c r="L570" i="5"/>
  <c r="J570" i="5"/>
  <c r="N569" i="5"/>
  <c r="L569" i="5"/>
  <c r="J569" i="5"/>
  <c r="N568" i="5"/>
  <c r="L568" i="5"/>
  <c r="J568" i="5"/>
  <c r="N567" i="5"/>
  <c r="L567" i="5"/>
  <c r="J567" i="5"/>
  <c r="N566" i="5"/>
  <c r="L566" i="5"/>
  <c r="J566" i="5"/>
  <c r="N565" i="5"/>
  <c r="L565" i="5"/>
  <c r="J565" i="5"/>
  <c r="N564" i="5"/>
  <c r="L564" i="5"/>
  <c r="J564" i="5"/>
  <c r="N563" i="5"/>
  <c r="L563" i="5"/>
  <c r="J563" i="5"/>
  <c r="N562" i="5"/>
  <c r="L562" i="5"/>
  <c r="J562" i="5"/>
  <c r="N561" i="5"/>
  <c r="L561" i="5"/>
  <c r="J561" i="5"/>
  <c r="N560" i="5"/>
  <c r="L560" i="5"/>
  <c r="J560" i="5"/>
  <c r="N559" i="5"/>
  <c r="L559" i="5"/>
  <c r="J559" i="5"/>
  <c r="N558" i="5"/>
  <c r="L558" i="5"/>
  <c r="J558" i="5"/>
  <c r="N557" i="5"/>
  <c r="L557" i="5"/>
  <c r="J557" i="5"/>
  <c r="N556" i="5"/>
  <c r="L556" i="5"/>
  <c r="J556" i="5"/>
  <c r="N555" i="5"/>
  <c r="L555" i="5"/>
  <c r="J555" i="5"/>
  <c r="N554" i="5"/>
  <c r="L554" i="5"/>
  <c r="J554" i="5"/>
  <c r="N553" i="5"/>
  <c r="L553" i="5"/>
  <c r="J553" i="5"/>
  <c r="N552" i="5"/>
  <c r="L552" i="5"/>
  <c r="J552" i="5"/>
  <c r="N551" i="5"/>
  <c r="L551" i="5"/>
  <c r="J551" i="5"/>
  <c r="N550" i="5"/>
  <c r="L550" i="5"/>
  <c r="J550" i="5"/>
  <c r="N549" i="5"/>
  <c r="L549" i="5"/>
  <c r="J549" i="5"/>
  <c r="N548" i="5"/>
  <c r="L548" i="5"/>
  <c r="J548" i="5"/>
  <c r="N547" i="5"/>
  <c r="L547" i="5"/>
  <c r="J547" i="5"/>
  <c r="N546" i="5"/>
  <c r="L546" i="5"/>
  <c r="J546" i="5"/>
  <c r="N545" i="5"/>
  <c r="L545" i="5"/>
  <c r="J545" i="5"/>
  <c r="N544" i="5"/>
  <c r="L544" i="5"/>
  <c r="J544" i="5"/>
  <c r="N543" i="5"/>
  <c r="L543" i="5"/>
  <c r="J543" i="5"/>
  <c r="N542" i="5"/>
  <c r="L542" i="5"/>
  <c r="J542" i="5"/>
  <c r="N541" i="5"/>
  <c r="L541" i="5"/>
  <c r="J541" i="5"/>
  <c r="N540" i="5"/>
  <c r="L540" i="5"/>
  <c r="J540" i="5"/>
  <c r="N539" i="5"/>
  <c r="L539" i="5"/>
  <c r="J539" i="5"/>
  <c r="N538" i="5"/>
  <c r="L538" i="5"/>
  <c r="J538" i="5"/>
  <c r="N537" i="5"/>
  <c r="L537" i="5"/>
  <c r="J537" i="5"/>
  <c r="N536" i="5"/>
  <c r="L536" i="5"/>
  <c r="J536" i="5"/>
  <c r="N535" i="5"/>
  <c r="L535" i="5"/>
  <c r="J535" i="5"/>
  <c r="N534" i="5"/>
  <c r="L534" i="5"/>
  <c r="J534" i="5"/>
  <c r="N533" i="5"/>
  <c r="L533" i="5"/>
  <c r="J533" i="5"/>
  <c r="N532" i="5"/>
  <c r="L532" i="5"/>
  <c r="J532" i="5"/>
  <c r="N531" i="5"/>
  <c r="L531" i="5"/>
  <c r="J531" i="5"/>
  <c r="N530" i="5"/>
  <c r="L530" i="5"/>
  <c r="J530" i="5"/>
  <c r="N529" i="5"/>
  <c r="L529" i="5"/>
  <c r="J529" i="5"/>
  <c r="N528" i="5"/>
  <c r="L528" i="5"/>
  <c r="J528" i="5"/>
  <c r="N527" i="5"/>
  <c r="L527" i="5"/>
  <c r="J527" i="5"/>
  <c r="N526" i="5"/>
  <c r="L526" i="5"/>
  <c r="J526" i="5"/>
  <c r="N525" i="5"/>
  <c r="L525" i="5"/>
  <c r="J525" i="5"/>
  <c r="N524" i="5"/>
  <c r="L524" i="5"/>
  <c r="J524" i="5"/>
  <c r="N523" i="5"/>
  <c r="L523" i="5"/>
  <c r="J523" i="5"/>
  <c r="N522" i="5"/>
  <c r="L522" i="5"/>
  <c r="J522" i="5"/>
  <c r="N521" i="5"/>
  <c r="L521" i="5"/>
  <c r="J521" i="5"/>
  <c r="N520" i="5"/>
  <c r="L520" i="5"/>
  <c r="J520" i="5"/>
  <c r="N519" i="5"/>
  <c r="L519" i="5"/>
  <c r="J519" i="5"/>
  <c r="N518" i="5"/>
  <c r="L518" i="5"/>
  <c r="J518" i="5"/>
  <c r="N517" i="5"/>
  <c r="L517" i="5"/>
  <c r="J517" i="5"/>
  <c r="N516" i="5"/>
  <c r="L516" i="5"/>
  <c r="J516" i="5"/>
  <c r="N515" i="5"/>
  <c r="L515" i="5"/>
  <c r="J515" i="5"/>
  <c r="N514" i="5"/>
  <c r="L514" i="5"/>
  <c r="J514" i="5"/>
  <c r="N513" i="5"/>
  <c r="L513" i="5"/>
  <c r="J513" i="5"/>
  <c r="N512" i="5"/>
  <c r="L512" i="5"/>
  <c r="J512" i="5"/>
  <c r="N511" i="5"/>
  <c r="L511" i="5"/>
  <c r="J511" i="5"/>
  <c r="N510" i="5"/>
  <c r="L510" i="5"/>
  <c r="J510" i="5"/>
  <c r="N509" i="5"/>
  <c r="L509" i="5"/>
  <c r="J509" i="5"/>
  <c r="N508" i="5"/>
  <c r="L508" i="5"/>
  <c r="J508" i="5"/>
  <c r="N507" i="5"/>
  <c r="L507" i="5"/>
  <c r="J507" i="5"/>
  <c r="N506" i="5"/>
  <c r="L506" i="5"/>
  <c r="J506" i="5"/>
  <c r="N505" i="5"/>
  <c r="L505" i="5"/>
  <c r="J505" i="5"/>
  <c r="N504" i="5"/>
  <c r="L504" i="5"/>
  <c r="J504" i="5"/>
  <c r="N503" i="5"/>
  <c r="L503" i="5"/>
  <c r="J503" i="5"/>
  <c r="N502" i="5"/>
  <c r="L502" i="5"/>
  <c r="J502" i="5"/>
  <c r="N501" i="5"/>
  <c r="L501" i="5"/>
  <c r="J501" i="5"/>
  <c r="N500" i="5"/>
  <c r="L500" i="5"/>
  <c r="J500" i="5"/>
  <c r="N499" i="5"/>
  <c r="L499" i="5"/>
  <c r="J499" i="5"/>
  <c r="N498" i="5"/>
  <c r="L498" i="5"/>
  <c r="J498" i="5"/>
  <c r="N497" i="5"/>
  <c r="L497" i="5"/>
  <c r="J497" i="5"/>
  <c r="N496" i="5"/>
  <c r="L496" i="5"/>
  <c r="J496" i="5"/>
  <c r="N495" i="5"/>
  <c r="L495" i="5"/>
  <c r="J495" i="5"/>
  <c r="N494" i="5"/>
  <c r="L494" i="5"/>
  <c r="J494" i="5"/>
  <c r="N493" i="5"/>
  <c r="L493" i="5"/>
  <c r="J493" i="5"/>
  <c r="N492" i="5"/>
  <c r="L492" i="5"/>
  <c r="J492" i="5"/>
  <c r="N491" i="5"/>
  <c r="L491" i="5"/>
  <c r="J491" i="5"/>
  <c r="N490" i="5"/>
  <c r="L490" i="5"/>
  <c r="J490" i="5"/>
  <c r="N489" i="5"/>
  <c r="L489" i="5"/>
  <c r="J489" i="5"/>
  <c r="N488" i="5"/>
  <c r="L488" i="5"/>
  <c r="J488" i="5"/>
  <c r="N487" i="5"/>
  <c r="L487" i="5"/>
  <c r="J487" i="5"/>
  <c r="N486" i="5"/>
  <c r="L486" i="5"/>
  <c r="J486" i="5"/>
  <c r="N485" i="5"/>
  <c r="L485" i="5"/>
  <c r="J485" i="5"/>
  <c r="N484" i="5"/>
  <c r="L484" i="5"/>
  <c r="J484" i="5"/>
  <c r="N483" i="5"/>
  <c r="L483" i="5"/>
  <c r="J483" i="5"/>
  <c r="N482" i="5"/>
  <c r="L482" i="5"/>
  <c r="J482" i="5"/>
  <c r="N481" i="5"/>
  <c r="L481" i="5"/>
  <c r="J481" i="5"/>
  <c r="N480" i="5"/>
  <c r="L480" i="5"/>
  <c r="J480" i="5"/>
  <c r="N479" i="5"/>
  <c r="L479" i="5"/>
  <c r="J479" i="5"/>
  <c r="N478" i="5"/>
  <c r="L478" i="5"/>
  <c r="J478" i="5"/>
  <c r="N477" i="5"/>
  <c r="L477" i="5"/>
  <c r="J477" i="5"/>
  <c r="N476" i="5"/>
  <c r="L476" i="5"/>
  <c r="J476" i="5"/>
  <c r="N475" i="5"/>
  <c r="L475" i="5"/>
  <c r="J475" i="5"/>
  <c r="N474" i="5"/>
  <c r="L474" i="5"/>
  <c r="J474" i="5"/>
  <c r="N473" i="5"/>
  <c r="L473" i="5"/>
  <c r="J473" i="5"/>
  <c r="N472" i="5"/>
  <c r="L472" i="5"/>
  <c r="J472" i="5"/>
  <c r="N471" i="5"/>
  <c r="L471" i="5"/>
  <c r="J471" i="5"/>
  <c r="N470" i="5"/>
  <c r="L470" i="5"/>
  <c r="J470" i="5"/>
  <c r="N469" i="5"/>
  <c r="L469" i="5"/>
  <c r="J469" i="5"/>
  <c r="N468" i="5"/>
  <c r="L468" i="5"/>
  <c r="J468" i="5"/>
  <c r="N467" i="5"/>
  <c r="L467" i="5"/>
  <c r="J467" i="5"/>
  <c r="N466" i="5"/>
  <c r="L466" i="5"/>
  <c r="J466" i="5"/>
  <c r="N465" i="5"/>
  <c r="L465" i="5"/>
  <c r="J465" i="5"/>
  <c r="N464" i="5"/>
  <c r="L464" i="5"/>
  <c r="J464" i="5"/>
  <c r="N463" i="5"/>
  <c r="L463" i="5"/>
  <c r="J463" i="5"/>
  <c r="N462" i="5"/>
  <c r="L462" i="5"/>
  <c r="J462" i="5"/>
  <c r="N461" i="5"/>
  <c r="L461" i="5"/>
  <c r="J461" i="5"/>
  <c r="N460" i="5"/>
  <c r="L460" i="5"/>
  <c r="J460" i="5"/>
  <c r="N459" i="5"/>
  <c r="L459" i="5"/>
  <c r="J459" i="5"/>
  <c r="N458" i="5"/>
  <c r="L458" i="5"/>
  <c r="J458" i="5"/>
  <c r="N457" i="5"/>
  <c r="L457" i="5"/>
  <c r="J457" i="5"/>
  <c r="N456" i="5"/>
  <c r="L456" i="5"/>
  <c r="J456" i="5"/>
  <c r="N455" i="5"/>
  <c r="L455" i="5"/>
  <c r="J455" i="5"/>
  <c r="N454" i="5"/>
  <c r="L454" i="5"/>
  <c r="J454" i="5"/>
  <c r="N453" i="5"/>
  <c r="L453" i="5"/>
  <c r="J453" i="5"/>
  <c r="N452" i="5"/>
  <c r="L452" i="5"/>
  <c r="J452" i="5"/>
  <c r="N451" i="5"/>
  <c r="L451" i="5"/>
  <c r="J451" i="5"/>
  <c r="N450" i="5"/>
  <c r="L450" i="5"/>
  <c r="J450" i="5"/>
  <c r="N449" i="5"/>
  <c r="L449" i="5"/>
  <c r="J449" i="5"/>
  <c r="N448" i="5"/>
  <c r="L448" i="5"/>
  <c r="J448" i="5"/>
  <c r="N447" i="5"/>
  <c r="L447" i="5"/>
  <c r="J447" i="5"/>
  <c r="N446" i="5"/>
  <c r="L446" i="5"/>
  <c r="J446" i="5"/>
  <c r="N445" i="5"/>
  <c r="L445" i="5"/>
  <c r="J445" i="5"/>
  <c r="N444" i="5"/>
  <c r="L444" i="5"/>
  <c r="J444" i="5"/>
  <c r="N443" i="5"/>
  <c r="L443" i="5"/>
  <c r="J443" i="5"/>
  <c r="N442" i="5"/>
  <c r="L442" i="5"/>
  <c r="J442" i="5"/>
  <c r="N441" i="5"/>
  <c r="L441" i="5"/>
  <c r="J441" i="5"/>
  <c r="N440" i="5"/>
  <c r="L440" i="5"/>
  <c r="J440" i="5"/>
  <c r="N439" i="5"/>
  <c r="L439" i="5"/>
  <c r="J439" i="5"/>
  <c r="N438" i="5"/>
  <c r="L438" i="5"/>
  <c r="J438" i="5"/>
  <c r="N437" i="5"/>
  <c r="L437" i="5"/>
  <c r="J437" i="5"/>
  <c r="N436" i="5"/>
  <c r="L436" i="5"/>
  <c r="J436" i="5"/>
  <c r="N435" i="5"/>
  <c r="L435" i="5"/>
  <c r="J435" i="5"/>
  <c r="N434" i="5"/>
  <c r="L434" i="5"/>
  <c r="J434" i="5"/>
  <c r="N433" i="5"/>
  <c r="L433" i="5"/>
  <c r="J433" i="5"/>
  <c r="N432" i="5"/>
  <c r="L432" i="5"/>
  <c r="J432" i="5"/>
  <c r="N431" i="5"/>
  <c r="L431" i="5"/>
  <c r="J431" i="5"/>
  <c r="N430" i="5"/>
  <c r="L430" i="5"/>
  <c r="J430" i="5"/>
  <c r="N429" i="5"/>
  <c r="L429" i="5"/>
  <c r="J429" i="5"/>
  <c r="N428" i="5"/>
  <c r="L428" i="5"/>
  <c r="J428" i="5"/>
  <c r="N427" i="5"/>
  <c r="L427" i="5"/>
  <c r="J427" i="5"/>
  <c r="N426" i="5"/>
  <c r="L426" i="5"/>
  <c r="J426" i="5"/>
  <c r="N425" i="5"/>
  <c r="L425" i="5"/>
  <c r="J425" i="5"/>
  <c r="N424" i="5"/>
  <c r="L424" i="5"/>
  <c r="J424" i="5"/>
  <c r="N423" i="5"/>
  <c r="L423" i="5"/>
  <c r="J423" i="5"/>
  <c r="N422" i="5"/>
  <c r="L422" i="5"/>
  <c r="J422" i="5"/>
  <c r="N421" i="5"/>
  <c r="L421" i="5"/>
  <c r="J421" i="5"/>
  <c r="N420" i="5"/>
  <c r="L420" i="5"/>
  <c r="J420" i="5"/>
  <c r="N419" i="5"/>
  <c r="L419" i="5"/>
  <c r="J419" i="5"/>
  <c r="N418" i="5"/>
  <c r="L418" i="5"/>
  <c r="J418" i="5"/>
  <c r="N417" i="5"/>
  <c r="L417" i="5"/>
  <c r="J417" i="5"/>
  <c r="N416" i="5"/>
  <c r="L416" i="5"/>
  <c r="J416" i="5"/>
  <c r="N415" i="5"/>
  <c r="L415" i="5"/>
  <c r="J415" i="5"/>
  <c r="N414" i="5"/>
  <c r="L414" i="5"/>
  <c r="J414" i="5"/>
  <c r="N413" i="5"/>
  <c r="L413" i="5"/>
  <c r="J413" i="5"/>
  <c r="N412" i="5"/>
  <c r="L412" i="5"/>
  <c r="J412" i="5"/>
  <c r="N411" i="5"/>
  <c r="L411" i="5"/>
  <c r="J411" i="5"/>
  <c r="N410" i="5"/>
  <c r="L410" i="5"/>
  <c r="J410" i="5"/>
  <c r="N409" i="5"/>
  <c r="L409" i="5"/>
  <c r="J409" i="5"/>
  <c r="N408" i="5"/>
  <c r="L408" i="5"/>
  <c r="J408" i="5"/>
  <c r="N407" i="5"/>
  <c r="L407" i="5"/>
  <c r="J407" i="5"/>
  <c r="N406" i="5"/>
  <c r="L406" i="5"/>
  <c r="J406" i="5"/>
  <c r="N405" i="5"/>
  <c r="L405" i="5"/>
  <c r="J405" i="5"/>
  <c r="N404" i="5"/>
  <c r="L404" i="5"/>
  <c r="J404" i="5"/>
  <c r="N403" i="5"/>
  <c r="L403" i="5"/>
  <c r="J403" i="5"/>
  <c r="N402" i="5"/>
  <c r="L402" i="5"/>
  <c r="J402" i="5"/>
  <c r="N401" i="5"/>
  <c r="L401" i="5"/>
  <c r="J401" i="5"/>
  <c r="N400" i="5"/>
  <c r="L400" i="5"/>
  <c r="J400" i="5"/>
  <c r="N399" i="5"/>
  <c r="L399" i="5"/>
  <c r="J399" i="5"/>
  <c r="N398" i="5"/>
  <c r="L398" i="5"/>
  <c r="J398" i="5"/>
  <c r="N397" i="5"/>
  <c r="L397" i="5"/>
  <c r="J397" i="5"/>
  <c r="N396" i="5"/>
  <c r="L396" i="5"/>
  <c r="J396" i="5"/>
  <c r="N395" i="5"/>
  <c r="L395" i="5"/>
  <c r="J395" i="5"/>
  <c r="N394" i="5"/>
  <c r="L394" i="5"/>
  <c r="J394" i="5"/>
  <c r="N393" i="5"/>
  <c r="L393" i="5"/>
  <c r="J393" i="5"/>
  <c r="N392" i="5"/>
  <c r="L392" i="5"/>
  <c r="J392" i="5"/>
  <c r="N391" i="5"/>
  <c r="L391" i="5"/>
  <c r="J391" i="5"/>
  <c r="N390" i="5"/>
  <c r="L390" i="5"/>
  <c r="J390" i="5"/>
  <c r="N389" i="5"/>
  <c r="L389" i="5"/>
  <c r="J389" i="5"/>
  <c r="N388" i="5"/>
  <c r="L388" i="5"/>
  <c r="J388" i="5"/>
  <c r="N387" i="5"/>
  <c r="L387" i="5"/>
  <c r="J387" i="5"/>
  <c r="N386" i="5"/>
  <c r="L386" i="5"/>
  <c r="J386" i="5"/>
  <c r="N385" i="5"/>
  <c r="L385" i="5"/>
  <c r="J385" i="5"/>
  <c r="N384" i="5"/>
  <c r="L384" i="5"/>
  <c r="J384" i="5"/>
  <c r="N383" i="5"/>
  <c r="L383" i="5"/>
  <c r="J383" i="5"/>
  <c r="N382" i="5"/>
  <c r="L382" i="5"/>
  <c r="J382" i="5"/>
  <c r="N381" i="5"/>
  <c r="L381" i="5"/>
  <c r="J381" i="5"/>
  <c r="N380" i="5"/>
  <c r="L380" i="5"/>
  <c r="J380" i="5"/>
  <c r="N379" i="5"/>
  <c r="L379" i="5"/>
  <c r="J379" i="5"/>
  <c r="N378" i="5"/>
  <c r="L378" i="5"/>
  <c r="J378" i="5"/>
  <c r="N377" i="5"/>
  <c r="L377" i="5"/>
  <c r="J377" i="5"/>
  <c r="N376" i="5"/>
  <c r="L376" i="5"/>
  <c r="J376" i="5"/>
  <c r="N375" i="5"/>
  <c r="L375" i="5"/>
  <c r="J375" i="5"/>
  <c r="N374" i="5"/>
  <c r="L374" i="5"/>
  <c r="J374" i="5"/>
  <c r="N373" i="5"/>
  <c r="L373" i="5"/>
  <c r="J373" i="5"/>
  <c r="N372" i="5"/>
  <c r="L372" i="5"/>
  <c r="J372" i="5"/>
  <c r="N371" i="5"/>
  <c r="L371" i="5"/>
  <c r="J371" i="5"/>
  <c r="N370" i="5"/>
  <c r="L370" i="5"/>
  <c r="J370" i="5"/>
  <c r="N369" i="5"/>
  <c r="L369" i="5"/>
  <c r="J369" i="5"/>
  <c r="N368" i="5"/>
  <c r="L368" i="5"/>
  <c r="J368" i="5"/>
  <c r="N367" i="5"/>
  <c r="L367" i="5"/>
  <c r="J367" i="5"/>
  <c r="N366" i="5"/>
  <c r="L366" i="5"/>
  <c r="J366" i="5"/>
  <c r="N365" i="5"/>
  <c r="L365" i="5"/>
  <c r="J365" i="5"/>
  <c r="N364" i="5"/>
  <c r="L364" i="5"/>
  <c r="J364" i="5"/>
  <c r="N363" i="5"/>
  <c r="L363" i="5"/>
  <c r="J363" i="5"/>
  <c r="N362" i="5"/>
  <c r="L362" i="5"/>
  <c r="J362" i="5"/>
  <c r="N361" i="5"/>
  <c r="L361" i="5"/>
  <c r="J361" i="5"/>
  <c r="N360" i="5"/>
  <c r="L360" i="5"/>
  <c r="J360" i="5"/>
  <c r="N359" i="5"/>
  <c r="L359" i="5"/>
  <c r="J359" i="5"/>
  <c r="N358" i="5"/>
  <c r="L358" i="5"/>
  <c r="J358" i="5"/>
  <c r="N357" i="5"/>
  <c r="L357" i="5"/>
  <c r="J357" i="5"/>
  <c r="N356" i="5"/>
  <c r="L356" i="5"/>
  <c r="J356" i="5"/>
  <c r="N355" i="5"/>
  <c r="L355" i="5"/>
  <c r="J355" i="5"/>
  <c r="N354" i="5"/>
  <c r="L354" i="5"/>
  <c r="J354" i="5"/>
  <c r="N353" i="5"/>
  <c r="L353" i="5"/>
  <c r="J353" i="5"/>
  <c r="N352" i="5"/>
  <c r="L352" i="5"/>
  <c r="J352" i="5"/>
  <c r="N351" i="5"/>
  <c r="L351" i="5"/>
  <c r="J351" i="5"/>
  <c r="N350" i="5"/>
  <c r="L350" i="5"/>
  <c r="J350" i="5"/>
  <c r="N349" i="5"/>
  <c r="L349" i="5"/>
  <c r="J349" i="5"/>
  <c r="N348" i="5"/>
  <c r="L348" i="5"/>
  <c r="J348" i="5"/>
  <c r="N347" i="5"/>
  <c r="L347" i="5"/>
  <c r="J347" i="5"/>
  <c r="N346" i="5"/>
  <c r="L346" i="5"/>
  <c r="J346" i="5"/>
  <c r="N345" i="5"/>
  <c r="L345" i="5"/>
  <c r="J345" i="5"/>
  <c r="N344" i="5"/>
  <c r="L344" i="5"/>
  <c r="J344" i="5"/>
  <c r="N343" i="5"/>
  <c r="L343" i="5"/>
  <c r="J343" i="5"/>
  <c r="N342" i="5"/>
  <c r="L342" i="5"/>
  <c r="J342" i="5"/>
  <c r="N341" i="5"/>
  <c r="L341" i="5"/>
  <c r="J341" i="5"/>
  <c r="N340" i="5"/>
  <c r="L340" i="5"/>
  <c r="J340" i="5"/>
  <c r="N339" i="5"/>
  <c r="L339" i="5"/>
  <c r="J339" i="5"/>
  <c r="N338" i="5"/>
  <c r="L338" i="5"/>
  <c r="J338" i="5"/>
  <c r="N337" i="5"/>
  <c r="L337" i="5"/>
  <c r="J337" i="5"/>
  <c r="N336" i="5"/>
  <c r="L336" i="5"/>
  <c r="J336" i="5"/>
  <c r="N335" i="5"/>
  <c r="L335" i="5"/>
  <c r="J335" i="5"/>
  <c r="N334" i="5"/>
  <c r="L334" i="5"/>
  <c r="J334" i="5"/>
  <c r="N333" i="5"/>
  <c r="L333" i="5"/>
  <c r="J333" i="5"/>
  <c r="N332" i="5"/>
  <c r="L332" i="5"/>
  <c r="J332" i="5"/>
  <c r="N331" i="5"/>
  <c r="L331" i="5"/>
  <c r="J331" i="5"/>
  <c r="N330" i="5"/>
  <c r="L330" i="5"/>
  <c r="J330" i="5"/>
  <c r="N329" i="5"/>
  <c r="L329" i="5"/>
  <c r="J329" i="5"/>
  <c r="N328" i="5"/>
  <c r="L328" i="5"/>
  <c r="J328" i="5"/>
  <c r="N327" i="5"/>
  <c r="L327" i="5"/>
  <c r="J327" i="5"/>
  <c r="N326" i="5"/>
  <c r="L326" i="5"/>
  <c r="J326" i="5"/>
  <c r="N325" i="5"/>
  <c r="L325" i="5"/>
  <c r="J325" i="5"/>
  <c r="N324" i="5"/>
  <c r="L324" i="5"/>
  <c r="J324" i="5"/>
  <c r="N323" i="5"/>
  <c r="L323" i="5"/>
  <c r="J323" i="5"/>
  <c r="N322" i="5"/>
  <c r="L322" i="5"/>
  <c r="J322" i="5"/>
  <c r="N321" i="5"/>
  <c r="L321" i="5"/>
  <c r="J321" i="5"/>
  <c r="N320" i="5"/>
  <c r="L320" i="5"/>
  <c r="J320" i="5"/>
  <c r="N319" i="5"/>
  <c r="L319" i="5"/>
  <c r="J319" i="5"/>
  <c r="N318" i="5"/>
  <c r="L318" i="5"/>
  <c r="J318" i="5"/>
  <c r="N317" i="5"/>
  <c r="L317" i="5"/>
  <c r="J317" i="5"/>
  <c r="N316" i="5"/>
  <c r="L316" i="5"/>
  <c r="J316" i="5"/>
  <c r="N315" i="5"/>
  <c r="L315" i="5"/>
  <c r="J315" i="5"/>
  <c r="N314" i="5"/>
  <c r="L314" i="5"/>
  <c r="J314" i="5"/>
  <c r="N313" i="5"/>
  <c r="L313" i="5"/>
  <c r="J313" i="5"/>
  <c r="N312" i="5"/>
  <c r="L312" i="5"/>
  <c r="J312" i="5"/>
  <c r="N311" i="5"/>
  <c r="L311" i="5"/>
  <c r="J311" i="5"/>
  <c r="N310" i="5"/>
  <c r="L310" i="5"/>
  <c r="J310" i="5"/>
  <c r="N309" i="5"/>
  <c r="L309" i="5"/>
  <c r="J309" i="5"/>
  <c r="N308" i="5"/>
  <c r="L308" i="5"/>
  <c r="J308" i="5"/>
  <c r="N307" i="5"/>
  <c r="L307" i="5"/>
  <c r="J307" i="5"/>
  <c r="N306" i="5"/>
  <c r="L306" i="5"/>
  <c r="J306" i="5"/>
  <c r="N305" i="5"/>
  <c r="L305" i="5"/>
  <c r="J305" i="5"/>
  <c r="N304" i="5"/>
  <c r="L304" i="5"/>
  <c r="J304" i="5"/>
  <c r="N303" i="5"/>
  <c r="L303" i="5"/>
  <c r="J303" i="5"/>
  <c r="N302" i="5"/>
  <c r="L302" i="5"/>
  <c r="J302" i="5"/>
  <c r="N301" i="5"/>
  <c r="L301" i="5"/>
  <c r="J301" i="5"/>
  <c r="N300" i="5"/>
  <c r="L300" i="5"/>
  <c r="J300" i="5"/>
  <c r="N299" i="5"/>
  <c r="L299" i="5"/>
  <c r="J299" i="5"/>
  <c r="N298" i="5"/>
  <c r="L298" i="5"/>
  <c r="J298" i="5"/>
  <c r="N297" i="5"/>
  <c r="L297" i="5"/>
  <c r="J297" i="5"/>
  <c r="N296" i="5"/>
  <c r="L296" i="5"/>
  <c r="J296" i="5"/>
  <c r="N295" i="5"/>
  <c r="L295" i="5"/>
  <c r="J295" i="5"/>
  <c r="N294" i="5"/>
  <c r="L294" i="5"/>
  <c r="J294" i="5"/>
  <c r="N293" i="5"/>
  <c r="L293" i="5"/>
  <c r="J293" i="5"/>
  <c r="N292" i="5"/>
  <c r="L292" i="5"/>
  <c r="J292" i="5"/>
  <c r="N291" i="5"/>
  <c r="L291" i="5"/>
  <c r="J291" i="5"/>
  <c r="N290" i="5"/>
  <c r="L290" i="5"/>
  <c r="J290" i="5"/>
  <c r="N289" i="5"/>
  <c r="L289" i="5"/>
  <c r="J289" i="5"/>
  <c r="N288" i="5"/>
  <c r="L288" i="5"/>
  <c r="J288" i="5"/>
  <c r="N287" i="5"/>
  <c r="L287" i="5"/>
  <c r="J287" i="5"/>
  <c r="N286" i="5"/>
  <c r="L286" i="5"/>
  <c r="J286" i="5"/>
  <c r="N285" i="5"/>
  <c r="L285" i="5"/>
  <c r="J285" i="5"/>
  <c r="N284" i="5"/>
  <c r="L284" i="5"/>
  <c r="J284" i="5"/>
  <c r="N283" i="5"/>
  <c r="L283" i="5"/>
  <c r="J283" i="5"/>
  <c r="N282" i="5"/>
  <c r="L282" i="5"/>
  <c r="J282" i="5"/>
  <c r="N281" i="5"/>
  <c r="L281" i="5"/>
  <c r="J281" i="5"/>
  <c r="N280" i="5"/>
  <c r="L280" i="5"/>
  <c r="J280" i="5"/>
  <c r="N279" i="5"/>
  <c r="L279" i="5"/>
  <c r="J279" i="5"/>
  <c r="N278" i="5"/>
  <c r="L278" i="5"/>
  <c r="J278" i="5"/>
  <c r="N277" i="5"/>
  <c r="L277" i="5"/>
  <c r="J277" i="5"/>
  <c r="N276" i="5"/>
  <c r="L276" i="5"/>
  <c r="J276" i="5"/>
  <c r="N275" i="5"/>
  <c r="L275" i="5"/>
  <c r="J275" i="5"/>
  <c r="N274" i="5"/>
  <c r="L274" i="5"/>
  <c r="J274" i="5"/>
  <c r="N273" i="5"/>
  <c r="L273" i="5"/>
  <c r="J273" i="5"/>
  <c r="N272" i="5"/>
  <c r="L272" i="5"/>
  <c r="J272" i="5"/>
  <c r="N271" i="5"/>
  <c r="L271" i="5"/>
  <c r="J271" i="5"/>
  <c r="N270" i="5"/>
  <c r="L270" i="5"/>
  <c r="J270" i="5"/>
  <c r="N269" i="5"/>
  <c r="L269" i="5"/>
  <c r="J269" i="5"/>
  <c r="N268" i="5"/>
  <c r="L268" i="5"/>
  <c r="J268" i="5"/>
  <c r="N267" i="5"/>
  <c r="L267" i="5"/>
  <c r="J267" i="5"/>
  <c r="N266" i="5"/>
  <c r="L266" i="5"/>
  <c r="J266" i="5"/>
  <c r="N265" i="5"/>
  <c r="L265" i="5"/>
  <c r="J265" i="5"/>
  <c r="N264" i="5"/>
  <c r="L264" i="5"/>
  <c r="J264" i="5"/>
  <c r="N263" i="5"/>
  <c r="L263" i="5"/>
  <c r="J263" i="5"/>
  <c r="N262" i="5"/>
  <c r="L262" i="5"/>
  <c r="J262" i="5"/>
  <c r="N261" i="5"/>
  <c r="L261" i="5"/>
  <c r="J261" i="5"/>
  <c r="N260" i="5"/>
  <c r="L260" i="5"/>
  <c r="J260" i="5"/>
  <c r="N259" i="5"/>
  <c r="L259" i="5"/>
  <c r="J259" i="5"/>
  <c r="N258" i="5"/>
  <c r="L258" i="5"/>
  <c r="J258" i="5"/>
  <c r="N257" i="5"/>
  <c r="L257" i="5"/>
  <c r="J257" i="5"/>
  <c r="N256" i="5"/>
  <c r="L256" i="5"/>
  <c r="J256" i="5"/>
  <c r="N255" i="5"/>
  <c r="L255" i="5"/>
  <c r="J255" i="5"/>
  <c r="N254" i="5"/>
  <c r="L254" i="5"/>
  <c r="J254" i="5"/>
  <c r="N253" i="5"/>
  <c r="L253" i="5"/>
  <c r="J253" i="5"/>
  <c r="N252" i="5"/>
  <c r="L252" i="5"/>
  <c r="J252" i="5"/>
  <c r="N251" i="5"/>
  <c r="L251" i="5"/>
  <c r="J251" i="5"/>
  <c r="N250" i="5"/>
  <c r="L250" i="5"/>
  <c r="J250" i="5"/>
  <c r="N249" i="5"/>
  <c r="L249" i="5"/>
  <c r="J249" i="5"/>
  <c r="N248" i="5"/>
  <c r="L248" i="5"/>
  <c r="J248" i="5"/>
  <c r="N247" i="5"/>
  <c r="L247" i="5"/>
  <c r="J247" i="5"/>
  <c r="N246" i="5"/>
  <c r="L246" i="5"/>
  <c r="J246" i="5"/>
  <c r="N245" i="5"/>
  <c r="L245" i="5"/>
  <c r="J245" i="5"/>
  <c r="N244" i="5"/>
  <c r="L244" i="5"/>
  <c r="J244" i="5"/>
  <c r="N243" i="5"/>
  <c r="L243" i="5"/>
  <c r="J243" i="5"/>
  <c r="N242" i="5"/>
  <c r="L242" i="5"/>
  <c r="J242" i="5"/>
  <c r="N241" i="5"/>
  <c r="L241" i="5"/>
  <c r="J241" i="5"/>
  <c r="N240" i="5"/>
  <c r="L240" i="5"/>
  <c r="J240" i="5"/>
  <c r="N239" i="5"/>
  <c r="L239" i="5"/>
  <c r="J239" i="5"/>
  <c r="N238" i="5"/>
  <c r="L238" i="5"/>
  <c r="J238" i="5"/>
  <c r="N237" i="5"/>
  <c r="L237" i="5"/>
  <c r="J237" i="5"/>
  <c r="N236" i="5"/>
  <c r="L236" i="5"/>
  <c r="J236" i="5"/>
  <c r="N235" i="5"/>
  <c r="L235" i="5"/>
  <c r="J235" i="5"/>
  <c r="N234" i="5"/>
  <c r="L234" i="5"/>
  <c r="J234" i="5"/>
  <c r="N233" i="5"/>
  <c r="L233" i="5"/>
  <c r="J233" i="5"/>
  <c r="N232" i="5"/>
  <c r="L232" i="5"/>
  <c r="J232" i="5"/>
  <c r="N231" i="5"/>
  <c r="L231" i="5"/>
  <c r="J231" i="5"/>
  <c r="N230" i="5"/>
  <c r="L230" i="5"/>
  <c r="J230" i="5"/>
  <c r="N229" i="5"/>
  <c r="L229" i="5"/>
  <c r="J229" i="5"/>
  <c r="N228" i="5"/>
  <c r="L228" i="5"/>
  <c r="J228" i="5"/>
  <c r="N227" i="5"/>
  <c r="L227" i="5"/>
  <c r="J227" i="5"/>
  <c r="N226" i="5"/>
  <c r="L226" i="5"/>
  <c r="J226" i="5"/>
  <c r="N225" i="5"/>
  <c r="L225" i="5"/>
  <c r="J225" i="5"/>
  <c r="N224" i="5"/>
  <c r="L224" i="5"/>
  <c r="J224" i="5"/>
  <c r="N223" i="5"/>
  <c r="L223" i="5"/>
  <c r="J223" i="5"/>
  <c r="N222" i="5"/>
  <c r="L222" i="5"/>
  <c r="J222" i="5"/>
  <c r="N221" i="5"/>
  <c r="L221" i="5"/>
  <c r="J221" i="5"/>
  <c r="N220" i="5"/>
  <c r="L220" i="5"/>
  <c r="J220" i="5"/>
  <c r="N219" i="5"/>
  <c r="L219" i="5"/>
  <c r="J219" i="5"/>
  <c r="N218" i="5"/>
  <c r="L218" i="5"/>
  <c r="J218" i="5"/>
  <c r="N217" i="5"/>
  <c r="L217" i="5"/>
  <c r="J217" i="5"/>
  <c r="N216" i="5"/>
  <c r="L216" i="5"/>
  <c r="J216" i="5"/>
  <c r="N215" i="5"/>
  <c r="L215" i="5"/>
  <c r="J215" i="5"/>
  <c r="N214" i="5"/>
  <c r="L214" i="5"/>
  <c r="J214" i="5"/>
  <c r="N213" i="5"/>
  <c r="L213" i="5"/>
  <c r="J213" i="5"/>
  <c r="N212" i="5"/>
  <c r="L212" i="5"/>
  <c r="J212" i="5"/>
  <c r="N211" i="5"/>
  <c r="L211" i="5"/>
  <c r="J211" i="5"/>
  <c r="N210" i="5"/>
  <c r="L210" i="5"/>
  <c r="J210" i="5"/>
  <c r="N209" i="5"/>
  <c r="L209" i="5"/>
  <c r="J209" i="5"/>
  <c r="N208" i="5"/>
  <c r="L208" i="5"/>
  <c r="J208" i="5"/>
  <c r="N207" i="5"/>
  <c r="L207" i="5"/>
  <c r="J207" i="5"/>
  <c r="N206" i="5"/>
  <c r="L206" i="5"/>
  <c r="J206" i="5"/>
  <c r="N205" i="5"/>
  <c r="L205" i="5"/>
  <c r="J205" i="5"/>
  <c r="N204" i="5"/>
  <c r="L204" i="5"/>
  <c r="J204" i="5"/>
  <c r="N203" i="5"/>
  <c r="L203" i="5"/>
  <c r="J203" i="5"/>
  <c r="N202" i="5"/>
  <c r="L202" i="5"/>
  <c r="J202" i="5"/>
  <c r="N201" i="5"/>
  <c r="L201" i="5"/>
  <c r="J201" i="5"/>
  <c r="N200" i="5"/>
  <c r="L200" i="5"/>
  <c r="J200" i="5"/>
  <c r="N199" i="5"/>
  <c r="L199" i="5"/>
  <c r="J199" i="5"/>
  <c r="N198" i="5"/>
  <c r="L198" i="5"/>
  <c r="J198" i="5"/>
  <c r="N197" i="5"/>
  <c r="L197" i="5"/>
  <c r="J197" i="5"/>
  <c r="N196" i="5"/>
  <c r="L196" i="5"/>
  <c r="J196" i="5"/>
  <c r="N195" i="5"/>
  <c r="L195" i="5"/>
  <c r="J195" i="5"/>
  <c r="N194" i="5"/>
  <c r="L194" i="5"/>
  <c r="J194" i="5"/>
  <c r="N193" i="5"/>
  <c r="L193" i="5"/>
  <c r="J193" i="5"/>
  <c r="N192" i="5"/>
  <c r="L192" i="5"/>
  <c r="J192" i="5"/>
  <c r="N191" i="5"/>
  <c r="L191" i="5"/>
  <c r="J191" i="5"/>
  <c r="N190" i="5"/>
  <c r="L190" i="5"/>
  <c r="J190" i="5"/>
  <c r="N189" i="5"/>
  <c r="L189" i="5"/>
  <c r="J189" i="5"/>
  <c r="N188" i="5"/>
  <c r="L188" i="5"/>
  <c r="J188" i="5"/>
  <c r="N187" i="5"/>
  <c r="L187" i="5"/>
  <c r="J187" i="5"/>
  <c r="N186" i="5"/>
  <c r="L186" i="5"/>
  <c r="J186" i="5"/>
  <c r="N185" i="5"/>
  <c r="L185" i="5"/>
  <c r="J185" i="5"/>
  <c r="N184" i="5"/>
  <c r="L184" i="5"/>
  <c r="J184" i="5"/>
  <c r="N183" i="5"/>
  <c r="L183" i="5"/>
  <c r="J183" i="5"/>
  <c r="N182" i="5"/>
  <c r="L182" i="5"/>
  <c r="J182" i="5"/>
  <c r="N181" i="5"/>
  <c r="L181" i="5"/>
  <c r="J181" i="5"/>
  <c r="N180" i="5"/>
  <c r="L180" i="5"/>
  <c r="J180" i="5"/>
  <c r="N179" i="5"/>
  <c r="L179" i="5"/>
  <c r="J179" i="5"/>
  <c r="N178" i="5"/>
  <c r="L178" i="5"/>
  <c r="J178" i="5"/>
  <c r="N177" i="5"/>
  <c r="L177" i="5"/>
  <c r="J177" i="5"/>
  <c r="N176" i="5"/>
  <c r="L176" i="5"/>
  <c r="J176" i="5"/>
  <c r="N175" i="5"/>
  <c r="L175" i="5"/>
  <c r="J175" i="5"/>
  <c r="N174" i="5"/>
  <c r="L174" i="5"/>
  <c r="J174" i="5"/>
  <c r="N173" i="5"/>
  <c r="L173" i="5"/>
  <c r="J173" i="5"/>
  <c r="N172" i="5"/>
  <c r="L172" i="5"/>
  <c r="J172" i="5"/>
  <c r="N171" i="5"/>
  <c r="L171" i="5"/>
  <c r="J171" i="5"/>
  <c r="N170" i="5"/>
  <c r="L170" i="5"/>
  <c r="J170" i="5"/>
  <c r="N169" i="5"/>
  <c r="L169" i="5"/>
  <c r="J169" i="5"/>
  <c r="N168" i="5"/>
  <c r="L168" i="5"/>
  <c r="J168" i="5"/>
  <c r="N167" i="5"/>
  <c r="L167" i="5"/>
  <c r="J167" i="5"/>
  <c r="N166" i="5"/>
  <c r="L166" i="5"/>
  <c r="J166" i="5"/>
  <c r="N165" i="5"/>
  <c r="L165" i="5"/>
  <c r="J165" i="5"/>
  <c r="N164" i="5"/>
  <c r="L164" i="5"/>
  <c r="J164" i="5"/>
  <c r="N163" i="5"/>
  <c r="L163" i="5"/>
  <c r="J163" i="5"/>
  <c r="N162" i="5"/>
  <c r="L162" i="5"/>
  <c r="J162" i="5"/>
  <c r="N161" i="5"/>
  <c r="L161" i="5"/>
  <c r="J161" i="5"/>
  <c r="N160" i="5"/>
  <c r="L160" i="5"/>
  <c r="J160" i="5"/>
  <c r="N159" i="5"/>
  <c r="L159" i="5"/>
  <c r="J159" i="5"/>
  <c r="N158" i="5"/>
  <c r="L158" i="5"/>
  <c r="J158" i="5"/>
  <c r="N157" i="5"/>
  <c r="L157" i="5"/>
  <c r="J157" i="5"/>
  <c r="N156" i="5"/>
  <c r="L156" i="5"/>
  <c r="J156" i="5"/>
  <c r="N155" i="5"/>
  <c r="L155" i="5"/>
  <c r="J155" i="5"/>
  <c r="N154" i="5"/>
  <c r="L154" i="5"/>
  <c r="J154" i="5"/>
  <c r="N153" i="5"/>
  <c r="L153" i="5"/>
  <c r="J153" i="5"/>
  <c r="J134" i="5"/>
  <c r="L134" i="5" s="1"/>
  <c r="N134" i="5" s="1"/>
  <c r="G722" i="10" s="1"/>
  <c r="J133" i="5"/>
  <c r="L133" i="5" s="1"/>
  <c r="N133" i="5" s="1"/>
  <c r="G721" i="10" s="1"/>
  <c r="H721" i="10" s="1"/>
  <c r="I132" i="5"/>
  <c r="J132" i="5" s="1"/>
  <c r="L132" i="5" s="1"/>
  <c r="N132" i="5" s="1"/>
  <c r="G720" i="10" s="1"/>
  <c r="N131" i="5"/>
  <c r="G719" i="10" s="1"/>
  <c r="L131" i="5"/>
  <c r="J131" i="5"/>
  <c r="L130" i="5"/>
  <c r="N130" i="5" s="1"/>
  <c r="G718" i="10" s="1"/>
  <c r="H718" i="10" s="1"/>
  <c r="J130" i="5"/>
  <c r="J129" i="5"/>
  <c r="L129" i="5" s="1"/>
  <c r="N129" i="5" s="1"/>
  <c r="G717" i="10" s="1"/>
  <c r="L128" i="5"/>
  <c r="N128" i="5" s="1"/>
  <c r="G716" i="10" s="1"/>
  <c r="J128" i="5"/>
  <c r="N127" i="5"/>
  <c r="G715" i="10" s="1"/>
  <c r="J127" i="5"/>
  <c r="L127" i="5" s="1"/>
  <c r="J126" i="5"/>
  <c r="L126" i="5" s="1"/>
  <c r="N126" i="5" s="1"/>
  <c r="G714" i="10" s="1"/>
  <c r="J125" i="5"/>
  <c r="L125" i="5" s="1"/>
  <c r="N125" i="5" s="1"/>
  <c r="G713" i="10" s="1"/>
  <c r="L124" i="5"/>
  <c r="N124" i="5" s="1"/>
  <c r="G712" i="10" s="1"/>
  <c r="I124" i="5"/>
  <c r="J124" i="5" s="1"/>
  <c r="L123" i="5"/>
  <c r="N123" i="5" s="1"/>
  <c r="G711" i="10" s="1"/>
  <c r="J123" i="5"/>
  <c r="J122" i="5"/>
  <c r="L122" i="5" s="1"/>
  <c r="N122" i="5" s="1"/>
  <c r="G710" i="10" s="1"/>
  <c r="L121" i="5"/>
  <c r="N121" i="5" s="1"/>
  <c r="G709" i="10" s="1"/>
  <c r="J121" i="5"/>
  <c r="J120" i="5"/>
  <c r="L120" i="5" s="1"/>
  <c r="N120" i="5" s="1"/>
  <c r="G708" i="10" s="1"/>
  <c r="J119" i="5"/>
  <c r="L119" i="5" s="1"/>
  <c r="N119" i="5" s="1"/>
  <c r="G707" i="10" s="1"/>
  <c r="J118" i="5"/>
  <c r="L118" i="5" s="1"/>
  <c r="N118" i="5" s="1"/>
  <c r="G706" i="10" s="1"/>
  <c r="H706" i="10" s="1"/>
  <c r="L117" i="5"/>
  <c r="N117" i="5" s="1"/>
  <c r="G705" i="10" s="1"/>
  <c r="J117" i="5"/>
  <c r="L116" i="5"/>
  <c r="N116" i="5" s="1"/>
  <c r="G704" i="10" s="1"/>
  <c r="H704" i="10" s="1"/>
  <c r="I116" i="5"/>
  <c r="J116" i="5" s="1"/>
  <c r="J115" i="5"/>
  <c r="L115" i="5" s="1"/>
  <c r="N115" i="5" s="1"/>
  <c r="G703" i="10" s="1"/>
  <c r="L114" i="5"/>
  <c r="N114" i="5" s="1"/>
  <c r="G702" i="10" s="1"/>
  <c r="J114" i="5"/>
  <c r="J113" i="5"/>
  <c r="L113" i="5" s="1"/>
  <c r="N113" i="5" s="1"/>
  <c r="G701" i="10" s="1"/>
  <c r="H701" i="10" s="1"/>
  <c r="J112" i="5"/>
  <c r="L112" i="5" s="1"/>
  <c r="N112" i="5" s="1"/>
  <c r="G700" i="10" s="1"/>
  <c r="J111" i="5"/>
  <c r="L111" i="5" s="1"/>
  <c r="N111" i="5" s="1"/>
  <c r="G699" i="10" s="1"/>
  <c r="N110" i="5"/>
  <c r="G698" i="10" s="1"/>
  <c r="H698" i="10" s="1"/>
  <c r="L110" i="5"/>
  <c r="J110" i="5"/>
  <c r="L109" i="5"/>
  <c r="N109" i="5" s="1"/>
  <c r="G697" i="10" s="1"/>
  <c r="H697" i="10" s="1"/>
  <c r="J109" i="5"/>
  <c r="I108" i="5"/>
  <c r="J108" i="5" s="1"/>
  <c r="L108" i="5" s="1"/>
  <c r="N108" i="5" s="1"/>
  <c r="G696" i="10" s="1"/>
  <c r="J107" i="5"/>
  <c r="L107" i="5" s="1"/>
  <c r="N107" i="5" s="1"/>
  <c r="G695" i="10" s="1"/>
  <c r="J106" i="5"/>
  <c r="L106" i="5" s="1"/>
  <c r="N106" i="5" s="1"/>
  <c r="G694" i="10" s="1"/>
  <c r="L105" i="5"/>
  <c r="N105" i="5" s="1"/>
  <c r="G693" i="10" s="1"/>
  <c r="H693" i="10" s="1"/>
  <c r="J105" i="5"/>
  <c r="K104" i="5"/>
  <c r="J104" i="5"/>
  <c r="K103" i="5"/>
  <c r="J103" i="5"/>
  <c r="J102" i="5"/>
  <c r="L102" i="5" s="1"/>
  <c r="N102" i="5" s="1"/>
  <c r="G690" i="10" s="1"/>
  <c r="J101" i="5"/>
  <c r="L101" i="5" s="1"/>
  <c r="N101" i="5" s="1"/>
  <c r="G689" i="10" s="1"/>
  <c r="I100" i="5"/>
  <c r="J100" i="5" s="1"/>
  <c r="L100" i="5" s="1"/>
  <c r="N100" i="5" s="1"/>
  <c r="G688" i="10" s="1"/>
  <c r="H688" i="10" s="1"/>
  <c r="J99" i="5"/>
  <c r="L99" i="5" s="1"/>
  <c r="N99" i="5" s="1"/>
  <c r="G687" i="10" s="1"/>
  <c r="J98" i="5"/>
  <c r="L98" i="5" s="1"/>
  <c r="N98" i="5" s="1"/>
  <c r="G686" i="10" s="1"/>
  <c r="H686" i="10" s="1"/>
  <c r="N97" i="5"/>
  <c r="G685" i="10" s="1"/>
  <c r="L97" i="5"/>
  <c r="J97" i="5"/>
  <c r="L96" i="5"/>
  <c r="N96" i="5" s="1"/>
  <c r="G684" i="10" s="1"/>
  <c r="J96" i="5"/>
  <c r="J95" i="5"/>
  <c r="L95" i="5" s="1"/>
  <c r="N95" i="5" s="1"/>
  <c r="G683" i="10" s="1"/>
  <c r="J94" i="5"/>
  <c r="L94" i="5" s="1"/>
  <c r="N94" i="5" s="1"/>
  <c r="G682" i="10" s="1"/>
  <c r="J93" i="5"/>
  <c r="L93" i="5" s="1"/>
  <c r="N93" i="5" s="1"/>
  <c r="G681" i="10" s="1"/>
  <c r="H681" i="10" s="1"/>
  <c r="I92" i="5"/>
  <c r="J92" i="5" s="1"/>
  <c r="L92" i="5" s="1"/>
  <c r="N92" i="5" s="1"/>
  <c r="G680" i="10" s="1"/>
  <c r="H680" i="10" s="1"/>
  <c r="J91" i="5"/>
  <c r="L91" i="5" s="1"/>
  <c r="N91" i="5" s="1"/>
  <c r="G679" i="10" s="1"/>
  <c r="N90" i="5"/>
  <c r="G678" i="10" s="1"/>
  <c r="H678" i="10" s="1"/>
  <c r="L90" i="5"/>
  <c r="J90" i="5"/>
  <c r="L89" i="5"/>
  <c r="N89" i="5" s="1"/>
  <c r="G677" i="10" s="1"/>
  <c r="H677" i="10" s="1"/>
  <c r="J89" i="5"/>
  <c r="J88" i="5"/>
  <c r="L88" i="5" s="1"/>
  <c r="N88" i="5" s="1"/>
  <c r="G676" i="10" s="1"/>
  <c r="J87" i="5"/>
  <c r="L87" i="5" s="1"/>
  <c r="N87" i="5" s="1"/>
  <c r="G675" i="10" s="1"/>
  <c r="N86" i="5"/>
  <c r="G674" i="10" s="1"/>
  <c r="J86" i="5"/>
  <c r="L86" i="5" s="1"/>
  <c r="N85" i="5"/>
  <c r="G673" i="10" s="1"/>
  <c r="H673" i="10" s="1"/>
  <c r="J85" i="5"/>
  <c r="L85" i="5" s="1"/>
  <c r="I84" i="5"/>
  <c r="J84" i="5" s="1"/>
  <c r="L84" i="5" s="1"/>
  <c r="N84" i="5" s="1"/>
  <c r="G672" i="10" s="1"/>
  <c r="N83" i="5"/>
  <c r="G671" i="10" s="1"/>
  <c r="J83" i="5"/>
  <c r="L83" i="5" s="1"/>
  <c r="L82" i="5"/>
  <c r="N82" i="5" s="1"/>
  <c r="G670" i="10" s="1"/>
  <c r="J82" i="5"/>
  <c r="J81" i="5"/>
  <c r="L81" i="5" s="1"/>
  <c r="N81" i="5" s="1"/>
  <c r="G669" i="10" s="1"/>
  <c r="L80" i="5"/>
  <c r="N80" i="5" s="1"/>
  <c r="G668" i="10" s="1"/>
  <c r="J80" i="5"/>
  <c r="J79" i="5"/>
  <c r="L79" i="5" s="1"/>
  <c r="N79" i="5" s="1"/>
  <c r="G667" i="10" s="1"/>
  <c r="J78" i="5"/>
  <c r="L78" i="5" s="1"/>
  <c r="N78" i="5" s="1"/>
  <c r="G666" i="10" s="1"/>
  <c r="J77" i="5"/>
  <c r="L77" i="5" s="1"/>
  <c r="N77" i="5" s="1"/>
  <c r="G665" i="10" s="1"/>
  <c r="I77" i="5"/>
  <c r="J76" i="5"/>
  <c r="L76" i="5" s="1"/>
  <c r="N76" i="5" s="1"/>
  <c r="G664" i="10" s="1"/>
  <c r="H664" i="10" s="1"/>
  <c r="J75" i="5"/>
  <c r="L75" i="5" s="1"/>
  <c r="N75" i="5" s="1"/>
  <c r="G663" i="10" s="1"/>
  <c r="J74" i="5"/>
  <c r="L74" i="5" s="1"/>
  <c r="N74" i="5" s="1"/>
  <c r="G662" i="10" s="1"/>
  <c r="L73" i="5"/>
  <c r="N73" i="5" s="1"/>
  <c r="G661" i="10" s="1"/>
  <c r="J73" i="5"/>
  <c r="L72" i="5"/>
  <c r="N72" i="5" s="1"/>
  <c r="G660" i="10" s="1"/>
  <c r="J72" i="5"/>
  <c r="J71" i="5"/>
  <c r="L71" i="5" s="1"/>
  <c r="N71" i="5" s="1"/>
  <c r="G659" i="10" s="1"/>
  <c r="J70" i="5"/>
  <c r="L70" i="5" s="1"/>
  <c r="N70" i="5" s="1"/>
  <c r="G658" i="10" s="1"/>
  <c r="I70" i="5"/>
  <c r="J69" i="5"/>
  <c r="L69" i="5" s="1"/>
  <c r="N69" i="5" s="1"/>
  <c r="G657" i="10" s="1"/>
  <c r="J68" i="5"/>
  <c r="L68" i="5" s="1"/>
  <c r="N68" i="5" s="1"/>
  <c r="G656" i="10" s="1"/>
  <c r="H656" i="10" s="1"/>
  <c r="J67" i="5"/>
  <c r="L67" i="5" s="1"/>
  <c r="N67" i="5" s="1"/>
  <c r="G655" i="10" s="1"/>
  <c r="N66" i="5"/>
  <c r="G654" i="10" s="1"/>
  <c r="L66" i="5"/>
  <c r="J66" i="5"/>
  <c r="L65" i="5"/>
  <c r="N65" i="5" s="1"/>
  <c r="G653" i="10" s="1"/>
  <c r="J65" i="5"/>
  <c r="L64" i="5"/>
  <c r="N64" i="5" s="1"/>
  <c r="G652" i="10" s="1"/>
  <c r="J64" i="5"/>
  <c r="I63" i="5"/>
  <c r="J63" i="5" s="1"/>
  <c r="L63" i="5" s="1"/>
  <c r="N63" i="5" s="1"/>
  <c r="G651" i="10" s="1"/>
  <c r="H651" i="10" s="1"/>
  <c r="L62" i="5"/>
  <c r="N62" i="5" s="1"/>
  <c r="G650" i="10" s="1"/>
  <c r="H650" i="10" s="1"/>
  <c r="J62" i="5"/>
  <c r="L61" i="5"/>
  <c r="N61" i="5" s="1"/>
  <c r="G649" i="10" s="1"/>
  <c r="J61" i="5"/>
  <c r="L60" i="5"/>
  <c r="N60" i="5" s="1"/>
  <c r="G648" i="10" s="1"/>
  <c r="J60" i="5"/>
  <c r="J59" i="5"/>
  <c r="L59" i="5" s="1"/>
  <c r="N59" i="5" s="1"/>
  <c r="G647" i="10" s="1"/>
  <c r="J58" i="5"/>
  <c r="L58" i="5" s="1"/>
  <c r="N58" i="5" s="1"/>
  <c r="G646" i="10" s="1"/>
  <c r="J57" i="5"/>
  <c r="L57" i="5" s="1"/>
  <c r="N57" i="5" s="1"/>
  <c r="G645" i="10" s="1"/>
  <c r="N56" i="5"/>
  <c r="G644" i="10" s="1"/>
  <c r="L56" i="5"/>
  <c r="J56" i="5"/>
  <c r="I56" i="5"/>
  <c r="N55" i="5"/>
  <c r="G643" i="10" s="1"/>
  <c r="H643" i="10" s="1"/>
  <c r="J55" i="5"/>
  <c r="L55" i="5" s="1"/>
  <c r="J54" i="5"/>
  <c r="L54" i="5" s="1"/>
  <c r="N54" i="5" s="1"/>
  <c r="G642" i="10" s="1"/>
  <c r="J53" i="5"/>
  <c r="L53" i="5" s="1"/>
  <c r="N53" i="5" s="1"/>
  <c r="G641" i="10" s="1"/>
  <c r="H641" i="10" s="1"/>
  <c r="N52" i="5"/>
  <c r="G640" i="10" s="1"/>
  <c r="J52" i="5"/>
  <c r="L52" i="5" s="1"/>
  <c r="J51" i="5"/>
  <c r="L51" i="5" s="1"/>
  <c r="N51" i="5" s="1"/>
  <c r="G639" i="10" s="1"/>
  <c r="J50" i="5"/>
  <c r="L50" i="5" s="1"/>
  <c r="N50" i="5" s="1"/>
  <c r="G638" i="10" s="1"/>
  <c r="L49" i="5"/>
  <c r="N49" i="5" s="1"/>
  <c r="G637" i="10" s="1"/>
  <c r="J49" i="5"/>
  <c r="I49" i="5"/>
  <c r="N48" i="5"/>
  <c r="G636" i="10" s="1"/>
  <c r="H636" i="10" s="1"/>
  <c r="J48" i="5"/>
  <c r="L48" i="5" s="1"/>
  <c r="J47" i="5"/>
  <c r="L47" i="5" s="1"/>
  <c r="N47" i="5" s="1"/>
  <c r="G635" i="10" s="1"/>
  <c r="L46" i="5"/>
  <c r="N46" i="5" s="1"/>
  <c r="G634" i="10" s="1"/>
  <c r="H634" i="10" s="1"/>
  <c r="J46" i="5"/>
  <c r="N45" i="5"/>
  <c r="G633" i="10" s="1"/>
  <c r="L45" i="5"/>
  <c r="J45" i="5"/>
  <c r="J44" i="5"/>
  <c r="L44" i="5" s="1"/>
  <c r="N44" i="5" s="1"/>
  <c r="G632" i="10" s="1"/>
  <c r="J43" i="5"/>
  <c r="L43" i="5" s="1"/>
  <c r="N43" i="5" s="1"/>
  <c r="G631" i="10" s="1"/>
  <c r="H631" i="10" s="1"/>
  <c r="L42" i="5"/>
  <c r="N42" i="5" s="1"/>
  <c r="G630" i="10" s="1"/>
  <c r="J42" i="5"/>
  <c r="I42" i="5"/>
  <c r="J41" i="5"/>
  <c r="L41" i="5" s="1"/>
  <c r="N41" i="5" s="1"/>
  <c r="G629" i="10" s="1"/>
  <c r="J40" i="5"/>
  <c r="L40" i="5" s="1"/>
  <c r="N40" i="5" s="1"/>
  <c r="G628" i="10" s="1"/>
  <c r="L39" i="5"/>
  <c r="N39" i="5" s="1"/>
  <c r="G627" i="10" s="1"/>
  <c r="J39" i="5"/>
  <c r="L38" i="5"/>
  <c r="N38" i="5" s="1"/>
  <c r="G626" i="10" s="1"/>
  <c r="J38" i="5"/>
  <c r="J37" i="5"/>
  <c r="L37" i="5" s="1"/>
  <c r="N37" i="5" s="1"/>
  <c r="G625" i="10" s="1"/>
  <c r="L36" i="5"/>
  <c r="N36" i="5" s="1"/>
  <c r="G624" i="10" s="1"/>
  <c r="H624" i="10" s="1"/>
  <c r="J36" i="5"/>
  <c r="N35" i="5"/>
  <c r="G623" i="10" s="1"/>
  <c r="I35" i="5"/>
  <c r="J35" i="5" s="1"/>
  <c r="L35" i="5" s="1"/>
  <c r="J34" i="5"/>
  <c r="L34" i="5" s="1"/>
  <c r="N34" i="5" s="1"/>
  <c r="G622" i="10" s="1"/>
  <c r="J33" i="5"/>
  <c r="L33" i="5" s="1"/>
  <c r="N33" i="5" s="1"/>
  <c r="G621" i="10" s="1"/>
  <c r="N32" i="5"/>
  <c r="G620" i="10" s="1"/>
  <c r="H620" i="10" s="1"/>
  <c r="J32" i="5"/>
  <c r="L32" i="5" s="1"/>
  <c r="L31" i="5"/>
  <c r="N31" i="5" s="1"/>
  <c r="G619" i="10" s="1"/>
  <c r="J31" i="5"/>
  <c r="J30" i="5"/>
  <c r="L30" i="5" s="1"/>
  <c r="N30" i="5" s="1"/>
  <c r="G618" i="10" s="1"/>
  <c r="H618" i="10" s="1"/>
  <c r="L29" i="5"/>
  <c r="N29" i="5" s="1"/>
  <c r="G617" i="10" s="1"/>
  <c r="J29" i="5"/>
  <c r="J28" i="5"/>
  <c r="L28" i="5" s="1"/>
  <c r="N28" i="5" s="1"/>
  <c r="G616" i="10" s="1"/>
  <c r="H616" i="10" s="1"/>
  <c r="I28" i="5"/>
  <c r="J27" i="5"/>
  <c r="L27" i="5" s="1"/>
  <c r="N27" i="5" s="1"/>
  <c r="G615" i="10" s="1"/>
  <c r="L26" i="5"/>
  <c r="N26" i="5" s="1"/>
  <c r="G614" i="10" s="1"/>
  <c r="J26" i="5"/>
  <c r="J25" i="5"/>
  <c r="L25" i="5" s="1"/>
  <c r="N25" i="5" s="1"/>
  <c r="G613" i="10" s="1"/>
  <c r="H613" i="10" s="1"/>
  <c r="J24" i="5"/>
  <c r="L24" i="5" s="1"/>
  <c r="N24" i="5" s="1"/>
  <c r="G612" i="10" s="1"/>
  <c r="J23" i="5"/>
  <c r="L23" i="5" s="1"/>
  <c r="N23" i="5" s="1"/>
  <c r="G611" i="10" s="1"/>
  <c r="J22" i="5"/>
  <c r="L22" i="5" s="1"/>
  <c r="N22" i="5" s="1"/>
  <c r="G610" i="10" s="1"/>
  <c r="L21" i="5"/>
  <c r="N21" i="5" s="1"/>
  <c r="G609" i="10" s="1"/>
  <c r="J21" i="5"/>
  <c r="J20" i="5"/>
  <c r="L20" i="5" s="1"/>
  <c r="N20" i="5" s="1"/>
  <c r="G608" i="10" s="1"/>
  <c r="H608" i="10" s="1"/>
  <c r="J19" i="5"/>
  <c r="L19" i="5" s="1"/>
  <c r="N19" i="5" s="1"/>
  <c r="G607" i="10" s="1"/>
  <c r="L18" i="5"/>
  <c r="N18" i="5" s="1"/>
  <c r="G606" i="10" s="1"/>
  <c r="H606" i="10" s="1"/>
  <c r="J18" i="5"/>
  <c r="N17" i="5"/>
  <c r="G605" i="10" s="1"/>
  <c r="J17" i="5"/>
  <c r="L17" i="5" s="1"/>
  <c r="L16" i="5"/>
  <c r="N16" i="5" s="1"/>
  <c r="G604" i="10" s="1"/>
  <c r="H604" i="10" s="1"/>
  <c r="J16" i="5"/>
  <c r="J15" i="5"/>
  <c r="L15" i="5" s="1"/>
  <c r="N15" i="5" s="1"/>
  <c r="G603" i="10" s="1"/>
  <c r="H603" i="10" s="1"/>
  <c r="I14" i="5"/>
  <c r="J14" i="5" s="1"/>
  <c r="L14" i="5" s="1"/>
  <c r="N14" i="5" s="1"/>
  <c r="G602" i="10" s="1"/>
  <c r="L13" i="5"/>
  <c r="N13" i="5" s="1"/>
  <c r="G601" i="10" s="1"/>
  <c r="J13" i="5"/>
  <c r="J12" i="5"/>
  <c r="L12" i="5" s="1"/>
  <c r="N12" i="5" s="1"/>
  <c r="G600" i="10" s="1"/>
  <c r="L11" i="5"/>
  <c r="N11" i="5" s="1"/>
  <c r="G599" i="10" s="1"/>
  <c r="J11" i="5"/>
  <c r="J10" i="5"/>
  <c r="L10" i="5" s="1"/>
  <c r="N10" i="5" s="1"/>
  <c r="G598" i="10" s="1"/>
  <c r="J9" i="5"/>
  <c r="L9" i="5" s="1"/>
  <c r="N8" i="5"/>
  <c r="G595" i="10" s="1"/>
  <c r="L8" i="5"/>
  <c r="J8" i="5"/>
  <c r="J7" i="5"/>
  <c r="L7" i="5" s="1"/>
  <c r="N7" i="5" s="1"/>
  <c r="G594" i="10" s="1"/>
  <c r="J6" i="5"/>
  <c r="L6" i="5" s="1"/>
  <c r="N6" i="5" s="1"/>
  <c r="G593" i="10" s="1"/>
  <c r="L5" i="5"/>
  <c r="N5" i="5" s="1"/>
  <c r="G592" i="10" s="1"/>
  <c r="J5" i="5"/>
  <c r="J4" i="5"/>
  <c r="L4" i="5" s="1"/>
  <c r="N4" i="5" s="1"/>
  <c r="G591" i="10" s="1"/>
  <c r="L3" i="5"/>
  <c r="N3" i="5" s="1"/>
  <c r="J3" i="5"/>
  <c r="I833" i="4"/>
  <c r="G833" i="4"/>
  <c r="I832" i="4"/>
  <c r="G832" i="4"/>
  <c r="I831" i="4"/>
  <c r="G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G787" i="4"/>
  <c r="I786" i="4"/>
  <c r="G786" i="4"/>
  <c r="I785" i="4"/>
  <c r="G785" i="4"/>
  <c r="I784" i="4"/>
  <c r="G784" i="4"/>
  <c r="I783" i="4"/>
  <c r="G783" i="4"/>
  <c r="I782" i="4"/>
  <c r="G782" i="4"/>
  <c r="I781" i="4"/>
  <c r="G781" i="4"/>
  <c r="I780" i="4"/>
  <c r="G780" i="4"/>
  <c r="I779" i="4"/>
  <c r="G779" i="4"/>
  <c r="I778" i="4"/>
  <c r="G778" i="4"/>
  <c r="I777" i="4"/>
  <c r="G777" i="4"/>
  <c r="I776" i="4"/>
  <c r="G776" i="4"/>
  <c r="I775" i="4"/>
  <c r="G775" i="4"/>
  <c r="I774" i="4"/>
  <c r="G774" i="4"/>
  <c r="I773" i="4"/>
  <c r="G773" i="4"/>
  <c r="I772" i="4"/>
  <c r="G772" i="4"/>
  <c r="I771" i="4"/>
  <c r="G771" i="4"/>
  <c r="I770" i="4"/>
  <c r="G770" i="4"/>
  <c r="I769" i="4"/>
  <c r="G769" i="4"/>
  <c r="I768" i="4"/>
  <c r="G768" i="4"/>
  <c r="I767" i="4"/>
  <c r="G767" i="4"/>
  <c r="I766" i="4"/>
  <c r="G766" i="4"/>
  <c r="I765" i="4"/>
  <c r="G765" i="4"/>
  <c r="I764" i="4"/>
  <c r="G764" i="4"/>
  <c r="I763" i="4"/>
  <c r="G763" i="4"/>
  <c r="I762" i="4"/>
  <c r="G762" i="4"/>
  <c r="I761" i="4"/>
  <c r="G761" i="4"/>
  <c r="I760" i="4"/>
  <c r="G760" i="4"/>
  <c r="I759" i="4"/>
  <c r="G759" i="4"/>
  <c r="I758" i="4"/>
  <c r="G758" i="4"/>
  <c r="I757" i="4"/>
  <c r="G757" i="4"/>
  <c r="I756" i="4"/>
  <c r="G756" i="4"/>
  <c r="I755" i="4"/>
  <c r="G755" i="4"/>
  <c r="I754" i="4"/>
  <c r="G754" i="4"/>
  <c r="G753" i="4"/>
  <c r="I753" i="4" s="1"/>
  <c r="I752" i="4"/>
  <c r="G752" i="4"/>
  <c r="I751" i="4"/>
  <c r="G751" i="4"/>
  <c r="I750" i="4"/>
  <c r="G750" i="4"/>
  <c r="I749" i="4"/>
  <c r="G749" i="4"/>
  <c r="G748" i="4"/>
  <c r="I748" i="4" s="1"/>
  <c r="I747" i="4"/>
  <c r="G747" i="4"/>
  <c r="I746" i="4"/>
  <c r="G746" i="4"/>
  <c r="I745" i="4"/>
  <c r="G745" i="4"/>
  <c r="I744" i="4"/>
  <c r="G744" i="4"/>
  <c r="G743" i="4"/>
  <c r="I743" i="4" s="1"/>
  <c r="G742" i="4"/>
  <c r="I742" i="4" s="1"/>
  <c r="E741" i="4"/>
  <c r="G740" i="4"/>
  <c r="I740" i="4" s="1"/>
  <c r="G739" i="4"/>
  <c r="I739" i="4" s="1"/>
  <c r="G738" i="4"/>
  <c r="I738" i="4" s="1"/>
  <c r="I737" i="4"/>
  <c r="G737" i="4"/>
  <c r="I736" i="4"/>
  <c r="G736" i="4"/>
  <c r="I735" i="4"/>
  <c r="G735" i="4"/>
  <c r="G734" i="4"/>
  <c r="I734" i="4" s="1"/>
  <c r="G733" i="4"/>
  <c r="I733" i="4" s="1"/>
  <c r="G732" i="4"/>
  <c r="I732" i="4" s="1"/>
  <c r="I731" i="4"/>
  <c r="G731" i="4"/>
  <c r="G730" i="4"/>
  <c r="I730" i="4" s="1"/>
  <c r="G729" i="4"/>
  <c r="I729" i="4" s="1"/>
  <c r="G728" i="4"/>
  <c r="I728" i="4" s="1"/>
  <c r="G727" i="4"/>
  <c r="I727" i="4" s="1"/>
  <c r="I726" i="4"/>
  <c r="G726" i="4"/>
  <c r="I725" i="4"/>
  <c r="G725" i="4"/>
  <c r="G724" i="4"/>
  <c r="I724" i="4" s="1"/>
  <c r="G723" i="4"/>
  <c r="I723" i="4" s="1"/>
  <c r="G722" i="4"/>
  <c r="I722" i="4" s="1"/>
  <c r="G721" i="4"/>
  <c r="I721" i="4" s="1"/>
  <c r="G720" i="4"/>
  <c r="I720" i="4" s="1"/>
  <c r="G719" i="4"/>
  <c r="I719" i="4" s="1"/>
  <c r="I718" i="4"/>
  <c r="G718" i="4"/>
  <c r="G717" i="4"/>
  <c r="I717" i="4" s="1"/>
  <c r="G716" i="4"/>
  <c r="I716" i="4" s="1"/>
  <c r="I715" i="4"/>
  <c r="G715" i="4"/>
  <c r="G714" i="4"/>
  <c r="I714" i="4" s="1"/>
  <c r="G713" i="4"/>
  <c r="I713" i="4" s="1"/>
  <c r="G712" i="4"/>
  <c r="I712" i="4" s="1"/>
  <c r="G711" i="4"/>
  <c r="I711" i="4" s="1"/>
  <c r="G710" i="4"/>
  <c r="I710" i="4" s="1"/>
  <c r="G709" i="4"/>
  <c r="I709" i="4" s="1"/>
  <c r="I708" i="4"/>
  <c r="G708" i="4"/>
  <c r="I707" i="4"/>
  <c r="G707" i="4"/>
  <c r="G706" i="4"/>
  <c r="I706" i="4" s="1"/>
  <c r="G705" i="4"/>
  <c r="I705" i="4" s="1"/>
  <c r="G704" i="4"/>
  <c r="I704" i="4" s="1"/>
  <c r="I703" i="4"/>
  <c r="G703" i="4"/>
  <c r="G702" i="4"/>
  <c r="I702" i="4" s="1"/>
  <c r="G701" i="4"/>
  <c r="I701" i="4" s="1"/>
  <c r="G700" i="4"/>
  <c r="I700" i="4" s="1"/>
  <c r="G699" i="4"/>
  <c r="I699" i="4" s="1"/>
  <c r="G698" i="4"/>
  <c r="I698" i="4" s="1"/>
  <c r="I697" i="4"/>
  <c r="G697" i="4"/>
  <c r="I696" i="4"/>
  <c r="G696" i="4"/>
  <c r="G695" i="4"/>
  <c r="I695" i="4" s="1"/>
  <c r="G694" i="4"/>
  <c r="I694" i="4" s="1"/>
  <c r="G693" i="4"/>
  <c r="I693" i="4" s="1"/>
  <c r="I692" i="4"/>
  <c r="G692" i="4"/>
  <c r="G691" i="4"/>
  <c r="I691" i="4" s="1"/>
  <c r="G690" i="4"/>
  <c r="I690" i="4" s="1"/>
  <c r="G689" i="4"/>
  <c r="I689" i="4" s="1"/>
  <c r="G688" i="4"/>
  <c r="I688" i="4" s="1"/>
  <c r="I687" i="4"/>
  <c r="G687" i="4"/>
  <c r="I686" i="4"/>
  <c r="G686" i="4"/>
  <c r="I685" i="4"/>
  <c r="G685" i="4"/>
  <c r="G684" i="4"/>
  <c r="I684" i="4" s="1"/>
  <c r="G683" i="4"/>
  <c r="I683" i="4" s="1"/>
  <c r="G682" i="4"/>
  <c r="I682" i="4" s="1"/>
  <c r="I681" i="4"/>
  <c r="G681" i="4"/>
  <c r="G680" i="4"/>
  <c r="I680" i="4" s="1"/>
  <c r="G679" i="4"/>
  <c r="I679" i="4" s="1"/>
  <c r="G678" i="4"/>
  <c r="I678" i="4" s="1"/>
  <c r="G677" i="4"/>
  <c r="I677" i="4" s="1"/>
  <c r="G676" i="4"/>
  <c r="I676" i="4" s="1"/>
  <c r="I675" i="4"/>
  <c r="G675" i="4"/>
  <c r="G674" i="4"/>
  <c r="I674" i="4" s="1"/>
  <c r="G673" i="4"/>
  <c r="I673" i="4" s="1"/>
  <c r="G672" i="4"/>
  <c r="I672" i="4" s="1"/>
  <c r="G671" i="4"/>
  <c r="I671" i="4" s="1"/>
  <c r="I670" i="4"/>
  <c r="G670" i="4"/>
  <c r="G669" i="4"/>
  <c r="I669" i="4" s="1"/>
  <c r="I668" i="4"/>
  <c r="G668" i="4"/>
  <c r="G667" i="4"/>
  <c r="I667" i="4" s="1"/>
  <c r="G666" i="4"/>
  <c r="I666" i="4" s="1"/>
  <c r="I665" i="4"/>
  <c r="G665" i="4"/>
  <c r="G664" i="4"/>
  <c r="I664" i="4" s="1"/>
  <c r="G663" i="4"/>
  <c r="I663" i="4" s="1"/>
  <c r="G662" i="4"/>
  <c r="I662" i="4" s="1"/>
  <c r="G661" i="4"/>
  <c r="I661" i="4" s="1"/>
  <c r="G660" i="4"/>
  <c r="I660" i="4" s="1"/>
  <c r="G659" i="4"/>
  <c r="I659" i="4" s="1"/>
  <c r="I658" i="4"/>
  <c r="G658" i="4"/>
  <c r="I657" i="4"/>
  <c r="G657" i="4"/>
  <c r="G656" i="4"/>
  <c r="I656" i="4" s="1"/>
  <c r="G655" i="4"/>
  <c r="I655" i="4" s="1"/>
  <c r="G654" i="4"/>
  <c r="I654" i="4" s="1"/>
  <c r="G653" i="4"/>
  <c r="I653" i="4" s="1"/>
  <c r="G652" i="4"/>
  <c r="I652" i="4" s="1"/>
  <c r="G651" i="4"/>
  <c r="I651" i="4" s="1"/>
  <c r="G650" i="4"/>
  <c r="I650" i="4" s="1"/>
  <c r="G649" i="4"/>
  <c r="I649" i="4" s="1"/>
  <c r="G648" i="4"/>
  <c r="I648" i="4" s="1"/>
  <c r="I647" i="4"/>
  <c r="G647" i="4"/>
  <c r="I646" i="4"/>
  <c r="G646" i="4"/>
  <c r="G645" i="4"/>
  <c r="I645" i="4" s="1"/>
  <c r="G644" i="4"/>
  <c r="I644" i="4" s="1"/>
  <c r="G643" i="4"/>
  <c r="I643" i="4" s="1"/>
  <c r="I642" i="4"/>
  <c r="G642" i="4"/>
  <c r="G641" i="4"/>
  <c r="I641" i="4" s="1"/>
  <c r="G640" i="4"/>
  <c r="I640" i="4" s="1"/>
  <c r="G639" i="4"/>
  <c r="I639" i="4" s="1"/>
  <c r="G638" i="4"/>
  <c r="I638" i="4" s="1"/>
  <c r="G637" i="4"/>
  <c r="I637" i="4" s="1"/>
  <c r="I636" i="4"/>
  <c r="G636" i="4"/>
  <c r="I635" i="4"/>
  <c r="G635" i="4"/>
  <c r="G634" i="4"/>
  <c r="I634" i="4" s="1"/>
  <c r="G633" i="4"/>
  <c r="I633" i="4" s="1"/>
  <c r="G632" i="4"/>
  <c r="I632" i="4" s="1"/>
  <c r="G631" i="4"/>
  <c r="I631" i="4" s="1"/>
  <c r="G630" i="4"/>
  <c r="I630" i="4" s="1"/>
  <c r="G629" i="4"/>
  <c r="I629" i="4" s="1"/>
  <c r="G628" i="4"/>
  <c r="I628" i="4" s="1"/>
  <c r="G627" i="4"/>
  <c r="I627" i="4" s="1"/>
  <c r="G626" i="4"/>
  <c r="I626" i="4" s="1"/>
  <c r="I625" i="4"/>
  <c r="G625" i="4"/>
  <c r="G624" i="4"/>
  <c r="I624" i="4" s="1"/>
  <c r="G623" i="4"/>
  <c r="I623" i="4" s="1"/>
  <c r="G622" i="4"/>
  <c r="I622" i="4" s="1"/>
  <c r="G621" i="4"/>
  <c r="I621" i="4" s="1"/>
  <c r="I620" i="4"/>
  <c r="G620" i="4"/>
  <c r="G619" i="4"/>
  <c r="I619" i="4" s="1"/>
  <c r="I618" i="4"/>
  <c r="G618" i="4"/>
  <c r="G617" i="4"/>
  <c r="I617" i="4" s="1"/>
  <c r="G616" i="4"/>
  <c r="I616" i="4" s="1"/>
  <c r="G615" i="4"/>
  <c r="I615" i="4" s="1"/>
  <c r="G614" i="4"/>
  <c r="I614" i="4" s="1"/>
  <c r="G613" i="4"/>
  <c r="I613" i="4" s="1"/>
  <c r="G612" i="4"/>
  <c r="I612" i="4" s="1"/>
  <c r="G611" i="4"/>
  <c r="I611" i="4" s="1"/>
  <c r="G610" i="4"/>
  <c r="I610" i="4" s="1"/>
  <c r="G609" i="4"/>
  <c r="I609" i="4" s="1"/>
  <c r="I608" i="4"/>
  <c r="G608" i="4"/>
  <c r="I607" i="4"/>
  <c r="G607" i="4"/>
  <c r="G606" i="4"/>
  <c r="I606" i="4" s="1"/>
  <c r="G605" i="4"/>
  <c r="I605" i="4" s="1"/>
  <c r="G604" i="4"/>
  <c r="I604" i="4" s="1"/>
  <c r="G603" i="4"/>
  <c r="I603" i="4" s="1"/>
  <c r="G602" i="4"/>
  <c r="I602" i="4" s="1"/>
  <c r="G601" i="4"/>
  <c r="I601" i="4" s="1"/>
  <c r="G600" i="4"/>
  <c r="I600" i="4" s="1"/>
  <c r="G599" i="4"/>
  <c r="I599" i="4" s="1"/>
  <c r="G598" i="4"/>
  <c r="I598" i="4" s="1"/>
  <c r="I597" i="4"/>
  <c r="G597" i="4"/>
  <c r="I596" i="4"/>
  <c r="G596" i="4"/>
  <c r="G595" i="4"/>
  <c r="I595" i="4" s="1"/>
  <c r="G594" i="4"/>
  <c r="I594" i="4" s="1"/>
  <c r="G593" i="4"/>
  <c r="I593" i="4" s="1"/>
  <c r="G592" i="4"/>
  <c r="I592" i="4" s="1"/>
  <c r="G591" i="4"/>
  <c r="I591" i="4" s="1"/>
  <c r="G590" i="4"/>
  <c r="I590" i="4" s="1"/>
  <c r="G589" i="4"/>
  <c r="I589" i="4" s="1"/>
  <c r="F558" i="10" s="1"/>
  <c r="G588" i="4"/>
  <c r="I588" i="4" s="1"/>
  <c r="F557" i="10" s="1"/>
  <c r="H557" i="10" s="1"/>
  <c r="G587" i="4"/>
  <c r="I587" i="4" s="1"/>
  <c r="F556" i="10" s="1"/>
  <c r="I586" i="4"/>
  <c r="F555" i="10" s="1"/>
  <c r="G586" i="4"/>
  <c r="I585" i="4"/>
  <c r="F554" i="10" s="1"/>
  <c r="H554" i="10" s="1"/>
  <c r="G585" i="4"/>
  <c r="G584" i="4"/>
  <c r="I584" i="4" s="1"/>
  <c r="F553" i="10" s="1"/>
  <c r="G583" i="4"/>
  <c r="I583" i="4" s="1"/>
  <c r="F552" i="10" s="1"/>
  <c r="G582" i="4"/>
  <c r="I582" i="4" s="1"/>
  <c r="F551" i="10" s="1"/>
  <c r="H551" i="10" s="1"/>
  <c r="I581" i="4"/>
  <c r="F550" i="10" s="1"/>
  <c r="G581" i="4"/>
  <c r="G580" i="4"/>
  <c r="I580" i="4" s="1"/>
  <c r="F549" i="10" s="1"/>
  <c r="G579" i="4"/>
  <c r="I579" i="4" s="1"/>
  <c r="F548" i="10" s="1"/>
  <c r="G578" i="4"/>
  <c r="I578" i="4" s="1"/>
  <c r="F547" i="10" s="1"/>
  <c r="G577" i="4"/>
  <c r="I577" i="4" s="1"/>
  <c r="F546" i="10" s="1"/>
  <c r="G576" i="4"/>
  <c r="I576" i="4" s="1"/>
  <c r="F545" i="10" s="1"/>
  <c r="I575" i="4"/>
  <c r="F544" i="10" s="1"/>
  <c r="G575" i="4"/>
  <c r="G574" i="4"/>
  <c r="I574" i="4" s="1"/>
  <c r="F543" i="10" s="1"/>
  <c r="G573" i="4"/>
  <c r="I573" i="4" s="1"/>
  <c r="F542" i="10" s="1"/>
  <c r="G572" i="4"/>
  <c r="I572" i="4" s="1"/>
  <c r="F541" i="10" s="1"/>
  <c r="H541" i="10" s="1"/>
  <c r="G571" i="4"/>
  <c r="I571" i="4" s="1"/>
  <c r="F540" i="10" s="1"/>
  <c r="G570" i="4"/>
  <c r="I570" i="4" s="1"/>
  <c r="F539" i="10" s="1"/>
  <c r="G569" i="4"/>
  <c r="I569" i="4" s="1"/>
  <c r="F538" i="10" s="1"/>
  <c r="I568" i="4"/>
  <c r="F537" i="10" s="1"/>
  <c r="G568" i="4"/>
  <c r="G567" i="4"/>
  <c r="I567" i="4" s="1"/>
  <c r="F536" i="10" s="1"/>
  <c r="G566" i="4"/>
  <c r="I566" i="4" s="1"/>
  <c r="F535" i="10" s="1"/>
  <c r="G565" i="4"/>
  <c r="I565" i="4" s="1"/>
  <c r="F534" i="10" s="1"/>
  <c r="H534" i="10" s="1"/>
  <c r="G564" i="4"/>
  <c r="I564" i="4" s="1"/>
  <c r="F533" i="10" s="1"/>
  <c r="H533" i="10" s="1"/>
  <c r="G563" i="4"/>
  <c r="I563" i="4" s="1"/>
  <c r="F532" i="10" s="1"/>
  <c r="G562" i="4"/>
  <c r="I562" i="4" s="1"/>
  <c r="F531" i="10" s="1"/>
  <c r="H531" i="10" s="1"/>
  <c r="G561" i="4"/>
  <c r="I561" i="4" s="1"/>
  <c r="F530" i="10" s="1"/>
  <c r="G560" i="4"/>
  <c r="I560" i="4" s="1"/>
  <c r="F529" i="10" s="1"/>
  <c r="G559" i="4"/>
  <c r="I559" i="4" s="1"/>
  <c r="F528" i="10" s="1"/>
  <c r="I558" i="4"/>
  <c r="F527" i="10" s="1"/>
  <c r="G558" i="4"/>
  <c r="I557" i="4"/>
  <c r="F526" i="10" s="1"/>
  <c r="G557" i="4"/>
  <c r="G556" i="4"/>
  <c r="I556" i="4" s="1"/>
  <c r="F525" i="10" s="1"/>
  <c r="G555" i="4"/>
  <c r="I555" i="4" s="1"/>
  <c r="F524" i="10" s="1"/>
  <c r="H524" i="10" s="1"/>
  <c r="G554" i="4"/>
  <c r="I554" i="4" s="1"/>
  <c r="F523" i="10" s="1"/>
  <c r="H523" i="10" s="1"/>
  <c r="G553" i="4"/>
  <c r="I553" i="4" s="1"/>
  <c r="F522" i="10" s="1"/>
  <c r="G552" i="4"/>
  <c r="I552" i="4" s="1"/>
  <c r="F521" i="10" s="1"/>
  <c r="G551" i="4"/>
  <c r="I551" i="4" s="1"/>
  <c r="F520" i="10" s="1"/>
  <c r="G550" i="4"/>
  <c r="I550" i="4" s="1"/>
  <c r="F519" i="10" s="1"/>
  <c r="G549" i="4"/>
  <c r="I549" i="4" s="1"/>
  <c r="F518" i="10" s="1"/>
  <c r="I548" i="4"/>
  <c r="F517" i="10" s="1"/>
  <c r="G548" i="4"/>
  <c r="I547" i="4"/>
  <c r="F516" i="10" s="1"/>
  <c r="G547" i="4"/>
  <c r="I546" i="4"/>
  <c r="F515" i="10" s="1"/>
  <c r="G546" i="4"/>
  <c r="G545" i="4"/>
  <c r="I545" i="4" s="1"/>
  <c r="F514" i="10" s="1"/>
  <c r="G544" i="4"/>
  <c r="I544" i="4" s="1"/>
  <c r="F513" i="10" s="1"/>
  <c r="H513" i="10" s="1"/>
  <c r="G543" i="4"/>
  <c r="I543" i="4" s="1"/>
  <c r="F512" i="10" s="1"/>
  <c r="G542" i="4"/>
  <c r="I542" i="4" s="1"/>
  <c r="F511" i="10" s="1"/>
  <c r="H511" i="10" s="1"/>
  <c r="G541" i="4"/>
  <c r="I541" i="4" s="1"/>
  <c r="F510" i="10" s="1"/>
  <c r="G540" i="4"/>
  <c r="I540" i="4" s="1"/>
  <c r="F509" i="10" s="1"/>
  <c r="G539" i="4"/>
  <c r="I539" i="4" s="1"/>
  <c r="F508" i="10" s="1"/>
  <c r="H508" i="10" s="1"/>
  <c r="G538" i="4"/>
  <c r="I538" i="4" s="1"/>
  <c r="F507" i="10" s="1"/>
  <c r="I537" i="4"/>
  <c r="F506" i="10" s="1"/>
  <c r="G537" i="4"/>
  <c r="I536" i="4"/>
  <c r="F505" i="10" s="1"/>
  <c r="G536" i="4"/>
  <c r="I535" i="4"/>
  <c r="F504" i="10" s="1"/>
  <c r="H504" i="10" s="1"/>
  <c r="G535" i="4"/>
  <c r="G534" i="4"/>
  <c r="I534" i="4" s="1"/>
  <c r="F503" i="10" s="1"/>
  <c r="G533" i="4"/>
  <c r="I533" i="4" s="1"/>
  <c r="F502" i="10" s="1"/>
  <c r="G532" i="4"/>
  <c r="I532" i="4" s="1"/>
  <c r="F501" i="10" s="1"/>
  <c r="H501" i="10" s="1"/>
  <c r="G531" i="4"/>
  <c r="I531" i="4" s="1"/>
  <c r="F500" i="10" s="1"/>
  <c r="H500" i="10" s="1"/>
  <c r="G530" i="4"/>
  <c r="I530" i="4" s="1"/>
  <c r="F499" i="10" s="1"/>
  <c r="G529" i="4"/>
  <c r="I529" i="4" s="1"/>
  <c r="F498" i="10" s="1"/>
  <c r="G528" i="4"/>
  <c r="I528" i="4" s="1"/>
  <c r="F497" i="10" s="1"/>
  <c r="G527" i="4"/>
  <c r="I527" i="4" s="1"/>
  <c r="F496" i="10" s="1"/>
  <c r="I526" i="4"/>
  <c r="F495" i="10" s="1"/>
  <c r="G526" i="4"/>
  <c r="I525" i="4"/>
  <c r="F494" i="10" s="1"/>
  <c r="G525" i="4"/>
  <c r="G524" i="4"/>
  <c r="I524" i="4" s="1"/>
  <c r="F493" i="10" s="1"/>
  <c r="G523" i="4"/>
  <c r="I523" i="4" s="1"/>
  <c r="F492" i="10" s="1"/>
  <c r="G522" i="4"/>
  <c r="I522" i="4" s="1"/>
  <c r="F491" i="10" s="1"/>
  <c r="G521" i="4"/>
  <c r="I521" i="4" s="1"/>
  <c r="F490" i="10" s="1"/>
  <c r="I520" i="4"/>
  <c r="F489" i="10" s="1"/>
  <c r="G520" i="4"/>
  <c r="G519" i="4"/>
  <c r="I519" i="4" s="1"/>
  <c r="F488" i="10" s="1"/>
  <c r="H488" i="10" s="1"/>
  <c r="I518" i="4"/>
  <c r="F487" i="10" s="1"/>
  <c r="H487" i="10" s="1"/>
  <c r="G518" i="4"/>
  <c r="G517" i="4"/>
  <c r="I517" i="4" s="1"/>
  <c r="F486" i="10" s="1"/>
  <c r="G516" i="4"/>
  <c r="I516" i="4" s="1"/>
  <c r="F485" i="10" s="1"/>
  <c r="I515" i="4"/>
  <c r="F484" i="10" s="1"/>
  <c r="G515" i="4"/>
  <c r="G514" i="4"/>
  <c r="I514" i="4" s="1"/>
  <c r="F483" i="10" s="1"/>
  <c r="G513" i="4"/>
  <c r="I513" i="4" s="1"/>
  <c r="F482" i="10" s="1"/>
  <c r="G512" i="4"/>
  <c r="I512" i="4" s="1"/>
  <c r="F481" i="10" s="1"/>
  <c r="H481" i="10" s="1"/>
  <c r="G511" i="4"/>
  <c r="I511" i="4" s="1"/>
  <c r="F480" i="10" s="1"/>
  <c r="H480" i="10" s="1"/>
  <c r="G510" i="4"/>
  <c r="I510" i="4" s="1"/>
  <c r="F479" i="10" s="1"/>
  <c r="G509" i="4"/>
  <c r="I509" i="4" s="1"/>
  <c r="F478" i="10" s="1"/>
  <c r="I508" i="4"/>
  <c r="F477" i="10" s="1"/>
  <c r="G508" i="4"/>
  <c r="I507" i="4"/>
  <c r="F476" i="10" s="1"/>
  <c r="G507" i="4"/>
  <c r="G506" i="4"/>
  <c r="I506" i="4" s="1"/>
  <c r="F475" i="10" s="1"/>
  <c r="G505" i="4"/>
  <c r="I505" i="4" s="1"/>
  <c r="F474" i="10" s="1"/>
  <c r="H474" i="10" s="1"/>
  <c r="G504" i="4"/>
  <c r="I504" i="4" s="1"/>
  <c r="F473" i="10" s="1"/>
  <c r="I503" i="4"/>
  <c r="F472" i="10" s="1"/>
  <c r="G503" i="4"/>
  <c r="G502" i="4"/>
  <c r="I502" i="4" s="1"/>
  <c r="F471" i="10" s="1"/>
  <c r="G501" i="4"/>
  <c r="I501" i="4" s="1"/>
  <c r="F470" i="10" s="1"/>
  <c r="G500" i="4"/>
  <c r="I500" i="4" s="1"/>
  <c r="F469" i="10" s="1"/>
  <c r="G499" i="4"/>
  <c r="I499" i="4" s="1"/>
  <c r="F468" i="10" s="1"/>
  <c r="H468" i="10" s="1"/>
  <c r="I498" i="4"/>
  <c r="F467" i="10" s="1"/>
  <c r="H467" i="10" s="1"/>
  <c r="G498" i="4"/>
  <c r="I497" i="4"/>
  <c r="F466" i="10" s="1"/>
  <c r="G497" i="4"/>
  <c r="I496" i="4"/>
  <c r="F465" i="10" s="1"/>
  <c r="G496" i="4"/>
  <c r="G495" i="4"/>
  <c r="I495" i="4" s="1"/>
  <c r="F464" i="10" s="1"/>
  <c r="G494" i="4"/>
  <c r="I494" i="4" s="1"/>
  <c r="F463" i="10" s="1"/>
  <c r="G493" i="4"/>
  <c r="I493" i="4" s="1"/>
  <c r="F462" i="10" s="1"/>
  <c r="I492" i="4"/>
  <c r="F461" i="10" s="1"/>
  <c r="G492" i="4"/>
  <c r="G491" i="4"/>
  <c r="I491" i="4" s="1"/>
  <c r="F460" i="10" s="1"/>
  <c r="G490" i="4"/>
  <c r="I490" i="4" s="1"/>
  <c r="F459" i="10" s="1"/>
  <c r="G489" i="4"/>
  <c r="I489" i="4" s="1"/>
  <c r="F458" i="10" s="1"/>
  <c r="G488" i="4"/>
  <c r="I488" i="4" s="1"/>
  <c r="F457" i="10" s="1"/>
  <c r="H457" i="10" s="1"/>
  <c r="I487" i="4"/>
  <c r="F456" i="10" s="1"/>
  <c r="G487" i="4"/>
  <c r="I486" i="4"/>
  <c r="F455" i="10" s="1"/>
  <c r="G486" i="4"/>
  <c r="I485" i="4"/>
  <c r="F454" i="10" s="1"/>
  <c r="G485" i="4"/>
  <c r="G484" i="4"/>
  <c r="I484" i="4" s="1"/>
  <c r="F453" i="10" s="1"/>
  <c r="G483" i="4"/>
  <c r="I483" i="4" s="1"/>
  <c r="F452" i="10" s="1"/>
  <c r="G482" i="4"/>
  <c r="I482" i="4" s="1"/>
  <c r="F451" i="10" s="1"/>
  <c r="I481" i="4"/>
  <c r="F450" i="10" s="1"/>
  <c r="H450" i="10" s="1"/>
  <c r="G481" i="4"/>
  <c r="G480" i="4"/>
  <c r="I480" i="4" s="1"/>
  <c r="F449" i="10" s="1"/>
  <c r="G479" i="4"/>
  <c r="I479" i="4" s="1"/>
  <c r="F448" i="10" s="1"/>
  <c r="G478" i="4"/>
  <c r="I478" i="4" s="1"/>
  <c r="F447" i="10" s="1"/>
  <c r="H447" i="10" s="1"/>
  <c r="H448" i="10" s="1"/>
  <c r="G477" i="4"/>
  <c r="I477" i="4" s="1"/>
  <c r="F446" i="10" s="1"/>
  <c r="H446" i="10" s="1"/>
  <c r="I476" i="4"/>
  <c r="F445" i="10" s="1"/>
  <c r="G476" i="4"/>
  <c r="I475" i="4"/>
  <c r="F444" i="10" s="1"/>
  <c r="G475" i="4"/>
  <c r="G474" i="4"/>
  <c r="I474" i="4" s="1"/>
  <c r="F443" i="10" s="1"/>
  <c r="G473" i="4"/>
  <c r="I473" i="4" s="1"/>
  <c r="F442" i="10" s="1"/>
  <c r="G472" i="4"/>
  <c r="I472" i="4" s="1"/>
  <c r="F441" i="10" s="1"/>
  <c r="G471" i="4"/>
  <c r="I471" i="4" s="1"/>
  <c r="F440" i="10" s="1"/>
  <c r="G470" i="4"/>
  <c r="I470" i="4" s="1"/>
  <c r="F439" i="10" s="1"/>
  <c r="G469" i="4"/>
  <c r="I469" i="4" s="1"/>
  <c r="F438" i="10" s="1"/>
  <c r="I468" i="4"/>
  <c r="F437" i="10" s="1"/>
  <c r="G468" i="4"/>
  <c r="G467" i="4"/>
  <c r="I467" i="4" s="1"/>
  <c r="F436" i="10" s="1"/>
  <c r="G466" i="4"/>
  <c r="I466" i="4" s="1"/>
  <c r="F435" i="10" s="1"/>
  <c r="I465" i="4"/>
  <c r="F434" i="10" s="1"/>
  <c r="H434" i="10" s="1"/>
  <c r="G465" i="4"/>
  <c r="G464" i="4"/>
  <c r="I464" i="4" s="1"/>
  <c r="F433" i="10" s="1"/>
  <c r="G463" i="4"/>
  <c r="I463" i="4" s="1"/>
  <c r="F432" i="10" s="1"/>
  <c r="G462" i="4"/>
  <c r="I462" i="4" s="1"/>
  <c r="F431" i="10" s="1"/>
  <c r="G461" i="4"/>
  <c r="I461" i="4" s="1"/>
  <c r="F430" i="10" s="1"/>
  <c r="G460" i="4"/>
  <c r="I460" i="4" s="1"/>
  <c r="F429" i="10" s="1"/>
  <c r="G459" i="4"/>
  <c r="I459" i="4" s="1"/>
  <c r="F428" i="10" s="1"/>
  <c r="I458" i="4"/>
  <c r="F427" i="10" s="1"/>
  <c r="H427" i="10" s="1"/>
  <c r="G458" i="4"/>
  <c r="I457" i="4"/>
  <c r="F426" i="10" s="1"/>
  <c r="H426" i="10" s="1"/>
  <c r="G457" i="4"/>
  <c r="G456" i="4"/>
  <c r="I456" i="4" s="1"/>
  <c r="F425" i="10" s="1"/>
  <c r="G455" i="4"/>
  <c r="I455" i="4" s="1"/>
  <c r="F424" i="10" s="1"/>
  <c r="G454" i="4"/>
  <c r="I454" i="4" s="1"/>
  <c r="F423" i="10" s="1"/>
  <c r="I453" i="4"/>
  <c r="F422" i="10" s="1"/>
  <c r="G453" i="4"/>
  <c r="G452" i="4"/>
  <c r="I452" i="4" s="1"/>
  <c r="F421" i="10" s="1"/>
  <c r="H421" i="10" s="1"/>
  <c r="G451" i="4"/>
  <c r="I451" i="4" s="1"/>
  <c r="F420" i="10" s="1"/>
  <c r="G450" i="4"/>
  <c r="I450" i="4" s="1"/>
  <c r="F419" i="10" s="1"/>
  <c r="G449" i="4"/>
  <c r="I449" i="4" s="1"/>
  <c r="F418" i="10" s="1"/>
  <c r="G448" i="4"/>
  <c r="I448" i="4" s="1"/>
  <c r="F417" i="10" s="1"/>
  <c r="I447" i="4"/>
  <c r="F416" i="10" s="1"/>
  <c r="H416" i="10" s="1"/>
  <c r="G447" i="4"/>
  <c r="I446" i="4"/>
  <c r="F415" i="10" s="1"/>
  <c r="G446" i="4"/>
  <c r="G445" i="4"/>
  <c r="I445" i="4" s="1"/>
  <c r="F414" i="10" s="1"/>
  <c r="G444" i="4"/>
  <c r="I444" i="4" s="1"/>
  <c r="F413" i="10" s="1"/>
  <c r="G443" i="4"/>
  <c r="I443" i="4" s="1"/>
  <c r="F412" i="10" s="1"/>
  <c r="I442" i="4"/>
  <c r="F411" i="10" s="1"/>
  <c r="H411" i="10" s="1"/>
  <c r="G442" i="4"/>
  <c r="G441" i="4"/>
  <c r="I441" i="4" s="1"/>
  <c r="F410" i="10" s="1"/>
  <c r="G440" i="4"/>
  <c r="I440" i="4" s="1"/>
  <c r="F409" i="10" s="1"/>
  <c r="G439" i="4"/>
  <c r="I439" i="4" s="1"/>
  <c r="F408" i="10" s="1"/>
  <c r="G438" i="4"/>
  <c r="I438" i="4" s="1"/>
  <c r="F407" i="10" s="1"/>
  <c r="H407" i="10" s="1"/>
  <c r="G437" i="4"/>
  <c r="I437" i="4" s="1"/>
  <c r="F406" i="10" s="1"/>
  <c r="I436" i="4"/>
  <c r="F405" i="10" s="1"/>
  <c r="G436" i="4"/>
  <c r="I435" i="4"/>
  <c r="F404" i="10" s="1"/>
  <c r="G435" i="4"/>
  <c r="G434" i="4"/>
  <c r="I434" i="4" s="1"/>
  <c r="F403" i="10" s="1"/>
  <c r="H403" i="10" s="1"/>
  <c r="G433" i="4"/>
  <c r="I433" i="4" s="1"/>
  <c r="F402" i="10" s="1"/>
  <c r="G432" i="4"/>
  <c r="I432" i="4" s="1"/>
  <c r="F401" i="10" s="1"/>
  <c r="I431" i="4"/>
  <c r="F400" i="10" s="1"/>
  <c r="G431" i="4"/>
  <c r="G430" i="4"/>
  <c r="I430" i="4" s="1"/>
  <c r="F399" i="10" s="1"/>
  <c r="G429" i="4"/>
  <c r="I429" i="4" s="1"/>
  <c r="F398" i="10" s="1"/>
  <c r="G428" i="4"/>
  <c r="I428" i="4" s="1"/>
  <c r="F397" i="10" s="1"/>
  <c r="G427" i="4"/>
  <c r="I427" i="4" s="1"/>
  <c r="F396" i="10" s="1"/>
  <c r="H396" i="10" s="1"/>
  <c r="G426" i="4"/>
  <c r="I426" i="4" s="1"/>
  <c r="F395" i="10" s="1"/>
  <c r="I425" i="4"/>
  <c r="F394" i="10" s="1"/>
  <c r="G425" i="4"/>
  <c r="G424" i="4"/>
  <c r="I424" i="4" s="1"/>
  <c r="F393" i="10" s="1"/>
  <c r="G423" i="4"/>
  <c r="I423" i="4" s="1"/>
  <c r="F392" i="10" s="1"/>
  <c r="G422" i="4"/>
  <c r="I422" i="4" s="1"/>
  <c r="F391" i="10" s="1"/>
  <c r="H391" i="10" s="1"/>
  <c r="G421" i="4"/>
  <c r="I421" i="4" s="1"/>
  <c r="F390" i="10" s="1"/>
  <c r="I420" i="4"/>
  <c r="F389" i="10" s="1"/>
  <c r="G420" i="4"/>
  <c r="G419" i="4"/>
  <c r="I419" i="4" s="1"/>
  <c r="F388" i="10" s="1"/>
  <c r="H388" i="10" s="1"/>
  <c r="I418" i="4"/>
  <c r="F387" i="10" s="1"/>
  <c r="G418" i="4"/>
  <c r="G417" i="4"/>
  <c r="I417" i="4" s="1"/>
  <c r="F386" i="10" s="1"/>
  <c r="G416" i="4"/>
  <c r="I416" i="4" s="1"/>
  <c r="F385" i="10" s="1"/>
  <c r="G415" i="4"/>
  <c r="I415" i="4" s="1"/>
  <c r="F384" i="10" s="1"/>
  <c r="G414" i="4"/>
  <c r="I414" i="4" s="1"/>
  <c r="F383" i="10" s="1"/>
  <c r="G413" i="4"/>
  <c r="I413" i="4" s="1"/>
  <c r="F382" i="10" s="1"/>
  <c r="H382" i="10" s="1"/>
  <c r="G412" i="4"/>
  <c r="I412" i="4" s="1"/>
  <c r="F381" i="10" s="1"/>
  <c r="G411" i="4"/>
  <c r="I411" i="4" s="1"/>
  <c r="F380" i="10" s="1"/>
  <c r="G410" i="4"/>
  <c r="I410" i="4" s="1"/>
  <c r="F379" i="10" s="1"/>
  <c r="G409" i="4"/>
  <c r="I409" i="4" s="1"/>
  <c r="F378" i="10" s="1"/>
  <c r="H378" i="10" s="1"/>
  <c r="I408" i="4"/>
  <c r="F377" i="10" s="1"/>
  <c r="G408" i="4"/>
  <c r="I407" i="4"/>
  <c r="F376" i="10" s="1"/>
  <c r="G407" i="4"/>
  <c r="G406" i="4"/>
  <c r="I406" i="4" s="1"/>
  <c r="F375" i="10" s="1"/>
  <c r="G405" i="4"/>
  <c r="I405" i="4" s="1"/>
  <c r="F374" i="10" s="1"/>
  <c r="G404" i="4"/>
  <c r="I404" i="4" s="1"/>
  <c r="F373" i="10" s="1"/>
  <c r="G403" i="4"/>
  <c r="I403" i="4" s="1"/>
  <c r="F372" i="10" s="1"/>
  <c r="G402" i="4"/>
  <c r="I402" i="4" s="1"/>
  <c r="F371" i="10" s="1"/>
  <c r="G401" i="4"/>
  <c r="I401" i="4" s="1"/>
  <c r="F370" i="10" s="1"/>
  <c r="G400" i="4"/>
  <c r="I400" i="4" s="1"/>
  <c r="F369" i="10" s="1"/>
  <c r="G399" i="4"/>
  <c r="I399" i="4" s="1"/>
  <c r="F368" i="10" s="1"/>
  <c r="I398" i="4"/>
  <c r="F367" i="10" s="1"/>
  <c r="G398" i="4"/>
  <c r="I397" i="4"/>
  <c r="F366" i="10" s="1"/>
  <c r="G397" i="4"/>
  <c r="I396" i="4"/>
  <c r="F365" i="10" s="1"/>
  <c r="G396" i="4"/>
  <c r="G395" i="4"/>
  <c r="I395" i="4" s="1"/>
  <c r="F589" i="10" s="1"/>
  <c r="G394" i="4"/>
  <c r="I394" i="4" s="1"/>
  <c r="F588" i="10" s="1"/>
  <c r="H588" i="10" s="1"/>
  <c r="G393" i="4"/>
  <c r="I393" i="4" s="1"/>
  <c r="F587" i="10" s="1"/>
  <c r="H587" i="10" s="1"/>
  <c r="G392" i="4"/>
  <c r="I392" i="4" s="1"/>
  <c r="F586" i="10" s="1"/>
  <c r="H586" i="10" s="1"/>
  <c r="G391" i="4"/>
  <c r="I391" i="4" s="1"/>
  <c r="F585" i="10" s="1"/>
  <c r="G390" i="4"/>
  <c r="I390" i="4" s="1"/>
  <c r="F584" i="10" s="1"/>
  <c r="G389" i="4"/>
  <c r="I389" i="4" s="1"/>
  <c r="F583" i="10" s="1"/>
  <c r="G388" i="4"/>
  <c r="I388" i="4" s="1"/>
  <c r="F582" i="10" s="1"/>
  <c r="G387" i="4"/>
  <c r="I387" i="4" s="1"/>
  <c r="F581" i="10" s="1"/>
  <c r="G386" i="4"/>
  <c r="I386" i="4" s="1"/>
  <c r="F580" i="10" s="1"/>
  <c r="G385" i="4"/>
  <c r="I385" i="4" s="1"/>
  <c r="F579" i="10" s="1"/>
  <c r="G384" i="4"/>
  <c r="I384" i="4" s="1"/>
  <c r="F578" i="10" s="1"/>
  <c r="G383" i="4"/>
  <c r="I383" i="4" s="1"/>
  <c r="F577" i="10" s="1"/>
  <c r="H577" i="10" s="1"/>
  <c r="G382" i="4"/>
  <c r="I382" i="4" s="1"/>
  <c r="F576" i="10" s="1"/>
  <c r="G381" i="4"/>
  <c r="I381" i="4" s="1"/>
  <c r="F575" i="10" s="1"/>
  <c r="G380" i="4"/>
  <c r="I380" i="4" s="1"/>
  <c r="F574" i="10" s="1"/>
  <c r="G379" i="4"/>
  <c r="I379" i="4" s="1"/>
  <c r="F573" i="10" s="1"/>
  <c r="G378" i="4"/>
  <c r="I378" i="4" s="1"/>
  <c r="F572" i="10" s="1"/>
  <c r="I377" i="4"/>
  <c r="F571" i="10" s="1"/>
  <c r="G377" i="4"/>
  <c r="G376" i="4"/>
  <c r="I376" i="4" s="1"/>
  <c r="F570" i="10" s="1"/>
  <c r="H570" i="10" s="1"/>
  <c r="G375" i="4"/>
  <c r="I375" i="4" s="1"/>
  <c r="F569" i="10" s="1"/>
  <c r="G374" i="4"/>
  <c r="I374" i="4" s="1"/>
  <c r="F568" i="10" s="1"/>
  <c r="G373" i="4"/>
  <c r="I373" i="4" s="1"/>
  <c r="F567" i="10" s="1"/>
  <c r="I372" i="4"/>
  <c r="F566" i="10" s="1"/>
  <c r="G372" i="4"/>
  <c r="G371" i="4"/>
  <c r="I371" i="4" s="1"/>
  <c r="F565" i="10" s="1"/>
  <c r="G370" i="4"/>
  <c r="I370" i="4" s="1"/>
  <c r="F564" i="10" s="1"/>
  <c r="G369" i="4"/>
  <c r="I369" i="4" s="1"/>
  <c r="F563" i="10" s="1"/>
  <c r="G368" i="4"/>
  <c r="I368" i="4" s="1"/>
  <c r="F562" i="10" s="1"/>
  <c r="G367" i="4"/>
  <c r="I367" i="4" s="1"/>
  <c r="F561" i="10" s="1"/>
  <c r="G366" i="4"/>
  <c r="I366" i="4" s="1"/>
  <c r="F560" i="10" s="1"/>
  <c r="I365" i="4"/>
  <c r="F559" i="10" s="1"/>
  <c r="G365" i="4"/>
  <c r="G364" i="4"/>
  <c r="I364" i="4" s="1"/>
  <c r="F364" i="10" s="1"/>
  <c r="G363" i="4"/>
  <c r="I363" i="4" s="1"/>
  <c r="F363" i="10" s="1"/>
  <c r="G362" i="4"/>
  <c r="I362" i="4" s="1"/>
  <c r="F362" i="10" s="1"/>
  <c r="H362" i="10" s="1"/>
  <c r="G361" i="4"/>
  <c r="I361" i="4" s="1"/>
  <c r="F361" i="10" s="1"/>
  <c r="H361" i="10" s="1"/>
  <c r="G360" i="4"/>
  <c r="I360" i="4" s="1"/>
  <c r="F360" i="10" s="1"/>
  <c r="G359" i="4"/>
  <c r="I359" i="4" s="1"/>
  <c r="F359" i="10" s="1"/>
  <c r="G358" i="4"/>
  <c r="I358" i="4" s="1"/>
  <c r="F358" i="10" s="1"/>
  <c r="I357" i="4"/>
  <c r="F357" i="10" s="1"/>
  <c r="H357" i="10" s="1"/>
  <c r="G357" i="4"/>
  <c r="G356" i="4"/>
  <c r="I356" i="4" s="1"/>
  <c r="F356" i="10" s="1"/>
  <c r="G355" i="4"/>
  <c r="I355" i="4" s="1"/>
  <c r="F355" i="10" s="1"/>
  <c r="H355" i="10" s="1"/>
  <c r="G354" i="4"/>
  <c r="I354" i="4" s="1"/>
  <c r="F354" i="10" s="1"/>
  <c r="G353" i="4"/>
  <c r="I353" i="4" s="1"/>
  <c r="F353" i="10" s="1"/>
  <c r="I352" i="4"/>
  <c r="F352" i="10" s="1"/>
  <c r="G352" i="4"/>
  <c r="G351" i="4"/>
  <c r="I351" i="4" s="1"/>
  <c r="F351" i="10" s="1"/>
  <c r="G350" i="4"/>
  <c r="I350" i="4" s="1"/>
  <c r="F350" i="10" s="1"/>
  <c r="G349" i="4"/>
  <c r="I349" i="4" s="1"/>
  <c r="F349" i="10" s="1"/>
  <c r="G348" i="4"/>
  <c r="I348" i="4" s="1"/>
  <c r="F348" i="10" s="1"/>
  <c r="G347" i="4"/>
  <c r="I347" i="4" s="1"/>
  <c r="F347" i="10" s="1"/>
  <c r="H347" i="10" s="1"/>
  <c r="G346" i="4"/>
  <c r="I346" i="4" s="1"/>
  <c r="F346" i="10" s="1"/>
  <c r="G345" i="4"/>
  <c r="I345" i="4" s="1"/>
  <c r="F345" i="10" s="1"/>
  <c r="G344" i="4"/>
  <c r="I344" i="4" s="1"/>
  <c r="F344" i="10" s="1"/>
  <c r="G343" i="4"/>
  <c r="I343" i="4" s="1"/>
  <c r="F343" i="10" s="1"/>
  <c r="I342" i="4"/>
  <c r="F342" i="10" s="1"/>
  <c r="H342" i="10" s="1"/>
  <c r="G342" i="4"/>
  <c r="G341" i="4"/>
  <c r="I341" i="4" s="1"/>
  <c r="F341" i="10" s="1"/>
  <c r="H341" i="10" s="1"/>
  <c r="G340" i="4"/>
  <c r="I340" i="4" s="1"/>
  <c r="F340" i="10" s="1"/>
  <c r="G339" i="4"/>
  <c r="I339" i="4" s="1"/>
  <c r="F339" i="10" s="1"/>
  <c r="G338" i="4"/>
  <c r="I338" i="4" s="1"/>
  <c r="F338" i="10" s="1"/>
  <c r="G337" i="4"/>
  <c r="I337" i="4" s="1"/>
  <c r="F337" i="10" s="1"/>
  <c r="G336" i="4"/>
  <c r="I336" i="4" s="1"/>
  <c r="F336" i="10" s="1"/>
  <c r="G335" i="4"/>
  <c r="I335" i="4" s="1"/>
  <c r="F335" i="10" s="1"/>
  <c r="G334" i="4"/>
  <c r="I334" i="4" s="1"/>
  <c r="F334" i="10" s="1"/>
  <c r="G333" i="4"/>
  <c r="I333" i="4" s="1"/>
  <c r="F333" i="10" s="1"/>
  <c r="I332" i="4"/>
  <c r="F332" i="10" s="1"/>
  <c r="H332" i="10" s="1"/>
  <c r="G332" i="4"/>
  <c r="G331" i="4"/>
  <c r="I331" i="4" s="1"/>
  <c r="F331" i="10" s="1"/>
  <c r="G330" i="4"/>
  <c r="I330" i="4" s="1"/>
  <c r="F330" i="10" s="1"/>
  <c r="G329" i="4"/>
  <c r="I329" i="4" s="1"/>
  <c r="F329" i="10" s="1"/>
  <c r="G328" i="4"/>
  <c r="I328" i="4" s="1"/>
  <c r="F328" i="10" s="1"/>
  <c r="I327" i="4"/>
  <c r="F327" i="10" s="1"/>
  <c r="G327" i="4"/>
  <c r="G326" i="4"/>
  <c r="I326" i="4" s="1"/>
  <c r="F326" i="10" s="1"/>
  <c r="G325" i="4"/>
  <c r="I325" i="4" s="1"/>
  <c r="F325" i="10" s="1"/>
  <c r="G324" i="4"/>
  <c r="I324" i="4" s="1"/>
  <c r="F324" i="10" s="1"/>
  <c r="G323" i="4"/>
  <c r="I323" i="4" s="1"/>
  <c r="F323" i="10" s="1"/>
  <c r="G322" i="4"/>
  <c r="I322" i="4" s="1"/>
  <c r="F322" i="10" s="1"/>
  <c r="H322" i="10" s="1"/>
  <c r="G321" i="4"/>
  <c r="I321" i="4" s="1"/>
  <c r="F321" i="10" s="1"/>
  <c r="G320" i="4"/>
  <c r="I320" i="4" s="1"/>
  <c r="F320" i="10" s="1"/>
  <c r="G319" i="4"/>
  <c r="I319" i="4" s="1"/>
  <c r="F319" i="10" s="1"/>
  <c r="G318" i="4"/>
  <c r="I318" i="4" s="1"/>
  <c r="F318" i="10" s="1"/>
  <c r="I317" i="4"/>
  <c r="F317" i="10" s="1"/>
  <c r="G317" i="4"/>
  <c r="G316" i="4"/>
  <c r="I316" i="4" s="1"/>
  <c r="F316" i="10" s="1"/>
  <c r="G315" i="4"/>
  <c r="I315" i="4" s="1"/>
  <c r="F315" i="10" s="1"/>
  <c r="G314" i="4"/>
  <c r="I314" i="4" s="1"/>
  <c r="F314" i="10" s="1"/>
  <c r="H314" i="10" s="1"/>
  <c r="G313" i="4"/>
  <c r="I313" i="4" s="1"/>
  <c r="F313" i="10" s="1"/>
  <c r="G312" i="4"/>
  <c r="I312" i="4" s="1"/>
  <c r="F312" i="10" s="1"/>
  <c r="H312" i="10" s="1"/>
  <c r="G311" i="4"/>
  <c r="I311" i="4" s="1"/>
  <c r="F311" i="10" s="1"/>
  <c r="G310" i="4"/>
  <c r="I310" i="4" s="1"/>
  <c r="F310" i="10" s="1"/>
  <c r="G309" i="4"/>
  <c r="I309" i="4" s="1"/>
  <c r="F309" i="10" s="1"/>
  <c r="G308" i="4"/>
  <c r="I308" i="4" s="1"/>
  <c r="F308" i="10" s="1"/>
  <c r="I307" i="4"/>
  <c r="F307" i="10" s="1"/>
  <c r="H307" i="10" s="1"/>
  <c r="G307" i="4"/>
  <c r="G306" i="4"/>
  <c r="I306" i="4" s="1"/>
  <c r="F306" i="10" s="1"/>
  <c r="G305" i="4"/>
  <c r="I305" i="4" s="1"/>
  <c r="F305" i="10" s="1"/>
  <c r="H305" i="10" s="1"/>
  <c r="G304" i="4"/>
  <c r="I304" i="4" s="1"/>
  <c r="F304" i="10" s="1"/>
  <c r="H304" i="10" s="1"/>
  <c r="G303" i="4"/>
  <c r="I303" i="4" s="1"/>
  <c r="F303" i="10" s="1"/>
  <c r="I302" i="4"/>
  <c r="F302" i="10" s="1"/>
  <c r="H302" i="10" s="1"/>
  <c r="G302" i="4"/>
  <c r="G301" i="4"/>
  <c r="I301" i="4" s="1"/>
  <c r="F301" i="10" s="1"/>
  <c r="G300" i="4"/>
  <c r="I300" i="4" s="1"/>
  <c r="F300" i="10" s="1"/>
  <c r="G299" i="4"/>
  <c r="I299" i="4" s="1"/>
  <c r="F299" i="10" s="1"/>
  <c r="G298" i="4"/>
  <c r="I298" i="4" s="1"/>
  <c r="F298" i="10" s="1"/>
  <c r="G297" i="4"/>
  <c r="I297" i="4" s="1"/>
  <c r="F297" i="10" s="1"/>
  <c r="G296" i="4"/>
  <c r="I296" i="4" s="1"/>
  <c r="F296" i="10" s="1"/>
  <c r="G295" i="4"/>
  <c r="I295" i="4" s="1"/>
  <c r="F295" i="10" s="1"/>
  <c r="G294" i="4"/>
  <c r="I294" i="4" s="1"/>
  <c r="F294" i="10" s="1"/>
  <c r="H294" i="10" s="1"/>
  <c r="G293" i="4"/>
  <c r="I293" i="4" s="1"/>
  <c r="F293" i="10" s="1"/>
  <c r="I292" i="4"/>
  <c r="F292" i="10" s="1"/>
  <c r="H292" i="10" s="1"/>
  <c r="G292" i="4"/>
  <c r="G291" i="4"/>
  <c r="I291" i="4" s="1"/>
  <c r="F291" i="10" s="1"/>
  <c r="G290" i="4"/>
  <c r="I290" i="4" s="1"/>
  <c r="F290" i="10" s="1"/>
  <c r="G289" i="4"/>
  <c r="I289" i="4" s="1"/>
  <c r="F289" i="10" s="1"/>
  <c r="G288" i="4"/>
  <c r="I288" i="4" s="1"/>
  <c r="F288" i="10" s="1"/>
  <c r="G287" i="4"/>
  <c r="I287" i="4" s="1"/>
  <c r="F287" i="10" s="1"/>
  <c r="G286" i="4"/>
  <c r="I286" i="4" s="1"/>
  <c r="F286" i="10" s="1"/>
  <c r="G285" i="4"/>
  <c r="I285" i="4" s="1"/>
  <c r="F285" i="10" s="1"/>
  <c r="H285" i="10" s="1"/>
  <c r="G284" i="4"/>
  <c r="I284" i="4" s="1"/>
  <c r="F284" i="10" s="1"/>
  <c r="G283" i="4"/>
  <c r="I283" i="4" s="1"/>
  <c r="F283" i="10" s="1"/>
  <c r="I282" i="4"/>
  <c r="F282" i="10" s="1"/>
  <c r="H282" i="10" s="1"/>
  <c r="G282" i="4"/>
  <c r="G281" i="4"/>
  <c r="I281" i="4" s="1"/>
  <c r="F281" i="10" s="1"/>
  <c r="G280" i="4"/>
  <c r="I280" i="4" s="1"/>
  <c r="F280" i="10" s="1"/>
  <c r="G279" i="4"/>
  <c r="I279" i="4" s="1"/>
  <c r="F279" i="10" s="1"/>
  <c r="G278" i="4"/>
  <c r="I278" i="4" s="1"/>
  <c r="F278" i="10" s="1"/>
  <c r="H278" i="10" s="1"/>
  <c r="I277" i="4"/>
  <c r="F277" i="10" s="1"/>
  <c r="G277" i="4"/>
  <c r="G276" i="4"/>
  <c r="I276" i="4" s="1"/>
  <c r="F276" i="10" s="1"/>
  <c r="G275" i="4"/>
  <c r="I275" i="4" s="1"/>
  <c r="F275" i="10" s="1"/>
  <c r="G274" i="4"/>
  <c r="I274" i="4" s="1"/>
  <c r="F274" i="10" s="1"/>
  <c r="G273" i="4"/>
  <c r="I273" i="4" s="1"/>
  <c r="F273" i="10" s="1"/>
  <c r="G272" i="4"/>
  <c r="I272" i="4" s="1"/>
  <c r="F272" i="10" s="1"/>
  <c r="H272" i="10" s="1"/>
  <c r="G271" i="4"/>
  <c r="I271" i="4" s="1"/>
  <c r="F271" i="10" s="1"/>
  <c r="G270" i="4"/>
  <c r="I270" i="4" s="1"/>
  <c r="F270" i="10" s="1"/>
  <c r="G269" i="4"/>
  <c r="I269" i="4" s="1"/>
  <c r="F269" i="10" s="1"/>
  <c r="G268" i="4"/>
  <c r="I268" i="4" s="1"/>
  <c r="F268" i="10" s="1"/>
  <c r="H268" i="10" s="1"/>
  <c r="I267" i="4"/>
  <c r="F267" i="10" s="1"/>
  <c r="G267" i="4"/>
  <c r="G266" i="4"/>
  <c r="I266" i="4" s="1"/>
  <c r="F266" i="10" s="1"/>
  <c r="G265" i="4"/>
  <c r="I265" i="4" s="1"/>
  <c r="F265" i="10" s="1"/>
  <c r="G264" i="4"/>
  <c r="I264" i="4" s="1"/>
  <c r="F264" i="10" s="1"/>
  <c r="H264" i="10" s="1"/>
  <c r="G263" i="4"/>
  <c r="I263" i="4" s="1"/>
  <c r="F263" i="10" s="1"/>
  <c r="G262" i="4"/>
  <c r="I262" i="4" s="1"/>
  <c r="F262" i="10" s="1"/>
  <c r="G261" i="4"/>
  <c r="I261" i="4" s="1"/>
  <c r="F261" i="10" s="1"/>
  <c r="G260" i="4"/>
  <c r="I260" i="4" s="1"/>
  <c r="F260" i="10" s="1"/>
  <c r="G259" i="4"/>
  <c r="I259" i="4" s="1"/>
  <c r="F259" i="10" s="1"/>
  <c r="G258" i="4"/>
  <c r="I258" i="4" s="1"/>
  <c r="F258" i="10" s="1"/>
  <c r="I257" i="4"/>
  <c r="F257" i="10" s="1"/>
  <c r="G257" i="4"/>
  <c r="G256" i="4"/>
  <c r="I256" i="4" s="1"/>
  <c r="F256" i="10" s="1"/>
  <c r="G255" i="4"/>
  <c r="I255" i="4" s="1"/>
  <c r="F255" i="10" s="1"/>
  <c r="H255" i="10" s="1"/>
  <c r="G254" i="4"/>
  <c r="I254" i="4" s="1"/>
  <c r="F254" i="10" s="1"/>
  <c r="G253" i="4"/>
  <c r="I253" i="4" s="1"/>
  <c r="F253" i="10" s="1"/>
  <c r="I252" i="4"/>
  <c r="F252" i="10" s="1"/>
  <c r="H252" i="10" s="1"/>
  <c r="G252" i="4"/>
  <c r="G251" i="4"/>
  <c r="I251" i="4" s="1"/>
  <c r="F251" i="10" s="1"/>
  <c r="H251" i="10" s="1"/>
  <c r="G250" i="4"/>
  <c r="I250" i="4" s="1"/>
  <c r="F250" i="10" s="1"/>
  <c r="G249" i="4"/>
  <c r="I249" i="4" s="1"/>
  <c r="F249" i="10" s="1"/>
  <c r="G248" i="4"/>
  <c r="I248" i="4" s="1"/>
  <c r="F248" i="10" s="1"/>
  <c r="G247" i="4"/>
  <c r="I247" i="4" s="1"/>
  <c r="F247" i="10" s="1"/>
  <c r="G246" i="4"/>
  <c r="I246" i="4" s="1"/>
  <c r="F246" i="10" s="1"/>
  <c r="G245" i="4"/>
  <c r="I245" i="4" s="1"/>
  <c r="F245" i="10" s="1"/>
  <c r="G244" i="4"/>
  <c r="I244" i="4" s="1"/>
  <c r="F244" i="10" s="1"/>
  <c r="H244" i="10" s="1"/>
  <c r="G243" i="4"/>
  <c r="I243" i="4" s="1"/>
  <c r="F243" i="10" s="1"/>
  <c r="I242" i="4"/>
  <c r="F242" i="10" s="1"/>
  <c r="H242" i="10" s="1"/>
  <c r="G242" i="4"/>
  <c r="G241" i="4"/>
  <c r="I241" i="4" s="1"/>
  <c r="F241" i="10" s="1"/>
  <c r="H241" i="10" s="1"/>
  <c r="G240" i="4"/>
  <c r="I240" i="4" s="1"/>
  <c r="F240" i="10" s="1"/>
  <c r="G239" i="4"/>
  <c r="I239" i="4" s="1"/>
  <c r="F239" i="10" s="1"/>
  <c r="G238" i="4"/>
  <c r="I238" i="4" s="1"/>
  <c r="F238" i="10" s="1"/>
  <c r="G237" i="4"/>
  <c r="I237" i="4" s="1"/>
  <c r="F237" i="10" s="1"/>
  <c r="G236" i="4"/>
  <c r="I236" i="4" s="1"/>
  <c r="F236" i="10" s="1"/>
  <c r="G235" i="4"/>
  <c r="I235" i="4" s="1"/>
  <c r="F235" i="10" s="1"/>
  <c r="H235" i="10" s="1"/>
  <c r="G234" i="4"/>
  <c r="I234" i="4" s="1"/>
  <c r="F234" i="10" s="1"/>
  <c r="G233" i="4"/>
  <c r="I233" i="4" s="1"/>
  <c r="F233" i="10" s="1"/>
  <c r="I232" i="4"/>
  <c r="F232" i="10" s="1"/>
  <c r="H232" i="10" s="1"/>
  <c r="G232" i="4"/>
  <c r="G231" i="4"/>
  <c r="I231" i="4" s="1"/>
  <c r="F231" i="10" s="1"/>
  <c r="G230" i="4"/>
  <c r="I230" i="4" s="1"/>
  <c r="F230" i="10" s="1"/>
  <c r="G229" i="4"/>
  <c r="I229" i="4" s="1"/>
  <c r="F229" i="10" s="1"/>
  <c r="G228" i="4"/>
  <c r="I228" i="4" s="1"/>
  <c r="F228" i="10" s="1"/>
  <c r="I227" i="4"/>
  <c r="F227" i="10" s="1"/>
  <c r="G227" i="4"/>
  <c r="G226" i="4"/>
  <c r="I226" i="4" s="1"/>
  <c r="F226" i="10" s="1"/>
  <c r="G225" i="4"/>
  <c r="I225" i="4" s="1"/>
  <c r="F225" i="10" s="1"/>
  <c r="G224" i="4"/>
  <c r="I224" i="4" s="1"/>
  <c r="F224" i="10" s="1"/>
  <c r="G223" i="4"/>
  <c r="I223" i="4" s="1"/>
  <c r="F223" i="10" s="1"/>
  <c r="G222" i="4"/>
  <c r="I222" i="4" s="1"/>
  <c r="F222" i="10" s="1"/>
  <c r="G221" i="4"/>
  <c r="I221" i="4" s="1"/>
  <c r="F221" i="10" s="1"/>
  <c r="G220" i="4"/>
  <c r="I220" i="4" s="1"/>
  <c r="F220" i="10" s="1"/>
  <c r="G219" i="4"/>
  <c r="I219" i="4" s="1"/>
  <c r="F219" i="10" s="1"/>
  <c r="G218" i="4"/>
  <c r="I218" i="4" s="1"/>
  <c r="F218" i="10" s="1"/>
  <c r="I217" i="4"/>
  <c r="F217" i="10" s="1"/>
  <c r="G217" i="4"/>
  <c r="G216" i="4"/>
  <c r="I216" i="4" s="1"/>
  <c r="F216" i="10" s="1"/>
  <c r="G215" i="4"/>
  <c r="I215" i="4" s="1"/>
  <c r="F215" i="10" s="1"/>
  <c r="G214" i="4"/>
  <c r="I214" i="4" s="1"/>
  <c r="F214" i="10" s="1"/>
  <c r="H214" i="10" s="1"/>
  <c r="G213" i="4"/>
  <c r="I213" i="4" s="1"/>
  <c r="F213" i="10" s="1"/>
  <c r="G212" i="4"/>
  <c r="I212" i="4" s="1"/>
  <c r="F212" i="10" s="1"/>
  <c r="H212" i="10" s="1"/>
  <c r="G211" i="4"/>
  <c r="I211" i="4" s="1"/>
  <c r="F211" i="10" s="1"/>
  <c r="H211" i="10" s="1"/>
  <c r="G210" i="4"/>
  <c r="I210" i="4" s="1"/>
  <c r="F210" i="10" s="1"/>
  <c r="G209" i="4"/>
  <c r="I209" i="4" s="1"/>
  <c r="F209" i="10" s="1"/>
  <c r="G208" i="4"/>
  <c r="I208" i="4" s="1"/>
  <c r="F208" i="10" s="1"/>
  <c r="I207" i="4"/>
  <c r="F207" i="10" s="1"/>
  <c r="H207" i="10" s="1"/>
  <c r="G207" i="4"/>
  <c r="G206" i="4"/>
  <c r="I206" i="4" s="1"/>
  <c r="F206" i="10" s="1"/>
  <c r="G205" i="4"/>
  <c r="I205" i="4" s="1"/>
  <c r="F205" i="10" s="1"/>
  <c r="H205" i="10" s="1"/>
  <c r="G204" i="4"/>
  <c r="I204" i="4" s="1"/>
  <c r="F204" i="10" s="1"/>
  <c r="H204" i="10" s="1"/>
  <c r="G203" i="4"/>
  <c r="I203" i="4" s="1"/>
  <c r="F203" i="10" s="1"/>
  <c r="I202" i="4"/>
  <c r="F202" i="10" s="1"/>
  <c r="H202" i="10" s="1"/>
  <c r="G202" i="4"/>
  <c r="G201" i="4"/>
  <c r="I201" i="4" s="1"/>
  <c r="F201" i="10" s="1"/>
  <c r="H201" i="10" s="1"/>
  <c r="G200" i="4"/>
  <c r="I200" i="4" s="1"/>
  <c r="F200" i="10" s="1"/>
  <c r="G199" i="4"/>
  <c r="I199" i="4" s="1"/>
  <c r="F199" i="10" s="1"/>
  <c r="G198" i="4"/>
  <c r="I198" i="4" s="1"/>
  <c r="F198" i="10" s="1"/>
  <c r="G197" i="4"/>
  <c r="I197" i="4" s="1"/>
  <c r="F197" i="10" s="1"/>
  <c r="G196" i="4"/>
  <c r="I196" i="4" s="1"/>
  <c r="F196" i="10" s="1"/>
  <c r="G195" i="4"/>
  <c r="I195" i="4" s="1"/>
  <c r="F195" i="10" s="1"/>
  <c r="G194" i="4"/>
  <c r="I194" i="4" s="1"/>
  <c r="F194" i="10" s="1"/>
  <c r="G193" i="4"/>
  <c r="I193" i="4" s="1"/>
  <c r="F193" i="10" s="1"/>
  <c r="I192" i="4"/>
  <c r="F192" i="10" s="1"/>
  <c r="H192" i="10" s="1"/>
  <c r="G192" i="4"/>
  <c r="G191" i="4"/>
  <c r="I191" i="4" s="1"/>
  <c r="F191" i="10" s="1"/>
  <c r="H191" i="10" s="1"/>
  <c r="G190" i="4"/>
  <c r="I190" i="4" s="1"/>
  <c r="F190" i="10" s="1"/>
  <c r="G189" i="4"/>
  <c r="I189" i="4" s="1"/>
  <c r="F189" i="10" s="1"/>
  <c r="G188" i="4"/>
  <c r="I188" i="4" s="1"/>
  <c r="F188" i="10" s="1"/>
  <c r="G187" i="4"/>
  <c r="I187" i="4" s="1"/>
  <c r="F187" i="10" s="1"/>
  <c r="H187" i="10" s="1"/>
  <c r="G186" i="4"/>
  <c r="I186" i="4" s="1"/>
  <c r="F186" i="10" s="1"/>
  <c r="G185" i="4"/>
  <c r="I185" i="4" s="1"/>
  <c r="F185" i="10" s="1"/>
  <c r="H185" i="10" s="1"/>
  <c r="G184" i="4"/>
  <c r="I184" i="4" s="1"/>
  <c r="F184" i="10" s="1"/>
  <c r="G183" i="4"/>
  <c r="I183" i="4" s="1"/>
  <c r="F183" i="10" s="1"/>
  <c r="I182" i="4"/>
  <c r="F182" i="10" s="1"/>
  <c r="G182" i="4"/>
  <c r="G181" i="4"/>
  <c r="I181" i="4" s="1"/>
  <c r="F181" i="10" s="1"/>
  <c r="G180" i="4"/>
  <c r="I180" i="4" s="1"/>
  <c r="F180" i="10" s="1"/>
  <c r="G179" i="4"/>
  <c r="I179" i="4" s="1"/>
  <c r="F179" i="10" s="1"/>
  <c r="H179" i="10" s="1"/>
  <c r="G178" i="4"/>
  <c r="I178" i="4" s="1"/>
  <c r="F178" i="10" s="1"/>
  <c r="I177" i="4"/>
  <c r="F177" i="10" s="1"/>
  <c r="G177" i="4"/>
  <c r="G176" i="4"/>
  <c r="I176" i="4" s="1"/>
  <c r="F176" i="10" s="1"/>
  <c r="G175" i="4"/>
  <c r="I175" i="4" s="1"/>
  <c r="F175" i="10" s="1"/>
  <c r="H175" i="10" s="1"/>
  <c r="G174" i="4"/>
  <c r="I174" i="4" s="1"/>
  <c r="F174" i="10" s="1"/>
  <c r="H174" i="10" s="1"/>
  <c r="G173" i="4"/>
  <c r="I173" i="4" s="1"/>
  <c r="F173" i="10" s="1"/>
  <c r="G172" i="4"/>
  <c r="I172" i="4" s="1"/>
  <c r="F172" i="10" s="1"/>
  <c r="H172" i="10" s="1"/>
  <c r="G171" i="4"/>
  <c r="I171" i="4" s="1"/>
  <c r="F171" i="10" s="1"/>
  <c r="H171" i="10" s="1"/>
  <c r="G170" i="4"/>
  <c r="I170" i="4" s="1"/>
  <c r="F170" i="10" s="1"/>
  <c r="G169" i="4"/>
  <c r="I169" i="4" s="1"/>
  <c r="F169" i="10" s="1"/>
  <c r="H169" i="10" s="1"/>
  <c r="G168" i="4"/>
  <c r="I168" i="4" s="1"/>
  <c r="F168" i="10" s="1"/>
  <c r="I167" i="4"/>
  <c r="F167" i="10" s="1"/>
  <c r="G167" i="4"/>
  <c r="G166" i="4"/>
  <c r="I166" i="4" s="1"/>
  <c r="F166" i="10" s="1"/>
  <c r="G165" i="4"/>
  <c r="I165" i="4" s="1"/>
  <c r="F165" i="10" s="1"/>
  <c r="G164" i="4"/>
  <c r="I164" i="4" s="1"/>
  <c r="F164" i="10" s="1"/>
  <c r="G163" i="4"/>
  <c r="I163" i="4" s="1"/>
  <c r="F163" i="10" s="1"/>
  <c r="G162" i="4"/>
  <c r="I162" i="4" s="1"/>
  <c r="F162" i="10" s="1"/>
  <c r="G161" i="4"/>
  <c r="I161" i="4" s="1"/>
  <c r="F161" i="10" s="1"/>
  <c r="G160" i="4"/>
  <c r="I160" i="4" s="1"/>
  <c r="F160" i="10" s="1"/>
  <c r="H160" i="10" s="1"/>
  <c r="G159" i="4"/>
  <c r="I159" i="4" s="1"/>
  <c r="F159" i="10" s="1"/>
  <c r="G158" i="4"/>
  <c r="I158" i="4" s="1"/>
  <c r="F158" i="10" s="1"/>
  <c r="H158" i="10" s="1"/>
  <c r="I157" i="4"/>
  <c r="F157" i="10" s="1"/>
  <c r="H157" i="10" s="1"/>
  <c r="G157" i="4"/>
  <c r="G156" i="4"/>
  <c r="I156" i="4" s="1"/>
  <c r="F156" i="10" s="1"/>
  <c r="G155" i="4"/>
  <c r="I155" i="4" s="1"/>
  <c r="F155" i="10" s="1"/>
  <c r="G154" i="4"/>
  <c r="I154" i="4" s="1"/>
  <c r="F154" i="10" s="1"/>
  <c r="G153" i="4"/>
  <c r="I153" i="4" s="1"/>
  <c r="F153" i="10" s="1"/>
  <c r="I152" i="4"/>
  <c r="F152" i="10" s="1"/>
  <c r="H152" i="10" s="1"/>
  <c r="G152" i="4"/>
  <c r="G151" i="4"/>
  <c r="I151" i="4" s="1"/>
  <c r="F151" i="10" s="1"/>
  <c r="G150" i="4"/>
  <c r="I150" i="4" s="1"/>
  <c r="F150" i="10" s="1"/>
  <c r="G149" i="4"/>
  <c r="I149" i="4" s="1"/>
  <c r="F149" i="10" s="1"/>
  <c r="H149" i="10" s="1"/>
  <c r="G148" i="4"/>
  <c r="I148" i="4" s="1"/>
  <c r="F148" i="10" s="1"/>
  <c r="G147" i="4"/>
  <c r="I147" i="4" s="1"/>
  <c r="F147" i="10" s="1"/>
  <c r="G146" i="4"/>
  <c r="I146" i="4" s="1"/>
  <c r="F146" i="10" s="1"/>
  <c r="G145" i="4"/>
  <c r="I145" i="4" s="1"/>
  <c r="F145" i="10" s="1"/>
  <c r="G144" i="4"/>
  <c r="I144" i="4" s="1"/>
  <c r="F144" i="10" s="1"/>
  <c r="G143" i="4"/>
  <c r="I143" i="4" s="1"/>
  <c r="F143" i="10" s="1"/>
  <c r="I142" i="4"/>
  <c r="F142" i="10" s="1"/>
  <c r="G142" i="4"/>
  <c r="G141" i="4"/>
  <c r="I141" i="4" s="1"/>
  <c r="F141" i="10" s="1"/>
  <c r="H141" i="10" s="1"/>
  <c r="G140" i="4"/>
  <c r="I140" i="4" s="1"/>
  <c r="F140" i="10" s="1"/>
  <c r="G139" i="4"/>
  <c r="I139" i="4" s="1"/>
  <c r="F139" i="10" s="1"/>
  <c r="G138" i="4"/>
  <c r="I138" i="4" s="1"/>
  <c r="F138" i="10" s="1"/>
  <c r="H138" i="10" s="1"/>
  <c r="G137" i="4"/>
  <c r="I137" i="4" s="1"/>
  <c r="F137" i="10" s="1"/>
  <c r="G136" i="4"/>
  <c r="I136" i="4" s="1"/>
  <c r="F136" i="10" s="1"/>
  <c r="G135" i="4"/>
  <c r="I135" i="4" s="1"/>
  <c r="F135" i="10" s="1"/>
  <c r="G134" i="4"/>
  <c r="I134" i="4" s="1"/>
  <c r="F134" i="10" s="1"/>
  <c r="G133" i="4"/>
  <c r="I133" i="4" s="1"/>
  <c r="F133" i="10" s="1"/>
  <c r="I132" i="4"/>
  <c r="F132" i="10" s="1"/>
  <c r="H132" i="10" s="1"/>
  <c r="G132" i="4"/>
  <c r="G131" i="4"/>
  <c r="I131" i="4" s="1"/>
  <c r="F131" i="10" s="1"/>
  <c r="G130" i="4"/>
  <c r="I130" i="4" s="1"/>
  <c r="F130" i="10" s="1"/>
  <c r="G129" i="4"/>
  <c r="I129" i="4" s="1"/>
  <c r="F129" i="10" s="1"/>
  <c r="G128" i="4"/>
  <c r="I128" i="4" s="1"/>
  <c r="F128" i="10" s="1"/>
  <c r="I127" i="4"/>
  <c r="F127" i="10" s="1"/>
  <c r="H127" i="10" s="1"/>
  <c r="G127" i="4"/>
  <c r="G126" i="4"/>
  <c r="I126" i="4" s="1"/>
  <c r="F126" i="10" s="1"/>
  <c r="G125" i="4"/>
  <c r="I125" i="4" s="1"/>
  <c r="F125" i="10" s="1"/>
  <c r="G124" i="4"/>
  <c r="I124" i="4" s="1"/>
  <c r="F124" i="10" s="1"/>
  <c r="G123" i="4"/>
  <c r="I123" i="4" s="1"/>
  <c r="F123" i="10" s="1"/>
  <c r="G122" i="4"/>
  <c r="I122" i="4" s="1"/>
  <c r="F122" i="10" s="1"/>
  <c r="G121" i="4"/>
  <c r="I121" i="4" s="1"/>
  <c r="F121" i="10" s="1"/>
  <c r="H121" i="10" s="1"/>
  <c r="G120" i="4"/>
  <c r="I120" i="4" s="1"/>
  <c r="F120" i="10" s="1"/>
  <c r="G119" i="4"/>
  <c r="I119" i="4" s="1"/>
  <c r="F119" i="10" s="1"/>
  <c r="H119" i="10" s="1"/>
  <c r="G118" i="4"/>
  <c r="I118" i="4" s="1"/>
  <c r="F118" i="10" s="1"/>
  <c r="H118" i="10" s="1"/>
  <c r="I117" i="4"/>
  <c r="F117" i="10" s="1"/>
  <c r="G117" i="4"/>
  <c r="G116" i="4"/>
  <c r="I116" i="4" s="1"/>
  <c r="F116" i="10" s="1"/>
  <c r="G115" i="4"/>
  <c r="I115" i="4" s="1"/>
  <c r="F115" i="10" s="1"/>
  <c r="G114" i="4"/>
  <c r="I114" i="4" s="1"/>
  <c r="F114" i="10" s="1"/>
  <c r="G113" i="4"/>
  <c r="I113" i="4" s="1"/>
  <c r="F113" i="10" s="1"/>
  <c r="G112" i="4"/>
  <c r="I112" i="4" s="1"/>
  <c r="F112" i="10" s="1"/>
  <c r="G111" i="4"/>
  <c r="I111" i="4" s="1"/>
  <c r="F111" i="10" s="1"/>
  <c r="G110" i="4"/>
  <c r="I110" i="4" s="1"/>
  <c r="F110" i="10" s="1"/>
  <c r="H110" i="10" s="1"/>
  <c r="G109" i="4"/>
  <c r="I109" i="4" s="1"/>
  <c r="F109" i="10" s="1"/>
  <c r="G108" i="4"/>
  <c r="I108" i="4" s="1"/>
  <c r="F108" i="10" s="1"/>
  <c r="H108" i="10" s="1"/>
  <c r="I107" i="4"/>
  <c r="F107" i="10" s="1"/>
  <c r="G107" i="4"/>
  <c r="G106" i="4"/>
  <c r="I106" i="4" s="1"/>
  <c r="F106" i="10" s="1"/>
  <c r="G105" i="4"/>
  <c r="I105" i="4" s="1"/>
  <c r="F105" i="10" s="1"/>
  <c r="G104" i="4"/>
  <c r="I104" i="4" s="1"/>
  <c r="F104" i="10" s="1"/>
  <c r="G103" i="4"/>
  <c r="I103" i="4" s="1"/>
  <c r="F103" i="10" s="1"/>
  <c r="I102" i="4"/>
  <c r="F102" i="10" s="1"/>
  <c r="G102" i="4"/>
  <c r="G101" i="4"/>
  <c r="I101" i="4" s="1"/>
  <c r="F101" i="10" s="1"/>
  <c r="H101" i="10" s="1"/>
  <c r="G100" i="4"/>
  <c r="I100" i="4" s="1"/>
  <c r="F100" i="10" s="1"/>
  <c r="G99" i="4"/>
  <c r="I99" i="4" s="1"/>
  <c r="F99" i="10" s="1"/>
  <c r="H99" i="10" s="1"/>
  <c r="G98" i="4"/>
  <c r="I98" i="4" s="1"/>
  <c r="F98" i="10" s="1"/>
  <c r="G97" i="4"/>
  <c r="I97" i="4" s="1"/>
  <c r="F97" i="10" s="1"/>
  <c r="G96" i="4"/>
  <c r="I96" i="4" s="1"/>
  <c r="F96" i="10" s="1"/>
  <c r="G95" i="4"/>
  <c r="I95" i="4" s="1"/>
  <c r="F95" i="10" s="1"/>
  <c r="G94" i="4"/>
  <c r="I94" i="4" s="1"/>
  <c r="F94" i="10" s="1"/>
  <c r="G93" i="4"/>
  <c r="I93" i="4" s="1"/>
  <c r="F93" i="10" s="1"/>
  <c r="I92" i="4"/>
  <c r="F92" i="10" s="1"/>
  <c r="G92" i="4"/>
  <c r="G91" i="4"/>
  <c r="I91" i="4" s="1"/>
  <c r="F91" i="10" s="1"/>
  <c r="G90" i="4"/>
  <c r="I90" i="4" s="1"/>
  <c r="F90" i="10" s="1"/>
  <c r="G89" i="4"/>
  <c r="I89" i="4" s="1"/>
  <c r="F89" i="10" s="1"/>
  <c r="G88" i="4"/>
  <c r="I88" i="4" s="1"/>
  <c r="F88" i="10" s="1"/>
  <c r="H88" i="10" s="1"/>
  <c r="G87" i="4"/>
  <c r="I87" i="4" s="1"/>
  <c r="F87" i="10" s="1"/>
  <c r="H87" i="10" s="1"/>
  <c r="G86" i="4"/>
  <c r="I86" i="4" s="1"/>
  <c r="F86" i="10" s="1"/>
  <c r="G85" i="4"/>
  <c r="I85" i="4" s="1"/>
  <c r="F85" i="10" s="1"/>
  <c r="G84" i="4"/>
  <c r="I84" i="4" s="1"/>
  <c r="F84" i="10" s="1"/>
  <c r="G83" i="4"/>
  <c r="I83" i="4" s="1"/>
  <c r="F83" i="10" s="1"/>
  <c r="I82" i="4"/>
  <c r="F82" i="10" s="1"/>
  <c r="G82" i="4"/>
  <c r="G81" i="4"/>
  <c r="I81" i="4" s="1"/>
  <c r="F81" i="10" s="1"/>
  <c r="G80" i="4"/>
  <c r="I80" i="4" s="1"/>
  <c r="F80" i="10" s="1"/>
  <c r="G79" i="4"/>
  <c r="I79" i="4" s="1"/>
  <c r="F79" i="10" s="1"/>
  <c r="G78" i="4"/>
  <c r="I78" i="4" s="1"/>
  <c r="F78" i="10" s="1"/>
  <c r="I77" i="4"/>
  <c r="F77" i="10" s="1"/>
  <c r="G77" i="4"/>
  <c r="G76" i="4"/>
  <c r="I76" i="4" s="1"/>
  <c r="F76" i="10" s="1"/>
  <c r="G75" i="4"/>
  <c r="I75" i="4" s="1"/>
  <c r="F75" i="10" s="1"/>
  <c r="G74" i="4"/>
  <c r="I74" i="4" s="1"/>
  <c r="F74" i="10" s="1"/>
  <c r="G73" i="4"/>
  <c r="I73" i="4" s="1"/>
  <c r="F73" i="10" s="1"/>
  <c r="G72" i="4"/>
  <c r="I72" i="4" s="1"/>
  <c r="F72" i="10" s="1"/>
  <c r="G71" i="4"/>
  <c r="I71" i="4" s="1"/>
  <c r="F71" i="10" s="1"/>
  <c r="G70" i="4"/>
  <c r="I70" i="4" s="1"/>
  <c r="F70" i="10" s="1"/>
  <c r="G69" i="4"/>
  <c r="I69" i="4" s="1"/>
  <c r="F69" i="10" s="1"/>
  <c r="G68" i="4"/>
  <c r="I68" i="4" s="1"/>
  <c r="F68" i="10" s="1"/>
  <c r="I67" i="4"/>
  <c r="F67" i="10" s="1"/>
  <c r="G67" i="4"/>
  <c r="G66" i="4"/>
  <c r="I66" i="4" s="1"/>
  <c r="F66" i="10" s="1"/>
  <c r="G65" i="4"/>
  <c r="I65" i="4" s="1"/>
  <c r="F65" i="10" s="1"/>
  <c r="G64" i="4"/>
  <c r="I64" i="4" s="1"/>
  <c r="F64" i="10" s="1"/>
  <c r="G63" i="4"/>
  <c r="I63" i="4" s="1"/>
  <c r="F63" i="10" s="1"/>
  <c r="G62" i="4"/>
  <c r="I62" i="4" s="1"/>
  <c r="F62" i="10" s="1"/>
  <c r="G61" i="4"/>
  <c r="I61" i="4" s="1"/>
  <c r="F61" i="10" s="1"/>
  <c r="G60" i="4"/>
  <c r="I60" i="4" s="1"/>
  <c r="F60" i="10" s="1"/>
  <c r="G59" i="4"/>
  <c r="I59" i="4" s="1"/>
  <c r="F59" i="10" s="1"/>
  <c r="G58" i="4"/>
  <c r="I58" i="4" s="1"/>
  <c r="F58" i="10" s="1"/>
  <c r="I57" i="4"/>
  <c r="F57" i="10" s="1"/>
  <c r="G57" i="4"/>
  <c r="G56" i="4"/>
  <c r="I56" i="4" s="1"/>
  <c r="F56" i="10" s="1"/>
  <c r="G55" i="4"/>
  <c r="I55" i="4" s="1"/>
  <c r="F55" i="10" s="1"/>
  <c r="G54" i="4"/>
  <c r="I54" i="4" s="1"/>
  <c r="F54" i="10" s="1"/>
  <c r="G53" i="4"/>
  <c r="I53" i="4" s="1"/>
  <c r="F53" i="10" s="1"/>
  <c r="I52" i="4"/>
  <c r="F52" i="10" s="1"/>
  <c r="G52" i="4"/>
  <c r="G51" i="4"/>
  <c r="I51" i="4" s="1"/>
  <c r="F51" i="10" s="1"/>
  <c r="G50" i="4"/>
  <c r="I50" i="4" s="1"/>
  <c r="F50" i="10" s="1"/>
  <c r="G49" i="4"/>
  <c r="I49" i="4" s="1"/>
  <c r="F49" i="10" s="1"/>
  <c r="G48" i="4"/>
  <c r="I48" i="4" s="1"/>
  <c r="F48" i="10" s="1"/>
  <c r="H48" i="10" s="1"/>
  <c r="G47" i="4"/>
  <c r="I47" i="4" s="1"/>
  <c r="F47" i="10" s="1"/>
  <c r="G46" i="4"/>
  <c r="I46" i="4" s="1"/>
  <c r="F46" i="10" s="1"/>
  <c r="G45" i="4"/>
  <c r="I45" i="4" s="1"/>
  <c r="F45" i="10" s="1"/>
  <c r="G44" i="4"/>
  <c r="I44" i="4" s="1"/>
  <c r="F44" i="10" s="1"/>
  <c r="G43" i="4"/>
  <c r="I43" i="4" s="1"/>
  <c r="F43" i="10" s="1"/>
  <c r="I42" i="4"/>
  <c r="F42" i="10" s="1"/>
  <c r="G42" i="4"/>
  <c r="G41" i="4"/>
  <c r="I41" i="4" s="1"/>
  <c r="F41" i="10" s="1"/>
  <c r="G40" i="4"/>
  <c r="I40" i="4" s="1"/>
  <c r="F40" i="10" s="1"/>
  <c r="G39" i="4"/>
  <c r="I39" i="4" s="1"/>
  <c r="F39" i="10" s="1"/>
  <c r="G38" i="4"/>
  <c r="I38" i="4" s="1"/>
  <c r="F38" i="10" s="1"/>
  <c r="H38" i="10" s="1"/>
  <c r="G37" i="4"/>
  <c r="I37" i="4" s="1"/>
  <c r="F37" i="10" s="1"/>
  <c r="G36" i="4"/>
  <c r="I36" i="4" s="1"/>
  <c r="F36" i="10" s="1"/>
  <c r="G35" i="4"/>
  <c r="I35" i="4" s="1"/>
  <c r="F35" i="10" s="1"/>
  <c r="G34" i="4"/>
  <c r="I34" i="4" s="1"/>
  <c r="F34" i="10" s="1"/>
  <c r="G33" i="4"/>
  <c r="I33" i="4" s="1"/>
  <c r="F33" i="10" s="1"/>
  <c r="I32" i="4"/>
  <c r="F32" i="10" s="1"/>
  <c r="G32" i="4"/>
  <c r="G31" i="4"/>
  <c r="I31" i="4" s="1"/>
  <c r="F31" i="10" s="1"/>
  <c r="G30" i="4"/>
  <c r="I30" i="4" s="1"/>
  <c r="F30" i="10" s="1"/>
  <c r="H30" i="10" s="1"/>
  <c r="G29" i="4"/>
  <c r="I29" i="4" s="1"/>
  <c r="F29" i="10" s="1"/>
  <c r="G28" i="4"/>
  <c r="I28" i="4" s="1"/>
  <c r="F28" i="10" s="1"/>
  <c r="H28" i="10" s="1"/>
  <c r="G27" i="4"/>
  <c r="I27" i="4" s="1"/>
  <c r="F27" i="10" s="1"/>
  <c r="H27" i="10" s="1"/>
  <c r="G26" i="4"/>
  <c r="I26" i="4" s="1"/>
  <c r="F26" i="10" s="1"/>
  <c r="G25" i="4"/>
  <c r="I25" i="4" s="1"/>
  <c r="F25" i="10" s="1"/>
  <c r="G24" i="4"/>
  <c r="I24" i="4" s="1"/>
  <c r="F24" i="10" s="1"/>
  <c r="G23" i="4"/>
  <c r="I23" i="4" s="1"/>
  <c r="F23" i="10" s="1"/>
  <c r="G22" i="4"/>
  <c r="I22" i="4" s="1"/>
  <c r="F22" i="10" s="1"/>
  <c r="G21" i="4"/>
  <c r="I21" i="4" s="1"/>
  <c r="F21" i="10" s="1"/>
  <c r="H21" i="10" s="1"/>
  <c r="G20" i="4"/>
  <c r="I20" i="4" s="1"/>
  <c r="F20" i="10" s="1"/>
  <c r="G19" i="4"/>
  <c r="I19" i="4" s="1"/>
  <c r="F19" i="10" s="1"/>
  <c r="G18" i="4"/>
  <c r="I18" i="4" s="1"/>
  <c r="F18" i="10" s="1"/>
  <c r="H18" i="10" s="1"/>
  <c r="I17" i="4"/>
  <c r="F17" i="10" s="1"/>
  <c r="G17" i="4"/>
  <c r="G16" i="4"/>
  <c r="I16" i="4" s="1"/>
  <c r="F16" i="10" s="1"/>
  <c r="G15" i="4"/>
  <c r="I15" i="4" s="1"/>
  <c r="F15" i="10" s="1"/>
  <c r="G14" i="4"/>
  <c r="I14" i="4" s="1"/>
  <c r="F14" i="10" s="1"/>
  <c r="I13" i="4"/>
  <c r="F13" i="10" s="1"/>
  <c r="G13" i="4"/>
  <c r="I12" i="4"/>
  <c r="G12" i="4"/>
  <c r="G11" i="4"/>
  <c r="I11" i="4" s="1"/>
  <c r="F11" i="10" s="1"/>
  <c r="G10" i="4"/>
  <c r="I10" i="4" s="1"/>
  <c r="G9" i="4"/>
  <c r="I9" i="4" s="1"/>
  <c r="F9" i="10" s="1"/>
  <c r="G8" i="4"/>
  <c r="I8" i="4" s="1"/>
  <c r="I7" i="4"/>
  <c r="F7" i="10" s="1"/>
  <c r="G7" i="4"/>
  <c r="G6" i="4"/>
  <c r="I6" i="4" s="1"/>
  <c r="F6" i="10" s="1"/>
  <c r="G5" i="4"/>
  <c r="I5" i="4" s="1"/>
  <c r="G4" i="4"/>
  <c r="I4" i="4" s="1"/>
  <c r="F4" i="10" s="1"/>
  <c r="H4" i="10" s="1"/>
  <c r="I3" i="4"/>
  <c r="G3" i="4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A5" i="3"/>
  <c r="A1" i="3"/>
  <c r="C18" i="2"/>
  <c r="C19" i="2" s="1"/>
  <c r="C8" i="2"/>
  <c r="A4" i="2"/>
  <c r="E23" i="1"/>
  <c r="D23" i="1"/>
  <c r="C23" i="1"/>
  <c r="B23" i="1"/>
  <c r="A23" i="1"/>
  <c r="E22" i="1"/>
  <c r="C22" i="1"/>
  <c r="B22" i="1"/>
  <c r="A22" i="1"/>
  <c r="E21" i="1"/>
  <c r="D21" i="1"/>
  <c r="C21" i="1"/>
  <c r="B21" i="1"/>
  <c r="A21" i="1"/>
  <c r="E20" i="1"/>
  <c r="C20" i="1"/>
  <c r="B20" i="1"/>
  <c r="A20" i="1"/>
  <c r="E19" i="1"/>
  <c r="D19" i="1"/>
  <c r="C19" i="1"/>
  <c r="B19" i="1"/>
  <c r="A19" i="1"/>
  <c r="E18" i="1"/>
  <c r="C18" i="1"/>
  <c r="B18" i="1"/>
  <c r="A18" i="1"/>
  <c r="E17" i="1"/>
  <c r="D17" i="1"/>
  <c r="C17" i="1"/>
  <c r="B17" i="1"/>
  <c r="A17" i="1"/>
  <c r="E16" i="1"/>
  <c r="C16" i="1"/>
  <c r="B16" i="1"/>
  <c r="A16" i="1"/>
  <c r="E15" i="1"/>
  <c r="D15" i="1"/>
  <c r="C15" i="1"/>
  <c r="B15" i="1"/>
  <c r="A15" i="1"/>
  <c r="E14" i="1"/>
  <c r="C14" i="1"/>
  <c r="B14" i="1"/>
  <c r="A14" i="1"/>
  <c r="E8" i="1"/>
  <c r="N26" i="7" l="1"/>
  <c r="J800" i="10"/>
  <c r="J754" i="10"/>
  <c r="N9" i="7"/>
  <c r="N25" i="7"/>
  <c r="N16" i="7"/>
  <c r="J882" i="10"/>
  <c r="J952" i="10"/>
  <c r="J873" i="10"/>
  <c r="J993" i="10"/>
  <c r="N8" i="7"/>
  <c r="J828" i="10"/>
  <c r="J918" i="10"/>
  <c r="J904" i="10"/>
  <c r="J984" i="10"/>
  <c r="J887" i="10"/>
  <c r="D10" i="3"/>
  <c r="J761" i="10"/>
  <c r="J791" i="10"/>
  <c r="J764" i="10"/>
  <c r="J811" i="10"/>
  <c r="D40" i="3"/>
  <c r="F9" i="9"/>
  <c r="J728" i="10"/>
  <c r="J765" i="10"/>
  <c r="H826" i="10"/>
  <c r="J916" i="10"/>
  <c r="J966" i="10"/>
  <c r="J942" i="10"/>
  <c r="J750" i="10"/>
  <c r="H1002" i="10"/>
  <c r="H1012" i="10"/>
  <c r="J1022" i="10"/>
  <c r="H996" i="10"/>
  <c r="H961" i="10"/>
  <c r="J867" i="10"/>
  <c r="J1034" i="10"/>
  <c r="J1036" i="10"/>
  <c r="C45" i="3"/>
  <c r="J725" i="10"/>
  <c r="J735" i="10"/>
  <c r="H769" i="10"/>
  <c r="J813" i="10"/>
  <c r="J830" i="10"/>
  <c r="H763" i="10"/>
  <c r="J914" i="10"/>
  <c r="J968" i="10"/>
  <c r="H1000" i="10"/>
  <c r="J846" i="10"/>
  <c r="H1001" i="10"/>
  <c r="F18" i="9"/>
  <c r="C44" i="3"/>
  <c r="H754" i="10"/>
  <c r="J763" i="10"/>
  <c r="H873" i="10"/>
  <c r="H875" i="10"/>
  <c r="J892" i="10"/>
  <c r="J946" i="10"/>
  <c r="H764" i="10"/>
  <c r="J820" i="10"/>
  <c r="J837" i="10"/>
  <c r="J850" i="10"/>
  <c r="J888" i="10"/>
  <c r="J945" i="10"/>
  <c r="J748" i="10"/>
  <c r="J836" i="10"/>
  <c r="J944" i="10"/>
  <c r="J812" i="10"/>
  <c r="J964" i="10"/>
  <c r="G30" i="9"/>
  <c r="J903" i="10"/>
  <c r="J930" i="10"/>
  <c r="H940" i="10"/>
  <c r="J967" i="10"/>
  <c r="J987" i="10"/>
  <c r="J737" i="10"/>
  <c r="J855" i="10"/>
  <c r="J896" i="10"/>
  <c r="J960" i="10"/>
  <c r="J880" i="10"/>
  <c r="J980" i="10"/>
  <c r="J990" i="10"/>
  <c r="J746" i="10"/>
  <c r="J784" i="10"/>
  <c r="J835" i="10"/>
  <c r="J842" i="10"/>
  <c r="J883" i="10"/>
  <c r="J894" i="10"/>
  <c r="H911" i="10"/>
  <c r="J973" i="10"/>
  <c r="J983" i="10"/>
  <c r="D24" i="3"/>
  <c r="H736" i="10"/>
  <c r="J776" i="10"/>
  <c r="J783" i="10"/>
  <c r="J810" i="10"/>
  <c r="J854" i="10"/>
  <c r="J893" i="10"/>
  <c r="J900" i="10"/>
  <c r="J917" i="10"/>
  <c r="J965" i="10"/>
  <c r="J1009" i="10"/>
  <c r="J1016" i="10"/>
  <c r="J947" i="10"/>
  <c r="J1012" i="10"/>
  <c r="J782" i="10"/>
  <c r="J857" i="10"/>
  <c r="J933" i="10"/>
  <c r="J950" i="10"/>
  <c r="J805" i="10"/>
  <c r="J843" i="10"/>
  <c r="J895" i="10"/>
  <c r="H902" i="10"/>
  <c r="J943" i="10"/>
  <c r="H974" i="10"/>
  <c r="J1011" i="10"/>
  <c r="G33" i="9"/>
  <c r="J726" i="10"/>
  <c r="H789" i="10"/>
  <c r="J866" i="10"/>
  <c r="J922" i="10"/>
  <c r="C27" i="3"/>
  <c r="J804" i="10"/>
  <c r="J872" i="10"/>
  <c r="H890" i="10"/>
  <c r="J938" i="10"/>
  <c r="J1027" i="10"/>
  <c r="J1037" i="10"/>
  <c r="H749" i="10"/>
  <c r="J780" i="10"/>
  <c r="J790" i="10"/>
  <c r="J838" i="10"/>
  <c r="J879" i="10"/>
  <c r="J897" i="10"/>
  <c r="J996" i="10"/>
  <c r="J1013" i="10"/>
  <c r="C24" i="3"/>
  <c r="D20" i="3"/>
  <c r="D21" i="3"/>
  <c r="D37" i="3"/>
  <c r="G20" i="9"/>
  <c r="H874" i="10"/>
  <c r="J902" i="10"/>
  <c r="H925" i="10"/>
  <c r="J974" i="10"/>
  <c r="H995" i="10"/>
  <c r="H1034" i="10"/>
  <c r="D41" i="3"/>
  <c r="H820" i="10"/>
  <c r="J972" i="10"/>
  <c r="J994" i="10"/>
  <c r="H1018" i="10"/>
  <c r="C37" i="3"/>
  <c r="C17" i="3"/>
  <c r="D34" i="3"/>
  <c r="G22" i="9"/>
  <c r="H730" i="10"/>
  <c r="J756" i="10"/>
  <c r="H771" i="10"/>
  <c r="J789" i="10"/>
  <c r="H812" i="10"/>
  <c r="J818" i="10"/>
  <c r="H837" i="10"/>
  <c r="J844" i="10"/>
  <c r="J865" i="10"/>
  <c r="H897" i="10"/>
  <c r="J910" i="10"/>
  <c r="J921" i="10"/>
  <c r="H965" i="10"/>
  <c r="J971" i="10"/>
  <c r="J997" i="10"/>
  <c r="J1000" i="10"/>
  <c r="D17" i="3"/>
  <c r="F23" i="9"/>
  <c r="H724" i="10"/>
  <c r="H867" i="10"/>
  <c r="H967" i="10"/>
  <c r="C14" i="3"/>
  <c r="C35" i="3"/>
  <c r="D31" i="3"/>
  <c r="H755" i="10"/>
  <c r="H785" i="10"/>
  <c r="H790" i="10"/>
  <c r="H804" i="10"/>
  <c r="J821" i="10"/>
  <c r="J839" i="10"/>
  <c r="H861" i="10"/>
  <c r="J924" i="10"/>
  <c r="J992" i="10"/>
  <c r="D9" i="3"/>
  <c r="D30" i="3"/>
  <c r="G32" i="9"/>
  <c r="D14" i="3"/>
  <c r="D35" i="3"/>
  <c r="C47" i="3"/>
  <c r="H725" i="10"/>
  <c r="J736" i="10"/>
  <c r="H744" i="10"/>
  <c r="J749" i="10"/>
  <c r="J762" i="10"/>
  <c r="J770" i="10"/>
  <c r="J806" i="10"/>
  <c r="J831" i="10"/>
  <c r="J864" i="10"/>
  <c r="J912" i="10"/>
  <c r="J934" i="10"/>
  <c r="H947" i="10"/>
  <c r="H952" i="10"/>
  <c r="J962" i="10"/>
  <c r="J988" i="10"/>
  <c r="J995" i="10"/>
  <c r="H1003" i="10"/>
  <c r="J1010" i="10"/>
  <c r="J1021" i="10"/>
  <c r="H1028" i="10"/>
  <c r="J1031" i="10"/>
  <c r="F3" i="9"/>
  <c r="G34" i="9"/>
  <c r="F4" i="9"/>
  <c r="F38" i="9"/>
  <c r="J739" i="10"/>
  <c r="H805" i="10"/>
  <c r="H851" i="10"/>
  <c r="J860" i="10"/>
  <c r="J901" i="10"/>
  <c r="H917" i="10"/>
  <c r="H923" i="10"/>
  <c r="J937" i="10"/>
  <c r="J1017" i="10"/>
  <c r="J1024" i="10"/>
  <c r="G9" i="9"/>
  <c r="J845" i="10"/>
  <c r="D45" i="3"/>
  <c r="E45" i="3" s="1"/>
  <c r="F45" i="3" s="1"/>
  <c r="G10" i="9"/>
  <c r="G13" i="9"/>
  <c r="J738" i="10"/>
  <c r="J755" i="10"/>
  <c r="J760" i="10"/>
  <c r="H765" i="10"/>
  <c r="H784" i="10"/>
  <c r="H813" i="10"/>
  <c r="J822" i="10"/>
  <c r="H839" i="10"/>
  <c r="J862" i="10"/>
  <c r="H871" i="10"/>
  <c r="J874" i="10"/>
  <c r="H914" i="10"/>
  <c r="H916" i="10"/>
  <c r="J932" i="10"/>
  <c r="H966" i="10"/>
  <c r="J1008" i="10"/>
  <c r="J1026" i="10"/>
  <c r="N10" i="7"/>
  <c r="N20" i="7"/>
  <c r="N30" i="7"/>
  <c r="N11" i="7"/>
  <c r="G24" i="9"/>
  <c r="D11" i="3"/>
  <c r="G14" i="9"/>
  <c r="J951" i="10"/>
  <c r="H972" i="10"/>
  <c r="H973" i="10"/>
  <c r="J979" i="10"/>
  <c r="J1018" i="10"/>
  <c r="D36" i="3"/>
  <c r="D25" i="3"/>
  <c r="F34" i="9"/>
  <c r="H538" i="6"/>
  <c r="G17" i="9"/>
  <c r="D16" i="3"/>
  <c r="C22" i="3"/>
  <c r="C9" i="3"/>
  <c r="D12" i="3"/>
  <c r="D19" i="3"/>
  <c r="D22" i="3"/>
  <c r="C30" i="3"/>
  <c r="C34" i="3"/>
  <c r="E34" i="3" s="1"/>
  <c r="F34" i="3" s="1"/>
  <c r="G8" i="9"/>
  <c r="G19" i="9"/>
  <c r="J727" i="10"/>
  <c r="H737" i="10"/>
  <c r="J744" i="10"/>
  <c r="J769" i="10"/>
  <c r="J771" i="10"/>
  <c r="H814" i="10"/>
  <c r="J832" i="10"/>
  <c r="H922" i="10"/>
  <c r="J923" i="10"/>
  <c r="J929" i="10"/>
  <c r="H979" i="10"/>
  <c r="J1002" i="10"/>
  <c r="H1009" i="10"/>
  <c r="H1033" i="10"/>
  <c r="M34" i="7"/>
  <c r="M47" i="7" s="1"/>
  <c r="H740" i="10"/>
  <c r="J778" i="10"/>
  <c r="J815" i="10"/>
  <c r="H872" i="10"/>
  <c r="H762" i="10"/>
  <c r="H901" i="10"/>
  <c r="H946" i="10"/>
  <c r="D27" i="3"/>
  <c r="F10" i="9"/>
  <c r="H10" i="9" s="1"/>
  <c r="I10" i="9" s="1"/>
  <c r="G3" i="9"/>
  <c r="G12" i="9"/>
  <c r="G23" i="9"/>
  <c r="G35" i="9"/>
  <c r="H761" i="10"/>
  <c r="J781" i="10"/>
  <c r="J801" i="10"/>
  <c r="J814" i="10"/>
  <c r="J852" i="10"/>
  <c r="H896" i="10"/>
  <c r="H929" i="10"/>
  <c r="H945" i="10"/>
  <c r="H989" i="10"/>
  <c r="H1008" i="10"/>
  <c r="H879" i="10"/>
  <c r="H895" i="10"/>
  <c r="F41" i="9"/>
  <c r="J768" i="10"/>
  <c r="H811" i="10"/>
  <c r="H836" i="10"/>
  <c r="H866" i="10"/>
  <c r="D32" i="3"/>
  <c r="F14" i="9"/>
  <c r="G5" i="9"/>
  <c r="G15" i="9"/>
  <c r="G27" i="9"/>
  <c r="J724" i="10"/>
  <c r="H727" i="10"/>
  <c r="J740" i="10"/>
  <c r="H747" i="10"/>
  <c r="H782" i="10"/>
  <c r="J785" i="10"/>
  <c r="H798" i="10"/>
  <c r="H845" i="10"/>
  <c r="J851" i="10"/>
  <c r="H857" i="10"/>
  <c r="H865" i="10"/>
  <c r="J868" i="10"/>
  <c r="J884" i="10"/>
  <c r="H894" i="10"/>
  <c r="H915" i="10"/>
  <c r="J925" i="10"/>
  <c r="J940" i="10"/>
  <c r="J954" i="10"/>
  <c r="J982" i="10"/>
  <c r="H990" i="10"/>
  <c r="H1011" i="10"/>
  <c r="J1033" i="10"/>
  <c r="H748" i="10"/>
  <c r="G4" i="9"/>
  <c r="G25" i="9"/>
  <c r="H783" i="10"/>
  <c r="C42" i="3"/>
  <c r="D47" i="3"/>
  <c r="G28" i="9"/>
  <c r="H770" i="10"/>
  <c r="H778" i="10"/>
  <c r="H791" i="10"/>
  <c r="H815" i="10"/>
  <c r="H831" i="10"/>
  <c r="H844" i="10"/>
  <c r="J875" i="10"/>
  <c r="J890" i="10"/>
  <c r="H924" i="10"/>
  <c r="H939" i="10"/>
  <c r="H943" i="10"/>
  <c r="H944" i="10" s="1"/>
  <c r="J1003" i="10"/>
  <c r="H1010" i="10"/>
  <c r="H1023" i="10"/>
  <c r="D39" i="3"/>
  <c r="D15" i="3"/>
  <c r="C29" i="3"/>
  <c r="G7" i="9"/>
  <c r="H726" i="10"/>
  <c r="H739" i="10"/>
  <c r="H750" i="10"/>
  <c r="C19" i="3"/>
  <c r="D26" i="3"/>
  <c r="C40" i="3"/>
  <c r="E40" i="3" s="1"/>
  <c r="F40" i="3" s="1"/>
  <c r="F19" i="9"/>
  <c r="D44" i="3"/>
  <c r="F8" i="9"/>
  <c r="G18" i="9"/>
  <c r="H18" i="9" s="1"/>
  <c r="I18" i="9" s="1"/>
  <c r="G29" i="9"/>
  <c r="H738" i="10"/>
  <c r="H746" i="10"/>
  <c r="H781" i="10"/>
  <c r="H801" i="10"/>
  <c r="H843" i="10"/>
  <c r="H852" i="10"/>
  <c r="J871" i="10"/>
  <c r="H889" i="10"/>
  <c r="H893" i="10"/>
  <c r="N35" i="7"/>
  <c r="N15" i="7"/>
  <c r="N18" i="7"/>
  <c r="N14" i="7"/>
  <c r="N46" i="7"/>
  <c r="N17" i="7"/>
  <c r="N19" i="7"/>
  <c r="N27" i="7"/>
  <c r="N28" i="7"/>
  <c r="N32" i="7"/>
  <c r="N13" i="7"/>
  <c r="N21" i="7"/>
  <c r="N29" i="7"/>
  <c r="N36" i="7"/>
  <c r="N12" i="7"/>
  <c r="N22" i="7"/>
  <c r="N23" i="7"/>
  <c r="N31" i="7"/>
  <c r="N24" i="7"/>
  <c r="N33" i="7"/>
  <c r="N4" i="7"/>
  <c r="H262" i="10"/>
  <c r="C26" i="3"/>
  <c r="H222" i="10"/>
  <c r="C21" i="3"/>
  <c r="D42" i="3"/>
  <c r="H23" i="10"/>
  <c r="F5" i="9"/>
  <c r="H122" i="10"/>
  <c r="C12" i="3"/>
  <c r="F8" i="10"/>
  <c r="H8" i="10" s="1"/>
  <c r="D18" i="1"/>
  <c r="C7" i="2"/>
  <c r="C9" i="2" s="1"/>
  <c r="C32" i="3"/>
  <c r="G8" i="1"/>
  <c r="G34" i="8"/>
  <c r="G35" i="8" s="1"/>
  <c r="F12" i="10"/>
  <c r="D22" i="1"/>
  <c r="D18" i="3"/>
  <c r="C18" i="3"/>
  <c r="C25" i="3"/>
  <c r="E25" i="3" s="1"/>
  <c r="F25" i="3" s="1"/>
  <c r="D29" i="3"/>
  <c r="D43" i="3"/>
  <c r="C43" i="3"/>
  <c r="E3" i="12"/>
  <c r="G741" i="4"/>
  <c r="I741" i="4" s="1"/>
  <c r="D10" i="1" s="1"/>
  <c r="E834" i="4"/>
  <c r="C11" i="3"/>
  <c r="C36" i="3"/>
  <c r="E36" i="3" s="1"/>
  <c r="F36" i="3" s="1"/>
  <c r="D48" i="3"/>
  <c r="C48" i="3"/>
  <c r="H69" i="10"/>
  <c r="F24" i="9"/>
  <c r="H601" i="10"/>
  <c r="G39" i="9"/>
  <c r="D5" i="12"/>
  <c r="F5" i="12" s="1"/>
  <c r="L104" i="5"/>
  <c r="N104" i="5"/>
  <c r="G692" i="10" s="1"/>
  <c r="G590" i="10"/>
  <c r="G38" i="9"/>
  <c r="D23" i="3"/>
  <c r="C23" i="3"/>
  <c r="D46" i="3"/>
  <c r="C16" i="3"/>
  <c r="C39" i="3"/>
  <c r="C41" i="3"/>
  <c r="H180" i="10"/>
  <c r="N9" i="5"/>
  <c r="D8" i="3"/>
  <c r="C8" i="3"/>
  <c r="C46" i="3"/>
  <c r="C10" i="3"/>
  <c r="E10" i="3" s="1"/>
  <c r="F10" i="3" s="1"/>
  <c r="D28" i="3"/>
  <c r="C28" i="3"/>
  <c r="L47" i="7"/>
  <c r="C15" i="3"/>
  <c r="D33" i="3"/>
  <c r="C33" i="3"/>
  <c r="G834" i="4"/>
  <c r="F10" i="10"/>
  <c r="D20" i="1"/>
  <c r="G41" i="9"/>
  <c r="F3" i="10"/>
  <c r="F33" i="9" s="1"/>
  <c r="D14" i="1"/>
  <c r="A5" i="1"/>
  <c r="B27" i="1"/>
  <c r="I834" i="4"/>
  <c r="D13" i="3"/>
  <c r="C13" i="3"/>
  <c r="C20" i="3"/>
  <c r="E20" i="3" s="1"/>
  <c r="F20" i="3" s="1"/>
  <c r="C38" i="3"/>
  <c r="D38" i="3"/>
  <c r="F13" i="9"/>
  <c r="C31" i="3"/>
  <c r="E31" i="3" s="1"/>
  <c r="F31" i="3" s="1"/>
  <c r="F5" i="10"/>
  <c r="F28" i="9" s="1"/>
  <c r="D16" i="1"/>
  <c r="H301" i="10"/>
  <c r="F29" i="9"/>
  <c r="D4" i="12"/>
  <c r="F4" i="12" s="1"/>
  <c r="K634" i="5"/>
  <c r="N103" i="5"/>
  <c r="G691" i="10" s="1"/>
  <c r="H691" i="10" s="1"/>
  <c r="H692" i="10" s="1"/>
  <c r="L103" i="5"/>
  <c r="L634" i="5" s="1"/>
  <c r="H40" i="10"/>
  <c r="H271" i="10"/>
  <c r="H168" i="10"/>
  <c r="H84" i="10"/>
  <c r="H93" i="10"/>
  <c r="H41" i="10"/>
  <c r="H68" i="10"/>
  <c r="H401" i="10"/>
  <c r="H17" i="10"/>
  <c r="H441" i="10"/>
  <c r="J392" i="6"/>
  <c r="J538" i="6" s="1"/>
  <c r="H37" i="10"/>
  <c r="H311" i="10"/>
  <c r="F5" i="11"/>
  <c r="F6" i="11"/>
  <c r="J745" i="10"/>
  <c r="J915" i="10"/>
  <c r="F7" i="11"/>
  <c r="J1001" i="10"/>
  <c r="F45" i="9"/>
  <c r="F40" i="9"/>
  <c r="G42" i="9"/>
  <c r="J3" i="10"/>
  <c r="F42" i="9"/>
  <c r="G45" i="9"/>
  <c r="G40" i="9"/>
  <c r="G37" i="9"/>
  <c r="F37" i="9"/>
  <c r="F32" i="9"/>
  <c r="H32" i="9" s="1"/>
  <c r="I32" i="9" s="1"/>
  <c r="F27" i="9"/>
  <c r="H27" i="9" s="1"/>
  <c r="I27" i="9" s="1"/>
  <c r="F22" i="9"/>
  <c r="H22" i="9" s="1"/>
  <c r="I22" i="9" s="1"/>
  <c r="F17" i="9"/>
  <c r="F12" i="9"/>
  <c r="F7" i="9"/>
  <c r="H3" i="10"/>
  <c r="G43" i="9"/>
  <c r="F43" i="9"/>
  <c r="F39" i="9"/>
  <c r="G36" i="9"/>
  <c r="G31" i="9"/>
  <c r="G26" i="9"/>
  <c r="G21" i="9"/>
  <c r="G16" i="9"/>
  <c r="G11" i="9"/>
  <c r="G6" i="9"/>
  <c r="F36" i="9"/>
  <c r="F31" i="9"/>
  <c r="F26" i="9"/>
  <c r="F21" i="9"/>
  <c r="F16" i="9"/>
  <c r="F11" i="9"/>
  <c r="F6" i="9"/>
  <c r="F44" i="9"/>
  <c r="F35" i="9"/>
  <c r="F30" i="9"/>
  <c r="H30" i="9" s="1"/>
  <c r="I30" i="9" s="1"/>
  <c r="F25" i="9"/>
  <c r="H25" i="9" s="1"/>
  <c r="I25" i="9" s="1"/>
  <c r="F20" i="9"/>
  <c r="H20" i="9" s="1"/>
  <c r="I20" i="9" s="1"/>
  <c r="F15" i="9"/>
  <c r="H15" i="9" s="1"/>
  <c r="I15" i="9" s="1"/>
  <c r="H77" i="10"/>
  <c r="H9" i="9"/>
  <c r="I9" i="9" s="1"/>
  <c r="J10" i="10"/>
  <c r="H10" i="10"/>
  <c r="H11" i="10"/>
  <c r="H31" i="10"/>
  <c r="H33" i="10"/>
  <c r="H50" i="10"/>
  <c r="H60" i="10"/>
  <c r="H115" i="10"/>
  <c r="H35" i="10"/>
  <c r="J50" i="10"/>
  <c r="H56" i="10"/>
  <c r="H57" i="10"/>
  <c r="H59" i="10"/>
  <c r="H61" i="10"/>
  <c r="J61" i="10"/>
  <c r="J65" i="10"/>
  <c r="H104" i="10"/>
  <c r="H105" i="10" s="1"/>
  <c r="H106" i="10"/>
  <c r="J106" i="10"/>
  <c r="H206" i="10"/>
  <c r="J206" i="10"/>
  <c r="H216" i="10"/>
  <c r="J216" i="10"/>
  <c r="J220" i="10"/>
  <c r="H220" i="10"/>
  <c r="H246" i="10"/>
  <c r="J246" i="10"/>
  <c r="J280" i="10"/>
  <c r="H280" i="10"/>
  <c r="H281" i="10"/>
  <c r="J334" i="10"/>
  <c r="H334" i="10"/>
  <c r="J353" i="10"/>
  <c r="H353" i="10"/>
  <c r="J367" i="10"/>
  <c r="H367" i="10"/>
  <c r="J398" i="10"/>
  <c r="H398" i="10"/>
  <c r="J438" i="10"/>
  <c r="H438" i="10"/>
  <c r="J509" i="10"/>
  <c r="H509" i="10"/>
  <c r="H510" i="10"/>
  <c r="J563" i="10"/>
  <c r="J6" i="10"/>
  <c r="H6" i="10"/>
  <c r="H7" i="10" s="1"/>
  <c r="H14" i="10"/>
  <c r="H42" i="10"/>
  <c r="H43" i="10" s="1"/>
  <c r="J42" i="10"/>
  <c r="J49" i="10"/>
  <c r="H49" i="10"/>
  <c r="J83" i="10"/>
  <c r="H83" i="10"/>
  <c r="J123" i="10"/>
  <c r="H123" i="10"/>
  <c r="J134" i="10"/>
  <c r="H134" i="10"/>
  <c r="H189" i="10"/>
  <c r="J189" i="10"/>
  <c r="J260" i="10"/>
  <c r="H260" i="10"/>
  <c r="H265" i="10"/>
  <c r="H274" i="10"/>
  <c r="H275" i="10"/>
  <c r="J274" i="10"/>
  <c r="H345" i="10"/>
  <c r="J363" i="10"/>
  <c r="H363" i="10"/>
  <c r="J373" i="10"/>
  <c r="H373" i="10"/>
  <c r="J520" i="10"/>
  <c r="H520" i="10"/>
  <c r="J543" i="10"/>
  <c r="H543" i="10"/>
  <c r="H544" i="10"/>
  <c r="H584" i="10"/>
  <c r="H583" i="10"/>
  <c r="J583" i="10"/>
  <c r="H25" i="10"/>
  <c r="H67" i="10"/>
  <c r="J67" i="10"/>
  <c r="H72" i="10"/>
  <c r="H76" i="10"/>
  <c r="J76" i="10"/>
  <c r="J92" i="10"/>
  <c r="H92" i="10"/>
  <c r="J103" i="10"/>
  <c r="H103" i="10"/>
  <c r="J112" i="10"/>
  <c r="H114" i="10"/>
  <c r="J114" i="10"/>
  <c r="H128" i="10"/>
  <c r="J140" i="10"/>
  <c r="H140" i="10"/>
  <c r="J167" i="10"/>
  <c r="H167" i="10"/>
  <c r="H176" i="10"/>
  <c r="H177" i="10" s="1"/>
  <c r="H178" i="10" s="1"/>
  <c r="J176" i="10"/>
  <c r="H256" i="10"/>
  <c r="J256" i="10"/>
  <c r="H266" i="10"/>
  <c r="J266" i="10"/>
  <c r="J270" i="10"/>
  <c r="H270" i="10"/>
  <c r="H288" i="10"/>
  <c r="J296" i="10"/>
  <c r="J330" i="10"/>
  <c r="H330" i="10"/>
  <c r="H331" i="10"/>
  <c r="J384" i="10"/>
  <c r="H384" i="10"/>
  <c r="H385" i="10" s="1"/>
  <c r="J413" i="10"/>
  <c r="H413" i="10"/>
  <c r="H414" i="10"/>
  <c r="J598" i="10"/>
  <c r="H32" i="10"/>
  <c r="J32" i="10"/>
  <c r="J39" i="10"/>
  <c r="H39" i="10"/>
  <c r="J46" i="10"/>
  <c r="H46" i="10"/>
  <c r="H47" i="10" s="1"/>
  <c r="H54" i="10"/>
  <c r="H81" i="10"/>
  <c r="H85" i="10"/>
  <c r="H94" i="10"/>
  <c r="H145" i="10"/>
  <c r="H146" i="10"/>
  <c r="J227" i="10"/>
  <c r="H227" i="10"/>
  <c r="H228" i="10" s="1"/>
  <c r="H239" i="10"/>
  <c r="J239" i="10"/>
  <c r="J310" i="10"/>
  <c r="H310" i="10"/>
  <c r="H315" i="10"/>
  <c r="H324" i="10"/>
  <c r="H325" i="10"/>
  <c r="J324" i="10"/>
  <c r="J539" i="10"/>
  <c r="H539" i="10"/>
  <c r="H540" i="10" s="1"/>
  <c r="J559" i="10"/>
  <c r="H559" i="10"/>
  <c r="H15" i="10"/>
  <c r="J62" i="10"/>
  <c r="J120" i="10"/>
  <c r="H120" i="10"/>
  <c r="H130" i="10"/>
  <c r="H142" i="10"/>
  <c r="J142" i="10"/>
  <c r="H150" i="10"/>
  <c r="H155" i="10"/>
  <c r="J159" i="10"/>
  <c r="H159" i="10"/>
  <c r="H161" i="10"/>
  <c r="J184" i="10"/>
  <c r="H184" i="10"/>
  <c r="J203" i="10"/>
  <c r="H203" i="10"/>
  <c r="J217" i="10"/>
  <c r="H217" i="10"/>
  <c r="H218" i="10" s="1"/>
  <c r="H306" i="10"/>
  <c r="J306" i="10"/>
  <c r="H316" i="10"/>
  <c r="J316" i="10"/>
  <c r="J320" i="10"/>
  <c r="H320" i="10"/>
  <c r="H321" i="10" s="1"/>
  <c r="H346" i="10"/>
  <c r="J346" i="10"/>
  <c r="J380" i="10"/>
  <c r="H380" i="10"/>
  <c r="H381" i="10"/>
  <c r="J428" i="10"/>
  <c r="H428" i="10"/>
  <c r="J456" i="10"/>
  <c r="H498" i="10"/>
  <c r="H502" i="10"/>
  <c r="H503" i="10" s="1"/>
  <c r="J502" i="10"/>
  <c r="H535" i="10"/>
  <c r="H536" i="10" s="1"/>
  <c r="J535" i="10"/>
  <c r="J592" i="10"/>
  <c r="H13" i="10"/>
  <c r="H22" i="10"/>
  <c r="J22" i="10"/>
  <c r="J25" i="10"/>
  <c r="J29" i="10"/>
  <c r="H29" i="10"/>
  <c r="J36" i="10"/>
  <c r="H36" i="10"/>
  <c r="H44" i="10"/>
  <c r="J73" i="10"/>
  <c r="H73" i="10"/>
  <c r="H74" i="10" s="1"/>
  <c r="J100" i="10"/>
  <c r="H100" i="10"/>
  <c r="H195" i="10"/>
  <c r="J213" i="10"/>
  <c r="H213" i="10"/>
  <c r="J223" i="10"/>
  <c r="H223" i="10"/>
  <c r="H249" i="10"/>
  <c r="J277" i="10"/>
  <c r="H277" i="10"/>
  <c r="H289" i="10"/>
  <c r="J289" i="10"/>
  <c r="H344" i="10"/>
  <c r="J360" i="10"/>
  <c r="H360" i="10"/>
  <c r="H365" i="10"/>
  <c r="H366" i="10" s="1"/>
  <c r="H374" i="10"/>
  <c r="H375" i="10"/>
  <c r="J374" i="10"/>
  <c r="H405" i="10"/>
  <c r="J405" i="10"/>
  <c r="J433" i="10"/>
  <c r="H433" i="10"/>
  <c r="H482" i="10"/>
  <c r="J482" i="10"/>
  <c r="J486" i="10"/>
  <c r="H486" i="10"/>
  <c r="J610" i="10"/>
  <c r="H610" i="10"/>
  <c r="H611" i="10"/>
  <c r="H5" i="10"/>
  <c r="H51" i="10"/>
  <c r="H55" i="10"/>
  <c r="J55" i="10"/>
  <c r="H58" i="10"/>
  <c r="J64" i="10"/>
  <c r="H71" i="10"/>
  <c r="J77" i="10"/>
  <c r="H78" i="10"/>
  <c r="H82" i="10"/>
  <c r="J85" i="10"/>
  <c r="J94" i="10"/>
  <c r="J131" i="10"/>
  <c r="H131" i="10"/>
  <c r="J137" i="10"/>
  <c r="H137" i="10"/>
  <c r="J146" i="10"/>
  <c r="J173" i="10"/>
  <c r="H173" i="10"/>
  <c r="J199" i="10"/>
  <c r="J234" i="10"/>
  <c r="J253" i="10"/>
  <c r="H253" i="10"/>
  <c r="H254" i="10" s="1"/>
  <c r="J267" i="10"/>
  <c r="H267" i="10"/>
  <c r="H356" i="10"/>
  <c r="J356" i="10"/>
  <c r="J366" i="10"/>
  <c r="J370" i="10"/>
  <c r="H445" i="10"/>
  <c r="J445" i="10"/>
  <c r="H478" i="10"/>
  <c r="H12" i="10"/>
  <c r="J12" i="10"/>
  <c r="J15" i="10"/>
  <c r="J19" i="10"/>
  <c r="H19" i="10"/>
  <c r="H20" i="10" s="1"/>
  <c r="J26" i="10"/>
  <c r="H26" i="10"/>
  <c r="J33" i="10"/>
  <c r="H34" i="10"/>
  <c r="H53" i="10"/>
  <c r="H80" i="10"/>
  <c r="H91" i="10"/>
  <c r="J109" i="10"/>
  <c r="H109" i="10"/>
  <c r="H111" i="10"/>
  <c r="H112" i="10" s="1"/>
  <c r="J117" i="10"/>
  <c r="H117" i="10"/>
  <c r="H126" i="10"/>
  <c r="H129" i="10"/>
  <c r="H156" i="10"/>
  <c r="J156" i="10"/>
  <c r="H182" i="10"/>
  <c r="H245" i="10"/>
  <c r="J263" i="10"/>
  <c r="H263" i="10"/>
  <c r="J273" i="10"/>
  <c r="H273" i="10"/>
  <c r="H287" i="10"/>
  <c r="H299" i="10"/>
  <c r="J327" i="10"/>
  <c r="H327" i="10"/>
  <c r="H328" i="10" s="1"/>
  <c r="H339" i="10"/>
  <c r="J339" i="10"/>
  <c r="H393" i="10"/>
  <c r="H394" i="10"/>
  <c r="H395" i="10" s="1"/>
  <c r="J393" i="10"/>
  <c r="J469" i="10"/>
  <c r="H469" i="10"/>
  <c r="H470" i="10"/>
  <c r="H471" i="10" s="1"/>
  <c r="H472" i="10" s="1"/>
  <c r="J476" i="10"/>
  <c r="H476" i="10"/>
  <c r="H477" i="10"/>
  <c r="H45" i="10"/>
  <c r="H62" i="10"/>
  <c r="H63" i="10" s="1"/>
  <c r="H64" i="10" s="1"/>
  <c r="H65" i="10" s="1"/>
  <c r="H70" i="10"/>
  <c r="J70" i="10"/>
  <c r="H86" i="10"/>
  <c r="J86" i="10"/>
  <c r="H89" i="10"/>
  <c r="H90" i="10" s="1"/>
  <c r="J95" i="10"/>
  <c r="H95" i="10"/>
  <c r="H107" i="10"/>
  <c r="H139" i="10"/>
  <c r="J143" i="10"/>
  <c r="H143" i="10"/>
  <c r="H144" i="10" s="1"/>
  <c r="J151" i="10"/>
  <c r="H151" i="10"/>
  <c r="H154" i="10"/>
  <c r="H164" i="10"/>
  <c r="H165" i="10"/>
  <c r="H166" i="10" s="1"/>
  <c r="J164" i="10"/>
  <c r="J179" i="10"/>
  <c r="H188" i="10"/>
  <c r="H196" i="10"/>
  <c r="H197" i="10" s="1"/>
  <c r="H198" i="10" s="1"/>
  <c r="H199" i="10" s="1"/>
  <c r="J196" i="10"/>
  <c r="H221" i="10"/>
  <c r="J230" i="10"/>
  <c r="H230" i="10"/>
  <c r="H231" i="10"/>
  <c r="H247" i="10"/>
  <c r="J249" i="10"/>
  <c r="J284" i="10"/>
  <c r="H284" i="10"/>
  <c r="J303" i="10"/>
  <c r="H303" i="10"/>
  <c r="J317" i="10"/>
  <c r="H317" i="10"/>
  <c r="H318" i="10" s="1"/>
  <c r="H335" i="10"/>
  <c r="H354" i="10"/>
  <c r="H364" i="10"/>
  <c r="H368" i="10"/>
  <c r="J423" i="10"/>
  <c r="H423" i="10"/>
  <c r="H424" i="10" s="1"/>
  <c r="H627" i="10"/>
  <c r="J5" i="10"/>
  <c r="J9" i="10"/>
  <c r="H9" i="10"/>
  <c r="J16" i="10"/>
  <c r="H16" i="10"/>
  <c r="H24" i="10"/>
  <c r="H52" i="10"/>
  <c r="J52" i="10"/>
  <c r="H75" i="10"/>
  <c r="H79" i="10"/>
  <c r="J79" i="10"/>
  <c r="J82" i="10"/>
  <c r="H98" i="10"/>
  <c r="H97" i="10"/>
  <c r="H102" i="10"/>
  <c r="H124" i="10"/>
  <c r="H125" i="10" s="1"/>
  <c r="H135" i="10"/>
  <c r="J162" i="10"/>
  <c r="H162" i="10"/>
  <c r="J170" i="10"/>
  <c r="H170" i="10"/>
  <c r="J181" i="10"/>
  <c r="H181" i="10"/>
  <c r="H194" i="10"/>
  <c r="J210" i="10"/>
  <c r="H215" i="10"/>
  <c r="H224" i="10"/>
  <c r="H225" i="10"/>
  <c r="J224" i="10"/>
  <c r="H257" i="10"/>
  <c r="H261" i="10"/>
  <c r="H295" i="10"/>
  <c r="H296" i="10" s="1"/>
  <c r="H297" i="10" s="1"/>
  <c r="J313" i="10"/>
  <c r="H313" i="10"/>
  <c r="J323" i="10"/>
  <c r="H323" i="10"/>
  <c r="H337" i="10"/>
  <c r="H338" i="10" s="1"/>
  <c r="H349" i="10"/>
  <c r="J377" i="10"/>
  <c r="H377" i="10"/>
  <c r="H389" i="10"/>
  <c r="H390" i="10" s="1"/>
  <c r="J389" i="10"/>
  <c r="J400" i="10"/>
  <c r="H400" i="10"/>
  <c r="H440" i="10"/>
  <c r="J440" i="10"/>
  <c r="H521" i="10"/>
  <c r="J528" i="10"/>
  <c r="H528" i="10"/>
  <c r="H96" i="10"/>
  <c r="J113" i="10"/>
  <c r="H113" i="10"/>
  <c r="J139" i="10"/>
  <c r="H147" i="10"/>
  <c r="H148" i="10" s="1"/>
  <c r="J163" i="10"/>
  <c r="H163" i="10"/>
  <c r="H209" i="10"/>
  <c r="H210" i="10" s="1"/>
  <c r="H259" i="10"/>
  <c r="H309" i="10"/>
  <c r="H359" i="10"/>
  <c r="H406" i="10"/>
  <c r="J430" i="10"/>
  <c r="J453" i="10"/>
  <c r="H453" i="10"/>
  <c r="H475" i="10"/>
  <c r="J475" i="10"/>
  <c r="J489" i="10"/>
  <c r="H489" i="10"/>
  <c r="H505" i="10"/>
  <c r="H506" i="10"/>
  <c r="H525" i="10"/>
  <c r="H526" i="10" s="1"/>
  <c r="H527" i="10" s="1"/>
  <c r="J525" i="10"/>
  <c r="J596" i="10"/>
  <c r="H596" i="10"/>
  <c r="H702" i="10"/>
  <c r="J702" i="10"/>
  <c r="H703" i="10"/>
  <c r="J817" i="10"/>
  <c r="H817" i="10"/>
  <c r="H830" i="10"/>
  <c r="J863" i="10"/>
  <c r="H863" i="10"/>
  <c r="H864" i="10"/>
  <c r="H660" i="10"/>
  <c r="H661" i="10" s="1"/>
  <c r="J666" i="10"/>
  <c r="H666" i="10"/>
  <c r="H671" i="10"/>
  <c r="H658" i="10"/>
  <c r="J668" i="10"/>
  <c r="H668" i="10"/>
  <c r="H742" i="10"/>
  <c r="J742" i="10"/>
  <c r="H751" i="10"/>
  <c r="J751" i="10"/>
  <c r="H766" i="10"/>
  <c r="J766" i="10"/>
  <c r="H792" i="10"/>
  <c r="J792" i="10"/>
  <c r="H800" i="10"/>
  <c r="J799" i="10"/>
  <c r="H799" i="10"/>
  <c r="H847" i="10"/>
  <c r="J847" i="10"/>
  <c r="J626" i="10"/>
  <c r="J628" i="10"/>
  <c r="H628" i="10"/>
  <c r="H695" i="10"/>
  <c r="H714" i="10"/>
  <c r="J713" i="10"/>
  <c r="H713" i="10"/>
  <c r="J759" i="10"/>
  <c r="H759" i="10"/>
  <c r="H760" i="10"/>
  <c r="H824" i="10"/>
  <c r="J824" i="10"/>
  <c r="J841" i="10"/>
  <c r="H841" i="10"/>
  <c r="H842" i="10"/>
  <c r="H926" i="10"/>
  <c r="J926" i="10"/>
  <c r="J638" i="10"/>
  <c r="J802" i="10"/>
  <c r="H802" i="10"/>
  <c r="J807" i="10"/>
  <c r="H807" i="10"/>
  <c r="J589" i="10"/>
  <c r="H589" i="10"/>
  <c r="H622" i="10"/>
  <c r="J622" i="10"/>
  <c r="H623" i="10"/>
  <c r="J658" i="10"/>
  <c r="J660" i="10"/>
  <c r="H675" i="10"/>
  <c r="H684" i="10"/>
  <c r="H683" i="10"/>
  <c r="J683" i="10"/>
  <c r="J699" i="10"/>
  <c r="H699" i="10"/>
  <c r="H700" i="10" s="1"/>
  <c r="H741" i="10"/>
  <c r="J741" i="10"/>
  <c r="H793" i="10"/>
  <c r="H954" i="10"/>
  <c r="H953" i="10"/>
  <c r="J953" i="10"/>
  <c r="J150" i="10"/>
  <c r="J153" i="10"/>
  <c r="H153" i="10"/>
  <c r="H229" i="10"/>
  <c r="H279" i="10"/>
  <c r="H329" i="10"/>
  <c r="H379" i="10"/>
  <c r="J452" i="10"/>
  <c r="H518" i="10"/>
  <c r="J518" i="10"/>
  <c r="J530" i="10"/>
  <c r="H530" i="10"/>
  <c r="J556" i="10"/>
  <c r="J599" i="10"/>
  <c r="H599" i="10"/>
  <c r="H600" i="10"/>
  <c r="J640" i="10"/>
  <c r="J653" i="10"/>
  <c r="H653" i="10"/>
  <c r="H654" i="10" s="1"/>
  <c r="J679" i="10"/>
  <c r="H679" i="10"/>
  <c r="J695" i="10"/>
  <c r="H731" i="10"/>
  <c r="J731" i="10"/>
  <c r="H136" i="10"/>
  <c r="H186" i="10"/>
  <c r="J186" i="10"/>
  <c r="J193" i="10"/>
  <c r="H193" i="10"/>
  <c r="J200" i="10"/>
  <c r="H200" i="10"/>
  <c r="J207" i="10"/>
  <c r="H208" i="10"/>
  <c r="H236" i="10"/>
  <c r="H237" i="10" s="1"/>
  <c r="H238" i="10" s="1"/>
  <c r="J236" i="10"/>
  <c r="J243" i="10"/>
  <c r="H243" i="10"/>
  <c r="J250" i="10"/>
  <c r="H250" i="10"/>
  <c r="J257" i="10"/>
  <c r="H258" i="10"/>
  <c r="H286" i="10"/>
  <c r="J286" i="10"/>
  <c r="J293" i="10"/>
  <c r="H293" i="10"/>
  <c r="J300" i="10"/>
  <c r="H300" i="10"/>
  <c r="J307" i="10"/>
  <c r="H308" i="10"/>
  <c r="H336" i="10"/>
  <c r="J336" i="10"/>
  <c r="J343" i="10"/>
  <c r="H343" i="10"/>
  <c r="J350" i="10"/>
  <c r="H350" i="10"/>
  <c r="H351" i="10" s="1"/>
  <c r="H352" i="10" s="1"/>
  <c r="J357" i="10"/>
  <c r="H358" i="10"/>
  <c r="H386" i="10"/>
  <c r="H387" i="10" s="1"/>
  <c r="J386" i="10"/>
  <c r="H410" i="10"/>
  <c r="J410" i="10"/>
  <c r="J450" i="10"/>
  <c r="H451" i="10"/>
  <c r="H452" i="10" s="1"/>
  <c r="H461" i="10"/>
  <c r="H460" i="10"/>
  <c r="J460" i="10"/>
  <c r="H490" i="10"/>
  <c r="J495" i="10"/>
  <c r="H512" i="10"/>
  <c r="J512" i="10"/>
  <c r="H571" i="10"/>
  <c r="H572" i="10" s="1"/>
  <c r="H605" i="10"/>
  <c r="J605" i="10"/>
  <c r="J633" i="10"/>
  <c r="H638" i="10"/>
  <c r="J655" i="10"/>
  <c r="J720" i="10"/>
  <c r="H720" i="10"/>
  <c r="J734" i="10"/>
  <c r="H734" i="10"/>
  <c r="H735" i="10"/>
  <c r="H786" i="10"/>
  <c r="J786" i="10"/>
  <c r="J899" i="10"/>
  <c r="H899" i="10"/>
  <c r="J130" i="10"/>
  <c r="J133" i="10"/>
  <c r="H133" i="10"/>
  <c r="J180" i="10"/>
  <c r="J183" i="10"/>
  <c r="H183" i="10"/>
  <c r="H219" i="10"/>
  <c r="H269" i="10"/>
  <c r="H319" i="10"/>
  <c r="H369" i="10"/>
  <c r="H370" i="10" s="1"/>
  <c r="H371" i="10" s="1"/>
  <c r="H372" i="10" s="1"/>
  <c r="J408" i="10"/>
  <c r="H408" i="10"/>
  <c r="H409" i="10" s="1"/>
  <c r="H420" i="10"/>
  <c r="J420" i="10"/>
  <c r="H431" i="10"/>
  <c r="H435" i="10"/>
  <c r="H436" i="10" s="1"/>
  <c r="J435" i="10"/>
  <c r="H454" i="10"/>
  <c r="H458" i="10"/>
  <c r="J458" i="10"/>
  <c r="H494" i="10"/>
  <c r="H495" i="10" s="1"/>
  <c r="J546" i="10"/>
  <c r="J550" i="10"/>
  <c r="H550" i="10"/>
  <c r="H552" i="10"/>
  <c r="J552" i="10"/>
  <c r="J568" i="10"/>
  <c r="J572" i="10"/>
  <c r="H573" i="10"/>
  <c r="H574" i="10" s="1"/>
  <c r="J576" i="10"/>
  <c r="H576" i="10"/>
  <c r="J675" i="10"/>
  <c r="J690" i="10"/>
  <c r="H690" i="10"/>
  <c r="J730" i="10"/>
  <c r="J63" i="10"/>
  <c r="H66" i="10"/>
  <c r="H116" i="10"/>
  <c r="J190" i="10"/>
  <c r="H190" i="10"/>
  <c r="J197" i="10"/>
  <c r="H226" i="10"/>
  <c r="J226" i="10"/>
  <c r="J229" i="10"/>
  <c r="J233" i="10"/>
  <c r="H233" i="10"/>
  <c r="H234" i="10" s="1"/>
  <c r="J240" i="10"/>
  <c r="H240" i="10"/>
  <c r="J247" i="10"/>
  <c r="H248" i="10"/>
  <c r="H276" i="10"/>
  <c r="J276" i="10"/>
  <c r="J279" i="10"/>
  <c r="J283" i="10"/>
  <c r="H283" i="10"/>
  <c r="J290" i="10"/>
  <c r="H290" i="10"/>
  <c r="H291" i="10" s="1"/>
  <c r="J297" i="10"/>
  <c r="H298" i="10"/>
  <c r="H326" i="10"/>
  <c r="J326" i="10"/>
  <c r="J329" i="10"/>
  <c r="J333" i="10"/>
  <c r="H333" i="10"/>
  <c r="J340" i="10"/>
  <c r="H340" i="10"/>
  <c r="J347" i="10"/>
  <c r="H348" i="10"/>
  <c r="H376" i="10"/>
  <c r="J376" i="10"/>
  <c r="J379" i="10"/>
  <c r="J383" i="10"/>
  <c r="H383" i="10"/>
  <c r="J390" i="10"/>
  <c r="J395" i="10"/>
  <c r="J403" i="10"/>
  <c r="H404" i="10"/>
  <c r="J418" i="10"/>
  <c r="H418" i="10"/>
  <c r="J473" i="10"/>
  <c r="H473" i="10"/>
  <c r="J548" i="10"/>
  <c r="H548" i="10"/>
  <c r="H578" i="10"/>
  <c r="H597" i="10"/>
  <c r="H598" i="10" s="1"/>
  <c r="H615" i="10"/>
  <c r="J615" i="10"/>
  <c r="H645" i="10"/>
  <c r="H667" i="10"/>
  <c r="J686" i="10"/>
  <c r="H687" i="10"/>
  <c r="H710" i="10"/>
  <c r="H711" i="10"/>
  <c r="J710" i="10"/>
  <c r="H722" i="10"/>
  <c r="J722" i="10"/>
  <c r="J752" i="10"/>
  <c r="H752" i="10"/>
  <c r="J757" i="10"/>
  <c r="H757" i="10"/>
  <c r="J767" i="10"/>
  <c r="H767" i="10"/>
  <c r="H768" i="10"/>
  <c r="H772" i="10"/>
  <c r="J772" i="10"/>
  <c r="J869" i="10"/>
  <c r="H869" i="10"/>
  <c r="H397" i="10"/>
  <c r="J409" i="10"/>
  <c r="J419" i="10"/>
  <c r="H419" i="10"/>
  <c r="J459" i="10"/>
  <c r="H459" i="10"/>
  <c r="H463" i="10"/>
  <c r="J472" i="10"/>
  <c r="H492" i="10"/>
  <c r="J492" i="10"/>
  <c r="J496" i="10"/>
  <c r="H496" i="10"/>
  <c r="J566" i="10"/>
  <c r="H566" i="10"/>
  <c r="J579" i="10"/>
  <c r="H579" i="10"/>
  <c r="H614" i="10"/>
  <c r="H646" i="10"/>
  <c r="H647" i="10" s="1"/>
  <c r="J669" i="10"/>
  <c r="H669" i="10"/>
  <c r="H682" i="10"/>
  <c r="J682" i="10"/>
  <c r="H694" i="10"/>
  <c r="J709" i="10"/>
  <c r="H709" i="10"/>
  <c r="H745" i="10"/>
  <c r="H773" i="10"/>
  <c r="J773" i="10"/>
  <c r="J787" i="10"/>
  <c r="H787" i="10"/>
  <c r="H819" i="10"/>
  <c r="H848" i="10"/>
  <c r="J848" i="10"/>
  <c r="J886" i="10"/>
  <c r="H886" i="10"/>
  <c r="H887" i="10"/>
  <c r="J949" i="10"/>
  <c r="H949" i="10"/>
  <c r="J969" i="10"/>
  <c r="H969" i="10"/>
  <c r="H908" i="10"/>
  <c r="H909" i="10"/>
  <c r="J908" i="10"/>
  <c r="H948" i="10"/>
  <c r="J948" i="10"/>
  <c r="J963" i="10"/>
  <c r="H963" i="10"/>
  <c r="H964" i="10"/>
  <c r="H994" i="10"/>
  <c r="J998" i="10"/>
  <c r="H998" i="10"/>
  <c r="J1015" i="10"/>
  <c r="H1015" i="10"/>
  <c r="H612" i="10"/>
  <c r="J612" i="10"/>
  <c r="J630" i="10"/>
  <c r="H630" i="10"/>
  <c r="H635" i="10"/>
  <c r="J635" i="10"/>
  <c r="J659" i="10"/>
  <c r="H659" i="10"/>
  <c r="H663" i="10"/>
  <c r="H672" i="10"/>
  <c r="J672" i="10"/>
  <c r="J692" i="10"/>
  <c r="J696" i="10"/>
  <c r="H696" i="10"/>
  <c r="H715" i="10"/>
  <c r="H716" i="10" s="1"/>
  <c r="H827" i="10"/>
  <c r="J827" i="10"/>
  <c r="H920" i="10"/>
  <c r="J920" i="10"/>
  <c r="H921" i="10"/>
  <c r="J941" i="10"/>
  <c r="H941" i="10"/>
  <c r="H942" i="10"/>
  <c r="H976" i="10"/>
  <c r="J976" i="10"/>
  <c r="H1006" i="10"/>
  <c r="J1006" i="10"/>
  <c r="H392" i="10"/>
  <c r="J392" i="10"/>
  <c r="H415" i="10"/>
  <c r="H425" i="10"/>
  <c r="J466" i="10"/>
  <c r="H466" i="10"/>
  <c r="J479" i="10"/>
  <c r="H479" i="10"/>
  <c r="H491" i="10"/>
  <c r="H493" i="10"/>
  <c r="H514" i="10"/>
  <c r="H515" i="10" s="1"/>
  <c r="J569" i="10"/>
  <c r="H569" i="10"/>
  <c r="J573" i="10"/>
  <c r="J582" i="10"/>
  <c r="J609" i="10"/>
  <c r="H609" i="10"/>
  <c r="J639" i="10"/>
  <c r="H639" i="10"/>
  <c r="H640" i="10" s="1"/>
  <c r="J676" i="10"/>
  <c r="H676" i="10"/>
  <c r="J729" i="10"/>
  <c r="H729" i="10"/>
  <c r="J733" i="10"/>
  <c r="H733" i="10"/>
  <c r="H794" i="10"/>
  <c r="J794" i="10"/>
  <c r="J823" i="10"/>
  <c r="H823" i="10"/>
  <c r="J853" i="10"/>
  <c r="H853" i="10"/>
  <c r="H854" i="10"/>
  <c r="H904" i="10"/>
  <c r="H903" i="10"/>
  <c r="J936" i="10"/>
  <c r="H936" i="10"/>
  <c r="H937" i="10"/>
  <c r="J991" i="10"/>
  <c r="H991" i="10"/>
  <c r="H992" i="10"/>
  <c r="H402" i="10"/>
  <c r="J402" i="10"/>
  <c r="H432" i="10"/>
  <c r="J432" i="10"/>
  <c r="J439" i="10"/>
  <c r="H439" i="10"/>
  <c r="J455" i="10"/>
  <c r="H484" i="10"/>
  <c r="H483" i="10"/>
  <c r="J499" i="10"/>
  <c r="H499" i="10"/>
  <c r="H545" i="10"/>
  <c r="H546" i="10" s="1"/>
  <c r="H547" i="10" s="1"/>
  <c r="H558" i="10"/>
  <c r="H560" i="10"/>
  <c r="H561" i="10" s="1"/>
  <c r="J586" i="10"/>
  <c r="H602" i="10"/>
  <c r="J602" i="10"/>
  <c r="J643" i="10"/>
  <c r="H644" i="10"/>
  <c r="J648" i="10"/>
  <c r="H648" i="10"/>
  <c r="H652" i="10"/>
  <c r="J652" i="10"/>
  <c r="J656" i="10"/>
  <c r="H657" i="10"/>
  <c r="H670" i="10"/>
  <c r="H705" i="10"/>
  <c r="J826" i="10"/>
  <c r="H870" i="10"/>
  <c r="J870" i="10"/>
  <c r="H876" i="10"/>
  <c r="J876" i="10"/>
  <c r="H898" i="10"/>
  <c r="J898" i="10"/>
  <c r="J986" i="10"/>
  <c r="H986" i="10"/>
  <c r="H987" i="10"/>
  <c r="H1030" i="10"/>
  <c r="H1031" i="10"/>
  <c r="J1030" i="10"/>
  <c r="J399" i="10"/>
  <c r="H399" i="10"/>
  <c r="H412" i="10"/>
  <c r="J412" i="10"/>
  <c r="H422" i="10"/>
  <c r="J422" i="10"/>
  <c r="H464" i="10"/>
  <c r="J468" i="10"/>
  <c r="H497" i="10"/>
  <c r="H516" i="10"/>
  <c r="H522" i="10"/>
  <c r="J522" i="10"/>
  <c r="J538" i="10"/>
  <c r="J553" i="10"/>
  <c r="H553" i="10"/>
  <c r="H567" i="10"/>
  <c r="H568" i="10" s="1"/>
  <c r="H575" i="10"/>
  <c r="H580" i="10"/>
  <c r="H581" i="10" s="1"/>
  <c r="H582" i="10" s="1"/>
  <c r="H621" i="10"/>
  <c r="H625" i="10"/>
  <c r="H626" i="10" s="1"/>
  <c r="J625" i="10"/>
  <c r="J663" i="10"/>
  <c r="H674" i="10"/>
  <c r="J689" i="10"/>
  <c r="H689" i="10"/>
  <c r="H712" i="10"/>
  <c r="J712" i="10"/>
  <c r="J715" i="10"/>
  <c r="H728" i="10"/>
  <c r="J793" i="10"/>
  <c r="H810" i="10"/>
  <c r="H835" i="10"/>
  <c r="J891" i="10"/>
  <c r="H891" i="10"/>
  <c r="H892" i="10"/>
  <c r="J919" i="10"/>
  <c r="H919" i="10"/>
  <c r="H951" i="10"/>
  <c r="H975" i="10"/>
  <c r="J975" i="10"/>
  <c r="J1005" i="10"/>
  <c r="H1005" i="10"/>
  <c r="J436" i="10"/>
  <c r="H437" i="10"/>
  <c r="J449" i="10"/>
  <c r="H449" i="10"/>
  <c r="H462" i="10"/>
  <c r="J462" i="10"/>
  <c r="H485" i="10"/>
  <c r="J536" i="10"/>
  <c r="H537" i="10"/>
  <c r="H538" i="10" s="1"/>
  <c r="J549" i="10"/>
  <c r="H549" i="10"/>
  <c r="H562" i="10"/>
  <c r="H563" i="10" s="1"/>
  <c r="H564" i="10" s="1"/>
  <c r="J562" i="10"/>
  <c r="H585" i="10"/>
  <c r="J636" i="10"/>
  <c r="H637" i="10"/>
  <c r="J649" i="10"/>
  <c r="H649" i="10"/>
  <c r="H662" i="10"/>
  <c r="J662" i="10"/>
  <c r="H685" i="10"/>
  <c r="J723" i="10"/>
  <c r="H723" i="10"/>
  <c r="J774" i="10"/>
  <c r="H774" i="10"/>
  <c r="J788" i="10"/>
  <c r="H788" i="10"/>
  <c r="H795" i="10"/>
  <c r="J795" i="10"/>
  <c r="J803" i="10"/>
  <c r="H803" i="10"/>
  <c r="J808" i="10"/>
  <c r="H808" i="10"/>
  <c r="J833" i="10"/>
  <c r="H833" i="10"/>
  <c r="H970" i="10"/>
  <c r="J970" i="10"/>
  <c r="H971" i="10"/>
  <c r="H993" i="10"/>
  <c r="J1035" i="10"/>
  <c r="H1035" i="10"/>
  <c r="H1036" i="10"/>
  <c r="H1037" i="10" s="1"/>
  <c r="J1039" i="10"/>
  <c r="H1039" i="10"/>
  <c r="H858" i="10"/>
  <c r="J858" i="10"/>
  <c r="H859" i="10"/>
  <c r="H868" i="10"/>
  <c r="J913" i="10"/>
  <c r="H913" i="10"/>
  <c r="H955" i="10"/>
  <c r="J955" i="10"/>
  <c r="H977" i="10"/>
  <c r="J977" i="10"/>
  <c r="J981" i="10"/>
  <c r="H981" i="10"/>
  <c r="H982" i="10"/>
  <c r="H455" i="10"/>
  <c r="H456" i="10" s="1"/>
  <c r="J506" i="10"/>
  <c r="H507" i="10"/>
  <c r="J519" i="10"/>
  <c r="H519" i="10"/>
  <c r="H532" i="10"/>
  <c r="J532" i="10"/>
  <c r="H555" i="10"/>
  <c r="H556" i="10" s="1"/>
  <c r="J606" i="10"/>
  <c r="H607" i="10"/>
  <c r="J619" i="10"/>
  <c r="H619" i="10"/>
  <c r="H632" i="10"/>
  <c r="H633" i="10" s="1"/>
  <c r="J632" i="10"/>
  <c r="H655" i="10"/>
  <c r="J706" i="10"/>
  <c r="H707" i="10"/>
  <c r="H708" i="10" s="1"/>
  <c r="J719" i="10"/>
  <c r="H719" i="10"/>
  <c r="H732" i="10"/>
  <c r="J732" i="10"/>
  <c r="J775" i="10"/>
  <c r="H775" i="10"/>
  <c r="H779" i="10"/>
  <c r="H780" i="10"/>
  <c r="J779" i="10"/>
  <c r="H796" i="10"/>
  <c r="J796" i="10"/>
  <c r="J809" i="10"/>
  <c r="H809" i="10"/>
  <c r="H822" i="10"/>
  <c r="H821" i="10"/>
  <c r="J829" i="10"/>
  <c r="H829" i="10"/>
  <c r="J834" i="10"/>
  <c r="H834" i="10"/>
  <c r="H840" i="10"/>
  <c r="J840" i="10"/>
  <c r="H846" i="10"/>
  <c r="J885" i="10"/>
  <c r="H885" i="10"/>
  <c r="H958" i="10"/>
  <c r="H959" i="10"/>
  <c r="J958" i="10"/>
  <c r="J6" i="12"/>
  <c r="I6" i="12"/>
  <c r="J416" i="10"/>
  <c r="H417" i="10"/>
  <c r="J429" i="10"/>
  <c r="H429" i="10"/>
  <c r="H430" i="10" s="1"/>
  <c r="H442" i="10"/>
  <c r="H443" i="10" s="1"/>
  <c r="H444" i="10" s="1"/>
  <c r="J442" i="10"/>
  <c r="H465" i="10"/>
  <c r="J516" i="10"/>
  <c r="H517" i="10"/>
  <c r="J529" i="10"/>
  <c r="H529" i="10"/>
  <c r="H542" i="10"/>
  <c r="J542" i="10"/>
  <c r="H565" i="10"/>
  <c r="J616" i="10"/>
  <c r="H617" i="10"/>
  <c r="J629" i="10"/>
  <c r="H629" i="10"/>
  <c r="H642" i="10"/>
  <c r="J642" i="10"/>
  <c r="H665" i="10"/>
  <c r="J716" i="10"/>
  <c r="H717" i="10"/>
  <c r="J743" i="10"/>
  <c r="H743" i="10"/>
  <c r="J753" i="10"/>
  <c r="H753" i="10"/>
  <c r="J758" i="10"/>
  <c r="H758" i="10"/>
  <c r="H816" i="10"/>
  <c r="J816" i="10"/>
  <c r="H877" i="10"/>
  <c r="J877" i="10"/>
  <c r="J881" i="10"/>
  <c r="H881" i="10"/>
  <c r="H882" i="10"/>
  <c r="H905" i="10"/>
  <c r="J905" i="10"/>
  <c r="H927" i="10"/>
  <c r="J927" i="10"/>
  <c r="J931" i="10"/>
  <c r="H932" i="10"/>
  <c r="H1004" i="10"/>
  <c r="J1004" i="10"/>
  <c r="J1025" i="10"/>
  <c r="H1025" i="10"/>
  <c r="H1026" i="10"/>
  <c r="H1029" i="10"/>
  <c r="J1029" i="10"/>
  <c r="J1020" i="10"/>
  <c r="H1020" i="10"/>
  <c r="H1021" i="10"/>
  <c r="H776" i="10"/>
  <c r="J797" i="10"/>
  <c r="H797" i="10"/>
  <c r="J849" i="10"/>
  <c r="H849" i="10"/>
  <c r="H855" i="10"/>
  <c r="H878" i="10"/>
  <c r="J878" i="10"/>
  <c r="H883" i="10"/>
  <c r="H884" i="10"/>
  <c r="J906" i="10"/>
  <c r="H906" i="10"/>
  <c r="H910" i="10"/>
  <c r="H928" i="10"/>
  <c r="J928" i="10"/>
  <c r="H933" i="10"/>
  <c r="H934" i="10"/>
  <c r="J956" i="10"/>
  <c r="H956" i="10"/>
  <c r="H960" i="10"/>
  <c r="H978" i="10"/>
  <c r="J978" i="10"/>
  <c r="H983" i="10"/>
  <c r="H984" i="10"/>
  <c r="H985" i="10" s="1"/>
  <c r="J999" i="10"/>
  <c r="H999" i="10"/>
  <c r="H1017" i="10"/>
  <c r="H23" i="13"/>
  <c r="G23" i="13"/>
  <c r="F23" i="13"/>
  <c r="E23" i="13"/>
  <c r="D23" i="13"/>
  <c r="C23" i="13"/>
  <c r="I9" i="12"/>
  <c r="J935" i="10"/>
  <c r="H935" i="10"/>
  <c r="J985" i="10"/>
  <c r="H997" i="10"/>
  <c r="H1024" i="10"/>
  <c r="J10" i="12"/>
  <c r="I10" i="12"/>
  <c r="H918" i="10"/>
  <c r="H968" i="10"/>
  <c r="J1019" i="10"/>
  <c r="H1019" i="10"/>
  <c r="F3" i="12"/>
  <c r="J7" i="12"/>
  <c r="I7" i="12"/>
  <c r="J798" i="10"/>
  <c r="H838" i="10"/>
  <c r="H850" i="10"/>
  <c r="J861" i="10"/>
  <c r="H862" i="10"/>
  <c r="J889" i="10"/>
  <c r="J907" i="10"/>
  <c r="H907" i="10"/>
  <c r="J939" i="10"/>
  <c r="J957" i="10"/>
  <c r="H957" i="10"/>
  <c r="J989" i="10"/>
  <c r="H1014" i="10"/>
  <c r="J1014" i="10"/>
  <c r="H1027" i="10"/>
  <c r="H1032" i="10"/>
  <c r="J1032" i="10"/>
  <c r="J1038" i="10"/>
  <c r="H1038" i="10"/>
  <c r="J747" i="10"/>
  <c r="H756" i="10"/>
  <c r="J777" i="10"/>
  <c r="H777" i="10"/>
  <c r="H806" i="10"/>
  <c r="H832" i="10"/>
  <c r="J856" i="10"/>
  <c r="H856" i="10"/>
  <c r="J911" i="10"/>
  <c r="H912" i="10"/>
  <c r="J961" i="10"/>
  <c r="H962" i="10"/>
  <c r="H1007" i="10"/>
  <c r="J1007" i="10"/>
  <c r="H818" i="10"/>
  <c r="J825" i="10"/>
  <c r="H825" i="10"/>
  <c r="H860" i="10"/>
  <c r="H900" i="10"/>
  <c r="H950" i="10"/>
  <c r="H1013" i="10"/>
  <c r="G12" i="13"/>
  <c r="E12" i="13"/>
  <c r="D12" i="13"/>
  <c r="F12" i="13" s="1"/>
  <c r="H12" i="13" s="1"/>
  <c r="C12" i="13"/>
  <c r="E26" i="13"/>
  <c r="D26" i="13"/>
  <c r="C26" i="13"/>
  <c r="F26" i="13"/>
  <c r="H26" i="13"/>
  <c r="H18" i="13"/>
  <c r="G18" i="13"/>
  <c r="E18" i="13"/>
  <c r="D18" i="13"/>
  <c r="C18" i="13"/>
  <c r="F18" i="13"/>
  <c r="H43" i="13"/>
  <c r="G43" i="13"/>
  <c r="E43" i="13"/>
  <c r="D43" i="13"/>
  <c r="C43" i="13"/>
  <c r="F43" i="13"/>
  <c r="E31" i="13"/>
  <c r="D31" i="13"/>
  <c r="C31" i="13"/>
  <c r="F31" i="13"/>
  <c r="G37" i="13"/>
  <c r="F37" i="13"/>
  <c r="E37" i="13"/>
  <c r="H37" i="13"/>
  <c r="D37" i="13"/>
  <c r="F21" i="15"/>
  <c r="H28" i="13"/>
  <c r="G28" i="13"/>
  <c r="F28" i="13"/>
  <c r="G31" i="13"/>
  <c r="C37" i="13"/>
  <c r="J1023" i="10"/>
  <c r="G17" i="13"/>
  <c r="F17" i="13"/>
  <c r="E17" i="13"/>
  <c r="H17" i="13"/>
  <c r="E21" i="13"/>
  <c r="D21" i="13"/>
  <c r="C21" i="13"/>
  <c r="F21" i="13"/>
  <c r="H21" i="13"/>
  <c r="G21" i="13"/>
  <c r="C28" i="13"/>
  <c r="H31" i="13"/>
  <c r="J859" i="10"/>
  <c r="H880" i="10"/>
  <c r="H888" i="10"/>
  <c r="J909" i="10"/>
  <c r="H930" i="10"/>
  <c r="H931" i="10" s="1"/>
  <c r="H938" i="10"/>
  <c r="J959" i="10"/>
  <c r="H980" i="10"/>
  <c r="H988" i="10"/>
  <c r="H1016" i="10"/>
  <c r="J1028" i="10"/>
  <c r="D28" i="13"/>
  <c r="G32" i="13"/>
  <c r="F32" i="13"/>
  <c r="E32" i="13"/>
  <c r="H32" i="13"/>
  <c r="D32" i="13"/>
  <c r="C32" i="13"/>
  <c r="J819" i="10"/>
  <c r="H828" i="10"/>
  <c r="H1022" i="10"/>
  <c r="C17" i="13"/>
  <c r="E28" i="13"/>
  <c r="G42" i="13"/>
  <c r="F42" i="13"/>
  <c r="E42" i="13"/>
  <c r="H42" i="13"/>
  <c r="E46" i="13"/>
  <c r="D46" i="13"/>
  <c r="C46" i="13"/>
  <c r="F46" i="13"/>
  <c r="H46" i="13"/>
  <c r="G46" i="13"/>
  <c r="K207" i="14"/>
  <c r="G13" i="13"/>
  <c r="E16" i="13"/>
  <c r="D16" i="13"/>
  <c r="C16" i="13"/>
  <c r="F16" i="13" s="1"/>
  <c r="H16" i="13" s="1"/>
  <c r="G27" i="13"/>
  <c r="F27" i="13"/>
  <c r="E27" i="13"/>
  <c r="H27" i="13"/>
  <c r="H38" i="13"/>
  <c r="G38" i="13"/>
  <c r="E41" i="13"/>
  <c r="D41" i="13"/>
  <c r="C41" i="13"/>
  <c r="F41" i="13"/>
  <c r="E11" i="13"/>
  <c r="E48" i="13" s="1"/>
  <c r="D11" i="13"/>
  <c r="C11" i="13"/>
  <c r="C48" i="13" s="1"/>
  <c r="C13" i="13"/>
  <c r="F13" i="13" s="1"/>
  <c r="H13" i="13" s="1"/>
  <c r="G16" i="13"/>
  <c r="G22" i="13"/>
  <c r="F22" i="13"/>
  <c r="E22" i="13"/>
  <c r="H22" i="13"/>
  <c r="C27" i="13"/>
  <c r="H33" i="13"/>
  <c r="G33" i="13"/>
  <c r="E36" i="13"/>
  <c r="D36" i="13"/>
  <c r="C36" i="13"/>
  <c r="F36" i="13"/>
  <c r="C38" i="13"/>
  <c r="G41" i="13"/>
  <c r="G47" i="13"/>
  <c r="F47" i="13"/>
  <c r="E47" i="13"/>
  <c r="H47" i="13"/>
  <c r="D10" i="13"/>
  <c r="D15" i="13"/>
  <c r="F15" i="13" s="1"/>
  <c r="H15" i="13" s="1"/>
  <c r="D20" i="13"/>
  <c r="D25" i="13"/>
  <c r="D30" i="13"/>
  <c r="D35" i="13"/>
  <c r="D40" i="13"/>
  <c r="D45" i="13"/>
  <c r="H12" i="9" l="1"/>
  <c r="I12" i="9" s="1"/>
  <c r="E9" i="3"/>
  <c r="F9" i="3" s="1"/>
  <c r="E24" i="3"/>
  <c r="F24" i="3" s="1"/>
  <c r="E21" i="3"/>
  <c r="F21" i="3" s="1"/>
  <c r="E17" i="3"/>
  <c r="F17" i="3" s="1"/>
  <c r="E27" i="3"/>
  <c r="F27" i="3" s="1"/>
  <c r="H38" i="9"/>
  <c r="I38" i="9" s="1"/>
  <c r="E12" i="3"/>
  <c r="F12" i="3" s="1"/>
  <c r="E14" i="3"/>
  <c r="F14" i="3" s="1"/>
  <c r="H23" i="9"/>
  <c r="I23" i="9" s="1"/>
  <c r="E44" i="3"/>
  <c r="F44" i="3" s="1"/>
  <c r="H13" i="9"/>
  <c r="I13" i="9" s="1"/>
  <c r="E47" i="3"/>
  <c r="F47" i="3" s="1"/>
  <c r="E30" i="3"/>
  <c r="F30" i="3" s="1"/>
  <c r="H39" i="9"/>
  <c r="I39" i="9" s="1"/>
  <c r="E37" i="3"/>
  <c r="F37" i="3" s="1"/>
  <c r="E11" i="3"/>
  <c r="F11" i="3" s="1"/>
  <c r="H5" i="9"/>
  <c r="I5" i="9" s="1"/>
  <c r="H4" i="9"/>
  <c r="I4" i="9" s="1"/>
  <c r="H3" i="9"/>
  <c r="H35" i="9"/>
  <c r="I35" i="9" s="1"/>
  <c r="E41" i="3"/>
  <c r="F41" i="3" s="1"/>
  <c r="H33" i="9"/>
  <c r="I33" i="9" s="1"/>
  <c r="H24" i="9"/>
  <c r="I24" i="9" s="1"/>
  <c r="H17" i="9"/>
  <c r="I17" i="9" s="1"/>
  <c r="E33" i="3"/>
  <c r="F33" i="3" s="1"/>
  <c r="H34" i="9"/>
  <c r="I34" i="9" s="1"/>
  <c r="E35" i="3"/>
  <c r="F35" i="3" s="1"/>
  <c r="H14" i="9"/>
  <c r="I14" i="9" s="1"/>
  <c r="H8" i="9"/>
  <c r="I8" i="9" s="1"/>
  <c r="H19" i="9"/>
  <c r="I19" i="9" s="1"/>
  <c r="H7" i="9"/>
  <c r="I7" i="9" s="1"/>
  <c r="H29" i="9"/>
  <c r="I29" i="9" s="1"/>
  <c r="E15" i="3"/>
  <c r="F15" i="3" s="1"/>
  <c r="E16" i="3"/>
  <c r="F16" i="3" s="1"/>
  <c r="E39" i="3"/>
  <c r="F39" i="3" s="1"/>
  <c r="E46" i="3"/>
  <c r="F46" i="3" s="1"/>
  <c r="H43" i="9"/>
  <c r="I43" i="9" s="1"/>
  <c r="E42" i="3"/>
  <c r="F42" i="3" s="1"/>
  <c r="E19" i="3"/>
  <c r="F19" i="3" s="1"/>
  <c r="E29" i="3"/>
  <c r="F29" i="3" s="1"/>
  <c r="H6" i="9"/>
  <c r="I6" i="9" s="1"/>
  <c r="H11" i="9"/>
  <c r="I11" i="9" s="1"/>
  <c r="H28" i="9"/>
  <c r="I28" i="9" s="1"/>
  <c r="H16" i="9"/>
  <c r="I16" i="9" s="1"/>
  <c r="H45" i="9"/>
  <c r="I45" i="9" s="1"/>
  <c r="E26" i="3"/>
  <c r="F26" i="3" s="1"/>
  <c r="H37" i="9"/>
  <c r="I37" i="9" s="1"/>
  <c r="N34" i="7"/>
  <c r="N47" i="7" s="1"/>
  <c r="E38" i="3"/>
  <c r="F38" i="3" s="1"/>
  <c r="E48" i="3"/>
  <c r="F48" i="3" s="1"/>
  <c r="E13" i="3"/>
  <c r="F13" i="3" s="1"/>
  <c r="E22" i="3"/>
  <c r="F22" i="3" s="1"/>
  <c r="H41" i="9"/>
  <c r="I41" i="9" s="1"/>
  <c r="H31" i="9"/>
  <c r="I31" i="9" s="1"/>
  <c r="H40" i="9"/>
  <c r="I40" i="9" s="1"/>
  <c r="E43" i="3"/>
  <c r="F43" i="3" s="1"/>
  <c r="E32" i="3"/>
  <c r="F32" i="3" s="1"/>
  <c r="O47" i="7"/>
  <c r="H36" i="9"/>
  <c r="I36" i="9" s="1"/>
  <c r="E28" i="3"/>
  <c r="F28" i="3" s="1"/>
  <c r="H42" i="9"/>
  <c r="I42" i="9" s="1"/>
  <c r="G12" i="11"/>
  <c r="F8" i="11"/>
  <c r="F9" i="11" s="1"/>
  <c r="J3" i="12"/>
  <c r="I3" i="12"/>
  <c r="D48" i="13"/>
  <c r="F10" i="13"/>
  <c r="F11" i="13"/>
  <c r="H11" i="13" s="1"/>
  <c r="D78" i="11"/>
  <c r="A77" i="11"/>
  <c r="G77" i="11" s="1"/>
  <c r="E75" i="11"/>
  <c r="B74" i="11"/>
  <c r="F72" i="11"/>
  <c r="C71" i="11"/>
  <c r="D68" i="11"/>
  <c r="A67" i="11"/>
  <c r="G67" i="11" s="1"/>
  <c r="E65" i="11"/>
  <c r="B64" i="11"/>
  <c r="F62" i="11"/>
  <c r="C61" i="11"/>
  <c r="D58" i="11"/>
  <c r="A57" i="11"/>
  <c r="G57" i="11" s="1"/>
  <c r="E55" i="11"/>
  <c r="B54" i="11"/>
  <c r="F52" i="11"/>
  <c r="C51" i="11"/>
  <c r="D48" i="11"/>
  <c r="A47" i="11"/>
  <c r="G47" i="11" s="1"/>
  <c r="E45" i="11"/>
  <c r="B44" i="11"/>
  <c r="F42" i="11"/>
  <c r="C41" i="11"/>
  <c r="D38" i="11"/>
  <c r="A37" i="11"/>
  <c r="G37" i="11" s="1"/>
  <c r="E35" i="11"/>
  <c r="B34" i="11"/>
  <c r="F32" i="11"/>
  <c r="C31" i="11"/>
  <c r="D28" i="11"/>
  <c r="A27" i="11"/>
  <c r="G27" i="11" s="1"/>
  <c r="E25" i="11"/>
  <c r="B24" i="11"/>
  <c r="F22" i="11"/>
  <c r="C21" i="11"/>
  <c r="D18" i="11"/>
  <c r="A17" i="11"/>
  <c r="G17" i="11" s="1"/>
  <c r="E15" i="11"/>
  <c r="B14" i="11"/>
  <c r="D77" i="11"/>
  <c r="A76" i="11"/>
  <c r="G76" i="11" s="1"/>
  <c r="E74" i="11"/>
  <c r="B73" i="11"/>
  <c r="F71" i="11"/>
  <c r="C70" i="11"/>
  <c r="D67" i="11"/>
  <c r="A66" i="11"/>
  <c r="G66" i="11" s="1"/>
  <c r="E64" i="11"/>
  <c r="B63" i="11"/>
  <c r="F61" i="11"/>
  <c r="C60" i="11"/>
  <c r="D57" i="11"/>
  <c r="A56" i="11"/>
  <c r="G56" i="11" s="1"/>
  <c r="E54" i="11"/>
  <c r="B53" i="11"/>
  <c r="F51" i="11"/>
  <c r="C50" i="11"/>
  <c r="D47" i="11"/>
  <c r="A46" i="11"/>
  <c r="G46" i="11" s="1"/>
  <c r="E44" i="11"/>
  <c r="B43" i="11"/>
  <c r="F41" i="11"/>
  <c r="C40" i="11"/>
  <c r="D37" i="11"/>
  <c r="A36" i="11"/>
  <c r="G36" i="11" s="1"/>
  <c r="E34" i="11"/>
  <c r="B33" i="11"/>
  <c r="F31" i="11"/>
  <c r="C30" i="11"/>
  <c r="D27" i="11"/>
  <c r="A26" i="11"/>
  <c r="G26" i="11" s="1"/>
  <c r="E24" i="11"/>
  <c r="B23" i="11"/>
  <c r="F21" i="11"/>
  <c r="C20" i="11"/>
  <c r="D17" i="11"/>
  <c r="A16" i="11"/>
  <c r="G16" i="11" s="1"/>
  <c r="E14" i="11"/>
  <c r="B13" i="11"/>
  <c r="A79" i="11"/>
  <c r="G79" i="11" s="1"/>
  <c r="B77" i="11"/>
  <c r="C75" i="11"/>
  <c r="E73" i="11"/>
  <c r="A70" i="11"/>
  <c r="G70" i="11" s="1"/>
  <c r="B68" i="11"/>
  <c r="D66" i="11"/>
  <c r="F64" i="11"/>
  <c r="A61" i="11"/>
  <c r="G61" i="11" s="1"/>
  <c r="C59" i="11"/>
  <c r="E57" i="11"/>
  <c r="F55" i="11"/>
  <c r="B52" i="11"/>
  <c r="D50" i="11"/>
  <c r="E48" i="11"/>
  <c r="F46" i="11"/>
  <c r="A45" i="11"/>
  <c r="G45" i="11" s="1"/>
  <c r="C43" i="11"/>
  <c r="D41" i="11"/>
  <c r="E39" i="11"/>
  <c r="B36" i="11"/>
  <c r="C34" i="11"/>
  <c r="D32" i="11"/>
  <c r="F30" i="11"/>
  <c r="A29" i="11"/>
  <c r="G29" i="11" s="1"/>
  <c r="B27" i="11"/>
  <c r="C25" i="11"/>
  <c r="E23" i="11"/>
  <c r="A20" i="11"/>
  <c r="G20" i="11" s="1"/>
  <c r="B18" i="11"/>
  <c r="D16" i="11"/>
  <c r="F14" i="11"/>
  <c r="C79" i="11"/>
  <c r="E77" i="11"/>
  <c r="F75" i="11"/>
  <c r="B72" i="11"/>
  <c r="D70" i="11"/>
  <c r="E68" i="11"/>
  <c r="F66" i="11"/>
  <c r="A65" i="11"/>
  <c r="G65" i="11" s="1"/>
  <c r="C63" i="11"/>
  <c r="D61" i="11"/>
  <c r="E59" i="11"/>
  <c r="B56" i="11"/>
  <c r="C54" i="11"/>
  <c r="D52" i="11"/>
  <c r="F50" i="11"/>
  <c r="A49" i="11"/>
  <c r="G49" i="11" s="1"/>
  <c r="B47" i="11"/>
  <c r="C45" i="11"/>
  <c r="E43" i="11"/>
  <c r="A40" i="11"/>
  <c r="G40" i="11" s="1"/>
  <c r="B38" i="11"/>
  <c r="D36" i="11"/>
  <c r="F34" i="11"/>
  <c r="A31" i="11"/>
  <c r="G31" i="11" s="1"/>
  <c r="C29" i="11"/>
  <c r="E27" i="11"/>
  <c r="F25" i="11"/>
  <c r="B22" i="11"/>
  <c r="D20" i="11"/>
  <c r="E18" i="11"/>
  <c r="F16" i="11"/>
  <c r="A15" i="11"/>
  <c r="G15" i="11" s="1"/>
  <c r="C13" i="11"/>
  <c r="F78" i="11"/>
  <c r="E76" i="11"/>
  <c r="D74" i="11"/>
  <c r="C72" i="11"/>
  <c r="F69" i="11"/>
  <c r="F67" i="11"/>
  <c r="D65" i="11"/>
  <c r="D63" i="11"/>
  <c r="F58" i="11"/>
  <c r="E56" i="11"/>
  <c r="D54" i="11"/>
  <c r="A52" i="11"/>
  <c r="G52" i="11" s="1"/>
  <c r="F49" i="11"/>
  <c r="F47" i="11"/>
  <c r="D45" i="11"/>
  <c r="A43" i="11"/>
  <c r="G43" i="11" s="1"/>
  <c r="F38" i="11"/>
  <c r="E36" i="11"/>
  <c r="A34" i="11"/>
  <c r="G34" i="11" s="1"/>
  <c r="A32" i="11"/>
  <c r="G32" i="11" s="1"/>
  <c r="F29" i="11"/>
  <c r="F27" i="11"/>
  <c r="B25" i="11"/>
  <c r="A23" i="11"/>
  <c r="G23" i="11" s="1"/>
  <c r="F18" i="11"/>
  <c r="C16" i="11"/>
  <c r="A14" i="11"/>
  <c r="G14" i="11" s="1"/>
  <c r="E78" i="11"/>
  <c r="D76" i="11"/>
  <c r="C74" i="11"/>
  <c r="A72" i="11"/>
  <c r="G72" i="11" s="1"/>
  <c r="E69" i="11"/>
  <c r="E67" i="11"/>
  <c r="C65" i="11"/>
  <c r="A63" i="11"/>
  <c r="G63" i="11" s="1"/>
  <c r="F60" i="11"/>
  <c r="E58" i="11"/>
  <c r="D56" i="11"/>
  <c r="A54" i="11"/>
  <c r="G54" i="11" s="1"/>
  <c r="E49" i="11"/>
  <c r="E47" i="11"/>
  <c r="B45" i="11"/>
  <c r="F40" i="11"/>
  <c r="E38" i="11"/>
  <c r="C36" i="11"/>
  <c r="E29" i="11"/>
  <c r="C27" i="11"/>
  <c r="A25" i="11"/>
  <c r="G25" i="11" s="1"/>
  <c r="F20" i="11"/>
  <c r="C18" i="11"/>
  <c r="B16" i="11"/>
  <c r="C78" i="11"/>
  <c r="C76" i="11"/>
  <c r="A74" i="11"/>
  <c r="G74" i="11" s="1"/>
  <c r="E71" i="11"/>
  <c r="D69" i="11"/>
  <c r="C67" i="11"/>
  <c r="B65" i="11"/>
  <c r="E62" i="11"/>
  <c r="E60" i="11"/>
  <c r="C58" i="11"/>
  <c r="C56" i="11"/>
  <c r="F53" i="11"/>
  <c r="E51" i="11"/>
  <c r="D49" i="11"/>
  <c r="C47" i="11"/>
  <c r="E42" i="11"/>
  <c r="E40" i="11"/>
  <c r="C38" i="11"/>
  <c r="F33" i="11"/>
  <c r="E31" i="11"/>
  <c r="D29" i="11"/>
  <c r="E22" i="11"/>
  <c r="E20" i="11"/>
  <c r="A18" i="11"/>
  <c r="G18" i="11" s="1"/>
  <c r="F13" i="11"/>
  <c r="B79" i="11"/>
  <c r="F76" i="11"/>
  <c r="F74" i="11"/>
  <c r="D72" i="11"/>
  <c r="B70" i="11"/>
  <c r="F65" i="11"/>
  <c r="E63" i="11"/>
  <c r="B61" i="11"/>
  <c r="A59" i="11"/>
  <c r="G59" i="11" s="1"/>
  <c r="F56" i="11"/>
  <c r="F54" i="11"/>
  <c r="C52" i="11"/>
  <c r="A50" i="11"/>
  <c r="G50" i="11" s="1"/>
  <c r="F45" i="11"/>
  <c r="D43" i="11"/>
  <c r="A41" i="11"/>
  <c r="G41" i="11" s="1"/>
  <c r="A39" i="11"/>
  <c r="G39" i="11" s="1"/>
  <c r="F36" i="11"/>
  <c r="D34" i="11"/>
  <c r="B32" i="11"/>
  <c r="A30" i="11"/>
  <c r="G30" i="11" s="1"/>
  <c r="D25" i="11"/>
  <c r="C23" i="11"/>
  <c r="A21" i="11"/>
  <c r="G21" i="11" s="1"/>
  <c r="A19" i="11"/>
  <c r="G19" i="11" s="1"/>
  <c r="E16" i="11"/>
  <c r="C14" i="11"/>
  <c r="F77" i="11"/>
  <c r="D73" i="11"/>
  <c r="E70" i="11"/>
  <c r="C66" i="11"/>
  <c r="C62" i="11"/>
  <c r="B59" i="11"/>
  <c r="B55" i="11"/>
  <c r="B51" i="11"/>
  <c r="A48" i="11"/>
  <c r="G48" i="11" s="1"/>
  <c r="A44" i="11"/>
  <c r="G44" i="11" s="1"/>
  <c r="B40" i="11"/>
  <c r="A33" i="11"/>
  <c r="G33" i="11" s="1"/>
  <c r="F28" i="11"/>
  <c r="E21" i="11"/>
  <c r="F17" i="11"/>
  <c r="D14" i="11"/>
  <c r="C77" i="11"/>
  <c r="C73" i="11"/>
  <c r="C69" i="11"/>
  <c r="B66" i="11"/>
  <c r="B62" i="11"/>
  <c r="B58" i="11"/>
  <c r="A55" i="11"/>
  <c r="G55" i="11" s="1"/>
  <c r="A51" i="11"/>
  <c r="G51" i="11" s="1"/>
  <c r="F39" i="11"/>
  <c r="F35" i="11"/>
  <c r="E32" i="11"/>
  <c r="E28" i="11"/>
  <c r="F24" i="11"/>
  <c r="D21" i="11"/>
  <c r="E17" i="11"/>
  <c r="E13" i="11"/>
  <c r="A73" i="11"/>
  <c r="G73" i="11" s="1"/>
  <c r="B69" i="11"/>
  <c r="A62" i="11"/>
  <c r="G62" i="11" s="1"/>
  <c r="A58" i="11"/>
  <c r="G58" i="11" s="1"/>
  <c r="E46" i="11"/>
  <c r="F43" i="11"/>
  <c r="D39" i="11"/>
  <c r="D35" i="11"/>
  <c r="C32" i="11"/>
  <c r="C28" i="11"/>
  <c r="D24" i="11"/>
  <c r="B21" i="11"/>
  <c r="C17" i="11"/>
  <c r="D13" i="11"/>
  <c r="B76" i="11"/>
  <c r="A69" i="11"/>
  <c r="G69" i="11" s="1"/>
  <c r="F57" i="11"/>
  <c r="E53" i="11"/>
  <c r="E50" i="11"/>
  <c r="D46" i="11"/>
  <c r="D42" i="11"/>
  <c r="C39" i="11"/>
  <c r="C35" i="11"/>
  <c r="D31" i="11"/>
  <c r="B28" i="11"/>
  <c r="C24" i="11"/>
  <c r="B20" i="11"/>
  <c r="B17" i="11"/>
  <c r="A13" i="11"/>
  <c r="G13" i="11" s="1"/>
  <c r="F79" i="11"/>
  <c r="E72" i="11"/>
  <c r="F68" i="11"/>
  <c r="D64" i="11"/>
  <c r="E61" i="11"/>
  <c r="C57" i="11"/>
  <c r="D53" i="11"/>
  <c r="B50" i="11"/>
  <c r="C46" i="11"/>
  <c r="C42" i="11"/>
  <c r="B39" i="11"/>
  <c r="B35" i="11"/>
  <c r="B31" i="11"/>
  <c r="A28" i="11"/>
  <c r="G28" i="11" s="1"/>
  <c r="A24" i="11"/>
  <c r="G24" i="11" s="1"/>
  <c r="F19" i="11"/>
  <c r="F73" i="11"/>
  <c r="F70" i="11"/>
  <c r="E66" i="11"/>
  <c r="D62" i="11"/>
  <c r="D59" i="11"/>
  <c r="C55" i="11"/>
  <c r="D51" i="11"/>
  <c r="B48" i="11"/>
  <c r="C44" i="11"/>
  <c r="D40" i="11"/>
  <c r="B37" i="11"/>
  <c r="C33" i="11"/>
  <c r="B29" i="11"/>
  <c r="B26" i="11"/>
  <c r="A22" i="11"/>
  <c r="G22" i="11" s="1"/>
  <c r="B78" i="11"/>
  <c r="C68" i="11"/>
  <c r="A60" i="11"/>
  <c r="G60" i="11" s="1"/>
  <c r="C49" i="11"/>
  <c r="E41" i="11"/>
  <c r="D22" i="11"/>
  <c r="A78" i="11"/>
  <c r="G78" i="11" s="1"/>
  <c r="A68" i="11"/>
  <c r="G68" i="11" s="1"/>
  <c r="F59" i="11"/>
  <c r="B49" i="11"/>
  <c r="B41" i="11"/>
  <c r="E30" i="11"/>
  <c r="C22" i="11"/>
  <c r="D75" i="11"/>
  <c r="B67" i="11"/>
  <c r="B57" i="11"/>
  <c r="F48" i="11"/>
  <c r="A38" i="11"/>
  <c r="G38" i="11" s="1"/>
  <c r="D30" i="11"/>
  <c r="E19" i="11"/>
  <c r="B75" i="11"/>
  <c r="C48" i="11"/>
  <c r="F37" i="11"/>
  <c r="B30" i="11"/>
  <c r="D19" i="11"/>
  <c r="A64" i="11"/>
  <c r="G64" i="11" s="1"/>
  <c r="D71" i="11"/>
  <c r="B71" i="11"/>
  <c r="E79" i="11"/>
  <c r="D79" i="11"/>
  <c r="B60" i="11"/>
  <c r="E52" i="11"/>
  <c r="A42" i="11"/>
  <c r="G42" i="11" s="1"/>
  <c r="D33" i="11"/>
  <c r="D23" i="11"/>
  <c r="B15" i="11"/>
  <c r="F44" i="11"/>
  <c r="D26" i="11"/>
  <c r="F63" i="11"/>
  <c r="D44" i="11"/>
  <c r="C26" i="11"/>
  <c r="D60" i="11"/>
  <c r="B42" i="11"/>
  <c r="F23" i="11"/>
  <c r="E37" i="11"/>
  <c r="C19" i="11"/>
  <c r="D55" i="11"/>
  <c r="C37" i="11"/>
  <c r="B19" i="11"/>
  <c r="C53" i="11"/>
  <c r="A35" i="11"/>
  <c r="G35" i="11" s="1"/>
  <c r="F15" i="11"/>
  <c r="A53" i="11"/>
  <c r="G53" i="11" s="1"/>
  <c r="D15" i="11"/>
  <c r="A75" i="11"/>
  <c r="G75" i="11" s="1"/>
  <c r="E33" i="11"/>
  <c r="C15" i="11"/>
  <c r="A71" i="11"/>
  <c r="G71" i="11" s="1"/>
  <c r="B46" i="11"/>
  <c r="F26" i="11"/>
  <c r="C64" i="11"/>
  <c r="E26" i="11"/>
  <c r="J5" i="12"/>
  <c r="I5" i="12"/>
  <c r="E23" i="3"/>
  <c r="F23" i="3" s="1"/>
  <c r="J4" i="12"/>
  <c r="I4" i="12"/>
  <c r="E8" i="3"/>
  <c r="C49" i="3"/>
  <c r="H21" i="9"/>
  <c r="I21" i="9" s="1"/>
  <c r="D49" i="3"/>
  <c r="I3" i="9"/>
  <c r="B28" i="1"/>
  <c r="C15" i="2"/>
  <c r="C21" i="2" s="1"/>
  <c r="C23" i="2" s="1"/>
  <c r="H26" i="9"/>
  <c r="I26" i="9" s="1"/>
  <c r="G597" i="10"/>
  <c r="N634" i="5"/>
  <c r="C12" i="2"/>
  <c r="C13" i="2" s="1"/>
  <c r="C5" i="1"/>
  <c r="H590" i="10"/>
  <c r="H591" i="10" s="1"/>
  <c r="H592" i="10" s="1"/>
  <c r="H593" i="10" s="1"/>
  <c r="H594" i="10" s="1"/>
  <c r="H595" i="10" s="1"/>
  <c r="G44" i="9"/>
  <c r="H44" i="9" s="1"/>
  <c r="I44" i="9" s="1"/>
  <c r="E18" i="3"/>
  <c r="F18" i="3" s="1"/>
  <c r="H10" i="13" l="1"/>
  <c r="H6" i="13"/>
  <c r="F48" i="13"/>
  <c r="B29" i="1"/>
  <c r="G5" i="1"/>
  <c r="F8" i="3"/>
  <c r="E49" i="3"/>
  <c r="F5" i="3"/>
  <c r="F4" i="3"/>
  <c r="C8" i="1"/>
  <c r="C24" i="2"/>
  <c r="A8" i="1"/>
  <c r="H48" i="13" l="1"/>
  <c r="H5" i="13"/>
  <c r="E5" i="1" l="1"/>
  <c r="I42" i="12"/>
</calcChain>
</file>

<file path=xl/sharedStrings.xml><?xml version="1.0" encoding="utf-8"?>
<sst xmlns="http://schemas.openxmlformats.org/spreadsheetml/2006/main" count="8270" uniqueCount="1236">
  <si>
    <t>🐄 [Your Dairy Plant Name]   —   📊 Accounts Dashboard — all figures auto-calculate from your entries</t>
  </si>
  <si>
    <t>💰 TOTAL SALES</t>
  </si>
  <si>
    <t>📦 TOTAL PURCHASES</t>
  </si>
  <si>
    <t>📋 STOCK VALUE</t>
  </si>
  <si>
    <t>⚠️ LOW STOCK ITEMS</t>
  </si>
  <si>
    <t>📤 RECEIVABLES</t>
  </si>
  <si>
    <t>📥 PAYABLES</t>
  </si>
  <si>
    <t>👥 TOTAL PARTIES</t>
  </si>
  <si>
    <t>💰 DAYBOOK BALANCE</t>
  </si>
  <si>
    <t>📈 NET PROFIT / LOSS (Sales − Purchases):</t>
  </si>
  <si>
    <t>🕐 RECENT SALES</t>
  </si>
  <si>
    <t>Date</t>
  </si>
  <si>
    <t>Invoice</t>
  </si>
  <si>
    <t>Party</t>
  </si>
  <si>
    <t>Net Amount</t>
  </si>
  <si>
    <t>Status</t>
  </si>
  <si>
    <t>Metric</t>
  </si>
  <si>
    <t>Amount</t>
  </si>
  <si>
    <t>Total Sales</t>
  </si>
  <si>
    <t>Total Purchases</t>
  </si>
  <si>
    <t>Stock Value</t>
  </si>
  <si>
    <t>BS date filter works on TEXT. Type e.g. 2083/03/32 in BS format; day-32 is auto-capped to 31 in calculations.</t>
  </si>
  <si>
    <t>🐄 [Your Dairy Plant Name]   —   📈 Profit &amp; Loss Account — company financial status</t>
  </si>
  <si>
    <t>From Date ►</t>
  </si>
  <si>
    <t>To Date ►</t>
  </si>
  <si>
    <t>💰 INCOME</t>
  </si>
  <si>
    <t>Total Sales Revenue</t>
  </si>
  <si>
    <t>Other Income (from Daybook receipts)</t>
  </si>
  <si>
    <t>GROSS INCOME (A)</t>
  </si>
  <si>
    <t>📦 COST OF GOODS / PURCHASES</t>
  </si>
  <si>
    <t>Total Purchases (milk &amp; materials)</t>
  </si>
  <si>
    <t>TOTAL COST (B)</t>
  </si>
  <si>
    <t>GROSS PROFIT (A − B)</t>
  </si>
  <si>
    <t>💸 OPERATING EXPENSES (from Daybook Payments)</t>
  </si>
  <si>
    <t>Total Payments/Expenses</t>
  </si>
  <si>
    <t>TOTAL EXPENSES (C)</t>
  </si>
  <si>
    <t>🏆 NET PROFIT / (LOSS)  =  Gross Profit − Expenses</t>
  </si>
  <si>
    <t>Company Status:</t>
  </si>
  <si>
    <t>Net Profit Margin %:</t>
  </si>
  <si>
    <t>RECEIVABLES &amp; PAYABLES — party balances for selected period</t>
  </si>
  <si>
    <t>2083/03/15</t>
  </si>
  <si>
    <t>2083/04/09</t>
  </si>
  <si>
    <t>Total Receivable:</t>
  </si>
  <si>
    <t>Total Payable:</t>
  </si>
  <si>
    <t>Party Name</t>
  </si>
  <si>
    <t>Type</t>
  </si>
  <si>
    <t>Debit (Dr)</t>
  </si>
  <si>
    <t>Credit (Cr)</t>
  </si>
  <si>
    <t>Net Balance</t>
  </si>
  <si>
    <t>Class</t>
  </si>
  <si>
    <t>TOTALS ►</t>
  </si>
  <si>
    <t>💡 Change From/To Date — every party balance for that period recalculates. Positive = they owe you (Receivable). Negative = you owe them (Payable).</t>
  </si>
  <si>
    <t>💡 Total Receivable / Total Payable shown at top-right.</t>
  </si>
  <si>
    <t>Sales Entry —  KALIKA CANTEEN A1</t>
  </si>
  <si>
    <t>Invoice No</t>
  </si>
  <si>
    <t>Product</t>
  </si>
  <si>
    <t>Quantity</t>
  </si>
  <si>
    <t>Rate</t>
  </si>
  <si>
    <t>Discount %</t>
  </si>
  <si>
    <t>Payment Mode</t>
  </si>
  <si>
    <t>Remarks</t>
  </si>
  <si>
    <t>BILL-6001</t>
  </si>
  <si>
    <t>SRIJANA DAIRY (DEVI NAGAR)</t>
  </si>
  <si>
    <t>Mix Milk</t>
  </si>
  <si>
    <t>Credit</t>
  </si>
  <si>
    <t>Unpaid</t>
  </si>
  <si>
    <t>BILL-6002</t>
  </si>
  <si>
    <t xml:space="preserve">SOBHA BHATTARAI </t>
  </si>
  <si>
    <t>BILL-6003</t>
  </si>
  <si>
    <t>PALPALI</t>
  </si>
  <si>
    <t>BILL-6004</t>
  </si>
  <si>
    <t xml:space="preserve">AAMOSH KIRANA </t>
  </si>
  <si>
    <t>Cow Milk</t>
  </si>
  <si>
    <t>BILL-6005</t>
  </si>
  <si>
    <t xml:space="preserve">KRITIKA KIRANA </t>
  </si>
  <si>
    <t>BILL-6006</t>
  </si>
  <si>
    <t>MANAKAMANA DAIRY</t>
  </si>
  <si>
    <t>BILL-6007</t>
  </si>
  <si>
    <t xml:space="preserve">AAYUSH AAYUSHMA </t>
  </si>
  <si>
    <t>BILL-6008</t>
  </si>
  <si>
    <t xml:space="preserve">YUBARAJ AND SAMRAT </t>
  </si>
  <si>
    <t>BILL-6009</t>
  </si>
  <si>
    <t xml:space="preserve">SAMIKSHYA </t>
  </si>
  <si>
    <t>BILL-6010</t>
  </si>
  <si>
    <t>KRISHNA KHAREL</t>
  </si>
  <si>
    <t>BILL-6011</t>
  </si>
  <si>
    <t>CHHATRABHUMI</t>
  </si>
  <si>
    <t>BILL-6012</t>
  </si>
  <si>
    <t xml:space="preserve">DEURALI KIRANA </t>
  </si>
  <si>
    <t>BILL-6013</t>
  </si>
  <si>
    <t xml:space="preserve">GIRI KIRANA </t>
  </si>
  <si>
    <t>BILL-6014</t>
  </si>
  <si>
    <t>ORGANIC TARKALI</t>
  </si>
  <si>
    <t>BILL-6015</t>
  </si>
  <si>
    <t>SHARMA DAI</t>
  </si>
  <si>
    <t>Ghee</t>
  </si>
  <si>
    <t>NAUNI</t>
  </si>
  <si>
    <t>BILL-6016</t>
  </si>
  <si>
    <t>GANGA NEUPANE</t>
  </si>
  <si>
    <t>BILL-6017</t>
  </si>
  <si>
    <t>LOCAL</t>
  </si>
  <si>
    <t>BILL-6018</t>
  </si>
  <si>
    <t>BHUSAL JANARAL</t>
  </si>
  <si>
    <t>BILL-6019</t>
  </si>
  <si>
    <t>BILL-6020</t>
  </si>
  <si>
    <t>BILL-6021</t>
  </si>
  <si>
    <t>BILL-6022</t>
  </si>
  <si>
    <t>BILL-6023</t>
  </si>
  <si>
    <t>BILL-6024</t>
  </si>
  <si>
    <t>BILL-6025</t>
  </si>
  <si>
    <t>BILL-6026</t>
  </si>
  <si>
    <t>BILL-6027</t>
  </si>
  <si>
    <t>BILL-6028</t>
  </si>
  <si>
    <t>BILL-6029</t>
  </si>
  <si>
    <t>BILL-6030</t>
  </si>
  <si>
    <t>BILL-6031</t>
  </si>
  <si>
    <t>DURGA MALLA</t>
  </si>
  <si>
    <t>BILL-6032</t>
  </si>
  <si>
    <t>BILL-6033</t>
  </si>
  <si>
    <t>KALIKA CANTEEN A</t>
  </si>
  <si>
    <t>BILL-6034</t>
  </si>
  <si>
    <t>KALIKA CANTEEN A1</t>
  </si>
  <si>
    <t>BILL-6035</t>
  </si>
  <si>
    <t>BILL-6036</t>
  </si>
  <si>
    <t>BILL-6037</t>
  </si>
  <si>
    <t>BILL-6038</t>
  </si>
  <si>
    <t>BILL-6039</t>
  </si>
  <si>
    <t>BILL-6040</t>
  </si>
  <si>
    <t>BILL-6041</t>
  </si>
  <si>
    <t>BILL-6042</t>
  </si>
  <si>
    <t>BILL-6043</t>
  </si>
  <si>
    <t>BILL-6044</t>
  </si>
  <si>
    <t>BILL-6045</t>
  </si>
  <si>
    <t>BILL-6046</t>
  </si>
  <si>
    <t>BILL-6047</t>
  </si>
  <si>
    <t>BILL-6048</t>
  </si>
  <si>
    <t>BILL-6049</t>
  </si>
  <si>
    <t>BILL-6050</t>
  </si>
  <si>
    <t>BILL-6051</t>
  </si>
  <si>
    <t>BILL-6052</t>
  </si>
  <si>
    <t>BILL-6053</t>
  </si>
  <si>
    <t>BILL-6054</t>
  </si>
  <si>
    <t>BILL-6055</t>
  </si>
  <si>
    <t>BILL-6056</t>
  </si>
  <si>
    <t>NAWARAJ NEPAL</t>
  </si>
  <si>
    <t>BILL-6057</t>
  </si>
  <si>
    <t>BILL-6058</t>
  </si>
  <si>
    <t>BILL-6059</t>
  </si>
  <si>
    <t>BILL-6060</t>
  </si>
  <si>
    <t>BILL-6061</t>
  </si>
  <si>
    <t>BILL-6062</t>
  </si>
  <si>
    <t>BILL-6063</t>
  </si>
  <si>
    <t>BILL-6064</t>
  </si>
  <si>
    <t>BILL-6065</t>
  </si>
  <si>
    <t>BILL-6066</t>
  </si>
  <si>
    <t>BILL-6067</t>
  </si>
  <si>
    <t>BILL-6068</t>
  </si>
  <si>
    <t>BILL-6069</t>
  </si>
  <si>
    <t>LILADHAR GAUTAM</t>
  </si>
  <si>
    <t>BILL-6070</t>
  </si>
  <si>
    <t>BILL-6071</t>
  </si>
  <si>
    <t>BILL-6072</t>
  </si>
  <si>
    <t>BILL-6073</t>
  </si>
  <si>
    <t>BILL-6074</t>
  </si>
  <si>
    <t>PANEER</t>
  </si>
  <si>
    <t>BILL-6075</t>
  </si>
  <si>
    <t xml:space="preserve">NAR BAHADUR RANA </t>
  </si>
  <si>
    <t>BILL-6076</t>
  </si>
  <si>
    <t>BILL-6077</t>
  </si>
  <si>
    <t>BILL-6078</t>
  </si>
  <si>
    <t>BILL-6079</t>
  </si>
  <si>
    <t>BILL-6080</t>
  </si>
  <si>
    <t>BILL-6081</t>
  </si>
  <si>
    <t>BILL-6082</t>
  </si>
  <si>
    <t>BILL-6083</t>
  </si>
  <si>
    <t>BILL-6084</t>
  </si>
  <si>
    <t>BILL-6085</t>
  </si>
  <si>
    <t>BILL-6086</t>
  </si>
  <si>
    <t>BILL-6087</t>
  </si>
  <si>
    <t>BILL-6088</t>
  </si>
  <si>
    <t>BILL-6089</t>
  </si>
  <si>
    <t>BILL-6090</t>
  </si>
  <si>
    <t>BILL-6091</t>
  </si>
  <si>
    <t>BILL-6092</t>
  </si>
  <si>
    <t>BILL-6093</t>
  </si>
  <si>
    <t>BILL-6094</t>
  </si>
  <si>
    <t>BILL-6095</t>
  </si>
  <si>
    <t>BILL-6096</t>
  </si>
  <si>
    <t>BILL-6097</t>
  </si>
  <si>
    <t>BILL-6098</t>
  </si>
  <si>
    <t>BILL-6099</t>
  </si>
  <si>
    <t>BILL-6100</t>
  </si>
  <si>
    <t>BILL-6101</t>
  </si>
  <si>
    <t>BILL-6102</t>
  </si>
  <si>
    <t>BILL-6103</t>
  </si>
  <si>
    <t>KULCHANDRA GYAWALI</t>
  </si>
  <si>
    <t>BILL-6104</t>
  </si>
  <si>
    <t>BILL-6105</t>
  </si>
  <si>
    <t>BILL-6106</t>
  </si>
  <si>
    <t>BILL-6107</t>
  </si>
  <si>
    <t>BILL-6108</t>
  </si>
  <si>
    <t>BILL-6109</t>
  </si>
  <si>
    <t>BILL-6110</t>
  </si>
  <si>
    <t>BILL-6111</t>
  </si>
  <si>
    <t>BILL-6112</t>
  </si>
  <si>
    <t>BILL-6113</t>
  </si>
  <si>
    <t xml:space="preserve">DANDA PANI ACHARYA </t>
  </si>
  <si>
    <t>BILL-6114</t>
  </si>
  <si>
    <t>BILL-6115</t>
  </si>
  <si>
    <t>SUBHA MAYA STORE</t>
  </si>
  <si>
    <t>BILL-6116</t>
  </si>
  <si>
    <t>BILL-6117</t>
  </si>
  <si>
    <t>BIKRAM DHUNGANA</t>
  </si>
  <si>
    <t>BILL-6118</t>
  </si>
  <si>
    <t>NEUPANE KIRANA</t>
  </si>
  <si>
    <t>BILL-6119</t>
  </si>
  <si>
    <t>BILL-6120</t>
  </si>
  <si>
    <t>BILL-6121</t>
  </si>
  <si>
    <t>BILL-6122</t>
  </si>
  <si>
    <t>BILL-6123</t>
  </si>
  <si>
    <t>BILL-6124</t>
  </si>
  <si>
    <t>BILL-6125</t>
  </si>
  <si>
    <t>BILL-6126</t>
  </si>
  <si>
    <t>BILL-6127</t>
  </si>
  <si>
    <t>BILL-6128</t>
  </si>
  <si>
    <t>BILL-6129</t>
  </si>
  <si>
    <t>BILL-6130</t>
  </si>
  <si>
    <t>BILL-6131</t>
  </si>
  <si>
    <t>BILL-6132</t>
  </si>
  <si>
    <t>BILL-6133</t>
  </si>
  <si>
    <t>BILL-6134</t>
  </si>
  <si>
    <t>BILL-6135</t>
  </si>
  <si>
    <t>BILL-6136</t>
  </si>
  <si>
    <t>BILL-6137</t>
  </si>
  <si>
    <t>BILL-6138</t>
  </si>
  <si>
    <t>BILL-6139</t>
  </si>
  <si>
    <t>BILL-6140</t>
  </si>
  <si>
    <t>BILL-6141</t>
  </si>
  <si>
    <t>BILL-6142</t>
  </si>
  <si>
    <t>BILL-6143</t>
  </si>
  <si>
    <t>BILL-6144</t>
  </si>
  <si>
    <t>BILL-6145</t>
  </si>
  <si>
    <t>BILL-6146</t>
  </si>
  <si>
    <t>BILL-6147</t>
  </si>
  <si>
    <t>BILL-6148</t>
  </si>
  <si>
    <t>BILL-6149</t>
  </si>
  <si>
    <t>BILL-6150</t>
  </si>
  <si>
    <t>BILL-6151</t>
  </si>
  <si>
    <t>BILL-6152</t>
  </si>
  <si>
    <t>BILL-6153</t>
  </si>
  <si>
    <t>BILL-6154</t>
  </si>
  <si>
    <t>BILL-6155</t>
  </si>
  <si>
    <t>BILL-6156</t>
  </si>
  <si>
    <t>BILL-6157</t>
  </si>
  <si>
    <t>BILL-6158</t>
  </si>
  <si>
    <t>NEHA MISTHAN</t>
  </si>
  <si>
    <t>BILL-6159</t>
  </si>
  <si>
    <t>BILL-6160</t>
  </si>
  <si>
    <t>BILL-6161</t>
  </si>
  <si>
    <t>BILL-6162</t>
  </si>
  <si>
    <t>BILL-6163</t>
  </si>
  <si>
    <t>BILL-6164</t>
  </si>
  <si>
    <t>BILL-6165</t>
  </si>
  <si>
    <t>BILL-6166</t>
  </si>
  <si>
    <t>BILL-6167</t>
  </si>
  <si>
    <t>BILL-6168</t>
  </si>
  <si>
    <t>BILL-6169</t>
  </si>
  <si>
    <t>MEGHRAJ (MITERI)</t>
  </si>
  <si>
    <t>GHEE</t>
  </si>
  <si>
    <t>BILL-6170</t>
  </si>
  <si>
    <t>BILL-6171</t>
  </si>
  <si>
    <t>BILL-6172</t>
  </si>
  <si>
    <t>BILL-6173</t>
  </si>
  <si>
    <t>THE DARBAR</t>
  </si>
  <si>
    <t>BILL-6174</t>
  </si>
  <si>
    <t>BILL-6175</t>
  </si>
  <si>
    <t>BILL-6176</t>
  </si>
  <si>
    <t>BILL-6177</t>
  </si>
  <si>
    <t>BILL-6178</t>
  </si>
  <si>
    <t>BILL-6179</t>
  </si>
  <si>
    <t>BILL-6180</t>
  </si>
  <si>
    <t>BILL-6181</t>
  </si>
  <si>
    <t>BILL-6182</t>
  </si>
  <si>
    <t>BILL-6183</t>
  </si>
  <si>
    <t>BILL-6184</t>
  </si>
  <si>
    <t>BILL-6185</t>
  </si>
  <si>
    <t>BILL-6186</t>
  </si>
  <si>
    <t>BILL-6187</t>
  </si>
  <si>
    <t>BILL-6188</t>
  </si>
  <si>
    <t>BILL-6189</t>
  </si>
  <si>
    <t>BILL-6190</t>
  </si>
  <si>
    <t>BILL-6191</t>
  </si>
  <si>
    <t>BILL-6192</t>
  </si>
  <si>
    <t>INDRA BK</t>
  </si>
  <si>
    <t>BILL-6193</t>
  </si>
  <si>
    <t>BILL-6194</t>
  </si>
  <si>
    <t>BILL-6195</t>
  </si>
  <si>
    <t>BILL-6196</t>
  </si>
  <si>
    <t>BILL-6201</t>
  </si>
  <si>
    <t>BILL-6202</t>
  </si>
  <si>
    <t>BILL-6197</t>
  </si>
  <si>
    <t>BILL-6198</t>
  </si>
  <si>
    <t>BILL-6199</t>
  </si>
  <si>
    <t>BILL-6200</t>
  </si>
  <si>
    <t>BILL-6203</t>
  </si>
  <si>
    <t>BILL-6204</t>
  </si>
  <si>
    <t>BILL-6205</t>
  </si>
  <si>
    <t>BILL-6206</t>
  </si>
  <si>
    <t>BILL-6207</t>
  </si>
  <si>
    <t>BILL-6208</t>
  </si>
  <si>
    <t>BILL-6209</t>
  </si>
  <si>
    <t>BILL-6210</t>
  </si>
  <si>
    <t>BILL-6211</t>
  </si>
  <si>
    <t>BILL-6212</t>
  </si>
  <si>
    <t>BILL-6213</t>
  </si>
  <si>
    <t>BILL-6214</t>
  </si>
  <si>
    <t>BILL-6215</t>
  </si>
  <si>
    <t>BILL-6216</t>
  </si>
  <si>
    <t>BILL-6217</t>
  </si>
  <si>
    <t>BILL-6218</t>
  </si>
  <si>
    <t>BILL-6219</t>
  </si>
  <si>
    <t>BILL-6220</t>
  </si>
  <si>
    <t>BILL-6221</t>
  </si>
  <si>
    <t>BILL-6222</t>
  </si>
  <si>
    <t>BILL-6223</t>
  </si>
  <si>
    <t>BILL-6224</t>
  </si>
  <si>
    <t>BILL-6225</t>
  </si>
  <si>
    <t>BILL-6226</t>
  </si>
  <si>
    <t>BILL-6227</t>
  </si>
  <si>
    <t>BILL-6228</t>
  </si>
  <si>
    <t>BILL-6229</t>
  </si>
  <si>
    <t>BILL-6230</t>
  </si>
  <si>
    <t>BILL-6231</t>
  </si>
  <si>
    <t>BILL-6232</t>
  </si>
  <si>
    <t>BILL-6360</t>
  </si>
  <si>
    <t>BILL-6233</t>
  </si>
  <si>
    <t>BILL-6234</t>
  </si>
  <si>
    <t>BILL-6235</t>
  </si>
  <si>
    <t>BILL-6236</t>
  </si>
  <si>
    <t>BILL-6237</t>
  </si>
  <si>
    <t>BILL-6238</t>
  </si>
  <si>
    <t>BILL-6239</t>
  </si>
  <si>
    <t>BILL-6240</t>
  </si>
  <si>
    <t>BILL-6241</t>
  </si>
  <si>
    <t>BILL-6242</t>
  </si>
  <si>
    <t>BILL-6243</t>
  </si>
  <si>
    <t>BILL-6244</t>
  </si>
  <si>
    <t>BILL-6245</t>
  </si>
  <si>
    <t>BILL-6246</t>
  </si>
  <si>
    <t>BILL-6247</t>
  </si>
  <si>
    <t>PARSHURAM THARU</t>
  </si>
  <si>
    <t>DANA</t>
  </si>
  <si>
    <t>BILL-6248</t>
  </si>
  <si>
    <t>BILL-6249</t>
  </si>
  <si>
    <t>BILL-6250</t>
  </si>
  <si>
    <t>BILL-6251</t>
  </si>
  <si>
    <t>BILL-6252</t>
  </si>
  <si>
    <t>BILL-6253</t>
  </si>
  <si>
    <t>BILL-6254</t>
  </si>
  <si>
    <t>BILL-6255</t>
  </si>
  <si>
    <t>BILL-6256</t>
  </si>
  <si>
    <t>BILL-6257</t>
  </si>
  <si>
    <t>BILL-6258</t>
  </si>
  <si>
    <t>BILL-6259</t>
  </si>
  <si>
    <t>BILL-6260</t>
  </si>
  <si>
    <t>BILL-6261</t>
  </si>
  <si>
    <t>BILL-6262</t>
  </si>
  <si>
    <t>BILL-6263</t>
  </si>
  <si>
    <t>BILL-6264</t>
  </si>
  <si>
    <t>BILL-6265</t>
  </si>
  <si>
    <t>BILL-6266</t>
  </si>
  <si>
    <t>BILL-6267</t>
  </si>
  <si>
    <t>BILL-6268</t>
  </si>
  <si>
    <t>BILL-6269</t>
  </si>
  <si>
    <t>BILL-6270</t>
  </si>
  <si>
    <t>BILL-6271</t>
  </si>
  <si>
    <t>BILL-6272</t>
  </si>
  <si>
    <t>BILL-6273</t>
  </si>
  <si>
    <t>BILL-6274</t>
  </si>
  <si>
    <t>BILL-6275</t>
  </si>
  <si>
    <t>BILL-6276</t>
  </si>
  <si>
    <t>BILL-6277</t>
  </si>
  <si>
    <t>BILL-6278</t>
  </si>
  <si>
    <t>BILL-6279</t>
  </si>
  <si>
    <t>BILL-6280</t>
  </si>
  <si>
    <t>BILL-6281</t>
  </si>
  <si>
    <t>BILL-6282</t>
  </si>
  <si>
    <t>BILL-6283</t>
  </si>
  <si>
    <t>BILL-6284</t>
  </si>
  <si>
    <t>BILL-6285</t>
  </si>
  <si>
    <t>BILL-6286</t>
  </si>
  <si>
    <t>BILL-6287</t>
  </si>
  <si>
    <t>BILL-6288</t>
  </si>
  <si>
    <t>BILL-6289</t>
  </si>
  <si>
    <t>BILL-6290</t>
  </si>
  <si>
    <t>BILL-6291</t>
  </si>
  <si>
    <t>BILL-6292</t>
  </si>
  <si>
    <t>BILL-6293</t>
  </si>
  <si>
    <t>BILL-6294</t>
  </si>
  <si>
    <t>BILL-6295</t>
  </si>
  <si>
    <t>BILL-6296</t>
  </si>
  <si>
    <t>BILL-6297</t>
  </si>
  <si>
    <t>BILL-6298</t>
  </si>
  <si>
    <t>BILL-6299</t>
  </si>
  <si>
    <t>2083/03/32</t>
  </si>
  <si>
    <t>BILL-6300</t>
  </si>
  <si>
    <t xml:space="preserve">CANCELED </t>
  </si>
  <si>
    <t>BILL-6301</t>
  </si>
  <si>
    <t>BILL-6302</t>
  </si>
  <si>
    <t>BILL-6303</t>
  </si>
  <si>
    <t>BILL-6304</t>
  </si>
  <si>
    <t>BILL-6305</t>
  </si>
  <si>
    <t>BILL-6306</t>
  </si>
  <si>
    <t>BILL-6307</t>
  </si>
  <si>
    <t>BILL-6308</t>
  </si>
  <si>
    <t>BILL-6309</t>
  </si>
  <si>
    <t>BILL-6310</t>
  </si>
  <si>
    <t>BILL-6311</t>
  </si>
  <si>
    <t>BILL-6312</t>
  </si>
  <si>
    <t>BILL-6313</t>
  </si>
  <si>
    <t>BILL-6314</t>
  </si>
  <si>
    <t>SITA MALLA</t>
  </si>
  <si>
    <t>BILL-6315</t>
  </si>
  <si>
    <t>BILL-6316</t>
  </si>
  <si>
    <t>BILL-6317</t>
  </si>
  <si>
    <t>BILL-6318</t>
  </si>
  <si>
    <t>BILL-6319</t>
  </si>
  <si>
    <t>BILL-6338</t>
  </si>
  <si>
    <t>BILL-6339</t>
  </si>
  <si>
    <t xml:space="preserve">KAMALA </t>
  </si>
  <si>
    <t>BILL-6340</t>
  </si>
  <si>
    <t xml:space="preserve">SHANKAR KHAREL </t>
  </si>
  <si>
    <t>BILL-6320</t>
  </si>
  <si>
    <t>BILL-6321</t>
  </si>
  <si>
    <t>BILL-6322</t>
  </si>
  <si>
    <t>BILL-6323</t>
  </si>
  <si>
    <t>BILL-6324</t>
  </si>
  <si>
    <t>BILL-6325</t>
  </si>
  <si>
    <t>BILL-6326</t>
  </si>
  <si>
    <t>BILL-6327</t>
  </si>
  <si>
    <t>BILL-6328</t>
  </si>
  <si>
    <t>BILL-6329</t>
  </si>
  <si>
    <t>BILL-6330</t>
  </si>
  <si>
    <t>BILL-6331</t>
  </si>
  <si>
    <t>PUSHPA ADHIKARI</t>
  </si>
  <si>
    <t>BILL-6332</t>
  </si>
  <si>
    <t>BILL-6333</t>
  </si>
  <si>
    <t>BILL-6334</t>
  </si>
  <si>
    <t>BILL-6335</t>
  </si>
  <si>
    <t>BILL-6336</t>
  </si>
  <si>
    <t>BILL-6337</t>
  </si>
  <si>
    <t>BILL-6341</t>
  </si>
  <si>
    <t>BILL-6342</t>
  </si>
  <si>
    <t>BILL-6343</t>
  </si>
  <si>
    <t>BILL-6344</t>
  </si>
  <si>
    <t>BILL-6345</t>
  </si>
  <si>
    <t>BILL-6346</t>
  </si>
  <si>
    <t>BILL-6347</t>
  </si>
  <si>
    <t>BILL-6348</t>
  </si>
  <si>
    <t>BILL-6349</t>
  </si>
  <si>
    <t>BILL-6350</t>
  </si>
  <si>
    <t>BILL-6351</t>
  </si>
  <si>
    <t>BILL-6352</t>
  </si>
  <si>
    <t>BILL-6353</t>
  </si>
  <si>
    <t>BILL-6354</t>
  </si>
  <si>
    <t>BILL-6355</t>
  </si>
  <si>
    <t>BILL-6356</t>
  </si>
  <si>
    <t>BILL-6357</t>
  </si>
  <si>
    <t>BILL-6358</t>
  </si>
  <si>
    <t>BILL-6359</t>
  </si>
  <si>
    <t>BILL-6361</t>
  </si>
  <si>
    <t>BILL-6362</t>
  </si>
  <si>
    <t>BILL-6363</t>
  </si>
  <si>
    <t>BILL-6364</t>
  </si>
  <si>
    <t>BILL-6365</t>
  </si>
  <si>
    <t>BILL-6366</t>
  </si>
  <si>
    <t>BILL-6367</t>
  </si>
  <si>
    <t>BILL-6368</t>
  </si>
  <si>
    <t>BILL-6369</t>
  </si>
  <si>
    <t>BILL-6370</t>
  </si>
  <si>
    <t>BILL-6371</t>
  </si>
  <si>
    <t>BILL-6372</t>
  </si>
  <si>
    <t>BILL-6373</t>
  </si>
  <si>
    <t>BILL-6374</t>
  </si>
  <si>
    <t>BILL-6375</t>
  </si>
  <si>
    <t>BILL-6376</t>
  </si>
  <si>
    <t>BILL-6377</t>
  </si>
  <si>
    <t>SITALA ARYAL</t>
  </si>
  <si>
    <t>BILL-6378</t>
  </si>
  <si>
    <t>BILL-6379</t>
  </si>
  <si>
    <t>BILL-6380</t>
  </si>
  <si>
    <t>BILL-6381</t>
  </si>
  <si>
    <t>BILL-6382</t>
  </si>
  <si>
    <t>BILL-6383</t>
  </si>
  <si>
    <t>BILL-6384</t>
  </si>
  <si>
    <t>BILL-6385</t>
  </si>
  <si>
    <t>BILL-6386</t>
  </si>
  <si>
    <t>BILL-6387</t>
  </si>
  <si>
    <t>BILL-6388</t>
  </si>
  <si>
    <t>BILL-6389</t>
  </si>
  <si>
    <t>BILL-6390</t>
  </si>
  <si>
    <t>BILL-6391</t>
  </si>
  <si>
    <t>BILL-6392</t>
  </si>
  <si>
    <t>BILL-6393</t>
  </si>
  <si>
    <t>BILL-6401</t>
  </si>
  <si>
    <t>BILL-6402</t>
  </si>
  <si>
    <t>BILL-6403</t>
  </si>
  <si>
    <t>BILL-6404</t>
  </si>
  <si>
    <t>BILL-6405</t>
  </si>
  <si>
    <t>BILL-6406</t>
  </si>
  <si>
    <t>BILL-6407</t>
  </si>
  <si>
    <t>BILL-6408</t>
  </si>
  <si>
    <t>BILL-6409</t>
  </si>
  <si>
    <t>BILL-6410</t>
  </si>
  <si>
    <t>BILL-6411</t>
  </si>
  <si>
    <t>BILL-6412</t>
  </si>
  <si>
    <t>BILL-6414</t>
  </si>
  <si>
    <t>BILL-6415</t>
  </si>
  <si>
    <t>BILL-6416</t>
  </si>
  <si>
    <t>BILL-6417</t>
  </si>
  <si>
    <t>BILL-6418</t>
  </si>
  <si>
    <t>BILL-6413</t>
  </si>
  <si>
    <t>BILL-6419</t>
  </si>
  <si>
    <t>BILL-6420</t>
  </si>
  <si>
    <t>BILL-6421</t>
  </si>
  <si>
    <t>BILL-6422</t>
  </si>
  <si>
    <t>BILL-6423</t>
  </si>
  <si>
    <t>BILL-6424</t>
  </si>
  <si>
    <t>BILL-6425</t>
  </si>
  <si>
    <t>BILL-6426</t>
  </si>
  <si>
    <t>BILL-6427</t>
  </si>
  <si>
    <t>BILL-6428</t>
  </si>
  <si>
    <t>BILL-6429</t>
  </si>
  <si>
    <t>BILL-6430</t>
  </si>
  <si>
    <t>BILL-6431</t>
  </si>
  <si>
    <t>BILL-6432</t>
  </si>
  <si>
    <t>BILL-6433</t>
  </si>
  <si>
    <t>BILL-6434</t>
  </si>
  <si>
    <t>BILL-6435</t>
  </si>
  <si>
    <t>BILL-6436</t>
  </si>
  <si>
    <t>BILL-6437</t>
  </si>
  <si>
    <t>BILL-6394</t>
  </si>
  <si>
    <t>BILL-6395</t>
  </si>
  <si>
    <t>BILL-6396</t>
  </si>
  <si>
    <t>BILL-6397</t>
  </si>
  <si>
    <t>BILL-6398</t>
  </si>
  <si>
    <t>BILL-6438</t>
  </si>
  <si>
    <t>BILL-6439</t>
  </si>
  <si>
    <t>BILL-6440</t>
  </si>
  <si>
    <t>BILL-6441</t>
  </si>
  <si>
    <t>BILL-6442</t>
  </si>
  <si>
    <t>BILL-6443</t>
  </si>
  <si>
    <t>BILL-6444</t>
  </si>
  <si>
    <t>BILL-6445</t>
  </si>
  <si>
    <t>BILL-6446</t>
  </si>
  <si>
    <t>BILL-6447</t>
  </si>
  <si>
    <t>BILL-6448</t>
  </si>
  <si>
    <t>BILL-6449</t>
  </si>
  <si>
    <t>BILL-6450</t>
  </si>
  <si>
    <t>BILL-6399</t>
  </si>
  <si>
    <t>BILL-6400</t>
  </si>
  <si>
    <t>BILL-6501</t>
  </si>
  <si>
    <t>BILL-6502</t>
  </si>
  <si>
    <t>NEHA MISTHAN BHANDAR</t>
  </si>
  <si>
    <t>BILL-6503</t>
  </si>
  <si>
    <t>BILL-6504</t>
  </si>
  <si>
    <t>BILL-6505</t>
  </si>
  <si>
    <t>BILL-6506</t>
  </si>
  <si>
    <t>BILL-6507</t>
  </si>
  <si>
    <t>BILL-6508</t>
  </si>
  <si>
    <t>BILL-6509</t>
  </si>
  <si>
    <t>BILL-6510</t>
  </si>
  <si>
    <t>BILL-6511</t>
  </si>
  <si>
    <t>BILL-6512</t>
  </si>
  <si>
    <t>BILL-6513</t>
  </si>
  <si>
    <t>BILL-6514</t>
  </si>
  <si>
    <t>BILL-6515</t>
  </si>
  <si>
    <t>BILL-6516</t>
  </si>
  <si>
    <t>BILL-6517</t>
  </si>
  <si>
    <t>BILL-6518</t>
  </si>
  <si>
    <t>BILL-6519</t>
  </si>
  <si>
    <t>BILL-6520</t>
  </si>
  <si>
    <t>BILL-6521</t>
  </si>
  <si>
    <t>BILL-6522</t>
  </si>
  <si>
    <t>BILL-6523</t>
  </si>
  <si>
    <t>BILL-6524</t>
  </si>
  <si>
    <t>BILL-6525</t>
  </si>
  <si>
    <t>BILL-6526</t>
  </si>
  <si>
    <t>BILL-6527</t>
  </si>
  <si>
    <t>BILL-6528</t>
  </si>
  <si>
    <t>BILL-6529</t>
  </si>
  <si>
    <t>BILL-6530</t>
  </si>
  <si>
    <t>BILL-6531</t>
  </si>
  <si>
    <t>2083/04/10</t>
  </si>
  <si>
    <t>BILL-6532</t>
  </si>
  <si>
    <t>BILL-6533</t>
  </si>
  <si>
    <t>BILL-6534</t>
  </si>
  <si>
    <t>BILL-6535</t>
  </si>
  <si>
    <t>BILL-6536</t>
  </si>
  <si>
    <t>BILL-6537</t>
  </si>
  <si>
    <t>BILL-6538</t>
  </si>
  <si>
    <t>BILL-6539</t>
  </si>
  <si>
    <t>BILL-6540</t>
  </si>
  <si>
    <t>BILL-6541</t>
  </si>
  <si>
    <t>BILL-6542</t>
  </si>
  <si>
    <t>BILL-6543</t>
  </si>
  <si>
    <t>BILL-6544</t>
  </si>
  <si>
    <t>BILL-6545</t>
  </si>
  <si>
    <t>BILL-6546</t>
  </si>
  <si>
    <t>BILL-6454</t>
  </si>
  <si>
    <t>2083/04/11</t>
  </si>
  <si>
    <t>BILL-6547</t>
  </si>
  <si>
    <t>BILL-6548</t>
  </si>
  <si>
    <t>BILL-6549</t>
  </si>
  <si>
    <t>BILL-6550</t>
  </si>
  <si>
    <t>BILL-6551</t>
  </si>
  <si>
    <t>BILL-6552</t>
  </si>
  <si>
    <t>BILL-6553</t>
  </si>
  <si>
    <t>BILL-6554</t>
  </si>
  <si>
    <t>BILL-6555</t>
  </si>
  <si>
    <t>BILL-6556</t>
  </si>
  <si>
    <t>BILL-6557</t>
  </si>
  <si>
    <t>BILL-6558</t>
  </si>
  <si>
    <t>BILL-6559</t>
  </si>
  <si>
    <t>BILL-6560</t>
  </si>
  <si>
    <t>BILL-6561</t>
  </si>
  <si>
    <t>BILL-6562</t>
  </si>
  <si>
    <t>BILL-6563</t>
  </si>
  <si>
    <t>NAWA DURGA -317</t>
  </si>
  <si>
    <t>BILL-6564</t>
  </si>
  <si>
    <t>BILL-6565</t>
  </si>
  <si>
    <t>BILL-6566</t>
  </si>
  <si>
    <t>BILL-6455</t>
  </si>
  <si>
    <t>2083/04/12</t>
  </si>
  <si>
    <t>BILL-6567</t>
  </si>
  <si>
    <t>BILL-6568</t>
  </si>
  <si>
    <t>BILL-6569</t>
  </si>
  <si>
    <t>BILL-6570</t>
  </si>
  <si>
    <t>BILL-6571</t>
  </si>
  <si>
    <t>BILL-6572</t>
  </si>
  <si>
    <t>BILL-6573</t>
  </si>
  <si>
    <t>BILL-6574</t>
  </si>
  <si>
    <t>BILL-6575</t>
  </si>
  <si>
    <t>BILL-6576</t>
  </si>
  <si>
    <t>BILL-6577</t>
  </si>
  <si>
    <t>BILL-6578</t>
  </si>
  <si>
    <t>BILL-6579</t>
  </si>
  <si>
    <t>BILL-6580</t>
  </si>
  <si>
    <t>BILL-6581</t>
  </si>
  <si>
    <t>BILL-6582</t>
  </si>
  <si>
    <t>BILL-6583</t>
  </si>
  <si>
    <t>BILL-6456</t>
  </si>
  <si>
    <t>2083/04/13</t>
  </si>
  <si>
    <t>BILL-6584</t>
  </si>
  <si>
    <t>BILL-6585</t>
  </si>
  <si>
    <t>BILL-6586</t>
  </si>
  <si>
    <t>BILL-6587</t>
  </si>
  <si>
    <t>BILL-6588</t>
  </si>
  <si>
    <t>BILL-6589</t>
  </si>
  <si>
    <t>BILL-6590</t>
  </si>
  <si>
    <t>BILL-6591</t>
  </si>
  <si>
    <t>BILL-6592</t>
  </si>
  <si>
    <t>BILL-6593</t>
  </si>
  <si>
    <t>BILL-6594</t>
  </si>
  <si>
    <t>BILL-6595</t>
  </si>
  <si>
    <t>BILL-6596</t>
  </si>
  <si>
    <t>BILL-6597</t>
  </si>
  <si>
    <t>BILL-6598</t>
  </si>
  <si>
    <t>BILL-6599</t>
  </si>
  <si>
    <t>BILL-6600</t>
  </si>
  <si>
    <t>2083/04/14</t>
  </si>
  <si>
    <t>BILL-6601</t>
  </si>
  <si>
    <t>BILL-6602</t>
  </si>
  <si>
    <t>BILL-6603</t>
  </si>
  <si>
    <t>BILL-6604</t>
  </si>
  <si>
    <t>BILL-6605</t>
  </si>
  <si>
    <t>BILL-6606</t>
  </si>
  <si>
    <t>BILL-6607</t>
  </si>
  <si>
    <t>BILL-6608</t>
  </si>
  <si>
    <t>BILL-6609</t>
  </si>
  <si>
    <t>BILL-6610</t>
  </si>
  <si>
    <t>BILL-6611</t>
  </si>
  <si>
    <t>BILL-6612</t>
  </si>
  <si>
    <t>BILL-6613</t>
  </si>
  <si>
    <t>BILL-6614</t>
  </si>
  <si>
    <t xml:space="preserve">RISHI ARYAL </t>
  </si>
  <si>
    <t>BILL-6615</t>
  </si>
  <si>
    <t>BILL-6616</t>
  </si>
  <si>
    <t>BILL-6617</t>
  </si>
  <si>
    <t>BILL-6618</t>
  </si>
  <si>
    <t>BILL-6619</t>
  </si>
  <si>
    <t>BILL-6620</t>
  </si>
  <si>
    <t>BILL-6621</t>
  </si>
  <si>
    <t>BILL-6668</t>
  </si>
  <si>
    <t>J AND J SISTERS</t>
  </si>
  <si>
    <t>2083/04/15</t>
  </si>
  <si>
    <t>BILL-6622</t>
  </si>
  <si>
    <t>BILL-6623</t>
  </si>
  <si>
    <t>BILL-6624</t>
  </si>
  <si>
    <t>BILL-6625</t>
  </si>
  <si>
    <t>BILL-6626</t>
  </si>
  <si>
    <t>BILL-6627</t>
  </si>
  <si>
    <t>BILL-6628</t>
  </si>
  <si>
    <t>BILL-6629</t>
  </si>
  <si>
    <t>BILL-6630</t>
  </si>
  <si>
    <t>BILL-6631</t>
  </si>
  <si>
    <t>BILL-6632</t>
  </si>
  <si>
    <t>BILL-6633</t>
  </si>
  <si>
    <t>BILL-6634</t>
  </si>
  <si>
    <t>BILL-6635</t>
  </si>
  <si>
    <t>BILL-6636</t>
  </si>
  <si>
    <t>BILL-6637</t>
  </si>
  <si>
    <t>BILL-6638</t>
  </si>
  <si>
    <t>BILL-6639</t>
  </si>
  <si>
    <t>BILL-6640</t>
  </si>
  <si>
    <t>BILL-6459</t>
  </si>
  <si>
    <t>BILL-6460</t>
  </si>
  <si>
    <t>2083/04/16</t>
  </si>
  <si>
    <t>BILL-6641</t>
  </si>
  <si>
    <t>BILL-6642</t>
  </si>
  <si>
    <t>BILL-6643</t>
  </si>
  <si>
    <t>BILL-6644</t>
  </si>
  <si>
    <t>BILL-6645</t>
  </si>
  <si>
    <t>BILL-6646</t>
  </si>
  <si>
    <t>BILL-6647</t>
  </si>
  <si>
    <t>BILL-6648</t>
  </si>
  <si>
    <t>ghee</t>
  </si>
  <si>
    <t>BILL-6650</t>
  </si>
  <si>
    <t>BILL-6651</t>
  </si>
  <si>
    <t>BILL-6652</t>
  </si>
  <si>
    <t>BILL-6653</t>
  </si>
  <si>
    <t>BILL-6654</t>
  </si>
  <si>
    <t>BILL-6655</t>
  </si>
  <si>
    <t>BILL-6656</t>
  </si>
  <si>
    <t>BILL-6657</t>
  </si>
  <si>
    <t>BILL-6658</t>
  </si>
  <si>
    <t>BILL-6659</t>
  </si>
  <si>
    <t>BILL-6660</t>
  </si>
  <si>
    <t>BILL-6661</t>
  </si>
  <si>
    <t>BILL-6662</t>
  </si>
  <si>
    <t>Bill No</t>
  </si>
  <si>
    <t>Supplier Name</t>
  </si>
  <si>
    <t>FAT %</t>
  </si>
  <si>
    <t>SNF %</t>
  </si>
  <si>
    <t>Extra/Unit</t>
  </si>
  <si>
    <t>Rate Type</t>
  </si>
  <si>
    <t>Fixed Rate</t>
  </si>
  <si>
    <t>Rate/Unit</t>
  </si>
  <si>
    <t>Transport</t>
  </si>
  <si>
    <t>S 5956</t>
  </si>
  <si>
    <t>SAI KRIPA KSS LTD</t>
  </si>
  <si>
    <t>FIXED</t>
  </si>
  <si>
    <t>Paneer</t>
  </si>
  <si>
    <t>Cream</t>
  </si>
  <si>
    <t>S 5963</t>
  </si>
  <si>
    <t>Dana</t>
  </si>
  <si>
    <t>BILL-5001</t>
  </si>
  <si>
    <t xml:space="preserve">MODERN AGRO  -315 </t>
  </si>
  <si>
    <t>FORMULA</t>
  </si>
  <si>
    <t>BILL-5002</t>
  </si>
  <si>
    <t>Buffalo Milk</t>
  </si>
  <si>
    <t>BILL-5003</t>
  </si>
  <si>
    <t>BILL-5004</t>
  </si>
  <si>
    <t>PARSURAM THARU -333</t>
  </si>
  <si>
    <t>BILL-5005</t>
  </si>
  <si>
    <t>MINA LAMICHHANE 322</t>
  </si>
  <si>
    <t>BILL-5006</t>
  </si>
  <si>
    <t>BASUDEV DAIRY 316</t>
  </si>
  <si>
    <t>BILL-5007</t>
  </si>
  <si>
    <t>SANA KISAN -311</t>
  </si>
  <si>
    <t>BILL-5008</t>
  </si>
  <si>
    <t>BILL-5009</t>
  </si>
  <si>
    <t>BILL-5010</t>
  </si>
  <si>
    <t>BILL-5011</t>
  </si>
  <si>
    <t>BILL-5012</t>
  </si>
  <si>
    <t>BILL-5013</t>
  </si>
  <si>
    <t>BILL-5014</t>
  </si>
  <si>
    <t>BILL-5015</t>
  </si>
  <si>
    <t>BILL-5016</t>
  </si>
  <si>
    <t>BILL-5017</t>
  </si>
  <si>
    <t>BILL-5018</t>
  </si>
  <si>
    <t>BILL-5019</t>
  </si>
  <si>
    <t>BILL-5020</t>
  </si>
  <si>
    <t>BILL-5021</t>
  </si>
  <si>
    <t>BILL-5022</t>
  </si>
  <si>
    <t>BILL-5023</t>
  </si>
  <si>
    <t>BILL-5024</t>
  </si>
  <si>
    <t>BILL-5025</t>
  </si>
  <si>
    <t>BILL-5026</t>
  </si>
  <si>
    <t>BILL-5027</t>
  </si>
  <si>
    <t>BILL-5028</t>
  </si>
  <si>
    <t>BILL-5029</t>
  </si>
  <si>
    <t>BILL-5030</t>
  </si>
  <si>
    <t>BILL-5031</t>
  </si>
  <si>
    <t>BILL-5032</t>
  </si>
  <si>
    <t>BILL-5033</t>
  </si>
  <si>
    <t>BILL-5034</t>
  </si>
  <si>
    <t>BILL-5035</t>
  </si>
  <si>
    <t>BILL-5036</t>
  </si>
  <si>
    <t>BILL-5037</t>
  </si>
  <si>
    <t>BILL-5038</t>
  </si>
  <si>
    <t>BILL-5039</t>
  </si>
  <si>
    <t>BILL-5040</t>
  </si>
  <si>
    <t>BILL-5041</t>
  </si>
  <si>
    <t>BILL-5042</t>
  </si>
  <si>
    <t>BILL-5043</t>
  </si>
  <si>
    <t>BILL-5044</t>
  </si>
  <si>
    <t>BILL-5045</t>
  </si>
  <si>
    <t>BILL-5046</t>
  </si>
  <si>
    <t>BILL-5047</t>
  </si>
  <si>
    <t>BILL-5048</t>
  </si>
  <si>
    <t>BILL-5049</t>
  </si>
  <si>
    <t>BILL-5050</t>
  </si>
  <si>
    <t>BILL-5051</t>
  </si>
  <si>
    <t>BILL-5052</t>
  </si>
  <si>
    <t>BILL-5053</t>
  </si>
  <si>
    <t>BILL-5054</t>
  </si>
  <si>
    <t>BILL-5055</t>
  </si>
  <si>
    <t>BILL-5056</t>
  </si>
  <si>
    <t>BILL-5057</t>
  </si>
  <si>
    <t>BILL-5058</t>
  </si>
  <si>
    <t>BILL-5059</t>
  </si>
  <si>
    <t>BILL-5060</t>
  </si>
  <si>
    <t>BILL-5061</t>
  </si>
  <si>
    <t>BILL-5062</t>
  </si>
  <si>
    <t>BILL-5063</t>
  </si>
  <si>
    <t>BILL-5064</t>
  </si>
  <si>
    <t>BILL-5065</t>
  </si>
  <si>
    <t>BILL-5066</t>
  </si>
  <si>
    <t>BILL-5067</t>
  </si>
  <si>
    <t>BILL-5068</t>
  </si>
  <si>
    <t>BILL-5069</t>
  </si>
  <si>
    <t>BILL-5070</t>
  </si>
  <si>
    <t>BILL-5071</t>
  </si>
  <si>
    <t>BILL-5072</t>
  </si>
  <si>
    <t>BILL-5073</t>
  </si>
  <si>
    <t>BILL-5074</t>
  </si>
  <si>
    <t>BILL-5075</t>
  </si>
  <si>
    <t>BILL-5076</t>
  </si>
  <si>
    <t>BILL-5077</t>
  </si>
  <si>
    <t>BILL-5078</t>
  </si>
  <si>
    <t>BODESH 310</t>
  </si>
  <si>
    <t>BILL-5079</t>
  </si>
  <si>
    <t>BILL-5080</t>
  </si>
  <si>
    <t>BILL-5081</t>
  </si>
  <si>
    <t>BILL-5082</t>
  </si>
  <si>
    <t>BILL-5083</t>
  </si>
  <si>
    <t>BILL-5084</t>
  </si>
  <si>
    <t>BILL-5085</t>
  </si>
  <si>
    <t>BILL-5086</t>
  </si>
  <si>
    <t>BILL-5087</t>
  </si>
  <si>
    <t>BILL-5088</t>
  </si>
  <si>
    <t>BILL-5089</t>
  </si>
  <si>
    <t>BILL-5090</t>
  </si>
  <si>
    <t>BILL-5091</t>
  </si>
  <si>
    <t>BILL-5092</t>
  </si>
  <si>
    <t>BILL-5093</t>
  </si>
  <si>
    <t>BILL-5094</t>
  </si>
  <si>
    <t>BILL-5095</t>
  </si>
  <si>
    <t>BILL-5096</t>
  </si>
  <si>
    <t>BILL-5097</t>
  </si>
  <si>
    <t>BILL-5098</t>
  </si>
  <si>
    <t>BILL-5099</t>
  </si>
  <si>
    <t>BILL-5100</t>
  </si>
  <si>
    <t>BILL-5101</t>
  </si>
  <si>
    <t>BILL-5102</t>
  </si>
  <si>
    <t>BILL-5103</t>
  </si>
  <si>
    <t>BILL-5104</t>
  </si>
  <si>
    <t>BILL-5105</t>
  </si>
  <si>
    <t>BILL-5106</t>
  </si>
  <si>
    <t>BILL-5107</t>
  </si>
  <si>
    <t>BILL-5108</t>
  </si>
  <si>
    <t>BILL-5109</t>
  </si>
  <si>
    <t>BILL-5110</t>
  </si>
  <si>
    <t>BILL-5111</t>
  </si>
  <si>
    <t>BILL-5112</t>
  </si>
  <si>
    <t>BILL-5113</t>
  </si>
  <si>
    <t>BILL-5114</t>
  </si>
  <si>
    <t>BILL-5115</t>
  </si>
  <si>
    <t>BILL-5116</t>
  </si>
  <si>
    <t>BILL-5117</t>
  </si>
  <si>
    <t>BILL-5118</t>
  </si>
  <si>
    <t>BILL-5119</t>
  </si>
  <si>
    <t>BILL-5120</t>
  </si>
  <si>
    <t>BILL-5121</t>
  </si>
  <si>
    <t>BILL-5122</t>
  </si>
  <si>
    <t>BILL-5123</t>
  </si>
  <si>
    <t>BILL-5124</t>
  </si>
  <si>
    <t>BILL-5125</t>
  </si>
  <si>
    <t>BILL-5126</t>
  </si>
  <si>
    <t>🐄 [Your Dairy Plant Name]   —   💵 Collection — customer payments against invoices</t>
  </si>
  <si>
    <t>Receipt No</t>
  </si>
  <si>
    <t>Customer Name</t>
  </si>
  <si>
    <t>Against Bill</t>
  </si>
  <si>
    <t>Opening Due</t>
  </si>
  <si>
    <t>Collected</t>
  </si>
  <si>
    <t>Paid</t>
  </si>
  <si>
    <t>Closing Due</t>
  </si>
  <si>
    <t>REMARKS</t>
  </si>
  <si>
    <t>2083/03/16</t>
  </si>
  <si>
    <t>SRIJANA DAIRY</t>
  </si>
  <si>
    <t>Collection</t>
  </si>
  <si>
    <t>Cash</t>
  </si>
  <si>
    <t>SOBHA BHATTARAI</t>
  </si>
  <si>
    <t>PALPALI KIRANA</t>
  </si>
  <si>
    <t>AAMOSH KIRANA</t>
  </si>
  <si>
    <t>AAYUSH AND AAYUSHMA</t>
  </si>
  <si>
    <t>YUBARAJ AND SAMRAT</t>
  </si>
  <si>
    <t>SAMIKSHYA KIRANA</t>
  </si>
  <si>
    <t>DEURALI KIRANA</t>
  </si>
  <si>
    <t>GIRI KIRANA</t>
  </si>
  <si>
    <t>BHUSAL JANARAJ STORE</t>
  </si>
  <si>
    <t>2083/03/17</t>
  </si>
  <si>
    <t>2083/03/18</t>
  </si>
  <si>
    <t>2083/03/19</t>
  </si>
  <si>
    <t>2083/03/20</t>
  </si>
  <si>
    <t>2083/03/21</t>
  </si>
  <si>
    <t>SIBHA BHATTARAI</t>
  </si>
  <si>
    <t>2083/03/22</t>
  </si>
  <si>
    <t>2083/03/23</t>
  </si>
  <si>
    <t>2083/03/24</t>
  </si>
  <si>
    <t>2083/03/25</t>
  </si>
  <si>
    <t>2083/03/26</t>
  </si>
  <si>
    <t>DANDA MANI ACHARYA</t>
  </si>
  <si>
    <t>2083/03/27</t>
  </si>
  <si>
    <t>2083/03/28</t>
  </si>
  <si>
    <t>2083/03/29</t>
  </si>
  <si>
    <t>2083/03/30</t>
  </si>
  <si>
    <t>2083/03/31</t>
  </si>
  <si>
    <t>2083/04/01</t>
  </si>
  <si>
    <t>2083/04/02</t>
  </si>
  <si>
    <t>KAMALA THAPA</t>
  </si>
  <si>
    <t>KRITIKA KIRANA</t>
  </si>
  <si>
    <t>2083/04/03</t>
  </si>
  <si>
    <t>2083/04/04</t>
  </si>
  <si>
    <t>2083/04/05</t>
  </si>
  <si>
    <t>2083/04/06</t>
  </si>
  <si>
    <t>2083/04/07</t>
  </si>
  <si>
    <t>NABA RAJ NEPAL</t>
  </si>
  <si>
    <t>TILAK RAYAMAJHI</t>
  </si>
  <si>
    <t>2083/04/08</t>
  </si>
  <si>
    <t>NEHA MISTAN BHANDAR</t>
  </si>
  <si>
    <t>SHANKAR KHAREL</t>
  </si>
  <si>
    <t>QR</t>
  </si>
  <si>
    <t>BY SUSHIL</t>
  </si>
  <si>
    <t>SURYA KC</t>
  </si>
  <si>
    <t>Payment</t>
  </si>
  <si>
    <t>MINA LAMICHHANE</t>
  </si>
  <si>
    <t>OFFICE EXPENSES</t>
  </si>
  <si>
    <t>NAR BAHADUR RANA (DRIVER)</t>
  </si>
  <si>
    <t>Advance</t>
  </si>
  <si>
    <t>RISHI ARYAL</t>
  </si>
  <si>
    <t xml:space="preserve">NABARAJ UPADHYA </t>
  </si>
  <si>
    <t>SMP + WOOD</t>
  </si>
  <si>
    <t xml:space="preserve">J AND J SISTERS </t>
  </si>
  <si>
    <t>Foods</t>
  </si>
  <si>
    <t>by sushil</t>
  </si>
  <si>
    <t>2083/04/17</t>
  </si>
  <si>
    <t>BREAK OIL</t>
  </si>
  <si>
    <t>RIKSHAW FARE</t>
  </si>
  <si>
    <t>TOTAL</t>
  </si>
  <si>
    <t>CASH DEMONSTRATION  —  physical cash, collections &amp; deposits</t>
  </si>
  <si>
    <t>1000</t>
  </si>
  <si>
    <t>500</t>
  </si>
  <si>
    <t>100</t>
  </si>
  <si>
    <t>50</t>
  </si>
  <si>
    <t>20</t>
  </si>
  <si>
    <t>10</t>
  </si>
  <si>
    <t>5</t>
  </si>
  <si>
    <t>2</t>
  </si>
  <si>
    <t>1</t>
  </si>
  <si>
    <t>Other</t>
  </si>
  <si>
    <t>Amount (Rs)</t>
  </si>
  <si>
    <t>Collections (auto)</t>
  </si>
  <si>
    <t>Short / (Over)</t>
  </si>
  <si>
    <t>🐄 [Your Dairy Plant Name]   —   📒 Daybook — daily cash/bank register (Debit=outflow, Credit=inflow)</t>
  </si>
  <si>
    <t>Particulars</t>
  </si>
  <si>
    <t>Voucher Type</t>
  </si>
  <si>
    <t>Reference</t>
  </si>
  <si>
    <t>Balance</t>
  </si>
  <si>
    <t>Narration</t>
  </si>
  <si>
    <t>Opening Balance</t>
  </si>
  <si>
    <t>Opening</t>
  </si>
  <si>
    <t>Opening balance</t>
  </si>
  <si>
    <t>Sale</t>
  </si>
  <si>
    <t>Daily sales</t>
  </si>
  <si>
    <t>Purchase</t>
  </si>
  <si>
    <t>Daily purchases</t>
  </si>
  <si>
    <t>🐄 [Your Dairy Plant Name]   —   👥 Party Master — Customers &amp; Suppliers</t>
  </si>
  <si>
    <t>Phone</t>
  </si>
  <si>
    <t>Address</t>
  </si>
  <si>
    <t>Total Sales/Dr</t>
  </si>
  <si>
    <t>Total Recd/Cr</t>
  </si>
  <si>
    <t>Running Balance</t>
  </si>
  <si>
    <t>Customer</t>
  </si>
  <si>
    <t>AAYUSH AAYUSHMA</t>
  </si>
  <si>
    <t>DANDA PANI ACHARYA</t>
  </si>
  <si>
    <t>NAR BAHADUR RANA</t>
  </si>
  <si>
    <t>SAMIKSHYA</t>
  </si>
  <si>
    <t>9768833553/9847046826</t>
  </si>
  <si>
    <t>Supplier</t>
  </si>
  <si>
    <t>MODERN AGRO  -315</t>
  </si>
  <si>
    <t>LUSCAN</t>
  </si>
  <si>
    <t>🐄 [Your Dairy Plant Name]   —   📊 Party Ledger — per-party running transactions</t>
  </si>
  <si>
    <t>Txn Type</t>
  </si>
  <si>
    <t>Description</t>
  </si>
  <si>
    <t>Debit</t>
  </si>
  <si>
    <t>MatchIdx</t>
  </si>
  <si>
    <t>PARTY LEDGER STATEMENT</t>
  </si>
  <si>
    <t>One</t>
  </si>
  <si>
    <t>Twenty</t>
  </si>
  <si>
    <t>Two</t>
  </si>
  <si>
    <t>Thirty</t>
  </si>
  <si>
    <t>Select Party ►</t>
  </si>
  <si>
    <t>Opening (b/f):</t>
  </si>
  <si>
    <t>Three</t>
  </si>
  <si>
    <t>Forty</t>
  </si>
  <si>
    <t>Period Debit:</t>
  </si>
  <si>
    <t>Four</t>
  </si>
  <si>
    <t>Fifty</t>
  </si>
  <si>
    <t>Period Credit:</t>
  </si>
  <si>
    <t>Five</t>
  </si>
  <si>
    <t>Sixty</t>
  </si>
  <si>
    <t>Closing Balance:</t>
  </si>
  <si>
    <t>Six</t>
  </si>
  <si>
    <t>Seventy</t>
  </si>
  <si>
    <t>Status:</t>
  </si>
  <si>
    <t>Seven</t>
  </si>
  <si>
    <t>Eighty</t>
  </si>
  <si>
    <t>Eight</t>
  </si>
  <si>
    <t>Ninety</t>
  </si>
  <si>
    <t>Nine</t>
  </si>
  <si>
    <t>Opening Balance (brought forward)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</si>
  <si>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</si>
  <si>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</si>
  <si>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</si>
  <si>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</si>
  <si>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</si>
  <si>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</si>
  <si>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</si>
  <si>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</si>
  <si>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</si>
  <si>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</si>
  <si>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Amount in Words ►</t>
  </si>
  <si>
    <t>🐄 [Your Dairy Plant Name]   —   📋 Stock Master — auto-updates from Sales &amp; Purchase entries</t>
  </si>
  <si>
    <t>Product Name</t>
  </si>
  <si>
    <t>Unit</t>
  </si>
  <si>
    <t>Opening Stock</t>
  </si>
  <si>
    <t>Purchases In</t>
  </si>
  <si>
    <t>Sales Out</t>
  </si>
  <si>
    <t>Current Stock</t>
  </si>
  <si>
    <t>Reorder Level</t>
  </si>
  <si>
    <t>Rate (Rs)</t>
  </si>
  <si>
    <t>Liter</t>
  </si>
  <si>
    <t>Kg</t>
  </si>
  <si>
    <t>TOTAL STOCK VALUE ►</t>
  </si>
  <si>
    <t>STOCK MOVEMENT &amp; VALUATION REPORT</t>
  </si>
  <si>
    <t>Total Closing Value:</t>
  </si>
  <si>
    <t>Low Stock Items:</t>
  </si>
  <si>
    <t>Closing Stock</t>
  </si>
  <si>
    <t>Closing Value</t>
  </si>
  <si>
    <t>💡 Change From/To Date above — opening stock carries forward automatically. Ctrl+P to print.</t>
  </si>
  <si>
    <t>Opening Stock = master opening + all purchases − all sales BEFORE the From Date.</t>
  </si>
  <si>
    <t>Authorized Signature</t>
  </si>
  <si>
    <t>BANK DEPOSIT REGISTER — daily cash note-count record</t>
  </si>
  <si>
    <t>Total Deposited (period):</t>
  </si>
  <si>
    <t>Total (Rs)</t>
  </si>
  <si>
    <t>Bank/A-C/TO WHOM</t>
  </si>
  <si>
    <t>Slip No</t>
  </si>
  <si>
    <t>GRAND TOTAL ►</t>
  </si>
  <si>
    <t>💡 Each row = one day. Type the DATE, then the COUNT of each note/coin in the amber cells. Total (Rs) calculates automatically.</t>
  </si>
  <si>
    <t>💡 Column headers 1000,500,... = note/coin value. Fill Bank/A-C, Slip No &amp; Remarks for your record.</t>
  </si>
  <si>
    <t>💡 Set From/To Date at top to see the Total Deposited for any period (top-right).</t>
  </si>
  <si>
    <t>TAX INVOICE</t>
  </si>
  <si>
    <t>Invoice No:</t>
  </si>
  <si>
    <t>Customer:</t>
  </si>
  <si>
    <t>Date:</t>
  </si>
  <si>
    <t>[Customer Name]</t>
  </si>
  <si>
    <t>[Address]</t>
  </si>
  <si>
    <t>[Phone]</t>
  </si>
  <si>
    <t>#</t>
  </si>
  <si>
    <t>Net</t>
  </si>
  <si>
    <t>Grand Total:</t>
  </si>
  <si>
    <t>Amount in Words: [Rupees ________________________]</t>
  </si>
  <si>
    <t>Terms: Goods once sold not returnable. Payment due within 15 days.</t>
  </si>
  <si>
    <t>🐄 [Your Dairy Plant Name]   —   ⚙️ Settings &amp; Master Data — edit lists here to update all dropdowns</t>
  </si>
  <si>
    <t>🏢 BUSINESS INFORMATION</t>
  </si>
  <si>
    <t>Business Name:</t>
  </si>
  <si>
    <t>PRARAMBHA DAIRY</t>
  </si>
  <si>
    <t>Address Line 1:</t>
  </si>
  <si>
    <t>Address Line 2:</t>
  </si>
  <si>
    <t>[City, District]</t>
  </si>
  <si>
    <t>Phone:</t>
  </si>
  <si>
    <t>[Phone Number]</t>
  </si>
  <si>
    <t>Email:</t>
  </si>
  <si>
    <t>[Email Address]</t>
  </si>
  <si>
    <t>PAN / VAT No:</t>
  </si>
  <si>
    <t>[PAN Number]</t>
  </si>
  <si>
    <t>Registration No:</t>
  </si>
  <si>
    <t>[Registration No]</t>
  </si>
  <si>
    <t>Currency:</t>
  </si>
  <si>
    <t>NPR (Rs.)</t>
  </si>
  <si>
    <t>📋 MASTER LISTS (add rows below each column to expand dropdowns)</t>
  </si>
  <si>
    <t>Units</t>
  </si>
  <si>
    <t>PayModes</t>
  </si>
  <si>
    <t>TxnTypes</t>
  </si>
  <si>
    <t>Products</t>
  </si>
  <si>
    <t>Statuses</t>
  </si>
  <si>
    <t>PartyTypes</t>
  </si>
  <si>
    <t>RateTypes</t>
  </si>
  <si>
    <t>Raw Milk</t>
  </si>
  <si>
    <t>Gram</t>
  </si>
  <si>
    <t>Bank Transfer</t>
  </si>
  <si>
    <t>Receipt</t>
  </si>
  <si>
    <t>Partial</t>
  </si>
  <si>
    <t>Both</t>
  </si>
  <si>
    <t>Piece</t>
  </si>
  <si>
    <t>Curd (Dahi)</t>
  </si>
  <si>
    <t>Pending</t>
  </si>
  <si>
    <t>Packet</t>
  </si>
  <si>
    <t>Cheque</t>
  </si>
  <si>
    <t>Processed</t>
  </si>
  <si>
    <t>Box</t>
  </si>
  <si>
    <t>Card</t>
  </si>
  <si>
    <t>Adjustment</t>
  </si>
  <si>
    <t>Cancelled</t>
  </si>
  <si>
    <t>Carton</t>
  </si>
  <si>
    <t>Online</t>
  </si>
  <si>
    <t>Credit Note</t>
  </si>
  <si>
    <t>Butter</t>
  </si>
  <si>
    <t>Tin</t>
  </si>
  <si>
    <t>Debit Note</t>
  </si>
  <si>
    <t>Buttermilk</t>
  </si>
  <si>
    <t>🧮 MILK PRICING CONSTANTS</t>
  </si>
  <si>
    <t>FAT Rate Multiplier:</t>
  </si>
  <si>
    <t>SNF Rate Multiplier:</t>
  </si>
  <si>
    <t>Formula:</t>
  </si>
  <si>
    <t>Rate = (FAT% × 7.15) + (SNF% × 4.55) + Extra Per Unit</t>
  </si>
  <si>
    <t>📘 USER GUIDE — Read this first!  How to use this Dairy Accounting workbook</t>
  </si>
  <si>
    <t>🎨 COLOR GUIDE — how to know where to type</t>
  </si>
  <si>
    <t>AMBER / YELLOW cells</t>
  </si>
  <si>
    <t>👉 TYPE HERE. These are input cells — enter your data (dates, names, amounts, counts).</t>
  </si>
  <si>
    <t>GREEN cells</t>
  </si>
  <si>
    <t>Dropdown or result cell. Pick from list, or it shows an auto-calculated answer.</t>
  </si>
  <si>
    <t>WHITE cells with formulas</t>
  </si>
  <si>
    <t>⛔ DO NOT TYPE. These calculate automatically. Typing here breaks the math.</t>
  </si>
  <si>
    <t>DARK BLUE header / total rows</t>
  </si>
  <si>
    <t>Titles &amp; totals. Never edit — they are automatic.</t>
  </si>
  <si>
    <t>⭐ GOLDEN RULES (very important)</t>
  </si>
  <si>
    <t>1. You only need to type in TWO main sheets every day: SALES_ENTRY and PURCHASE_ENTRY. Almost everything else fills itself.</t>
  </si>
  <si>
    <t>2. Only type in AMBER cells. Leave WHITE formula cells alone — they auto-calculate.</t>
  </si>
  <si>
    <t>3. Dates use the Nepali BS calendar (e.g. 2083-03-16). Type the full date; it shows as 16-Mar-2083.</t>
  </si>
  <si>
    <t>4. When you finish typing, save the file. Reports (Party Statement, P&amp;L, Stock) update automatically.</t>
  </si>
  <si>
    <t>5. If a report looks blank, press F9 (or Fn+F9 on Mac) to recalculate, or reopen the file.</t>
  </si>
  <si>
    <t>📋 EVERY SHEET EXPLAINED — what it is for &amp; can you edit it?</t>
  </si>
  <si>
    <t>Sheet Name</t>
  </si>
  <si>
    <t>Type here?</t>
  </si>
  <si>
    <t>What it does</t>
  </si>
  <si>
    <t>How to use it</t>
  </si>
  <si>
    <t>Dashboard</t>
  </si>
  <si>
    <t>⛔ NO (auto)</t>
  </si>
  <si>
    <t>Business snapshot — key numbers &amp; charts.</t>
  </si>
  <si>
    <t>Just look. Everything here is automatic.</t>
  </si>
  <si>
    <t>Profit_Loss</t>
  </si>
  <si>
    <t>✏️ Partly</t>
  </si>
  <si>
    <t>Profit &amp; Loss for any period.</t>
  </si>
  <si>
    <t>Only change the From/To Date (amber). Rest is automatic.</t>
  </si>
  <si>
    <t>Receivable_Payable</t>
  </si>
  <si>
    <t>Who owes you &amp; whom you owe, for a period.</t>
  </si>
  <si>
    <t>Only change From/To Date (amber). Balances auto-calc.</t>
  </si>
  <si>
    <t>Sales_Entry</t>
  </si>
  <si>
    <t>✅ YES</t>
  </si>
  <si>
    <t>Record every sale (milk, ghee, etc.).</t>
  </si>
  <si>
    <t>TYPE each sale: Date, Invoice, Party, Product, Qty, Rate. Amount auto-calcs.</t>
  </si>
  <si>
    <t>Purchase_Entry</t>
  </si>
  <si>
    <t>Record every milk/material purchase.</t>
  </si>
  <si>
    <t>TYPE each bill: Date, Bill No, Supplier, Product, FAT, SNF, Qty. Rate auto-calcs.</t>
  </si>
  <si>
    <t>Record customer payments received.</t>
  </si>
  <si>
    <t>TYPE: Date, Receipt No, Customer, Amount collected, Payment mode.</t>
  </si>
  <si>
    <t>Cash_Deposit</t>
  </si>
  <si>
    <t>Daily bank deposit note-count register.</t>
  </si>
  <si>
    <t>TYPE the Date + count of each note/coin. Total auto-calcs. Keeps full history.</t>
  </si>
  <si>
    <t>Daybook</t>
  </si>
  <si>
    <t>Daily cash/bank in-out register.</t>
  </si>
  <si>
    <t>TYPE cash movements. Or leave the auto daily totals as they are.</t>
  </si>
  <si>
    <t>Party_Master</t>
  </si>
  <si>
    <t>List of all customers &amp; suppliers.</t>
  </si>
  <si>
    <t>TYPE new party: Name, Type, Phone, Opening Balance. Balances auto-pull.</t>
  </si>
  <si>
    <t>Party_Ledger</t>
  </si>
  <si>
    <t>Every transaction per party w/ running balance.</t>
  </si>
  <si>
    <t>Auto-built from Sales, Purchase &amp; Cash sheets. Do not type here.</t>
  </si>
  <si>
    <t>Party_Statement</t>
  </si>
  <si>
    <t>Printable statement for one party.</t>
  </si>
  <si>
    <t>Pick Party (green dropdown) + From/To Date. Details fill automatically. Ctrl+P to print.</t>
  </si>
  <si>
    <t>Stock_Master</t>
  </si>
  <si>
    <t>Product list + opening stock &amp; rate.</t>
  </si>
  <si>
    <t>TYPE product, opening stock, rate. In/Out auto-pull from Sales &amp; Purchase.</t>
  </si>
  <si>
    <t>Stock_Statement</t>
  </si>
  <si>
    <t>Stock movement &amp; value for a period.</t>
  </si>
  <si>
    <t>Only change From/To Date (amber). Stock auto-calcs. Ctrl+P to print.</t>
  </si>
  <si>
    <t>Printable_Invoice</t>
  </si>
  <si>
    <t>Make a customer bill to print.</t>
  </si>
  <si>
    <t>TYPE customer + items. Ctrl+P or Save as PDF.</t>
  </si>
  <si>
    <t>Settings</t>
  </si>
  <si>
    <t>Business name, phone, PAN, master lists, milk rates.</t>
  </si>
  <si>
    <t>TYPE your business info &amp; lists here ONCE. Feeds all sheets &amp; dropdowns.</t>
  </si>
  <si>
    <t>README</t>
  </si>
  <si>
    <t>This guide.</t>
  </si>
  <si>
    <t>Just read.</t>
  </si>
  <si>
    <t>🗓️ YOUR SIMPLE DAILY ROUTINE</t>
  </si>
  <si>
    <t>STEP 1 — Open SALES_ENTRY. Add a row for every sale today (date, party, product, qty, rate).</t>
  </si>
  <si>
    <t>STEP 2 — Open PURCHASE_ENTRY. Add a row for every milk purchase (date, supplier, FAT, SNF, qty).</t>
  </si>
  <si>
    <t>STEP 3 — Open CASH_COLLECTION. Record any payments customers gave you today.</t>
  </si>
  <si>
    <t>STEP 4 — Open CASH_DEPOSIT. Count your notes/coins and type the counts before going to the bank.</t>
  </si>
  <si>
    <t>STEP 5 — Save the file. Done! Party Ledger, P&amp;L, Stock, Receivable/Payable all update by themselves.</t>
  </si>
  <si>
    <t>ANYTIME — To print a party statement: Party_Statement → pick party + dates → Ctrl+P.</t>
  </si>
  <si>
    <t>💡 HELPFUL TIPS</t>
  </si>
  <si>
    <t>•  Milk rate formula: (FAT × 7.15) + (SNF × 4.55) + Extra. Change these numbers in the SETTINGS sheet.</t>
  </si>
  <si>
    <t>•  Set the milk rate type per purchase: FORMULA (by FAT/SNF) or FIXED (a set price) in Purchase_Entry.</t>
  </si>
  <si>
    <t>•  All date-range reports need dates in BS format, e.g. 2083-03-20.</t>
  </si>
  <si>
    <t>•  Green dropdown cells: click the small arrow to pick from a list — do not type manually.</t>
  </si>
  <si>
    <t>•  Never delete columns or rows in the auto sheets (Party_Ledger, Dashboard) — it breaks formulas.</t>
  </si>
  <si>
    <t>•  Back up: keep a copy of this file each month (File → Save a Copy).</t>
  </si>
  <si>
    <t>LILA SIR</t>
  </si>
  <si>
    <t>SUSHIL</t>
  </si>
  <si>
    <t>KESHAB</t>
  </si>
  <si>
    <t>DISEL</t>
  </si>
  <si>
    <t>DIPAK NEPAL</t>
  </si>
  <si>
    <t>ADVANCE RETURNED</t>
  </si>
  <si>
    <t xml:space="preserve">giri store, dipak phone, rikshaw </t>
  </si>
  <si>
    <t>disel</t>
  </si>
  <si>
    <t>SUSHIL QR</t>
  </si>
  <si>
    <t>FOODS</t>
  </si>
  <si>
    <t>RIKSHAW 500+400, FOOD 200, CLEANING600</t>
  </si>
  <si>
    <t>SARASWATI 15 SALARY SRAWAN</t>
  </si>
  <si>
    <t>DIPAK 15 SALAY SRAWAN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</si>
</sst>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&quot;Rs.&quot;\ * #,##0.00_-;\-&quot;Rs.&quot;\ * #,##0.00_-;_-&quot;Rs.&quot;\ * &quot;-&quot;_-"/>
    <numFmt numFmtId="165" formatCode="0.0%"/>
    <numFmt numFmtId="166" formatCode="0.0&quot;%&quot;"/>
    <numFmt numFmtId="167" formatCode="yyyy/mm/dd"/>
    <numFmt numFmtId="168" formatCode="#,##0.00;[Red]\-#,##0.00"/>
  </numFmts>
  <fonts count="71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4"/>
      <color rgb="FF1F3864"/>
      <name val="Calibri"/>
      <family val="2"/>
    </font>
    <font>
      <b/>
      <sz val="13"/>
      <color rgb="FF375623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1F3864"/>
      <name val="Calibri"/>
      <family val="2"/>
    </font>
    <font>
      <b/>
      <sz val="10"/>
      <color rgb="FF808080"/>
      <name val="Calibri"/>
      <family val="2"/>
    </font>
    <font>
      <b/>
      <sz val="12"/>
      <color rgb="FFFFFFFF"/>
      <name val="Calibri"/>
      <family val="2"/>
    </font>
    <font>
      <b/>
      <sz val="12"/>
      <color rgb="FF375623"/>
      <name val="Calibri"/>
      <family val="2"/>
    </font>
    <font>
      <b/>
      <sz val="10"/>
      <color rgb="FF375623"/>
      <name val="Calibri"/>
      <family val="2"/>
    </font>
    <font>
      <b/>
      <sz val="10"/>
      <color rgb="FF1F3864"/>
      <name val="Calibri"/>
      <family val="2"/>
    </font>
    <font>
      <b/>
      <sz val="9"/>
      <color rgb="FF808080"/>
      <name val="Calibri"/>
      <family val="2"/>
    </font>
    <font>
      <b/>
      <sz val="9"/>
      <color rgb="FF2E5496"/>
      <name val="Calibri"/>
      <family val="2"/>
    </font>
    <font>
      <b/>
      <sz val="11"/>
      <color rgb="FF375623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theme="0"/>
      <name val="Calibri"/>
      <family val="2"/>
      <scheme val="minor"/>
    </font>
    <font>
      <b/>
      <sz val="9"/>
      <color rgb="FF808080"/>
      <name val="Calibri"/>
      <family val="2"/>
    </font>
    <font>
      <sz val="10"/>
      <color rgb="FF000000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0"/>
      <color rgb="FF808080"/>
      <name val="Calibri"/>
      <family val="2"/>
    </font>
    <font>
      <b/>
      <sz val="11"/>
      <color rgb="FFC0392B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000000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FFFFFF"/>
      <name val="Calibri"/>
      <family val="2"/>
    </font>
    <font>
      <b/>
      <sz val="9"/>
      <color rgb="FFFFFFFF"/>
      <name val="Calibri"/>
      <family val="2"/>
    </font>
    <font>
      <b/>
      <sz val="12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8"/>
      <color rgb="FF1F3864"/>
      <name val="Calibri"/>
      <family val="2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0"/>
      <color rgb="FF808080"/>
      <name val="Calibri"/>
      <family val="2"/>
    </font>
    <font>
      <b/>
      <sz val="10"/>
      <color rgb="FFB45309"/>
      <name val="Calibri"/>
      <family val="2"/>
    </font>
    <font>
      <b/>
      <sz val="10"/>
      <color rgb="FF2E7D32"/>
      <name val="Calibri"/>
      <family val="2"/>
    </font>
    <font>
      <b/>
      <sz val="12"/>
      <color rgb="FF2E7D32"/>
      <name val="Calibri"/>
      <family val="2"/>
    </font>
    <font>
      <b/>
      <sz val="12"/>
      <color rgb="FF2E75B6"/>
      <name val="Calibri"/>
      <family val="2"/>
    </font>
    <font>
      <b/>
      <sz val="11"/>
      <color rgb="FF1F3864"/>
      <name val="Calibri"/>
      <family val="2"/>
    </font>
    <font>
      <b/>
      <sz val="11"/>
      <color rgb="FF2E7D32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1F4E78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00000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FFF2CC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2" fillId="0" borderId="0" xfId="0" applyFont="1"/>
    <xf numFmtId="164" fontId="9" fillId="0" borderId="0" xfId="0" applyNumberFormat="1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3" borderId="0" xfId="0" applyFont="1" applyFill="1"/>
    <xf numFmtId="164" fontId="0" fillId="0" borderId="0" xfId="0" applyNumberFormat="1"/>
    <xf numFmtId="0" fontId="15" fillId="0" borderId="0" xfId="0" applyFont="1"/>
    <xf numFmtId="0" fontId="16" fillId="7" borderId="0" xfId="0" applyFont="1" applyFill="1"/>
    <xf numFmtId="0" fontId="0" fillId="7" borderId="0" xfId="0" applyFill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/>
    </xf>
    <xf numFmtId="0" fontId="16" fillId="8" borderId="0" xfId="0" applyFont="1" applyFill="1"/>
    <xf numFmtId="0" fontId="0" fillId="8" borderId="0" xfId="0" applyFill="1"/>
    <xf numFmtId="0" fontId="1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164" fontId="3" fillId="5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164" fontId="3" fillId="4" borderId="1" xfId="0" applyNumberFormat="1" applyFont="1" applyFill="1" applyBorder="1" applyAlignment="1">
      <alignment horizontal="right" vertical="center"/>
    </xf>
    <xf numFmtId="0" fontId="16" fillId="9" borderId="0" xfId="0" applyFont="1" applyFill="1"/>
    <xf numFmtId="0" fontId="0" fillId="9" borderId="0" xfId="0" applyFill="1"/>
    <xf numFmtId="0" fontId="14" fillId="10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164" fontId="3" fillId="10" borderId="1" xfId="0" applyNumberFormat="1" applyFont="1" applyFill="1" applyBorder="1" applyAlignment="1">
      <alignment horizontal="right" vertical="center"/>
    </xf>
    <xf numFmtId="0" fontId="1" fillId="2" borderId="0" xfId="0" applyFont="1" applyFill="1"/>
    <xf numFmtId="0" fontId="0" fillId="2" borderId="0" xfId="0" applyFill="1"/>
    <xf numFmtId="164" fontId="11" fillId="2" borderId="0" xfId="0" applyNumberFormat="1" applyFont="1" applyFill="1" applyAlignment="1">
      <alignment horizontal="right" vertical="center"/>
    </xf>
    <xf numFmtId="0" fontId="3" fillId="0" borderId="0" xfId="0" applyFont="1"/>
    <xf numFmtId="0" fontId="12" fillId="0" borderId="0" xfId="0" applyFont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164" fontId="0" fillId="0" borderId="1" xfId="0" applyNumberFormat="1" applyBorder="1"/>
    <xf numFmtId="0" fontId="14" fillId="0" borderId="0" xfId="0" applyFont="1"/>
    <xf numFmtId="0" fontId="14" fillId="0" borderId="1" xfId="0" applyFont="1" applyBorder="1"/>
    <xf numFmtId="164" fontId="14" fillId="0" borderId="1" xfId="0" applyNumberFormat="1" applyFont="1" applyBorder="1"/>
    <xf numFmtId="0" fontId="18" fillId="0" borderId="1" xfId="0" applyFont="1" applyBorder="1"/>
    <xf numFmtId="0" fontId="0" fillId="11" borderId="1" xfId="0" applyFill="1" applyBorder="1"/>
    <xf numFmtId="0" fontId="19" fillId="11" borderId="1" xfId="0" applyFont="1" applyFill="1" applyBorder="1"/>
    <xf numFmtId="164" fontId="19" fillId="11" borderId="1" xfId="0" applyNumberFormat="1" applyFont="1" applyFill="1" applyBorder="1"/>
    <xf numFmtId="0" fontId="20" fillId="0" borderId="0" xfId="0" applyFont="1"/>
    <xf numFmtId="0" fontId="21" fillId="0" borderId="0" xfId="0" applyFont="1"/>
    <xf numFmtId="0" fontId="13" fillId="0" borderId="0" xfId="0" applyFont="1"/>
    <xf numFmtId="164" fontId="22" fillId="0" borderId="0" xfId="0" applyNumberFormat="1" applyFont="1"/>
    <xf numFmtId="1" fontId="23" fillId="0" borderId="0" xfId="0" applyNumberFormat="1" applyFont="1"/>
    <xf numFmtId="4" fontId="5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2" fillId="0" borderId="0" xfId="0" applyFont="1"/>
    <xf numFmtId="164" fontId="2" fillId="0" borderId="0" xfId="0" applyNumberFormat="1" applyFont="1"/>
    <xf numFmtId="0" fontId="4" fillId="0" borderId="0" xfId="0" applyFont="1"/>
    <xf numFmtId="0" fontId="0" fillId="0" borderId="1" xfId="0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2" fontId="25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4" fontId="25" fillId="0" borderId="1" xfId="0" applyNumberFormat="1" applyFont="1" applyBorder="1" applyAlignment="1">
      <alignment horizontal="center" vertical="center" wrapText="1"/>
    </xf>
    <xf numFmtId="0" fontId="24" fillId="0" borderId="0" xfId="0" applyFont="1"/>
    <xf numFmtId="0" fontId="26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4" fontId="26" fillId="0" borderId="1" xfId="0" applyNumberFormat="1" applyFont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/>
    </xf>
    <xf numFmtId="0" fontId="28" fillId="0" borderId="0" xfId="0" applyFont="1"/>
    <xf numFmtId="0" fontId="29" fillId="0" borderId="2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164" fontId="29" fillId="0" borderId="2" xfId="0" applyNumberFormat="1" applyFont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left" vertical="center"/>
    </xf>
    <xf numFmtId="164" fontId="29" fillId="13" borderId="2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4" fontId="6" fillId="0" borderId="2" xfId="0" applyNumberFormat="1" applyFont="1" applyBorder="1" applyAlignment="1">
      <alignment horizontal="center" vertical="center" wrapText="1"/>
    </xf>
    <xf numFmtId="0" fontId="32" fillId="0" borderId="0" xfId="0" applyFont="1"/>
    <xf numFmtId="0" fontId="33" fillId="14" borderId="3" xfId="0" applyFont="1" applyFill="1" applyBorder="1" applyAlignment="1">
      <alignment horizontal="center" vertical="center"/>
    </xf>
    <xf numFmtId="0" fontId="37" fillId="0" borderId="0" xfId="0" applyFont="1"/>
    <xf numFmtId="0" fontId="38" fillId="0" borderId="0" xfId="0" applyFont="1"/>
    <xf numFmtId="0" fontId="39" fillId="0" borderId="0" xfId="0" applyFont="1"/>
    <xf numFmtId="0" fontId="34" fillId="0" borderId="0" xfId="0" applyFont="1"/>
    <xf numFmtId="164" fontId="36" fillId="0" borderId="0" xfId="0" applyNumberFormat="1" applyFont="1"/>
    <xf numFmtId="164" fontId="40" fillId="0" borderId="0" xfId="0" applyNumberFormat="1" applyFont="1"/>
    <xf numFmtId="0" fontId="35" fillId="0" borderId="3" xfId="0" applyFont="1" applyBorder="1" applyAlignment="1">
      <alignment horizontal="left" vertical="center"/>
    </xf>
    <xf numFmtId="0" fontId="35" fillId="0" borderId="3" xfId="0" applyFont="1" applyBorder="1" applyAlignment="1">
      <alignment horizontal="center" vertical="center"/>
    </xf>
    <xf numFmtId="16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35" fillId="16" borderId="3" xfId="0" applyFont="1" applyFill="1" applyBorder="1" applyAlignment="1">
      <alignment horizontal="left" vertical="center"/>
    </xf>
    <xf numFmtId="0" fontId="35" fillId="16" borderId="3" xfId="0" applyFont="1" applyFill="1" applyBorder="1" applyAlignment="1">
      <alignment horizontal="center" vertical="center"/>
    </xf>
    <xf numFmtId="164" fontId="0" fillId="16" borderId="3" xfId="0" applyNumberFormat="1" applyFill="1" applyBorder="1" applyAlignment="1">
      <alignment horizontal="right" vertical="center"/>
    </xf>
    <xf numFmtId="0" fontId="0" fillId="16" borderId="3" xfId="0" applyFill="1" applyBorder="1" applyAlignment="1">
      <alignment horizontal="center" vertical="center"/>
    </xf>
    <xf numFmtId="0" fontId="33" fillId="14" borderId="3" xfId="0" applyFont="1" applyFill="1" applyBorder="1" applyAlignment="1">
      <alignment horizontal="right" vertical="center"/>
    </xf>
    <xf numFmtId="0" fontId="0" fillId="14" borderId="3" xfId="0" applyFill="1" applyBorder="1"/>
    <xf numFmtId="164" fontId="33" fillId="14" borderId="3" xfId="0" applyNumberFormat="1" applyFont="1" applyFill="1" applyBorder="1" applyAlignment="1">
      <alignment horizontal="right" vertical="center"/>
    </xf>
    <xf numFmtId="0" fontId="43" fillId="0" borderId="0" xfId="0" applyFont="1"/>
    <xf numFmtId="0" fontId="45" fillId="17" borderId="4" xfId="0" applyFont="1" applyFill="1" applyBorder="1" applyAlignment="1">
      <alignment horizontal="center" vertical="center"/>
    </xf>
    <xf numFmtId="0" fontId="46" fillId="18" borderId="4" xfId="0" applyFont="1" applyFill="1" applyBorder="1" applyAlignment="1">
      <alignment horizontal="center" vertical="center"/>
    </xf>
    <xf numFmtId="164" fontId="47" fillId="0" borderId="4" xfId="0" applyNumberFormat="1" applyFont="1" applyBorder="1" applyAlignment="1">
      <alignment horizontal="right" vertical="center"/>
    </xf>
    <xf numFmtId="0" fontId="46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left" vertical="center"/>
    </xf>
    <xf numFmtId="164" fontId="47" fillId="19" borderId="4" xfId="0" applyNumberFormat="1" applyFont="1" applyFill="1" applyBorder="1" applyAlignment="1">
      <alignment horizontal="right" vertical="center"/>
    </xf>
    <xf numFmtId="0" fontId="46" fillId="19" borderId="4" xfId="0" applyFont="1" applyFill="1" applyBorder="1" applyAlignment="1">
      <alignment horizontal="center" vertical="center"/>
    </xf>
    <xf numFmtId="0" fontId="46" fillId="19" borderId="4" xfId="0" applyFont="1" applyFill="1" applyBorder="1" applyAlignment="1">
      <alignment horizontal="left" vertical="center"/>
    </xf>
    <xf numFmtId="3" fontId="49" fillId="17" borderId="4" xfId="0" applyNumberFormat="1" applyFont="1" applyFill="1" applyBorder="1" applyAlignment="1">
      <alignment horizontal="center" vertical="center"/>
    </xf>
    <xf numFmtId="164" fontId="48" fillId="17" borderId="4" xfId="0" applyNumberFormat="1" applyFont="1" applyFill="1" applyBorder="1" applyAlignment="1">
      <alignment horizontal="right" vertical="center"/>
    </xf>
    <xf numFmtId="0" fontId="0" fillId="17" borderId="4" xfId="0" applyFill="1" applyBorder="1"/>
    <xf numFmtId="0" fontId="51" fillId="0" borderId="0" xfId="0" applyFont="1"/>
    <xf numFmtId="0" fontId="52" fillId="0" borderId="0" xfId="0" applyFont="1"/>
    <xf numFmtId="0" fontId="7" fillId="17" borderId="4" xfId="0" applyFont="1" applyFill="1" applyBorder="1" applyAlignment="1">
      <alignment horizontal="center" vertical="center"/>
    </xf>
    <xf numFmtId="0" fontId="0" fillId="21" borderId="5" xfId="0" applyFill="1" applyBorder="1"/>
    <xf numFmtId="0" fontId="56" fillId="0" borderId="0" xfId="0" applyFont="1" applyAlignment="1">
      <alignment horizontal="left" vertical="center" wrapText="1"/>
    </xf>
    <xf numFmtId="0" fontId="0" fillId="22" borderId="5" xfId="0" applyFill="1" applyBorder="1"/>
    <xf numFmtId="0" fontId="0" fillId="23" borderId="5" xfId="0" applyFill="1" applyBorder="1"/>
    <xf numFmtId="0" fontId="0" fillId="20" borderId="5" xfId="0" applyFill="1" applyBorder="1"/>
    <xf numFmtId="0" fontId="59" fillId="20" borderId="5" xfId="0" applyFont="1" applyFill="1" applyBorder="1" applyAlignment="1">
      <alignment horizontal="center" vertical="center"/>
    </xf>
    <xf numFmtId="0" fontId="56" fillId="0" borderId="5" xfId="0" applyFont="1" applyBorder="1" applyAlignment="1">
      <alignment horizontal="left" vertical="center" wrapText="1"/>
    </xf>
    <xf numFmtId="0" fontId="60" fillId="25" borderId="5" xfId="0" applyFont="1" applyFill="1" applyBorder="1" applyAlignment="1">
      <alignment horizontal="center" vertical="center"/>
    </xf>
    <xf numFmtId="0" fontId="57" fillId="0" borderId="5" xfId="0" applyFont="1" applyBorder="1" applyAlignment="1">
      <alignment horizontal="left" vertical="center" wrapText="1"/>
    </xf>
    <xf numFmtId="0" fontId="61" fillId="21" borderId="5" xfId="0" applyFont="1" applyFill="1" applyBorder="1" applyAlignment="1">
      <alignment horizontal="center" vertical="center"/>
    </xf>
    <xf numFmtId="0" fontId="62" fillId="22" borderId="5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0" fillId="15" borderId="3" xfId="0" applyNumberFormat="1" applyFill="1" applyBorder="1" applyAlignment="1">
      <alignment horizontal="center" vertical="center"/>
    </xf>
    <xf numFmtId="167" fontId="0" fillId="18" borderId="4" xfId="0" applyNumberFormat="1" applyFill="1" applyBorder="1" applyAlignment="1">
      <alignment horizontal="center" vertical="center"/>
    </xf>
    <xf numFmtId="167" fontId="0" fillId="0" borderId="4" xfId="0" applyNumberFormat="1" applyBorder="1" applyAlignment="1">
      <alignment horizontal="center" vertical="center"/>
    </xf>
    <xf numFmtId="167" fontId="0" fillId="19" borderId="4" xfId="0" applyNumberFormat="1" applyFill="1" applyBorder="1" applyAlignment="1">
      <alignment horizontal="center" vertical="center"/>
    </xf>
    <xf numFmtId="167" fontId="48" fillId="17" borderId="4" xfId="0" applyNumberFormat="1" applyFont="1" applyFill="1" applyBorder="1" applyAlignment="1">
      <alignment horizontal="right" vertical="center"/>
    </xf>
    <xf numFmtId="167" fontId="0" fillId="5" borderId="1" xfId="0" applyNumberFormat="1" applyFill="1" applyBorder="1" applyAlignment="1">
      <alignment horizontal="center" vertical="center" wrapText="1"/>
    </xf>
    <xf numFmtId="167" fontId="29" fillId="0" borderId="2" xfId="0" applyNumberFormat="1" applyFont="1" applyBorder="1" applyAlignment="1">
      <alignment horizontal="center" vertical="center"/>
    </xf>
    <xf numFmtId="167" fontId="29" fillId="13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0" fontId="67" fillId="2" borderId="1" xfId="0" applyFon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4" fontId="6" fillId="0" borderId="6" xfId="0" applyNumberFormat="1" applyFont="1" applyBorder="1" applyAlignment="1">
      <alignment horizontal="center" vertical="center" wrapText="1"/>
    </xf>
    <xf numFmtId="164" fontId="6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7" fontId="0" fillId="0" borderId="10" xfId="0" applyNumberFormat="1" applyBorder="1"/>
    <xf numFmtId="167" fontId="6" fillId="0" borderId="10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4" fontId="6" fillId="0" borderId="10" xfId="0" applyNumberFormat="1" applyFont="1" applyBorder="1" applyAlignment="1">
      <alignment horizontal="center" vertical="center" wrapText="1"/>
    </xf>
    <xf numFmtId="0" fontId="0" fillId="0" borderId="10" xfId="0" applyBorder="1"/>
    <xf numFmtId="4" fontId="5" fillId="0" borderId="10" xfId="0" applyNumberFormat="1" applyFont="1" applyBorder="1" applyAlignment="1">
      <alignment horizontal="center" vertical="center" wrapText="1"/>
    </xf>
    <xf numFmtId="4" fontId="0" fillId="0" borderId="10" xfId="0" applyNumberFormat="1" applyBorder="1"/>
    <xf numFmtId="0" fontId="5" fillId="3" borderId="10" xfId="0" applyFont="1" applyFill="1" applyBorder="1" applyAlignment="1">
      <alignment horizontal="center" vertical="center" wrapText="1"/>
    </xf>
    <xf numFmtId="167" fontId="69" fillId="0" borderId="10" xfId="0" applyNumberFormat="1" applyFont="1" applyBorder="1"/>
    <xf numFmtId="0" fontId="69" fillId="0" borderId="10" xfId="0" applyFont="1" applyBorder="1"/>
    <xf numFmtId="4" fontId="69" fillId="0" borderId="10" xfId="0" applyNumberFormat="1" applyFont="1" applyBorder="1"/>
    <xf numFmtId="49" fontId="0" fillId="15" borderId="3" xfId="0" applyNumberForma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6" xfId="0" applyNumberFormat="1" applyFont="1" applyBorder="1" applyAlignment="1">
      <alignment horizontal="center" vertical="center" wrapText="1"/>
    </xf>
    <xf numFmtId="49" fontId="0" fillId="2" borderId="1" xfId="0" applyNumberFormat="1" applyFill="1" applyBorder="1"/>
    <xf numFmtId="49" fontId="26" fillId="0" borderId="1" xfId="0" applyNumberFormat="1" applyFont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49" fontId="0" fillId="5" borderId="1" xfId="0" applyNumberFormat="1" applyFill="1" applyBorder="1" applyAlignment="1">
      <alignment horizontal="center" vertical="center" wrapText="1"/>
    </xf>
    <xf numFmtId="49" fontId="0" fillId="0" borderId="0" xfId="0" applyNumberFormat="1"/>
    <xf numFmtId="0" fontId="70" fillId="0" borderId="0" xfId="0" applyFont="1"/>
    <xf numFmtId="49" fontId="35" fillId="0" borderId="3" xfId="0" applyNumberFormat="1" applyFont="1" applyBorder="1" applyAlignment="1">
      <alignment horizontal="center" vertical="center"/>
    </xf>
    <xf numFmtId="49" fontId="29" fillId="0" borderId="2" xfId="0" applyNumberFormat="1" applyFont="1" applyBorder="1" applyAlignment="1">
      <alignment horizontal="center" vertical="center"/>
    </xf>
    <xf numFmtId="0" fontId="5" fillId="3" borderId="10" xfId="0" applyFont="1" applyFill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14" fontId="6" fillId="0" borderId="6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69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69" fillId="29" borderId="10" xfId="0" applyFont="1" applyFill="1" applyBorder="1"/>
    <xf numFmtId="164" fontId="6" fillId="0" borderId="10" xfId="0" applyNumberFormat="1" applyFont="1" applyBorder="1" applyAlignment="1">
      <alignment horizontal="center" vertical="center" wrapText="1"/>
    </xf>
    <xf numFmtId="4" fontId="0" fillId="0" borderId="10" xfId="0" applyNumberFormat="1" applyBorder="1" applyAlignment="1">
      <alignment horizontal="center"/>
    </xf>
    <xf numFmtId="49" fontId="0" fillId="0" borderId="10" xfId="0" applyNumberFormat="1" applyBorder="1"/>
    <xf numFmtId="49" fontId="6" fillId="0" borderId="10" xfId="0" applyNumberFormat="1" applyFont="1" applyBorder="1" applyAlignment="1">
      <alignment horizontal="center" vertical="center" wrapText="1"/>
    </xf>
    <xf numFmtId="0" fontId="0" fillId="2" borderId="10" xfId="0" applyFill="1" applyBorder="1"/>
    <xf numFmtId="0" fontId="5" fillId="2" borderId="10" xfId="0" applyFont="1" applyFill="1" applyBorder="1" applyAlignment="1">
      <alignment vertical="center"/>
    </xf>
    <xf numFmtId="164" fontId="5" fillId="2" borderId="10" xfId="0" applyNumberFormat="1" applyFont="1" applyFill="1" applyBorder="1" applyAlignment="1">
      <alignment horizontal="center" vertical="center" wrapText="1"/>
    </xf>
    <xf numFmtId="4" fontId="5" fillId="2" borderId="10" xfId="0" applyNumberFormat="1" applyFont="1" applyFill="1" applyBorder="1" applyAlignment="1">
      <alignment horizontal="center" vertical="center" wrapText="1"/>
    </xf>
    <xf numFmtId="4" fontId="69" fillId="2" borderId="10" xfId="0" applyNumberFormat="1" applyFont="1" applyFill="1" applyBorder="1" applyAlignment="1">
      <alignment horizontal="center"/>
    </xf>
    <xf numFmtId="4" fontId="69" fillId="28" borderId="10" xfId="0" applyNumberFormat="1" applyFont="1" applyFill="1" applyBorder="1"/>
    <xf numFmtId="49" fontId="6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4" fontId="6" fillId="0" borderId="9" xfId="0" applyNumberFormat="1" applyFont="1" applyBorder="1" applyAlignment="1">
      <alignment horizontal="center" vertical="center" wrapText="1"/>
    </xf>
    <xf numFmtId="164" fontId="6" fillId="0" borderId="9" xfId="0" applyNumberFormat="1" applyFont="1" applyBorder="1" applyAlignment="1">
      <alignment horizontal="center" vertical="center" wrapText="1"/>
    </xf>
    <xf numFmtId="14" fontId="0" fillId="0" borderId="10" xfId="0" applyNumberFormat="1" applyBorder="1" applyAlignment="1">
      <alignment horizontal="left"/>
    </xf>
    <xf numFmtId="3" fontId="0" fillId="0" borderId="10" xfId="0" applyNumberFormat="1" applyBorder="1"/>
    <xf numFmtId="167" fontId="0" fillId="0" borderId="10" xfId="0" applyNumberFormat="1" applyBorder="1" applyAlignment="1">
      <alignment horizontal="left"/>
    </xf>
    <xf numFmtId="49" fontId="0" fillId="30" borderId="10" xfId="0" applyNumberFormat="1" applyFill="1" applyBorder="1"/>
    <xf numFmtId="0" fontId="0" fillId="30" borderId="10" xfId="0" applyFill="1" applyBorder="1"/>
    <xf numFmtId="168" fontId="0" fillId="0" borderId="10" xfId="0" applyNumberFormat="1" applyBorder="1"/>
    <xf numFmtId="0" fontId="0" fillId="31" borderId="0" xfId="0" applyFill="1"/>
    <xf numFmtId="0" fontId="1" fillId="31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164" fontId="8" fillId="4" borderId="0" xfId="0" applyNumberFormat="1" applyFont="1" applyFill="1" applyAlignment="1">
      <alignment horizontal="center" vertical="center" wrapText="1"/>
    </xf>
    <xf numFmtId="164" fontId="8" fillId="6" borderId="0" xfId="0" applyNumberFormat="1" applyFont="1" applyFill="1" applyAlignment="1">
      <alignment horizontal="center" vertical="center" wrapText="1"/>
    </xf>
    <xf numFmtId="1" fontId="8" fillId="4" borderId="0" xfId="0" applyNumberFormat="1" applyFont="1" applyFill="1" applyAlignment="1">
      <alignment horizontal="center" vertical="center" wrapText="1"/>
    </xf>
    <xf numFmtId="164" fontId="8" fillId="5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" fontId="8" fillId="5" borderId="0" xfId="0" applyNumberFormat="1" applyFont="1" applyFill="1" applyAlignment="1">
      <alignment horizontal="center" vertical="center" wrapText="1"/>
    </xf>
    <xf numFmtId="0" fontId="31" fillId="14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68" fillId="0" borderId="0" xfId="0" applyFont="1"/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5" fillId="0" borderId="0" xfId="0" applyFont="1" applyAlignment="1">
      <alignment horizontal="right" vertical="center"/>
    </xf>
    <xf numFmtId="0" fontId="66" fillId="27" borderId="9" xfId="0" applyFont="1" applyFill="1" applyBorder="1" applyAlignment="1">
      <alignment horizontal="left" vertical="center"/>
    </xf>
    <xf numFmtId="0" fontId="0" fillId="0" borderId="7" xfId="0" applyBorder="1"/>
    <xf numFmtId="0" fontId="0" fillId="0" borderId="8" xfId="0" applyBorder="1"/>
    <xf numFmtId="0" fontId="44" fillId="0" borderId="0" xfId="0" applyFont="1" applyAlignment="1">
      <alignment horizontal="right" vertical="center"/>
    </xf>
    <xf numFmtId="164" fontId="50" fillId="0" borderId="0" xfId="0" applyNumberFormat="1" applyFont="1" applyAlignment="1">
      <alignment horizontal="left" vertical="center"/>
    </xf>
    <xf numFmtId="0" fontId="42" fillId="17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7" fillId="26" borderId="0" xfId="0" applyFont="1" applyFill="1" applyAlignment="1">
      <alignment horizontal="left" vertical="center" wrapText="1"/>
    </xf>
    <xf numFmtId="0" fontId="57" fillId="24" borderId="0" xfId="0" applyFont="1" applyFill="1" applyAlignment="1">
      <alignment horizontal="left" vertical="center" wrapText="1"/>
    </xf>
    <xf numFmtId="0" fontId="54" fillId="20" borderId="0" xfId="0" applyFont="1" applyFill="1" applyAlignment="1">
      <alignment horizontal="center" vertical="center"/>
    </xf>
    <xf numFmtId="0" fontId="57" fillId="22" borderId="0" xfId="0" applyFont="1" applyFill="1" applyAlignment="1">
      <alignment horizontal="left" vertical="center" wrapText="1"/>
    </xf>
    <xf numFmtId="0" fontId="63" fillId="0" borderId="0" xfId="0" applyFont="1"/>
    <xf numFmtId="0" fontId="53" fillId="0" borderId="0" xfId="0" applyFont="1" applyAlignment="1">
      <alignment horizontal="center" vertical="center"/>
    </xf>
    <xf numFmtId="0" fontId="57" fillId="0" borderId="0" xfId="0" applyFont="1" applyAlignment="1">
      <alignment horizontal="left" vertical="center" wrapText="1"/>
    </xf>
    <xf numFmtId="0" fontId="64" fillId="0" borderId="0" xfId="0" applyFont="1"/>
    <xf numFmtId="0" fontId="55" fillId="0" borderId="0" xfId="0" applyFont="1"/>
    <xf numFmtId="0" fontId="58" fillId="0" borderId="0" xfId="0" applyFont="1"/>
  </cellXfs>
  <cellStyles count="1">
    <cellStyle name="Normal" xfId="0" builtinId="0"/>
  </cellStyles>
  <dxfs count="25"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2E7D32"/>
        <name val="Calibri"/>
      </font>
      <fill>
        <patternFill patternType="solid">
          <fgColor rgb="FFE2EFDA"/>
        </patternFill>
      </fill>
    </dxf>
    <dxf>
      <font>
        <b/>
        <sz val="10"/>
        <color rgb="FFC0392B"/>
        <name val="Calibri"/>
      </font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Sales vs Purchases vs Stock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Dashboard!$B$26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Dashboard!$A$27:$A$29</c:f>
              <c:strCache>
                <c:ptCount val="3"/>
                <c:pt idx="0">
                  <c:v>Total Sales</c:v>
                </c:pt>
                <c:pt idx="1">
                  <c:v>Total Purchases</c:v>
                </c:pt>
                <c:pt idx="2">
                  <c:v>Stock Value</c:v>
                </c:pt>
              </c:strCache>
            </c:strRef>
          </c:cat>
          <c:val>
            <c:numRef>
              <c:f>Dashboard!$B$27:$B$29</c:f>
              <c:numCache>
                <c:formatCode>_-"Rs."\ * #,##0.00_-;\-"Rs."\ * #,##0.00_-;_-"Rs."\ * "-"_-</c:formatCode>
                <c:ptCount val="3"/>
                <c:pt idx="0">
                  <c:v>1300037.9075000002</c:v>
                </c:pt>
                <c:pt idx="1">
                  <c:v>693605.06724999996</c:v>
                </c:pt>
                <c:pt idx="2">
                  <c:v>-513901.5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3E-D747-86F2-61E6DC8571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4480"/>
        <c:axId val="54246016"/>
      </c:barChart>
      <c:catAx>
        <c:axId val="542444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4246016"/>
        <c:crosses val="autoZero"/>
        <c:auto val="0"/>
        <c:lblAlgn val="ctr"/>
        <c:lblOffset val="100"/>
        <c:noMultiLvlLbl val="0"/>
      </c:catAx>
      <c:valAx>
        <c:axId val="54246016"/>
        <c:scaling>
          <c:orientation val="minMax"/>
        </c:scaling>
        <c:delete val="0"/>
        <c:axPos val="l"/>
        <c:majorGridlines/>
        <c:numFmt formatCode="_-&quot;Rs.&quot;\ * #,##0.00_-;\-&quot;Rs.&quot;\ * #,##0.00_-;_-&quot;Rs.&quot;\ * &quot;-&quot;_-" sourceLinked="1"/>
        <c:majorTickMark val="none"/>
        <c:minorTickMark val="none"/>
        <c:tickLblPos val="nextTo"/>
        <c:crossAx val="5424448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H120"/>
  <sheetViews>
    <sheetView showGridLines="0" workbookViewId="0">
      <selection sqref="A1:H1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22" customWidth="1"/>
    <col min="4" max="4" width="18.33203125" bestFit="1" customWidth="1"/>
    <col min="5" max="6" width="14" customWidth="1"/>
    <col min="7" max="7" width="18" customWidth="1"/>
    <col min="8" max="8" width="16" customWidth="1"/>
  </cols>
  <sheetData>
    <row r="1" spans="1:8" ht="32" customHeight="1" x14ac:dyDescent="0.2">
      <c r="A1" s="201" t="s">
        <v>0</v>
      </c>
      <c r="B1" s="202"/>
      <c r="C1" s="202"/>
      <c r="D1" s="202"/>
      <c r="E1" s="202"/>
      <c r="F1" s="202"/>
      <c r="G1" s="202"/>
      <c r="H1" s="202"/>
    </row>
    <row r="4" spans="1:8" ht="20" customHeight="1" x14ac:dyDescent="0.2">
      <c r="A4" s="207" t="s">
        <v>1</v>
      </c>
      <c r="B4" s="202"/>
      <c r="C4" s="207" t="s">
        <v>2</v>
      </c>
      <c r="D4" s="202"/>
      <c r="E4" s="207" t="s">
        <v>3</v>
      </c>
      <c r="F4" s="202"/>
      <c r="G4" s="207" t="s">
        <v>4</v>
      </c>
      <c r="H4" s="202"/>
    </row>
    <row r="5" spans="1:8" ht="30" customHeight="1" x14ac:dyDescent="0.2">
      <c r="A5" s="203">
        <f>SUM(Sales_Entry!I3:I833)</f>
        <v>1300037.9075000002</v>
      </c>
      <c r="B5" s="202"/>
      <c r="C5" s="203">
        <f>SUM(Purchase_Entry!N3:N633)</f>
        <v>693605.06724999996</v>
      </c>
      <c r="D5" s="202"/>
      <c r="E5" s="203" t="str">
        <f ca="1">SUM(Stock_Master!I:I)</f>
        <v/>
      </c>
      <c r="F5" s="202"/>
      <c r="G5" s="208">
        <f>COUNTIF(Stock_Master!J:J,"⚠ Reorder")</f>
        <v>5</v>
      </c>
      <c r="H5" s="202"/>
    </row>
    <row r="7" spans="1:8" ht="20" customHeight="1" x14ac:dyDescent="0.2">
      <c r="A7" s="207" t="s">
        <v>5</v>
      </c>
      <c r="B7" s="202"/>
      <c r="C7" s="207" t="s">
        <v>6</v>
      </c>
      <c r="D7" s="202"/>
      <c r="E7" s="207" t="s">
        <v>7</v>
      </c>
      <c r="F7" s="202"/>
      <c r="G7" s="207" t="s">
        <v>8</v>
      </c>
      <c r="H7" s="202"/>
    </row>
    <row r="8" spans="1:8" ht="30" customHeight="1" x14ac:dyDescent="0.2">
      <c r="A8" s="204">
        <f>SUMIF(Party_Master!H:H,"&gt;0",Party_Master!H:H)</f>
        <v>308136</v>
      </c>
      <c r="B8" s="202"/>
      <c r="C8" s="206">
        <f>-SUMIF(Party_Master!H:H,"&lt;0",Party_Master!H:H)</f>
        <v>940435.73939999996</v>
      </c>
      <c r="D8" s="202"/>
      <c r="E8" s="205">
        <f>COUNTA(Party_Master!A3:A502)</f>
        <v>43</v>
      </c>
      <c r="F8" s="202"/>
      <c r="G8" s="203">
        <f>IFERROR(LOOKUP(2,1/(Daybook!G3:G502&lt;&gt;""),Daybook!G3:G502),0)</f>
        <v>70776.150000000009</v>
      </c>
      <c r="H8" s="202"/>
    </row>
    <row r="10" spans="1:8" ht="17" customHeight="1" x14ac:dyDescent="0.2">
      <c r="A10" s="1" t="s">
        <v>9</v>
      </c>
      <c r="D10" s="2">
        <f>SUM(Sales_Entry!I3:I833)-SUM(Purchase_Entry!N3:N633)</f>
        <v>606432.84025000024</v>
      </c>
    </row>
    <row r="12" spans="1:8" ht="16" customHeight="1" x14ac:dyDescent="0.2">
      <c r="A12" s="1" t="s">
        <v>10</v>
      </c>
    </row>
    <row r="13" spans="1:8" ht="28" customHeight="1" x14ac:dyDescent="0.2">
      <c r="A13" s="3" t="s">
        <v>11</v>
      </c>
      <c r="B13" s="3" t="s">
        <v>12</v>
      </c>
      <c r="C13" s="3" t="s">
        <v>13</v>
      </c>
      <c r="D13" s="3" t="s">
        <v>14</v>
      </c>
      <c r="E13" s="3" t="s">
        <v>15</v>
      </c>
    </row>
    <row r="14" spans="1:8" x14ac:dyDescent="0.2">
      <c r="A14" s="130">
        <f>IF(Sales_Entry!A3="","",Sales_Entry!A3)</f>
        <v>66916</v>
      </c>
      <c r="B14" s="4" t="str">
        <f>IF(Sales_Entry!B3="","",Sales_Entry!B3)</f>
        <v>BILL-6001</v>
      </c>
      <c r="C14" s="4" t="str">
        <f>IF(Sales_Entry!C3="","",Sales_Entry!C3)</f>
        <v>SRIJANA DAIRY (DEVI NAGAR)</v>
      </c>
      <c r="D14" s="5">
        <f>IF(Sales_Entry!I3="","",Sales_Entry!I3)</f>
        <v>5100</v>
      </c>
      <c r="E14" s="4" t="str">
        <f>IF(Sales_Entry!K3="","",Sales_Entry!K3)</f>
        <v>Unpaid</v>
      </c>
    </row>
    <row r="15" spans="1:8" x14ac:dyDescent="0.2">
      <c r="A15" s="130">
        <f>IF(Sales_Entry!A4="","",Sales_Entry!A4)</f>
        <v>66916</v>
      </c>
      <c r="B15" s="4" t="str">
        <f>IF(Sales_Entry!B4="","",Sales_Entry!B4)</f>
        <v>BILL-6002</v>
      </c>
      <c r="C15" s="4" t="str">
        <f>IF(Sales_Entry!C4="","",Sales_Entry!C4)</f>
        <v xml:space="preserve">SOBHA BHATTARAI </v>
      </c>
      <c r="D15" s="5">
        <f>IF(Sales_Entry!I4="","",Sales_Entry!I4)</f>
        <v>1275</v>
      </c>
      <c r="E15" s="4" t="str">
        <f>IF(Sales_Entry!K4="","",Sales_Entry!K4)</f>
        <v>Unpaid</v>
      </c>
    </row>
    <row r="16" spans="1:8" x14ac:dyDescent="0.2">
      <c r="A16" s="130">
        <f>IF(Sales_Entry!A5="","",Sales_Entry!A5)</f>
        <v>66916</v>
      </c>
      <c r="B16" s="4" t="str">
        <f>IF(Sales_Entry!B5="","",Sales_Entry!B5)</f>
        <v>BILL-6003</v>
      </c>
      <c r="C16" s="4" t="str">
        <f>IF(Sales_Entry!C5="","",Sales_Entry!C5)</f>
        <v>PALPALI</v>
      </c>
      <c r="D16" s="5">
        <f>IF(Sales_Entry!I5="","",Sales_Entry!I5)</f>
        <v>2125</v>
      </c>
      <c r="E16" s="4" t="str">
        <f>IF(Sales_Entry!K5="","",Sales_Entry!K5)</f>
        <v>Unpaid</v>
      </c>
    </row>
    <row r="17" spans="1:5" x14ac:dyDescent="0.2">
      <c r="A17" s="130">
        <f>IF(Sales_Entry!A7="","",Sales_Entry!A7)</f>
        <v>66916</v>
      </c>
      <c r="B17" s="4" t="str">
        <f>IF(Sales_Entry!B7="","",Sales_Entry!B7)</f>
        <v>BILL-6004</v>
      </c>
      <c r="C17" s="4" t="str">
        <f>IF(Sales_Entry!C7="","",Sales_Entry!C7)</f>
        <v xml:space="preserve">AAMOSH KIRANA </v>
      </c>
      <c r="D17" s="5">
        <f>IF(Sales_Entry!I7="","",Sales_Entry!I7)</f>
        <v>80</v>
      </c>
      <c r="E17" s="4" t="str">
        <f>IF(Sales_Entry!K7="","",Sales_Entry!K7)</f>
        <v>Unpaid</v>
      </c>
    </row>
    <row r="18" spans="1:5" x14ac:dyDescent="0.2">
      <c r="A18" s="130">
        <f>IF(Sales_Entry!A8="","",Sales_Entry!A8)</f>
        <v>66916</v>
      </c>
      <c r="B18" s="4" t="str">
        <f>IF(Sales_Entry!B8="","",Sales_Entry!B8)</f>
        <v>BILL-6005</v>
      </c>
      <c r="C18" s="4" t="str">
        <f>IF(Sales_Entry!C8="","",Sales_Entry!C8)</f>
        <v xml:space="preserve">KRITIKA KIRANA </v>
      </c>
      <c r="D18" s="5">
        <f>IF(Sales_Entry!I8="","",Sales_Entry!I8)</f>
        <v>1290</v>
      </c>
      <c r="E18" s="4" t="str">
        <f>IF(Sales_Entry!K8="","",Sales_Entry!K8)</f>
        <v>Unpaid</v>
      </c>
    </row>
    <row r="19" spans="1:5" x14ac:dyDescent="0.2">
      <c r="A19" s="130">
        <f>IF(Sales_Entry!A9="","",Sales_Entry!A9)</f>
        <v>66916</v>
      </c>
      <c r="B19" s="4" t="str">
        <f>IF(Sales_Entry!B9="","",Sales_Entry!B9)</f>
        <v>BILL-6006</v>
      </c>
      <c r="C19" s="4" t="str">
        <f>IF(Sales_Entry!C9="","",Sales_Entry!C9)</f>
        <v>MANAKAMANA DAIRY</v>
      </c>
      <c r="D19" s="5">
        <f>IF(Sales_Entry!I9="","",Sales_Entry!I9)</f>
        <v>850</v>
      </c>
      <c r="E19" s="4" t="str">
        <f>IF(Sales_Entry!K9="","",Sales_Entry!K9)</f>
        <v>Unpaid</v>
      </c>
    </row>
    <row r="20" spans="1:5" x14ac:dyDescent="0.2">
      <c r="A20" s="130">
        <f>IF(Sales_Entry!A10="","",Sales_Entry!A10)</f>
        <v>66916</v>
      </c>
      <c r="B20" s="4" t="str">
        <f>IF(Sales_Entry!B10="","",Sales_Entry!B10)</f>
        <v>BILL-6007</v>
      </c>
      <c r="C20" s="4" t="str">
        <f>IF(Sales_Entry!C10="","",Sales_Entry!C10)</f>
        <v xml:space="preserve">AAYUSH AAYUSHMA </v>
      </c>
      <c r="D20" s="5">
        <f>IF(Sales_Entry!I10="","",Sales_Entry!I10)</f>
        <v>595</v>
      </c>
      <c r="E20" s="4" t="str">
        <f>IF(Sales_Entry!K10="","",Sales_Entry!K10)</f>
        <v>Unpaid</v>
      </c>
    </row>
    <row r="21" spans="1:5" x14ac:dyDescent="0.2">
      <c r="A21" s="130">
        <f>IF(Sales_Entry!A11="","",Sales_Entry!A11)</f>
        <v>66916</v>
      </c>
      <c r="B21" s="4" t="str">
        <f>IF(Sales_Entry!B11="","",Sales_Entry!B11)</f>
        <v>BILL-6008</v>
      </c>
      <c r="C21" s="4" t="str">
        <f>IF(Sales_Entry!C11="","",Sales_Entry!C11)</f>
        <v xml:space="preserve">YUBARAJ AND SAMRAT </v>
      </c>
      <c r="D21" s="5">
        <f>IF(Sales_Entry!I11="","",Sales_Entry!I11)</f>
        <v>1700</v>
      </c>
      <c r="E21" s="4" t="str">
        <f>IF(Sales_Entry!K11="","",Sales_Entry!K11)</f>
        <v>Unpaid</v>
      </c>
    </row>
    <row r="22" spans="1:5" x14ac:dyDescent="0.2">
      <c r="A22" s="130">
        <f>IF(Sales_Entry!A12="","",Sales_Entry!A12)</f>
        <v>66916</v>
      </c>
      <c r="B22" s="4" t="str">
        <f>IF(Sales_Entry!B12="","",Sales_Entry!B12)</f>
        <v>BILL-6009</v>
      </c>
      <c r="C22" s="4" t="str">
        <f>IF(Sales_Entry!C12="","",Sales_Entry!C12)</f>
        <v xml:space="preserve">SAMIKSHYA </v>
      </c>
      <c r="D22" s="5">
        <f>IF(Sales_Entry!I12="","",Sales_Entry!I12)</f>
        <v>850</v>
      </c>
      <c r="E22" s="4" t="str">
        <f>IF(Sales_Entry!K12="","",Sales_Entry!K12)</f>
        <v>Unpaid</v>
      </c>
    </row>
    <row r="23" spans="1:5" x14ac:dyDescent="0.2">
      <c r="A23" s="130">
        <f>IF(Sales_Entry!A13="","",Sales_Entry!A13)</f>
        <v>66916</v>
      </c>
      <c r="B23" s="4" t="str">
        <f>IF(Sales_Entry!B13="","",Sales_Entry!B13)</f>
        <v>BILL-6010</v>
      </c>
      <c r="C23" s="4" t="str">
        <f>IF(Sales_Entry!C13="","",Sales_Entry!C13)</f>
        <v>KRISHNA KHAREL</v>
      </c>
      <c r="D23" s="5">
        <f>IF(Sales_Entry!I13="","",Sales_Entry!I13)</f>
        <v>344</v>
      </c>
      <c r="E23" s="4" t="str">
        <f>IF(Sales_Entry!K13="","",Sales_Entry!K13)</f>
        <v>Unpaid</v>
      </c>
    </row>
    <row r="26" spans="1:5" x14ac:dyDescent="0.2">
      <c r="A26" s="6" t="s">
        <v>16</v>
      </c>
      <c r="B26" s="6" t="s">
        <v>17</v>
      </c>
    </row>
    <row r="27" spans="1:5" x14ac:dyDescent="0.2">
      <c r="A27" t="s">
        <v>18</v>
      </c>
      <c r="B27" s="7">
        <f>SUM(Sales_Entry!I3:I833)</f>
        <v>1300037.9075000002</v>
      </c>
    </row>
    <row r="28" spans="1:5" x14ac:dyDescent="0.2">
      <c r="A28" t="s">
        <v>19</v>
      </c>
      <c r="B28" s="7">
        <f>SUM(Purchase_Entry!N3:N633)</f>
        <v>693605.06724999996</v>
      </c>
    </row>
    <row r="29" spans="1:5" x14ac:dyDescent="0.2">
      <c r="A29" t="s">
        <v>20</v>
      </c>
      <c r="B29" s="7">
        <f>SUM(Stock_Master!I3:I41)</f>
        <v>-513901.5</v>
      </c>
    </row>
    <row r="120" spans="1:1" x14ac:dyDescent="0.2">
      <c r="A120" s="166" t="s">
        <v>21</v>
      </c>
    </row>
  </sheetData>
  <mergeCells count="17">
    <mergeCell ref="E5:F5"/>
    <mergeCell ref="A1:H1"/>
    <mergeCell ref="G8:H8"/>
    <mergeCell ref="A8:B8"/>
    <mergeCell ref="E8:F8"/>
    <mergeCell ref="C8:D8"/>
    <mergeCell ref="C4:D4"/>
    <mergeCell ref="A4:B4"/>
    <mergeCell ref="G4:H4"/>
    <mergeCell ref="E4:F4"/>
    <mergeCell ref="C7:D7"/>
    <mergeCell ref="A7:B7"/>
    <mergeCell ref="G7:H7"/>
    <mergeCell ref="E7:F7"/>
    <mergeCell ref="C5:D5"/>
    <mergeCell ref="A5:B5"/>
    <mergeCell ref="G5:H5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  <pageSetUpPr fitToPage="1"/>
  </sheetPr>
  <dimension ref="A1:D24"/>
  <sheetViews>
    <sheetView showGridLines="0" workbookViewId="0">
      <selection activeCell="C12" sqref="C12"/>
    </sheetView>
  </sheetViews>
  <sheetFormatPr baseColWidth="10" defaultColWidth="8.83203125" defaultRowHeight="15" x14ac:dyDescent="0.2"/>
  <cols>
    <col min="1" max="1" width="42" customWidth="1"/>
    <col min="2" max="2" width="10.5" bestFit="1" customWidth="1"/>
    <col min="3" max="3" width="20" customWidth="1"/>
    <col min="4" max="4" width="10.5" bestFit="1" customWidth="1"/>
  </cols>
  <sheetData>
    <row r="1" spans="1:4" ht="32" customHeight="1" x14ac:dyDescent="0.2">
      <c r="A1" s="201" t="s">
        <v>22</v>
      </c>
      <c r="B1" s="202"/>
      <c r="C1" s="202"/>
      <c r="D1" s="202"/>
    </row>
    <row r="3" spans="1:4" x14ac:dyDescent="0.2">
      <c r="A3" s="85" t="s">
        <v>23</v>
      </c>
      <c r="B3" s="131">
        <v>66916</v>
      </c>
      <c r="C3" s="85" t="s">
        <v>24</v>
      </c>
      <c r="D3" s="131">
        <v>66931</v>
      </c>
    </row>
    <row r="4" spans="1:4" x14ac:dyDescent="0.2">
      <c r="A4" s="89" t="str">
        <f>"For period: "&amp;TEXT($B$3,"dd-mmm-yyyy")&amp;" to "&amp;TEXT($D$3,"dd-mmm-yyyy")</f>
        <v>For period: 16-Mar-2083 to 31-Mar-2083</v>
      </c>
    </row>
    <row r="6" spans="1:4" ht="16" customHeight="1" x14ac:dyDescent="0.2">
      <c r="A6" s="9" t="s">
        <v>25</v>
      </c>
      <c r="B6" s="10"/>
      <c r="C6" s="10"/>
      <c r="D6" s="10"/>
    </row>
    <row r="7" spans="1:4" ht="16" customHeight="1" x14ac:dyDescent="0.2">
      <c r="A7" s="11" t="s">
        <v>26</v>
      </c>
      <c r="B7" s="12"/>
      <c r="C7" s="13">
        <f>SUMIFS(Sales_Entry!$I:$I,Sales_Entry!$A:$A,"&gt;="&amp;$B$3,Sales_Entry!$A:$A,"&lt;="&amp;$D$3)</f>
        <v>601911.03750000009</v>
      </c>
      <c r="D7" s="12"/>
    </row>
    <row r="8" spans="1:4" ht="16" customHeight="1" x14ac:dyDescent="0.2">
      <c r="A8" s="11" t="s">
        <v>27</v>
      </c>
      <c r="B8" s="12"/>
      <c r="C8" s="13">
        <f>SUMIFS(Daybook!$F:$F,Daybook!$C:$C,"Receipt",Daybook!$A:$A,"&gt;="&amp;$B$3,Daybook!$A:$A,"&lt;="&amp;$D$3)</f>
        <v>0</v>
      </c>
      <c r="D8" s="12"/>
    </row>
    <row r="9" spans="1:4" ht="16" customHeight="1" x14ac:dyDescent="0.2">
      <c r="A9" s="14" t="s">
        <v>28</v>
      </c>
      <c r="B9" s="15"/>
      <c r="C9" s="16">
        <f>C7</f>
        <v>601911.03750000009</v>
      </c>
      <c r="D9" s="15"/>
    </row>
    <row r="11" spans="1:4" ht="16" customHeight="1" x14ac:dyDescent="0.2">
      <c r="A11" s="17" t="s">
        <v>29</v>
      </c>
      <c r="B11" s="18"/>
      <c r="C11" s="18"/>
      <c r="D11" s="18"/>
    </row>
    <row r="12" spans="1:4" ht="16" customHeight="1" x14ac:dyDescent="0.2">
      <c r="A12" s="11" t="s">
        <v>30</v>
      </c>
      <c r="B12" s="12"/>
      <c r="C12" s="13">
        <f>SUMIFS(Purchase_Entry!$N:$N,Purchase_Entry!$A:$A,"&gt;="&amp;$B$3,Purchase_Entry!$A:$A,"&lt;="&amp;$D$3)</f>
        <v>538671.70185000007</v>
      </c>
      <c r="D12" s="12"/>
    </row>
    <row r="13" spans="1:4" ht="16" customHeight="1" x14ac:dyDescent="0.2">
      <c r="A13" s="19" t="s">
        <v>31</v>
      </c>
      <c r="B13" s="20"/>
      <c r="C13" s="21">
        <f>C12</f>
        <v>538671.70185000007</v>
      </c>
      <c r="D13" s="20"/>
    </row>
    <row r="15" spans="1:4" ht="16" customHeight="1" x14ac:dyDescent="0.2">
      <c r="A15" s="22" t="s">
        <v>32</v>
      </c>
      <c r="B15" s="23"/>
      <c r="C15" s="24">
        <f>C9-C13</f>
        <v>63239.335650000023</v>
      </c>
      <c r="D15" s="23"/>
    </row>
    <row r="17" spans="1:4" ht="16" customHeight="1" x14ac:dyDescent="0.2">
      <c r="A17" s="25" t="s">
        <v>33</v>
      </c>
      <c r="B17" s="26"/>
      <c r="C17" s="26"/>
      <c r="D17" s="26"/>
    </row>
    <row r="18" spans="1:4" ht="16" customHeight="1" x14ac:dyDescent="0.2">
      <c r="A18" s="11" t="s">
        <v>34</v>
      </c>
      <c r="B18" s="12"/>
      <c r="C18" s="13">
        <f>SUMIFS(Daybook!$E:$E,Daybook!$C:$C,"Payment",Daybook!$A:$A,"&gt;="&amp;$B$3,Daybook!$A:$A,"&lt;="&amp;$D$3)</f>
        <v>0</v>
      </c>
      <c r="D18" s="12"/>
    </row>
    <row r="19" spans="1:4" ht="16" customHeight="1" x14ac:dyDescent="0.2">
      <c r="A19" s="27" t="s">
        <v>35</v>
      </c>
      <c r="B19" s="28"/>
      <c r="C19" s="29">
        <f>C18</f>
        <v>0</v>
      </c>
      <c r="D19" s="28"/>
    </row>
    <row r="21" spans="1:4" ht="19" customHeight="1" x14ac:dyDescent="0.2">
      <c r="A21" s="30" t="s">
        <v>36</v>
      </c>
      <c r="B21" s="31"/>
      <c r="C21" s="32">
        <f>C15-C19</f>
        <v>63239.335650000023</v>
      </c>
      <c r="D21" s="31"/>
    </row>
    <row r="23" spans="1:4" ht="16" customHeight="1" x14ac:dyDescent="0.2">
      <c r="A23" s="33" t="s">
        <v>37</v>
      </c>
      <c r="C23" s="34" t="str">
        <f>IF(C21&gt;0,"✅ PROFIT — Healthy",IF(C21=0,"➖ Break-even","🔴 LOSS — Review costs"))</f>
        <v>✅ PROFIT — Healthy</v>
      </c>
    </row>
    <row r="24" spans="1:4" ht="16" customHeight="1" x14ac:dyDescent="0.2">
      <c r="A24" s="33" t="s">
        <v>38</v>
      </c>
      <c r="C24" s="35">
        <f>IF(C9=0,0,C21/C9)</f>
        <v>0.10506425652644726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F52"/>
  <sheetViews>
    <sheetView workbookViewId="0">
      <pane ySplit="7" topLeftCell="A35" activePane="bottomLeft" state="frozen"/>
      <selection pane="bottomLeft" activeCell="A48" sqref="A48"/>
    </sheetView>
  </sheetViews>
  <sheetFormatPr baseColWidth="10" defaultColWidth="8.83203125" defaultRowHeight="15" x14ac:dyDescent="0.2"/>
  <cols>
    <col min="1" max="1" width="30" customWidth="1"/>
    <col min="2" max="2" width="12" customWidth="1"/>
    <col min="3" max="5" width="16" customWidth="1"/>
    <col min="6" max="6" width="14.6640625" bestFit="1" customWidth="1"/>
  </cols>
  <sheetData>
    <row r="1" spans="1:6" ht="21" customHeight="1" x14ac:dyDescent="0.2">
      <c r="A1" s="210" t="str">
        <f>BizName</f>
        <v>PRARAMBHA DAIRY</v>
      </c>
      <c r="B1" s="202"/>
      <c r="C1" s="202"/>
      <c r="D1" s="202"/>
      <c r="E1" s="202"/>
      <c r="F1" s="202"/>
    </row>
    <row r="2" spans="1:6" ht="24" customHeight="1" x14ac:dyDescent="0.2">
      <c r="A2" s="209" t="s">
        <v>39</v>
      </c>
      <c r="B2" s="202"/>
      <c r="C2" s="202"/>
      <c r="D2" s="202"/>
      <c r="E2" s="202"/>
      <c r="F2" s="202"/>
    </row>
    <row r="4" spans="1:6" x14ac:dyDescent="0.2">
      <c r="A4" s="85" t="s">
        <v>23</v>
      </c>
      <c r="B4" s="158" t="s">
        <v>40</v>
      </c>
      <c r="C4" s="85" t="s">
        <v>24</v>
      </c>
      <c r="D4" s="158" t="s">
        <v>41</v>
      </c>
      <c r="E4" s="90" t="s">
        <v>42</v>
      </c>
      <c r="F4" s="91">
        <f>SUMIF(E8:E48,"&gt;0")</f>
        <v>511461.48749999999</v>
      </c>
    </row>
    <row r="5" spans="1:6" x14ac:dyDescent="0.2">
      <c r="A5" s="89" t="str">
        <f>"Period: "&amp;TEXT($B$4,"dd-mmm-yyyy")&amp;" to "&amp;TEXT($D$4,"dd-mmm-yyyy")</f>
        <v>Period: 15-Mar-2083 to 09-Apr-2083</v>
      </c>
      <c r="E5" s="90" t="s">
        <v>43</v>
      </c>
      <c r="F5" s="92">
        <f>-SUMIF(E8:E48,"&lt;0")</f>
        <v>406807.43650000001</v>
      </c>
    </row>
    <row r="7" spans="1:6" x14ac:dyDescent="0.2">
      <c r="A7" s="86" t="s">
        <v>44</v>
      </c>
      <c r="B7" s="86" t="s">
        <v>45</v>
      </c>
      <c r="C7" s="86" t="s">
        <v>46</v>
      </c>
      <c r="D7" s="86" t="s">
        <v>47</v>
      </c>
      <c r="E7" s="86" t="s">
        <v>48</v>
      </c>
      <c r="F7" s="86" t="s">
        <v>49</v>
      </c>
    </row>
    <row r="8" spans="1:6" x14ac:dyDescent="0.2">
      <c r="A8" s="93" t="str">
        <f>Party_Master!$A$3</f>
        <v>AAMOSH KIRANA</v>
      </c>
      <c r="B8" s="94" t="str">
        <f>Party_Master!$B$3</f>
        <v>Customer</v>
      </c>
      <c r="C8" s="95">
        <f>SUMIFS(Party_Ledger!$F:$F,Party_Ledger!$B:$B,$A8,Party_Ledger!$A:$A,"&gt;="&amp;$B$4,Party_Ledger!$A:$A,"&lt;="&amp;$D$4)</f>
        <v>0</v>
      </c>
      <c r="D8" s="95">
        <f>SUMIFS(Party_Ledger!$G:$G,Party_Ledger!$B:$B,$A8,Party_Ledger!$A:$A,"&gt;="&amp;$B$4,Party_Ledger!$A:$A,"&lt;="&amp;$D$4)</f>
        <v>0</v>
      </c>
      <c r="E8" s="95">
        <f t="shared" ref="E8:E48" si="0">C8-D8</f>
        <v>0</v>
      </c>
      <c r="F8" s="96" t="str">
        <f t="shared" ref="F8:F48" si="1">IF(ROUND(E8,0)=0,"Settled",IF(E8&gt;0,"Receivable","Payable"))</f>
        <v>Settled</v>
      </c>
    </row>
    <row r="9" spans="1:6" x14ac:dyDescent="0.2">
      <c r="A9" s="97" t="str">
        <f>Party_Master!$A$4</f>
        <v>AAYUSH AAYUSHMA</v>
      </c>
      <c r="B9" s="98" t="str">
        <f>Party_Master!$B$4</f>
        <v>Customer</v>
      </c>
      <c r="C9" s="99">
        <f>SUMIFS(Party_Ledger!$F:$F,Party_Ledger!$B:$B,$A9,Party_Ledger!$A:$A,"&gt;="&amp;$B$4,Party_Ledger!$A:$A,"&lt;="&amp;$D$4)</f>
        <v>0</v>
      </c>
      <c r="D9" s="99">
        <f>SUMIFS(Party_Ledger!$G:$G,Party_Ledger!$B:$B,$A9,Party_Ledger!$A:$A,"&gt;="&amp;$B$4,Party_Ledger!$A:$A,"&lt;="&amp;$D$4)</f>
        <v>0</v>
      </c>
      <c r="E9" s="99">
        <f t="shared" si="0"/>
        <v>0</v>
      </c>
      <c r="F9" s="100" t="str">
        <f t="shared" si="1"/>
        <v>Settled</v>
      </c>
    </row>
    <row r="10" spans="1:6" x14ac:dyDescent="0.2">
      <c r="A10" s="93" t="str">
        <f>Party_Master!$A$5</f>
        <v>BHUSAL JANARAL</v>
      </c>
      <c r="B10" s="94" t="str">
        <f>Party_Master!$B$5</f>
        <v>Customer</v>
      </c>
      <c r="C10" s="95">
        <f>SUMIFS(Party_Ledger!$F:$F,Party_Ledger!$B:$B,$A10,Party_Ledger!$A:$A,"&gt;="&amp;$B$4,Party_Ledger!$A:$A,"&lt;="&amp;$D$4)</f>
        <v>6840</v>
      </c>
      <c r="D10" s="95">
        <f>SUMIFS(Party_Ledger!$G:$G,Party_Ledger!$B:$B,$A10,Party_Ledger!$A:$A,"&gt;="&amp;$B$4,Party_Ledger!$A:$A,"&lt;="&amp;$D$4)</f>
        <v>0</v>
      </c>
      <c r="E10" s="95">
        <f t="shared" si="0"/>
        <v>6840</v>
      </c>
      <c r="F10" s="96" t="str">
        <f t="shared" si="1"/>
        <v>Receivable</v>
      </c>
    </row>
    <row r="11" spans="1:6" x14ac:dyDescent="0.2">
      <c r="A11" s="97" t="str">
        <f>Party_Master!$A$6</f>
        <v>BIKRAM DHUNGANA</v>
      </c>
      <c r="B11" s="98" t="str">
        <f>Party_Master!$B$6</f>
        <v>Customer</v>
      </c>
      <c r="C11" s="99">
        <f>SUMIFS(Party_Ledger!$F:$F,Party_Ledger!$B:$B,$A11,Party_Ledger!$A:$A,"&gt;="&amp;$B$4,Party_Ledger!$A:$A,"&lt;="&amp;$D$4)</f>
        <v>2200</v>
      </c>
      <c r="D11" s="99">
        <f>SUMIFS(Party_Ledger!$G:$G,Party_Ledger!$B:$B,$A11,Party_Ledger!$A:$A,"&gt;="&amp;$B$4,Party_Ledger!$A:$A,"&lt;="&amp;$D$4)</f>
        <v>0</v>
      </c>
      <c r="E11" s="99">
        <f t="shared" si="0"/>
        <v>2200</v>
      </c>
      <c r="F11" s="100" t="str">
        <f t="shared" si="1"/>
        <v>Receivable</v>
      </c>
    </row>
    <row r="12" spans="1:6" x14ac:dyDescent="0.2">
      <c r="A12" s="93" t="str">
        <f>Party_Master!$A$7</f>
        <v>CHHATRABHUMI</v>
      </c>
      <c r="B12" s="94" t="str">
        <f>Party_Master!$B$7</f>
        <v>Customer</v>
      </c>
      <c r="C12" s="95">
        <f>SUMIFS(Party_Ledger!$F:$F,Party_Ledger!$B:$B,$A12,Party_Ledger!$A:$A,"&gt;="&amp;$B$4,Party_Ledger!$A:$A,"&lt;="&amp;$D$4)</f>
        <v>56760</v>
      </c>
      <c r="D12" s="95">
        <f>SUMIFS(Party_Ledger!$G:$G,Party_Ledger!$B:$B,$A12,Party_Ledger!$A:$A,"&gt;="&amp;$B$4,Party_Ledger!$A:$A,"&lt;="&amp;$D$4)</f>
        <v>0</v>
      </c>
      <c r="E12" s="95">
        <f t="shared" si="0"/>
        <v>56760</v>
      </c>
      <c r="F12" s="96" t="str">
        <f t="shared" si="1"/>
        <v>Receivable</v>
      </c>
    </row>
    <row r="13" spans="1:6" x14ac:dyDescent="0.2">
      <c r="A13" s="97" t="str">
        <f>Party_Master!$A$8</f>
        <v>DANDA PANI ACHARYA</v>
      </c>
      <c r="B13" s="98" t="str">
        <f>Party_Master!$B$8</f>
        <v>Customer</v>
      </c>
      <c r="C13" s="99">
        <f>SUMIFS(Party_Ledger!$F:$F,Party_Ledger!$B:$B,$A13,Party_Ledger!$A:$A,"&gt;="&amp;$B$4,Party_Ledger!$A:$A,"&lt;="&amp;$D$4)</f>
        <v>0</v>
      </c>
      <c r="D13" s="99">
        <f>SUMIFS(Party_Ledger!$G:$G,Party_Ledger!$B:$B,$A13,Party_Ledger!$A:$A,"&gt;="&amp;$B$4,Party_Ledger!$A:$A,"&lt;="&amp;$D$4)</f>
        <v>0</v>
      </c>
      <c r="E13" s="99">
        <f t="shared" si="0"/>
        <v>0</v>
      </c>
      <c r="F13" s="100" t="str">
        <f t="shared" si="1"/>
        <v>Settled</v>
      </c>
    </row>
    <row r="14" spans="1:6" x14ac:dyDescent="0.2">
      <c r="A14" s="93" t="str">
        <f>Party_Master!$A$9</f>
        <v>DEURALI KIRANA</v>
      </c>
      <c r="B14" s="94" t="str">
        <f>Party_Master!$B$9</f>
        <v>Customer</v>
      </c>
      <c r="C14" s="95">
        <f>SUMIFS(Party_Ledger!$F:$F,Party_Ledger!$B:$B,$A14,Party_Ledger!$A:$A,"&gt;="&amp;$B$4,Party_Ledger!$A:$A,"&lt;="&amp;$D$4)</f>
        <v>0</v>
      </c>
      <c r="D14" s="95">
        <f>SUMIFS(Party_Ledger!$G:$G,Party_Ledger!$B:$B,$A14,Party_Ledger!$A:$A,"&gt;="&amp;$B$4,Party_Ledger!$A:$A,"&lt;="&amp;$D$4)</f>
        <v>0</v>
      </c>
      <c r="E14" s="95">
        <f t="shared" si="0"/>
        <v>0</v>
      </c>
      <c r="F14" s="96" t="str">
        <f t="shared" si="1"/>
        <v>Settled</v>
      </c>
    </row>
    <row r="15" spans="1:6" x14ac:dyDescent="0.2">
      <c r="A15" s="97" t="str">
        <f>Party_Master!$A$10</f>
        <v>DURGA MALLA</v>
      </c>
      <c r="B15" s="98" t="str">
        <f>Party_Master!$B$10</f>
        <v>Customer</v>
      </c>
      <c r="C15" s="99">
        <f>SUMIFS(Party_Ledger!$F:$F,Party_Ledger!$B:$B,$A15,Party_Ledger!$A:$A,"&gt;="&amp;$B$4,Party_Ledger!$A:$A,"&lt;="&amp;$D$4)</f>
        <v>18700</v>
      </c>
      <c r="D15" s="99">
        <f>SUMIFS(Party_Ledger!$G:$G,Party_Ledger!$B:$B,$A15,Party_Ledger!$A:$A,"&gt;="&amp;$B$4,Party_Ledger!$A:$A,"&lt;="&amp;$D$4)</f>
        <v>0</v>
      </c>
      <c r="E15" s="99">
        <f t="shared" si="0"/>
        <v>18700</v>
      </c>
      <c r="F15" s="100" t="str">
        <f t="shared" si="1"/>
        <v>Receivable</v>
      </c>
    </row>
    <row r="16" spans="1:6" x14ac:dyDescent="0.2">
      <c r="A16" s="93" t="str">
        <f>Party_Master!$A$11</f>
        <v>GANGA NEUPANE</v>
      </c>
      <c r="B16" s="94" t="str">
        <f>Party_Master!$B$11</f>
        <v>Customer</v>
      </c>
      <c r="C16" s="95">
        <f>SUMIFS(Party_Ledger!$F:$F,Party_Ledger!$B:$B,$A16,Party_Ledger!$A:$A,"&gt;="&amp;$B$4,Party_Ledger!$A:$A,"&lt;="&amp;$D$4)</f>
        <v>15895</v>
      </c>
      <c r="D16" s="95">
        <f>SUMIFS(Party_Ledger!$G:$G,Party_Ledger!$B:$B,$A16,Party_Ledger!$A:$A,"&gt;="&amp;$B$4,Party_Ledger!$A:$A,"&lt;="&amp;$D$4)</f>
        <v>0</v>
      </c>
      <c r="E16" s="95">
        <f t="shared" si="0"/>
        <v>15895</v>
      </c>
      <c r="F16" s="96" t="str">
        <f t="shared" si="1"/>
        <v>Receivable</v>
      </c>
    </row>
    <row r="17" spans="1:6" x14ac:dyDescent="0.2">
      <c r="A17" s="97" t="str">
        <f>Party_Master!$A$12</f>
        <v>GIRI KIRANA</v>
      </c>
      <c r="B17" s="98" t="str">
        <f>Party_Master!$B$12</f>
        <v>Customer</v>
      </c>
      <c r="C17" s="99">
        <f>SUMIFS(Party_Ledger!$F:$F,Party_Ledger!$B:$B,$A17,Party_Ledger!$A:$A,"&gt;="&amp;$B$4,Party_Ledger!$A:$A,"&lt;="&amp;$D$4)</f>
        <v>0</v>
      </c>
      <c r="D17" s="99">
        <f>SUMIFS(Party_Ledger!$G:$G,Party_Ledger!$B:$B,$A17,Party_Ledger!$A:$A,"&gt;="&amp;$B$4,Party_Ledger!$A:$A,"&lt;="&amp;$D$4)</f>
        <v>0</v>
      </c>
      <c r="E17" s="99">
        <f t="shared" si="0"/>
        <v>0</v>
      </c>
      <c r="F17" s="100" t="str">
        <f t="shared" si="1"/>
        <v>Settled</v>
      </c>
    </row>
    <row r="18" spans="1:6" x14ac:dyDescent="0.2">
      <c r="A18" s="93" t="str">
        <f>Party_Master!$A$13</f>
        <v>INDRA BK</v>
      </c>
      <c r="B18" s="94" t="str">
        <f>Party_Master!$B$13</f>
        <v>Customer</v>
      </c>
      <c r="C18" s="95">
        <f>SUMIFS(Party_Ledger!$F:$F,Party_Ledger!$B:$B,$A18,Party_Ledger!$A:$A,"&gt;="&amp;$B$4,Party_Ledger!$A:$A,"&lt;="&amp;$D$4)</f>
        <v>1270</v>
      </c>
      <c r="D18" s="95">
        <f>SUMIFS(Party_Ledger!$G:$G,Party_Ledger!$B:$B,$A18,Party_Ledger!$A:$A,"&gt;="&amp;$B$4,Party_Ledger!$A:$A,"&lt;="&amp;$D$4)</f>
        <v>0</v>
      </c>
      <c r="E18" s="95">
        <f t="shared" si="0"/>
        <v>1270</v>
      </c>
      <c r="F18" s="96" t="str">
        <f t="shared" si="1"/>
        <v>Receivable</v>
      </c>
    </row>
    <row r="19" spans="1:6" x14ac:dyDescent="0.2">
      <c r="A19" s="97" t="str">
        <f>Party_Master!$A$14</f>
        <v>KALIKA CANTEEN A</v>
      </c>
      <c r="B19" s="98" t="str">
        <f>Party_Master!$B$14</f>
        <v>Customer</v>
      </c>
      <c r="C19" s="99">
        <f>SUMIFS(Party_Ledger!$F:$F,Party_Ledger!$B:$B,$A19,Party_Ledger!$A:$A,"&gt;="&amp;$B$4,Party_Ledger!$A:$A,"&lt;="&amp;$D$4)</f>
        <v>11900</v>
      </c>
      <c r="D19" s="99">
        <f>SUMIFS(Party_Ledger!$G:$G,Party_Ledger!$B:$B,$A19,Party_Ledger!$A:$A,"&gt;="&amp;$B$4,Party_Ledger!$A:$A,"&lt;="&amp;$D$4)</f>
        <v>0</v>
      </c>
      <c r="E19" s="99">
        <f t="shared" si="0"/>
        <v>11900</v>
      </c>
      <c r="F19" s="100" t="str">
        <f t="shared" si="1"/>
        <v>Receivable</v>
      </c>
    </row>
    <row r="20" spans="1:6" x14ac:dyDescent="0.2">
      <c r="A20" s="93" t="str">
        <f>Party_Master!$A$15</f>
        <v>KALIKA CANTEEN A1</v>
      </c>
      <c r="B20" s="94" t="str">
        <f>Party_Master!$B$15</f>
        <v>Customer</v>
      </c>
      <c r="C20" s="95">
        <f>SUMIFS(Party_Ledger!$F:$F,Party_Ledger!$B:$B,$A20,Party_Ledger!$A:$A,"&gt;="&amp;$B$4,Party_Ledger!$A:$A,"&lt;="&amp;$D$4)</f>
        <v>10200</v>
      </c>
      <c r="D20" s="95">
        <f>SUMIFS(Party_Ledger!$G:$G,Party_Ledger!$B:$B,$A20,Party_Ledger!$A:$A,"&gt;="&amp;$B$4,Party_Ledger!$A:$A,"&lt;="&amp;$D$4)</f>
        <v>0</v>
      </c>
      <c r="E20" s="95">
        <f t="shared" si="0"/>
        <v>10200</v>
      </c>
      <c r="F20" s="96" t="str">
        <f t="shared" si="1"/>
        <v>Receivable</v>
      </c>
    </row>
    <row r="21" spans="1:6" x14ac:dyDescent="0.2">
      <c r="A21" s="97" t="str">
        <f>Party_Master!$A$16</f>
        <v>KRISHNA KHAREL</v>
      </c>
      <c r="B21" s="98" t="str">
        <f>Party_Master!$B$16</f>
        <v>Customer</v>
      </c>
      <c r="C21" s="99">
        <f>SUMIFS(Party_Ledger!$F:$F,Party_Ledger!$B:$B,$A21,Party_Ledger!$A:$A,"&gt;="&amp;$B$4,Party_Ledger!$A:$A,"&lt;="&amp;$D$4)</f>
        <v>10226</v>
      </c>
      <c r="D21" s="99">
        <f>SUMIFS(Party_Ledger!$G:$G,Party_Ledger!$B:$B,$A21,Party_Ledger!$A:$A,"&gt;="&amp;$B$4,Party_Ledger!$A:$A,"&lt;="&amp;$D$4)</f>
        <v>0</v>
      </c>
      <c r="E21" s="99">
        <f t="shared" si="0"/>
        <v>10226</v>
      </c>
      <c r="F21" s="100" t="str">
        <f t="shared" si="1"/>
        <v>Receivable</v>
      </c>
    </row>
    <row r="22" spans="1:6" x14ac:dyDescent="0.2">
      <c r="A22" s="93" t="str">
        <f>Party_Master!$A$17</f>
        <v>KRITIKA KIRANA</v>
      </c>
      <c r="B22" s="94" t="str">
        <f>Party_Master!$B$17</f>
        <v>Customer</v>
      </c>
      <c r="C22" s="95">
        <f>SUMIFS(Party_Ledger!$F:$F,Party_Ledger!$B:$B,$A22,Party_Ledger!$A:$A,"&gt;="&amp;$B$4,Party_Ledger!$A:$A,"&lt;="&amp;$D$4)</f>
        <v>0</v>
      </c>
      <c r="D22" s="95">
        <f>SUMIFS(Party_Ledger!$G:$G,Party_Ledger!$B:$B,$A22,Party_Ledger!$A:$A,"&gt;="&amp;$B$4,Party_Ledger!$A:$A,"&lt;="&amp;$D$4)</f>
        <v>0</v>
      </c>
      <c r="E22" s="95">
        <f t="shared" si="0"/>
        <v>0</v>
      </c>
      <c r="F22" s="96" t="str">
        <f t="shared" si="1"/>
        <v>Settled</v>
      </c>
    </row>
    <row r="23" spans="1:6" x14ac:dyDescent="0.2">
      <c r="A23" s="97" t="str">
        <f>Party_Master!$A$18</f>
        <v>KULCHANDRA GYAWALI</v>
      </c>
      <c r="B23" s="98" t="str">
        <f>Party_Master!$B$18</f>
        <v>Customer</v>
      </c>
      <c r="C23" s="99">
        <f>SUMIFS(Party_Ledger!$F:$F,Party_Ledger!$B:$B,$A23,Party_Ledger!$A:$A,"&gt;="&amp;$B$4,Party_Ledger!$A:$A,"&lt;="&amp;$D$4)</f>
        <v>1600</v>
      </c>
      <c r="D23" s="99">
        <f>SUMIFS(Party_Ledger!$G:$G,Party_Ledger!$B:$B,$A23,Party_Ledger!$A:$A,"&gt;="&amp;$B$4,Party_Ledger!$A:$A,"&lt;="&amp;$D$4)</f>
        <v>0</v>
      </c>
      <c r="E23" s="99">
        <f t="shared" si="0"/>
        <v>1600</v>
      </c>
      <c r="F23" s="100" t="str">
        <f t="shared" si="1"/>
        <v>Receivable</v>
      </c>
    </row>
    <row r="24" spans="1:6" x14ac:dyDescent="0.2">
      <c r="A24" s="93" t="str">
        <f>Party_Master!$A$19</f>
        <v>LILADHAR GAUTAM</v>
      </c>
      <c r="B24" s="94" t="str">
        <f>Party_Master!$B$19</f>
        <v>Customer</v>
      </c>
      <c r="C24" s="95">
        <f>SUMIFS(Party_Ledger!$F:$F,Party_Ledger!$B:$B,$A24,Party_Ledger!$A:$A,"&gt;="&amp;$B$4,Party_Ledger!$A:$A,"&lt;="&amp;$D$4)</f>
        <v>2400</v>
      </c>
      <c r="D24" s="95">
        <f>SUMIFS(Party_Ledger!$G:$G,Party_Ledger!$B:$B,$A24,Party_Ledger!$A:$A,"&gt;="&amp;$B$4,Party_Ledger!$A:$A,"&lt;="&amp;$D$4)</f>
        <v>0</v>
      </c>
      <c r="E24" s="95">
        <f t="shared" si="0"/>
        <v>2400</v>
      </c>
      <c r="F24" s="96" t="str">
        <f t="shared" si="1"/>
        <v>Receivable</v>
      </c>
    </row>
    <row r="25" spans="1:6" x14ac:dyDescent="0.2">
      <c r="A25" s="97" t="str">
        <f>Party_Master!$A$20</f>
        <v>LOCAL</v>
      </c>
      <c r="B25" s="98" t="str">
        <f>Party_Master!$B$20</f>
        <v>Customer</v>
      </c>
      <c r="C25" s="99">
        <f>SUMIFS(Party_Ledger!$F:$F,Party_Ledger!$B:$B,$A25,Party_Ledger!$A:$A,"&gt;="&amp;$B$4,Party_Ledger!$A:$A,"&lt;="&amp;$D$4)</f>
        <v>21924.987499999999</v>
      </c>
      <c r="D25" s="99">
        <f>SUMIFS(Party_Ledger!$G:$G,Party_Ledger!$B:$B,$A25,Party_Ledger!$A:$A,"&gt;="&amp;$B$4,Party_Ledger!$A:$A,"&lt;="&amp;$D$4)</f>
        <v>0</v>
      </c>
      <c r="E25" s="99">
        <f t="shared" si="0"/>
        <v>21924.987499999999</v>
      </c>
      <c r="F25" s="100" t="str">
        <f t="shared" si="1"/>
        <v>Receivable</v>
      </c>
    </row>
    <row r="26" spans="1:6" x14ac:dyDescent="0.2">
      <c r="A26" s="93" t="str">
        <f>Party_Master!$A$21</f>
        <v>MANAKAMANA DAIRY</v>
      </c>
      <c r="B26" s="94" t="str">
        <f>Party_Master!$B$21</f>
        <v>Customer</v>
      </c>
      <c r="C26" s="95">
        <f>SUMIFS(Party_Ledger!$F:$F,Party_Ledger!$B:$B,$A26,Party_Ledger!$A:$A,"&gt;="&amp;$B$4,Party_Ledger!$A:$A,"&lt;="&amp;$D$4)</f>
        <v>19125</v>
      </c>
      <c r="D26" s="95">
        <f>SUMIFS(Party_Ledger!$G:$G,Party_Ledger!$B:$B,$A26,Party_Ledger!$A:$A,"&gt;="&amp;$B$4,Party_Ledger!$A:$A,"&lt;="&amp;$D$4)</f>
        <v>0</v>
      </c>
      <c r="E26" s="95">
        <f t="shared" si="0"/>
        <v>19125</v>
      </c>
      <c r="F26" s="96" t="str">
        <f t="shared" si="1"/>
        <v>Receivable</v>
      </c>
    </row>
    <row r="27" spans="1:6" x14ac:dyDescent="0.2">
      <c r="A27" s="97" t="str">
        <f>Party_Master!$A$22</f>
        <v>MEGHRAJ (MITERI)</v>
      </c>
      <c r="B27" s="98" t="str">
        <f>Party_Master!$B$22</f>
        <v>Customer</v>
      </c>
      <c r="C27" s="99">
        <f>SUMIFS(Party_Ledger!$F:$F,Party_Ledger!$B:$B,$A27,Party_Ledger!$A:$A,"&gt;="&amp;$B$4,Party_Ledger!$A:$A,"&lt;="&amp;$D$4)</f>
        <v>2200</v>
      </c>
      <c r="D27" s="99">
        <f>SUMIFS(Party_Ledger!$G:$G,Party_Ledger!$B:$B,$A27,Party_Ledger!$A:$A,"&gt;="&amp;$B$4,Party_Ledger!$A:$A,"&lt;="&amp;$D$4)</f>
        <v>0</v>
      </c>
      <c r="E27" s="99">
        <f t="shared" si="0"/>
        <v>2200</v>
      </c>
      <c r="F27" s="100" t="str">
        <f t="shared" si="1"/>
        <v>Receivable</v>
      </c>
    </row>
    <row r="28" spans="1:6" x14ac:dyDescent="0.2">
      <c r="A28" s="93" t="str">
        <f>Party_Master!$A$23</f>
        <v>NAR BAHADUR RANA</v>
      </c>
      <c r="B28" s="94" t="str">
        <f>Party_Master!$B$23</f>
        <v>Customer</v>
      </c>
      <c r="C28" s="95">
        <f>SUMIFS(Party_Ledger!$F:$F,Party_Ledger!$B:$B,$A28,Party_Ledger!$A:$A,"&gt;="&amp;$B$4,Party_Ledger!$A:$A,"&lt;="&amp;$D$4)</f>
        <v>0</v>
      </c>
      <c r="D28" s="95">
        <f>SUMIFS(Party_Ledger!$G:$G,Party_Ledger!$B:$B,$A28,Party_Ledger!$A:$A,"&gt;="&amp;$B$4,Party_Ledger!$A:$A,"&lt;="&amp;$D$4)</f>
        <v>0</v>
      </c>
      <c r="E28" s="95">
        <f t="shared" si="0"/>
        <v>0</v>
      </c>
      <c r="F28" s="96" t="str">
        <f t="shared" si="1"/>
        <v>Settled</v>
      </c>
    </row>
    <row r="29" spans="1:6" x14ac:dyDescent="0.2">
      <c r="A29" s="97" t="str">
        <f>Party_Master!$A$24</f>
        <v>NAWARAJ NEPAL</v>
      </c>
      <c r="B29" s="98" t="str">
        <f>Party_Master!$B$24</f>
        <v>Customer</v>
      </c>
      <c r="C29" s="99">
        <f>SUMIFS(Party_Ledger!$F:$F,Party_Ledger!$B:$B,$A29,Party_Ledger!$A:$A,"&gt;="&amp;$B$4,Party_Ledger!$A:$A,"&lt;="&amp;$D$4)</f>
        <v>805</v>
      </c>
      <c r="D29" s="99">
        <f>SUMIFS(Party_Ledger!$G:$G,Party_Ledger!$B:$B,$A29,Party_Ledger!$A:$A,"&gt;="&amp;$B$4,Party_Ledger!$A:$A,"&lt;="&amp;$D$4)</f>
        <v>0</v>
      </c>
      <c r="E29" s="99">
        <f t="shared" si="0"/>
        <v>805</v>
      </c>
      <c r="F29" s="100" t="str">
        <f t="shared" si="1"/>
        <v>Receivable</v>
      </c>
    </row>
    <row r="30" spans="1:6" x14ac:dyDescent="0.2">
      <c r="A30" s="93" t="str">
        <f>Party_Master!$A$25</f>
        <v>NEHA MISTHAN</v>
      </c>
      <c r="B30" s="94" t="str">
        <f>Party_Master!$B$25</f>
        <v>Customer</v>
      </c>
      <c r="C30" s="95">
        <f>SUMIFS(Party_Ledger!$F:$F,Party_Ledger!$B:$B,$A30,Party_Ledger!$A:$A,"&gt;="&amp;$B$4,Party_Ledger!$A:$A,"&lt;="&amp;$D$4)</f>
        <v>3400</v>
      </c>
      <c r="D30" s="95">
        <f>SUMIFS(Party_Ledger!$G:$G,Party_Ledger!$B:$B,$A30,Party_Ledger!$A:$A,"&gt;="&amp;$B$4,Party_Ledger!$A:$A,"&lt;="&amp;$D$4)</f>
        <v>0</v>
      </c>
      <c r="E30" s="95">
        <f t="shared" si="0"/>
        <v>3400</v>
      </c>
      <c r="F30" s="96" t="str">
        <f t="shared" si="1"/>
        <v>Receivable</v>
      </c>
    </row>
    <row r="31" spans="1:6" x14ac:dyDescent="0.2">
      <c r="A31" s="97" t="str">
        <f>Party_Master!$A$26</f>
        <v>NEUPANE KIRANA</v>
      </c>
      <c r="B31" s="98" t="str">
        <f>Party_Master!$B$26</f>
        <v>Customer</v>
      </c>
      <c r="C31" s="99">
        <f>SUMIFS(Party_Ledger!$F:$F,Party_Ledger!$B:$B,$A31,Party_Ledger!$A:$A,"&gt;="&amp;$B$4,Party_Ledger!$A:$A,"&lt;="&amp;$D$4)</f>
        <v>2980</v>
      </c>
      <c r="D31" s="99">
        <f>SUMIFS(Party_Ledger!$G:$G,Party_Ledger!$B:$B,$A31,Party_Ledger!$A:$A,"&gt;="&amp;$B$4,Party_Ledger!$A:$A,"&lt;="&amp;$D$4)</f>
        <v>0</v>
      </c>
      <c r="E31" s="99">
        <f t="shared" si="0"/>
        <v>2980</v>
      </c>
      <c r="F31" s="100" t="str">
        <f t="shared" si="1"/>
        <v>Receivable</v>
      </c>
    </row>
    <row r="32" spans="1:6" x14ac:dyDescent="0.2">
      <c r="A32" s="93" t="str">
        <f>Party_Master!$A$27</f>
        <v>ORGANIC TARKALI</v>
      </c>
      <c r="B32" s="94" t="str">
        <f>Party_Master!$B$27</f>
        <v>Customer</v>
      </c>
      <c r="C32" s="95">
        <f>SUMIFS(Party_Ledger!$F:$F,Party_Ledger!$B:$B,$A32,Party_Ledger!$A:$A,"&gt;="&amp;$B$4,Party_Ledger!$A:$A,"&lt;="&amp;$D$4)</f>
        <v>76647.5</v>
      </c>
      <c r="D32" s="95">
        <f>SUMIFS(Party_Ledger!$G:$G,Party_Ledger!$B:$B,$A32,Party_Ledger!$A:$A,"&gt;="&amp;$B$4,Party_Ledger!$A:$A,"&lt;="&amp;$D$4)</f>
        <v>0</v>
      </c>
      <c r="E32" s="95">
        <f t="shared" si="0"/>
        <v>76647.5</v>
      </c>
      <c r="F32" s="96" t="str">
        <f t="shared" si="1"/>
        <v>Receivable</v>
      </c>
    </row>
    <row r="33" spans="1:6" x14ac:dyDescent="0.2">
      <c r="A33" s="97" t="str">
        <f>Party_Master!$A$28</f>
        <v>PALPALI</v>
      </c>
      <c r="B33" s="98" t="str">
        <f>Party_Master!$B$28</f>
        <v>Customer</v>
      </c>
      <c r="C33" s="99">
        <f>SUMIFS(Party_Ledger!$F:$F,Party_Ledger!$B:$B,$A33,Party_Ledger!$A:$A,"&gt;="&amp;$B$4,Party_Ledger!$A:$A,"&lt;="&amp;$D$4)</f>
        <v>48025</v>
      </c>
      <c r="D33" s="99">
        <f>SUMIFS(Party_Ledger!$G:$G,Party_Ledger!$B:$B,$A33,Party_Ledger!$A:$A,"&gt;="&amp;$B$4,Party_Ledger!$A:$A,"&lt;="&amp;$D$4)</f>
        <v>0</v>
      </c>
      <c r="E33" s="99">
        <f t="shared" si="0"/>
        <v>48025</v>
      </c>
      <c r="F33" s="100" t="str">
        <f t="shared" si="1"/>
        <v>Receivable</v>
      </c>
    </row>
    <row r="34" spans="1:6" x14ac:dyDescent="0.2">
      <c r="A34" s="93" t="str">
        <f>Party_Master!$A$29</f>
        <v>PARSHURAM THARU</v>
      </c>
      <c r="B34" s="167" t="str">
        <f>Party_Master!$B$29</f>
        <v>Customer</v>
      </c>
      <c r="C34" s="95">
        <f>SUMIFS(Party_Ledger!$F:$F,Party_Ledger!$B:$B,$A34,Party_Ledger!$A:$A,"&gt;="&amp;$B$4,Party_Ledger!$A:$A,"&lt;="&amp;$D$4)</f>
        <v>1680</v>
      </c>
      <c r="D34" s="95">
        <f>SUMIFS(Party_Ledger!$G:$G,Party_Ledger!$B:$B,$A34,Party_Ledger!$A:$A,"&gt;="&amp;$B$4,Party_Ledger!$A:$A,"&lt;="&amp;$D$4)</f>
        <v>0</v>
      </c>
      <c r="E34" s="95">
        <f t="shared" si="0"/>
        <v>1680</v>
      </c>
      <c r="F34" s="96" t="str">
        <f t="shared" si="1"/>
        <v>Receivable</v>
      </c>
    </row>
    <row r="35" spans="1:6" x14ac:dyDescent="0.2">
      <c r="A35" s="97" t="str">
        <f>Party_Master!$A$30</f>
        <v>SAMIKSHYA</v>
      </c>
      <c r="B35" s="98" t="str">
        <f>Party_Master!$B$30</f>
        <v>Customer</v>
      </c>
      <c r="C35" s="99">
        <f>SUMIFS(Party_Ledger!$F:$F,Party_Ledger!$B:$B,$A35,Party_Ledger!$A:$A,"&gt;="&amp;$B$4,Party_Ledger!$A:$A,"&lt;="&amp;$D$4)</f>
        <v>0</v>
      </c>
      <c r="D35" s="99">
        <f>SUMIFS(Party_Ledger!$G:$G,Party_Ledger!$B:$B,$A35,Party_Ledger!$A:$A,"&gt;="&amp;$B$4,Party_Ledger!$A:$A,"&lt;="&amp;$D$4)</f>
        <v>0</v>
      </c>
      <c r="E35" s="99">
        <f t="shared" si="0"/>
        <v>0</v>
      </c>
      <c r="F35" s="100" t="str">
        <f t="shared" si="1"/>
        <v>Settled</v>
      </c>
    </row>
    <row r="36" spans="1:6" x14ac:dyDescent="0.2">
      <c r="A36" s="93" t="str">
        <f>Party_Master!$A$31</f>
        <v>SHARMA DAI</v>
      </c>
      <c r="B36" s="94" t="str">
        <f>Party_Master!$B$31</f>
        <v>Customer</v>
      </c>
      <c r="C36" s="95">
        <f>SUMIFS(Party_Ledger!$F:$F,Party_Ledger!$B:$B,$A36,Party_Ledger!$A:$A,"&gt;="&amp;$B$4,Party_Ledger!$A:$A,"&lt;="&amp;$D$4)</f>
        <v>56958</v>
      </c>
      <c r="D36" s="95">
        <f>SUMIFS(Party_Ledger!$G:$G,Party_Ledger!$B:$B,$A36,Party_Ledger!$A:$A,"&gt;="&amp;$B$4,Party_Ledger!$A:$A,"&lt;="&amp;$D$4)</f>
        <v>0</v>
      </c>
      <c r="E36" s="95">
        <f t="shared" si="0"/>
        <v>56958</v>
      </c>
      <c r="F36" s="96" t="str">
        <f t="shared" si="1"/>
        <v>Receivable</v>
      </c>
    </row>
    <row r="37" spans="1:6" x14ac:dyDescent="0.2">
      <c r="A37" s="97" t="str">
        <f>Party_Master!$A$32</f>
        <v>SOBHA BHATTARAI</v>
      </c>
      <c r="B37" s="98" t="str">
        <f>Party_Master!$B$32</f>
        <v>Customer</v>
      </c>
      <c r="C37" s="99">
        <f>SUMIFS(Party_Ledger!$F:$F,Party_Ledger!$B:$B,$A37,Party_Ledger!$A:$A,"&gt;="&amp;$B$4,Party_Ledger!$A:$A,"&lt;="&amp;$D$4)</f>
        <v>0</v>
      </c>
      <c r="D37" s="99">
        <f>SUMIFS(Party_Ledger!$G:$G,Party_Ledger!$B:$B,$A37,Party_Ledger!$A:$A,"&gt;="&amp;$B$4,Party_Ledger!$A:$A,"&lt;="&amp;$D$4)</f>
        <v>0</v>
      </c>
      <c r="E37" s="99">
        <f t="shared" si="0"/>
        <v>0</v>
      </c>
      <c r="F37" s="100" t="str">
        <f t="shared" si="1"/>
        <v>Settled</v>
      </c>
    </row>
    <row r="38" spans="1:6" x14ac:dyDescent="0.2">
      <c r="A38" s="93" t="str">
        <f>Party_Master!$A$33</f>
        <v>SRIJANA DAIRY (DEVI NAGAR)</v>
      </c>
      <c r="B38" s="94" t="str">
        <f>Party_Master!$B$33</f>
        <v>Customer</v>
      </c>
      <c r="C38" s="95">
        <f>SUMIFS(Party_Ledger!$F:$F,Party_Ledger!$B:$B,$A38,Party_Ledger!$A:$A,"&gt;="&amp;$B$4,Party_Ledger!$A:$A,"&lt;="&amp;$D$4)</f>
        <v>115525</v>
      </c>
      <c r="D38" s="95">
        <f>SUMIFS(Party_Ledger!$G:$G,Party_Ledger!$B:$B,$A38,Party_Ledger!$A:$A,"&gt;="&amp;$B$4,Party_Ledger!$A:$A,"&lt;="&amp;$D$4)</f>
        <v>0</v>
      </c>
      <c r="E38" s="95">
        <f t="shared" si="0"/>
        <v>115525</v>
      </c>
      <c r="F38" s="96" t="str">
        <f t="shared" si="1"/>
        <v>Receivable</v>
      </c>
    </row>
    <row r="39" spans="1:6" x14ac:dyDescent="0.2">
      <c r="A39" s="97" t="str">
        <f>Party_Master!$A$34</f>
        <v>SUBHA MAYA STORE</v>
      </c>
      <c r="B39" s="98" t="str">
        <f>Party_Master!$B$34</f>
        <v>Customer</v>
      </c>
      <c r="C39" s="99">
        <f>SUMIFS(Party_Ledger!$F:$F,Party_Ledger!$B:$B,$A39,Party_Ledger!$A:$A,"&gt;="&amp;$B$4,Party_Ledger!$A:$A,"&lt;="&amp;$D$4)</f>
        <v>11000</v>
      </c>
      <c r="D39" s="99">
        <f>SUMIFS(Party_Ledger!$G:$G,Party_Ledger!$B:$B,$A39,Party_Ledger!$A:$A,"&gt;="&amp;$B$4,Party_Ledger!$A:$A,"&lt;="&amp;$D$4)</f>
        <v>0</v>
      </c>
      <c r="E39" s="99">
        <f t="shared" si="0"/>
        <v>11000</v>
      </c>
      <c r="F39" s="100" t="str">
        <f t="shared" si="1"/>
        <v>Receivable</v>
      </c>
    </row>
    <row r="40" spans="1:6" x14ac:dyDescent="0.2">
      <c r="A40" s="93" t="str">
        <f>Party_Master!$A$35</f>
        <v>THE DARBAR</v>
      </c>
      <c r="B40" s="94" t="str">
        <f>Party_Master!$B$35</f>
        <v>Customer</v>
      </c>
      <c r="C40" s="95">
        <f>SUMIFS(Party_Ledger!$F:$F,Party_Ledger!$B:$B,$A40,Party_Ledger!$A:$A,"&gt;="&amp;$B$4,Party_Ledger!$A:$A,"&lt;="&amp;$D$4)</f>
        <v>13200</v>
      </c>
      <c r="D40" s="95">
        <f>SUMIFS(Party_Ledger!$G:$G,Party_Ledger!$B:$B,$A40,Party_Ledger!$A:$A,"&gt;="&amp;$B$4,Party_Ledger!$A:$A,"&lt;="&amp;$D$4)</f>
        <v>0</v>
      </c>
      <c r="E40" s="95">
        <f t="shared" si="0"/>
        <v>13200</v>
      </c>
      <c r="F40" s="96" t="str">
        <f t="shared" si="1"/>
        <v>Receivable</v>
      </c>
    </row>
    <row r="41" spans="1:6" x14ac:dyDescent="0.2">
      <c r="A41" s="97" t="str">
        <f>Party_Master!$A$36</f>
        <v>YUBARAJ AND SAMRAT</v>
      </c>
      <c r="B41" s="98" t="str">
        <f>Party_Master!$B$36</f>
        <v>Customer</v>
      </c>
      <c r="C41" s="99">
        <f>SUMIFS(Party_Ledger!$F:$F,Party_Ledger!$B:$B,$A41,Party_Ledger!$A:$A,"&gt;="&amp;$B$4,Party_Ledger!$A:$A,"&lt;="&amp;$D$4)</f>
        <v>0</v>
      </c>
      <c r="D41" s="99">
        <f>SUMIFS(Party_Ledger!$G:$G,Party_Ledger!$B:$B,$A41,Party_Ledger!$A:$A,"&gt;="&amp;$B$4,Party_Ledger!$A:$A,"&lt;="&amp;$D$4)</f>
        <v>0</v>
      </c>
      <c r="E41" s="99">
        <f t="shared" si="0"/>
        <v>0</v>
      </c>
      <c r="F41" s="100" t="str">
        <f t="shared" si="1"/>
        <v>Settled</v>
      </c>
    </row>
    <row r="42" spans="1:6" x14ac:dyDescent="0.2">
      <c r="A42" s="93" t="str">
        <f>Party_Master!$A$37</f>
        <v>BASUDEV DAIRY 316</v>
      </c>
      <c r="B42" s="94" t="str">
        <f>Party_Master!$B$37</f>
        <v>Supplier</v>
      </c>
      <c r="C42" s="95">
        <f>SUMIFS(Party_Ledger!$F:$F,Party_Ledger!$B:$B,$A42,Party_Ledger!$A:$A,"&gt;="&amp;$B$4,Party_Ledger!$A:$A,"&lt;="&amp;$D$4)</f>
        <v>0</v>
      </c>
      <c r="D42" s="95">
        <f>SUMIFS(Party_Ledger!$G:$G,Party_Ledger!$B:$B,$A42,Party_Ledger!$A:$A,"&gt;="&amp;$B$4,Party_Ledger!$A:$A,"&lt;="&amp;$D$4)</f>
        <v>181908</v>
      </c>
      <c r="E42" s="95">
        <f t="shared" si="0"/>
        <v>-181908</v>
      </c>
      <c r="F42" s="96" t="str">
        <f t="shared" si="1"/>
        <v>Payable</v>
      </c>
    </row>
    <row r="43" spans="1:6" x14ac:dyDescent="0.2">
      <c r="A43" s="97" t="str">
        <f>Party_Master!$A$38</f>
        <v>BODESH 310</v>
      </c>
      <c r="B43" s="98" t="str">
        <f>Party_Master!$B$38</f>
        <v>Supplier</v>
      </c>
      <c r="C43" s="99">
        <f>SUMIFS(Party_Ledger!$F:$F,Party_Ledger!$B:$B,$A43,Party_Ledger!$A:$A,"&gt;="&amp;$B$4,Party_Ledger!$A:$A,"&lt;="&amp;$D$4)</f>
        <v>0</v>
      </c>
      <c r="D43" s="99">
        <f>SUMIFS(Party_Ledger!$G:$G,Party_Ledger!$B:$B,$A43,Party_Ledger!$A:$A,"&gt;="&amp;$B$4,Party_Ledger!$A:$A,"&lt;="&amp;$D$4)</f>
        <v>40500</v>
      </c>
      <c r="E43" s="99">
        <f t="shared" si="0"/>
        <v>-40500</v>
      </c>
      <c r="F43" s="100" t="str">
        <f t="shared" si="1"/>
        <v>Payable</v>
      </c>
    </row>
    <row r="44" spans="1:6" x14ac:dyDescent="0.2">
      <c r="A44" s="93" t="str">
        <f>Party_Master!$A$39</f>
        <v>MINA LAMICHHANE 322</v>
      </c>
      <c r="B44" s="94" t="str">
        <f>Party_Master!$B$39</f>
        <v>Supplier</v>
      </c>
      <c r="C44" s="95">
        <f>SUMIFS(Party_Ledger!$F:$F,Party_Ledger!$B:$B,$A44,Party_Ledger!$A:$A,"&gt;="&amp;$B$4,Party_Ledger!$A:$A,"&lt;="&amp;$D$4)</f>
        <v>0</v>
      </c>
      <c r="D44" s="95">
        <f>SUMIFS(Party_Ledger!$G:$G,Party_Ledger!$B:$B,$A44,Party_Ledger!$A:$A,"&gt;="&amp;$B$4,Party_Ledger!$A:$A,"&lt;="&amp;$D$4)</f>
        <v>6643.691600000001</v>
      </c>
      <c r="E44" s="95">
        <f t="shared" si="0"/>
        <v>-6643.691600000001</v>
      </c>
      <c r="F44" s="96" t="str">
        <f t="shared" si="1"/>
        <v>Payable</v>
      </c>
    </row>
    <row r="45" spans="1:6" x14ac:dyDescent="0.2">
      <c r="A45" s="97" t="str">
        <f>Party_Master!$A$40</f>
        <v>MODERN AGRO  -315</v>
      </c>
      <c r="B45" s="98" t="str">
        <f>Party_Master!$B$40</f>
        <v>Supplier</v>
      </c>
      <c r="C45" s="99">
        <f>SUMIFS(Party_Ledger!$F:$F,Party_Ledger!$B:$B,$A45,Party_Ledger!$A:$A,"&gt;="&amp;$B$4,Party_Ledger!$A:$A,"&lt;="&amp;$D$4)</f>
        <v>0</v>
      </c>
      <c r="D45" s="99">
        <f>SUMIFS(Party_Ledger!$G:$G,Party_Ledger!$B:$B,$A45,Party_Ledger!$A:$A,"&gt;="&amp;$B$4,Party_Ledger!$A:$A,"&lt;="&amp;$D$4)</f>
        <v>0</v>
      </c>
      <c r="E45" s="99">
        <f t="shared" si="0"/>
        <v>0</v>
      </c>
      <c r="F45" s="100" t="str">
        <f t="shared" si="1"/>
        <v>Settled</v>
      </c>
    </row>
    <row r="46" spans="1:6" x14ac:dyDescent="0.2">
      <c r="A46" s="93" t="str">
        <f>Party_Master!$A$41</f>
        <v>NAWA DURGA -317</v>
      </c>
      <c r="B46" s="94" t="str">
        <f>Party_Master!$B$41</f>
        <v>Supplier</v>
      </c>
      <c r="C46" s="95">
        <f>SUMIFS(Party_Ledger!$F:$F,Party_Ledger!$B:$B,$A46,Party_Ledger!$A:$A,"&gt;="&amp;$B$4,Party_Ledger!$A:$A,"&lt;="&amp;$D$4)</f>
        <v>0</v>
      </c>
      <c r="D46" s="95">
        <f>SUMIFS(Party_Ledger!$G:$G,Party_Ledger!$B:$B,$A46,Party_Ledger!$A:$A,"&gt;="&amp;$B$4,Party_Ledger!$A:$A,"&lt;="&amp;$D$4)</f>
        <v>33903.324500000002</v>
      </c>
      <c r="E46" s="95">
        <f t="shared" si="0"/>
        <v>-33903.324500000002</v>
      </c>
      <c r="F46" s="96" t="str">
        <f t="shared" si="1"/>
        <v>Payable</v>
      </c>
    </row>
    <row r="47" spans="1:6" x14ac:dyDescent="0.2">
      <c r="A47" s="97" t="str">
        <f>Party_Master!$A$42</f>
        <v>PARSURAM THARU -333</v>
      </c>
      <c r="B47" s="98" t="str">
        <f>Party_Master!$B$42</f>
        <v>Supplier</v>
      </c>
      <c r="C47" s="99">
        <f>SUMIFS(Party_Ledger!$F:$F,Party_Ledger!$B:$B,$A47,Party_Ledger!$A:$A,"&gt;="&amp;$B$4,Party_Ledger!$A:$A,"&lt;="&amp;$D$4)</f>
        <v>0</v>
      </c>
      <c r="D47" s="99">
        <f>SUMIFS(Party_Ledger!$G:$G,Party_Ledger!$B:$B,$A47,Party_Ledger!$A:$A,"&gt;="&amp;$B$4,Party_Ledger!$A:$A,"&lt;="&amp;$D$4)</f>
        <v>9452.4204000000009</v>
      </c>
      <c r="E47" s="99">
        <f t="shared" si="0"/>
        <v>-9452.4204000000009</v>
      </c>
      <c r="F47" s="100" t="str">
        <f t="shared" si="1"/>
        <v>Payable</v>
      </c>
    </row>
    <row r="48" spans="1:6" x14ac:dyDescent="0.2">
      <c r="A48" s="93" t="str">
        <f>Party_Master!$A$43</f>
        <v>SANA KISAN -311</v>
      </c>
      <c r="B48" s="94" t="str">
        <f>Party_Master!$B$43</f>
        <v>Supplier</v>
      </c>
      <c r="C48" s="95">
        <f>SUMIFS(Party_Ledger!$F:$F,Party_Ledger!$B:$B,$A48,Party_Ledger!$A:$A,"&gt;="&amp;$B$4,Party_Ledger!$A:$A,"&lt;="&amp;$D$4)</f>
        <v>0</v>
      </c>
      <c r="D48" s="95">
        <f>SUMIFS(Party_Ledger!$G:$G,Party_Ledger!$B:$B,$A48,Party_Ledger!$A:$A,"&gt;="&amp;$B$4,Party_Ledger!$A:$A,"&lt;="&amp;$D$4)</f>
        <v>134400</v>
      </c>
      <c r="E48" s="95">
        <f t="shared" si="0"/>
        <v>-134400</v>
      </c>
      <c r="F48" s="96" t="str">
        <f t="shared" si="1"/>
        <v>Payable</v>
      </c>
    </row>
    <row r="49" spans="1:6" x14ac:dyDescent="0.2">
      <c r="A49" s="101" t="s">
        <v>50</v>
      </c>
      <c r="B49" s="102"/>
      <c r="C49" s="103">
        <f>SUM(C8:C48)</f>
        <v>511461.48749999999</v>
      </c>
      <c r="D49" s="103">
        <f>SUM(D8:D48)</f>
        <v>406807.43650000001</v>
      </c>
      <c r="E49" s="103">
        <f>SUM(E8:E48)</f>
        <v>104654.05099999998</v>
      </c>
      <c r="F49" s="102"/>
    </row>
    <row r="51" spans="1:6" x14ac:dyDescent="0.2">
      <c r="A51" s="87" t="s">
        <v>51</v>
      </c>
    </row>
    <row r="52" spans="1:6" x14ac:dyDescent="0.2">
      <c r="A52" s="88" t="s">
        <v>52</v>
      </c>
    </row>
  </sheetData>
  <mergeCells count="2">
    <mergeCell ref="A2:F2"/>
    <mergeCell ref="A1:F1"/>
  </mergeCells>
  <conditionalFormatting sqref="F8:F48">
    <cfRule type="cellIs" dxfId="24" priority="1" operator="equal">
      <formula>"Payable"</formula>
    </cfRule>
    <cfRule type="cellIs" dxfId="23" priority="2" operator="equal">
      <formula>"Receivable"</formula>
    </cfRule>
  </conditionalFormatting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75623"/>
    <pageSetUpPr fitToPage="1"/>
  </sheetPr>
  <dimension ref="A1:L834"/>
  <sheetViews>
    <sheetView showGridLines="0" tabSelected="1" workbookViewId="0">
      <pane ySplit="2" topLeftCell="A731" activePane="bottomLeft" state="frozen"/>
      <selection pane="bottomLeft" activeCell="E750" sqref="E750"/>
    </sheetView>
  </sheetViews>
  <sheetFormatPr baseColWidth="10" defaultColWidth="8.83203125" defaultRowHeight="15" x14ac:dyDescent="0.2"/>
  <cols>
    <col min="1" max="1" width="11.5" customWidth="1"/>
    <col min="3" max="3" width="25.5" customWidth="1"/>
    <col min="6" max="6" width="11.5" bestFit="1" customWidth="1"/>
    <col min="7" max="7" width="15.6640625" bestFit="1" customWidth="1"/>
    <col min="9" max="9" width="13.5" customWidth="1"/>
    <col min="12" max="12" width="20" customWidth="1"/>
  </cols>
  <sheetData>
    <row r="1" spans="1:12" ht="32" customHeight="1" x14ac:dyDescent="0.2">
      <c r="A1" s="201" t="s">
        <v>53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</row>
    <row r="2" spans="1:12" ht="28" customHeight="1" x14ac:dyDescent="0.2">
      <c r="A2" s="3" t="s">
        <v>11</v>
      </c>
      <c r="B2" s="3" t="s">
        <v>54</v>
      </c>
      <c r="C2" s="3" t="s">
        <v>44</v>
      </c>
      <c r="D2" s="3" t="s">
        <v>55</v>
      </c>
      <c r="E2" s="3" t="s">
        <v>56</v>
      </c>
      <c r="F2" s="3" t="s">
        <v>57</v>
      </c>
      <c r="G2" s="3" t="s">
        <v>17</v>
      </c>
      <c r="H2" s="3" t="s">
        <v>58</v>
      </c>
      <c r="I2" s="3" t="s">
        <v>14</v>
      </c>
      <c r="J2" s="3" t="s">
        <v>59</v>
      </c>
      <c r="K2" s="3" t="s">
        <v>15</v>
      </c>
      <c r="L2" s="3" t="s">
        <v>60</v>
      </c>
    </row>
    <row r="3" spans="1:12" x14ac:dyDescent="0.2">
      <c r="A3" s="172">
        <v>66916</v>
      </c>
      <c r="B3" s="4" t="s">
        <v>61</v>
      </c>
      <c r="C3" s="4" t="s">
        <v>62</v>
      </c>
      <c r="D3" s="4" t="s">
        <v>63</v>
      </c>
      <c r="E3" s="36">
        <v>60</v>
      </c>
      <c r="F3" s="5">
        <v>85</v>
      </c>
      <c r="G3" s="5">
        <f t="shared" ref="G3:G66" si="0">IF($E3="","",$E3*$F3)</f>
        <v>5100</v>
      </c>
      <c r="H3" s="37">
        <v>0</v>
      </c>
      <c r="I3" s="5">
        <f t="shared" ref="I3:I66" si="1">IF($E3="","",$G3*(1-$H3/100))</f>
        <v>5100</v>
      </c>
      <c r="J3" s="4" t="s">
        <v>64</v>
      </c>
      <c r="K3" s="4" t="s">
        <v>65</v>
      </c>
      <c r="L3" s="4"/>
    </row>
    <row r="4" spans="1:12" x14ac:dyDescent="0.2">
      <c r="A4" s="172">
        <v>66916</v>
      </c>
      <c r="B4" s="4" t="s">
        <v>66</v>
      </c>
      <c r="C4" s="4" t="s">
        <v>67</v>
      </c>
      <c r="D4" s="4" t="s">
        <v>63</v>
      </c>
      <c r="E4" s="36">
        <v>15</v>
      </c>
      <c r="F4" s="5">
        <v>85</v>
      </c>
      <c r="G4" s="5">
        <f t="shared" si="0"/>
        <v>1275</v>
      </c>
      <c r="H4" s="37">
        <v>0</v>
      </c>
      <c r="I4" s="5">
        <f t="shared" si="1"/>
        <v>1275</v>
      </c>
      <c r="J4" s="4" t="s">
        <v>64</v>
      </c>
      <c r="K4" s="4" t="s">
        <v>65</v>
      </c>
      <c r="L4" s="4"/>
    </row>
    <row r="5" spans="1:12" x14ac:dyDescent="0.2">
      <c r="A5" s="172">
        <v>66916</v>
      </c>
      <c r="B5" s="4" t="s">
        <v>68</v>
      </c>
      <c r="C5" s="4" t="s">
        <v>69</v>
      </c>
      <c r="D5" s="4" t="s">
        <v>63</v>
      </c>
      <c r="E5" s="36">
        <v>25</v>
      </c>
      <c r="F5" s="5">
        <v>85</v>
      </c>
      <c r="G5" s="5">
        <f t="shared" si="0"/>
        <v>2125</v>
      </c>
      <c r="H5" s="37">
        <v>0</v>
      </c>
      <c r="I5" s="5">
        <f t="shared" si="1"/>
        <v>2125</v>
      </c>
      <c r="J5" s="4" t="s">
        <v>64</v>
      </c>
      <c r="K5" s="4" t="s">
        <v>65</v>
      </c>
      <c r="L5" s="4"/>
    </row>
    <row r="6" spans="1:12" x14ac:dyDescent="0.2">
      <c r="A6" s="172">
        <v>66916</v>
      </c>
      <c r="B6" s="4" t="s">
        <v>70</v>
      </c>
      <c r="C6" s="4" t="s">
        <v>71</v>
      </c>
      <c r="D6" s="4" t="s">
        <v>63</v>
      </c>
      <c r="E6" s="36">
        <v>60</v>
      </c>
      <c r="F6" s="5">
        <v>85</v>
      </c>
      <c r="G6" s="5">
        <f t="shared" si="0"/>
        <v>5100</v>
      </c>
      <c r="H6" s="37">
        <v>0</v>
      </c>
      <c r="I6" s="5">
        <f t="shared" si="1"/>
        <v>5100</v>
      </c>
      <c r="J6" s="4" t="s">
        <v>64</v>
      </c>
      <c r="K6" s="4" t="s">
        <v>65</v>
      </c>
      <c r="L6" s="4"/>
    </row>
    <row r="7" spans="1:12" x14ac:dyDescent="0.2">
      <c r="A7" s="172">
        <v>66916</v>
      </c>
      <c r="B7" s="4" t="s">
        <v>70</v>
      </c>
      <c r="C7" s="4" t="s">
        <v>71</v>
      </c>
      <c r="D7" s="4" t="s">
        <v>72</v>
      </c>
      <c r="E7" s="36">
        <v>1</v>
      </c>
      <c r="F7" s="5">
        <v>80</v>
      </c>
      <c r="G7" s="5">
        <f t="shared" si="0"/>
        <v>80</v>
      </c>
      <c r="H7" s="37">
        <v>0</v>
      </c>
      <c r="I7" s="5">
        <f t="shared" si="1"/>
        <v>80</v>
      </c>
      <c r="J7" s="4" t="s">
        <v>64</v>
      </c>
      <c r="K7" s="4" t="s">
        <v>65</v>
      </c>
      <c r="L7" s="4"/>
    </row>
    <row r="8" spans="1:12" x14ac:dyDescent="0.2">
      <c r="A8" s="172">
        <v>66916</v>
      </c>
      <c r="B8" s="4" t="s">
        <v>73</v>
      </c>
      <c r="C8" s="4" t="s">
        <v>74</v>
      </c>
      <c r="D8" s="4" t="s">
        <v>63</v>
      </c>
      <c r="E8" s="36">
        <v>15</v>
      </c>
      <c r="F8" s="5">
        <v>86</v>
      </c>
      <c r="G8" s="5">
        <f t="shared" si="0"/>
        <v>1290</v>
      </c>
      <c r="H8" s="37">
        <v>0</v>
      </c>
      <c r="I8" s="5">
        <f t="shared" si="1"/>
        <v>1290</v>
      </c>
      <c r="J8" s="4" t="s">
        <v>64</v>
      </c>
      <c r="K8" s="4" t="s">
        <v>65</v>
      </c>
      <c r="L8" s="4"/>
    </row>
    <row r="9" spans="1:12" x14ac:dyDescent="0.2">
      <c r="A9" s="172">
        <v>66916</v>
      </c>
      <c r="B9" s="4" t="s">
        <v>75</v>
      </c>
      <c r="C9" s="4" t="s">
        <v>76</v>
      </c>
      <c r="D9" s="4" t="s">
        <v>63</v>
      </c>
      <c r="E9" s="36">
        <v>10</v>
      </c>
      <c r="F9" s="5">
        <v>85</v>
      </c>
      <c r="G9" s="5">
        <f t="shared" si="0"/>
        <v>850</v>
      </c>
      <c r="H9" s="37">
        <v>0</v>
      </c>
      <c r="I9" s="5">
        <f t="shared" si="1"/>
        <v>850</v>
      </c>
      <c r="J9" s="4" t="s">
        <v>64</v>
      </c>
      <c r="K9" s="4" t="s">
        <v>65</v>
      </c>
      <c r="L9" s="4"/>
    </row>
    <row r="10" spans="1:12" x14ac:dyDescent="0.2">
      <c r="A10" s="172">
        <v>66916</v>
      </c>
      <c r="B10" s="4" t="s">
        <v>77</v>
      </c>
      <c r="C10" s="4" t="s">
        <v>78</v>
      </c>
      <c r="D10" s="4" t="s">
        <v>63</v>
      </c>
      <c r="E10" s="36">
        <v>7</v>
      </c>
      <c r="F10" s="5">
        <v>85</v>
      </c>
      <c r="G10" s="5">
        <f t="shared" si="0"/>
        <v>595</v>
      </c>
      <c r="H10" s="37">
        <v>0</v>
      </c>
      <c r="I10" s="5">
        <f t="shared" si="1"/>
        <v>595</v>
      </c>
      <c r="J10" s="4" t="s">
        <v>64</v>
      </c>
      <c r="K10" s="4" t="s">
        <v>65</v>
      </c>
      <c r="L10" s="4"/>
    </row>
    <row r="11" spans="1:12" x14ac:dyDescent="0.2">
      <c r="A11" s="172">
        <v>66916</v>
      </c>
      <c r="B11" s="4" t="s">
        <v>79</v>
      </c>
      <c r="C11" s="4" t="s">
        <v>80</v>
      </c>
      <c r="D11" s="4" t="s">
        <v>63</v>
      </c>
      <c r="E11" s="36">
        <v>20</v>
      </c>
      <c r="F11" s="5">
        <v>85</v>
      </c>
      <c r="G11" s="5">
        <f t="shared" si="0"/>
        <v>1700</v>
      </c>
      <c r="H11" s="37">
        <v>0</v>
      </c>
      <c r="I11" s="5">
        <f t="shared" si="1"/>
        <v>1700</v>
      </c>
      <c r="J11" s="4" t="s">
        <v>64</v>
      </c>
      <c r="K11" s="4" t="s">
        <v>65</v>
      </c>
      <c r="L11" s="4"/>
    </row>
    <row r="12" spans="1:12" x14ac:dyDescent="0.2">
      <c r="A12" s="172">
        <v>66916</v>
      </c>
      <c r="B12" s="4" t="s">
        <v>81</v>
      </c>
      <c r="C12" s="4" t="s">
        <v>82</v>
      </c>
      <c r="D12" s="4" t="s">
        <v>63</v>
      </c>
      <c r="E12" s="36">
        <v>10</v>
      </c>
      <c r="F12" s="5">
        <v>85</v>
      </c>
      <c r="G12" s="5">
        <f t="shared" si="0"/>
        <v>850</v>
      </c>
      <c r="H12" s="37">
        <v>0</v>
      </c>
      <c r="I12" s="5">
        <f t="shared" si="1"/>
        <v>850</v>
      </c>
      <c r="J12" s="4" t="s">
        <v>64</v>
      </c>
      <c r="K12" s="4" t="s">
        <v>65</v>
      </c>
      <c r="L12" s="4"/>
    </row>
    <row r="13" spans="1:12" x14ac:dyDescent="0.2">
      <c r="A13" s="172">
        <v>66916</v>
      </c>
      <c r="B13" s="4" t="s">
        <v>83</v>
      </c>
      <c r="C13" s="4" t="s">
        <v>84</v>
      </c>
      <c r="D13" s="4" t="s">
        <v>63</v>
      </c>
      <c r="E13" s="36">
        <v>4</v>
      </c>
      <c r="F13" s="5">
        <v>86</v>
      </c>
      <c r="G13" s="5">
        <f t="shared" si="0"/>
        <v>344</v>
      </c>
      <c r="H13" s="37">
        <v>0</v>
      </c>
      <c r="I13" s="5">
        <f t="shared" si="1"/>
        <v>344</v>
      </c>
      <c r="J13" s="4" t="s">
        <v>64</v>
      </c>
      <c r="K13" s="4" t="s">
        <v>65</v>
      </c>
      <c r="L13" s="4"/>
    </row>
    <row r="14" spans="1:12" x14ac:dyDescent="0.2">
      <c r="A14" s="172">
        <v>66916</v>
      </c>
      <c r="B14" s="4" t="s">
        <v>85</v>
      </c>
      <c r="C14" s="4" t="s">
        <v>86</v>
      </c>
      <c r="D14" s="4" t="s">
        <v>63</v>
      </c>
      <c r="E14" s="36">
        <v>20</v>
      </c>
      <c r="F14" s="5">
        <v>86</v>
      </c>
      <c r="G14" s="5">
        <f t="shared" si="0"/>
        <v>1720</v>
      </c>
      <c r="H14" s="37">
        <v>0</v>
      </c>
      <c r="I14" s="5">
        <f t="shared" si="1"/>
        <v>1720</v>
      </c>
      <c r="J14" s="4" t="s">
        <v>64</v>
      </c>
      <c r="K14" s="4" t="s">
        <v>65</v>
      </c>
      <c r="L14" s="4"/>
    </row>
    <row r="15" spans="1:12" x14ac:dyDescent="0.2">
      <c r="A15" s="172">
        <v>66916</v>
      </c>
      <c r="B15" s="4" t="s">
        <v>87</v>
      </c>
      <c r="C15" s="4" t="s">
        <v>88</v>
      </c>
      <c r="D15" s="4" t="s">
        <v>63</v>
      </c>
      <c r="E15" s="36">
        <v>5</v>
      </c>
      <c r="F15" s="5">
        <v>85</v>
      </c>
      <c r="G15" s="5">
        <f t="shared" si="0"/>
        <v>425</v>
      </c>
      <c r="H15" s="37">
        <v>0</v>
      </c>
      <c r="I15" s="5">
        <f t="shared" si="1"/>
        <v>425</v>
      </c>
      <c r="J15" s="4" t="s">
        <v>64</v>
      </c>
      <c r="K15" s="4" t="s">
        <v>65</v>
      </c>
      <c r="L15" s="4"/>
    </row>
    <row r="16" spans="1:12" x14ac:dyDescent="0.2">
      <c r="A16" s="172">
        <v>66916</v>
      </c>
      <c r="B16" s="4" t="s">
        <v>89</v>
      </c>
      <c r="C16" s="4" t="s">
        <v>90</v>
      </c>
      <c r="D16" s="4" t="s">
        <v>63</v>
      </c>
      <c r="E16" s="36">
        <v>15</v>
      </c>
      <c r="F16" s="5">
        <v>85</v>
      </c>
      <c r="G16" s="5">
        <f t="shared" si="0"/>
        <v>1275</v>
      </c>
      <c r="H16" s="37">
        <v>0</v>
      </c>
      <c r="I16" s="5">
        <f t="shared" si="1"/>
        <v>1275</v>
      </c>
      <c r="J16" s="4" t="s">
        <v>64</v>
      </c>
      <c r="K16" s="4" t="s">
        <v>65</v>
      </c>
      <c r="L16" s="4"/>
    </row>
    <row r="17" spans="1:12" x14ac:dyDescent="0.2">
      <c r="A17" s="172">
        <v>66916</v>
      </c>
      <c r="B17" s="4" t="s">
        <v>91</v>
      </c>
      <c r="C17" s="4" t="s">
        <v>92</v>
      </c>
      <c r="D17" s="4" t="s">
        <v>63</v>
      </c>
      <c r="E17" s="36">
        <v>30</v>
      </c>
      <c r="F17" s="5">
        <v>95</v>
      </c>
      <c r="G17" s="5">
        <f t="shared" si="0"/>
        <v>2850</v>
      </c>
      <c r="H17" s="37">
        <v>0</v>
      </c>
      <c r="I17" s="5">
        <f t="shared" si="1"/>
        <v>2850</v>
      </c>
      <c r="J17" s="4" t="s">
        <v>64</v>
      </c>
      <c r="K17" s="4" t="s">
        <v>65</v>
      </c>
      <c r="L17" s="4"/>
    </row>
    <row r="18" spans="1:12" x14ac:dyDescent="0.2">
      <c r="A18" s="172">
        <v>66916</v>
      </c>
      <c r="B18" s="4" t="s">
        <v>93</v>
      </c>
      <c r="C18" s="4" t="s">
        <v>94</v>
      </c>
      <c r="D18" s="4" t="s">
        <v>63</v>
      </c>
      <c r="E18" s="36">
        <v>25</v>
      </c>
      <c r="F18" s="5">
        <v>84</v>
      </c>
      <c r="G18" s="5">
        <f t="shared" si="0"/>
        <v>2100</v>
      </c>
      <c r="H18" s="37">
        <v>0</v>
      </c>
      <c r="I18" s="5">
        <f t="shared" si="1"/>
        <v>2100</v>
      </c>
      <c r="J18" s="4" t="s">
        <v>64</v>
      </c>
      <c r="K18" s="4" t="s">
        <v>65</v>
      </c>
      <c r="L18" s="4"/>
    </row>
    <row r="19" spans="1:12" x14ac:dyDescent="0.2">
      <c r="A19" s="172">
        <v>66916</v>
      </c>
      <c r="B19" s="4" t="s">
        <v>93</v>
      </c>
      <c r="C19" s="4" t="s">
        <v>94</v>
      </c>
      <c r="D19" s="4" t="s">
        <v>95</v>
      </c>
      <c r="E19" s="36">
        <v>0.5</v>
      </c>
      <c r="F19" s="5">
        <v>1100</v>
      </c>
      <c r="G19" s="5">
        <f t="shared" si="0"/>
        <v>550</v>
      </c>
      <c r="H19" s="37">
        <v>0</v>
      </c>
      <c r="I19" s="5">
        <f t="shared" si="1"/>
        <v>550</v>
      </c>
      <c r="J19" s="4" t="s">
        <v>64</v>
      </c>
      <c r="K19" s="4" t="s">
        <v>65</v>
      </c>
      <c r="L19" s="4"/>
    </row>
    <row r="20" spans="1:12" x14ac:dyDescent="0.2">
      <c r="A20" s="172">
        <v>66916</v>
      </c>
      <c r="B20" s="4" t="s">
        <v>93</v>
      </c>
      <c r="C20" s="4" t="s">
        <v>94</v>
      </c>
      <c r="D20" s="4" t="s">
        <v>96</v>
      </c>
      <c r="E20" s="36">
        <v>1</v>
      </c>
      <c r="F20" s="5">
        <v>800</v>
      </c>
      <c r="G20" s="5">
        <f t="shared" si="0"/>
        <v>800</v>
      </c>
      <c r="H20" s="37">
        <v>0</v>
      </c>
      <c r="I20" s="5">
        <f t="shared" si="1"/>
        <v>800</v>
      </c>
      <c r="J20" s="4" t="s">
        <v>64</v>
      </c>
      <c r="K20" s="4" t="s">
        <v>65</v>
      </c>
      <c r="L20" s="4"/>
    </row>
    <row r="21" spans="1:12" x14ac:dyDescent="0.2">
      <c r="A21" s="172">
        <v>66916</v>
      </c>
      <c r="B21" s="4" t="s">
        <v>97</v>
      </c>
      <c r="C21" s="4" t="s">
        <v>98</v>
      </c>
      <c r="D21" s="4" t="s">
        <v>63</v>
      </c>
      <c r="E21" s="36">
        <v>7</v>
      </c>
      <c r="F21" s="5">
        <v>85</v>
      </c>
      <c r="G21" s="5">
        <f t="shared" si="0"/>
        <v>595</v>
      </c>
      <c r="H21" s="37">
        <v>0</v>
      </c>
      <c r="I21" s="5">
        <f t="shared" si="1"/>
        <v>595</v>
      </c>
      <c r="J21" s="4" t="s">
        <v>64</v>
      </c>
      <c r="K21" s="4" t="s">
        <v>65</v>
      </c>
      <c r="L21" s="4"/>
    </row>
    <row r="22" spans="1:12" x14ac:dyDescent="0.2">
      <c r="A22" s="172">
        <v>66916</v>
      </c>
      <c r="B22" s="4" t="s">
        <v>99</v>
      </c>
      <c r="C22" s="4" t="s">
        <v>100</v>
      </c>
      <c r="D22" s="4" t="s">
        <v>63</v>
      </c>
      <c r="E22" s="36">
        <v>2.5</v>
      </c>
      <c r="F22" s="5">
        <v>96</v>
      </c>
      <c r="G22" s="5">
        <f t="shared" si="0"/>
        <v>240</v>
      </c>
      <c r="H22" s="37">
        <v>0</v>
      </c>
      <c r="I22" s="5">
        <f t="shared" si="1"/>
        <v>240</v>
      </c>
      <c r="J22" s="4" t="s">
        <v>64</v>
      </c>
      <c r="K22" s="4" t="s">
        <v>65</v>
      </c>
      <c r="L22" s="4"/>
    </row>
    <row r="23" spans="1:12" x14ac:dyDescent="0.2">
      <c r="A23" s="172">
        <v>66916</v>
      </c>
      <c r="B23" s="4" t="s">
        <v>101</v>
      </c>
      <c r="C23" s="4" t="s">
        <v>102</v>
      </c>
      <c r="D23" s="4" t="s">
        <v>63</v>
      </c>
      <c r="E23" s="36">
        <v>5</v>
      </c>
      <c r="F23" s="5">
        <v>86</v>
      </c>
      <c r="G23" s="5">
        <f t="shared" si="0"/>
        <v>430</v>
      </c>
      <c r="H23" s="37">
        <v>0</v>
      </c>
      <c r="I23" s="5">
        <f t="shared" si="1"/>
        <v>430</v>
      </c>
      <c r="J23" s="4" t="s">
        <v>64</v>
      </c>
      <c r="K23" s="4" t="s">
        <v>65</v>
      </c>
      <c r="L23" s="4"/>
    </row>
    <row r="24" spans="1:12" x14ac:dyDescent="0.2">
      <c r="A24" s="172">
        <v>66917</v>
      </c>
      <c r="B24" s="4" t="s">
        <v>103</v>
      </c>
      <c r="C24" s="4" t="s">
        <v>62</v>
      </c>
      <c r="D24" s="4" t="s">
        <v>63</v>
      </c>
      <c r="E24" s="36">
        <v>60</v>
      </c>
      <c r="F24" s="5">
        <v>85</v>
      </c>
      <c r="G24" s="5">
        <f t="shared" si="0"/>
        <v>5100</v>
      </c>
      <c r="H24" s="37">
        <v>0</v>
      </c>
      <c r="I24" s="5">
        <f t="shared" si="1"/>
        <v>5100</v>
      </c>
      <c r="J24" s="4" t="s">
        <v>64</v>
      </c>
      <c r="K24" s="4" t="s">
        <v>65</v>
      </c>
      <c r="L24" s="4"/>
    </row>
    <row r="25" spans="1:12" x14ac:dyDescent="0.2">
      <c r="A25" s="172">
        <v>66917</v>
      </c>
      <c r="B25" s="4" t="s">
        <v>104</v>
      </c>
      <c r="C25" s="4" t="s">
        <v>67</v>
      </c>
      <c r="D25" s="4" t="s">
        <v>63</v>
      </c>
      <c r="E25" s="36">
        <v>25</v>
      </c>
      <c r="F25" s="5">
        <v>85</v>
      </c>
      <c r="G25" s="5">
        <f t="shared" si="0"/>
        <v>2125</v>
      </c>
      <c r="H25" s="37">
        <v>0</v>
      </c>
      <c r="I25" s="5">
        <f t="shared" si="1"/>
        <v>2125</v>
      </c>
      <c r="J25" s="4" t="s">
        <v>64</v>
      </c>
      <c r="K25" s="4" t="s">
        <v>65</v>
      </c>
      <c r="L25" s="4"/>
    </row>
    <row r="26" spans="1:12" x14ac:dyDescent="0.2">
      <c r="A26" s="172">
        <v>66917</v>
      </c>
      <c r="B26" s="4" t="s">
        <v>105</v>
      </c>
      <c r="C26" s="4" t="s">
        <v>76</v>
      </c>
      <c r="D26" s="4" t="s">
        <v>63</v>
      </c>
      <c r="E26" s="36">
        <v>10</v>
      </c>
      <c r="F26" s="5">
        <v>85</v>
      </c>
      <c r="G26" s="5">
        <f t="shared" si="0"/>
        <v>850</v>
      </c>
      <c r="H26" s="37">
        <v>0</v>
      </c>
      <c r="I26" s="5">
        <f t="shared" si="1"/>
        <v>850</v>
      </c>
      <c r="J26" s="4" t="s">
        <v>64</v>
      </c>
      <c r="K26" s="4" t="s">
        <v>65</v>
      </c>
      <c r="L26" s="4"/>
    </row>
    <row r="27" spans="1:12" x14ac:dyDescent="0.2">
      <c r="A27" s="172">
        <v>66917</v>
      </c>
      <c r="B27" s="4" t="s">
        <v>106</v>
      </c>
      <c r="C27" s="4" t="s">
        <v>82</v>
      </c>
      <c r="D27" s="4" t="s">
        <v>63</v>
      </c>
      <c r="E27" s="36">
        <v>10</v>
      </c>
      <c r="F27" s="5">
        <v>85</v>
      </c>
      <c r="G27" s="5">
        <f t="shared" si="0"/>
        <v>850</v>
      </c>
      <c r="H27" s="37">
        <v>0</v>
      </c>
      <c r="I27" s="5">
        <f t="shared" si="1"/>
        <v>850</v>
      </c>
      <c r="J27" s="4" t="s">
        <v>64</v>
      </c>
      <c r="K27" s="4" t="s">
        <v>65</v>
      </c>
      <c r="L27" s="4"/>
    </row>
    <row r="28" spans="1:12" x14ac:dyDescent="0.2">
      <c r="A28" s="172">
        <v>66917</v>
      </c>
      <c r="B28" s="4" t="s">
        <v>107</v>
      </c>
      <c r="C28" s="4" t="s">
        <v>84</v>
      </c>
      <c r="D28" s="4" t="s">
        <v>63</v>
      </c>
      <c r="E28" s="36">
        <v>4</v>
      </c>
      <c r="F28" s="5">
        <v>86</v>
      </c>
      <c r="G28" s="5">
        <f t="shared" si="0"/>
        <v>344</v>
      </c>
      <c r="H28" s="37">
        <v>0</v>
      </c>
      <c r="I28" s="5">
        <f t="shared" si="1"/>
        <v>344</v>
      </c>
      <c r="J28" s="4" t="s">
        <v>64</v>
      </c>
      <c r="K28" s="4" t="s">
        <v>65</v>
      </c>
      <c r="L28" s="4"/>
    </row>
    <row r="29" spans="1:12" x14ac:dyDescent="0.2">
      <c r="A29" s="172">
        <v>66917</v>
      </c>
      <c r="B29" s="4" t="s">
        <v>108</v>
      </c>
      <c r="C29" s="4" t="s">
        <v>86</v>
      </c>
      <c r="D29" s="4" t="s">
        <v>63</v>
      </c>
      <c r="E29" s="36">
        <v>20</v>
      </c>
      <c r="F29" s="5">
        <v>86</v>
      </c>
      <c r="G29" s="5">
        <f t="shared" si="0"/>
        <v>1720</v>
      </c>
      <c r="H29" s="37">
        <v>0</v>
      </c>
      <c r="I29" s="5">
        <f t="shared" si="1"/>
        <v>1720</v>
      </c>
      <c r="J29" s="4" t="s">
        <v>64</v>
      </c>
      <c r="K29" s="4" t="s">
        <v>65</v>
      </c>
      <c r="L29" s="4"/>
    </row>
    <row r="30" spans="1:12" x14ac:dyDescent="0.2">
      <c r="A30" s="172">
        <v>66917</v>
      </c>
      <c r="B30" s="4" t="s">
        <v>109</v>
      </c>
      <c r="C30" s="4" t="s">
        <v>69</v>
      </c>
      <c r="D30" s="4" t="s">
        <v>63</v>
      </c>
      <c r="E30" s="36">
        <v>20</v>
      </c>
      <c r="F30" s="5">
        <v>85</v>
      </c>
      <c r="G30" s="5">
        <f t="shared" si="0"/>
        <v>1700</v>
      </c>
      <c r="H30" s="37">
        <v>0</v>
      </c>
      <c r="I30" s="5">
        <f t="shared" si="1"/>
        <v>1700</v>
      </c>
      <c r="J30" s="4" t="s">
        <v>64</v>
      </c>
      <c r="K30" s="4" t="s">
        <v>65</v>
      </c>
      <c r="L30" s="4"/>
    </row>
    <row r="31" spans="1:12" x14ac:dyDescent="0.2">
      <c r="A31" s="172">
        <v>66917</v>
      </c>
      <c r="B31" s="4" t="s">
        <v>110</v>
      </c>
      <c r="C31" s="4" t="s">
        <v>71</v>
      </c>
      <c r="D31" s="4" t="s">
        <v>63</v>
      </c>
      <c r="E31" s="36">
        <v>70</v>
      </c>
      <c r="F31" s="5">
        <v>85</v>
      </c>
      <c r="G31" s="5">
        <f t="shared" si="0"/>
        <v>5950</v>
      </c>
      <c r="H31" s="37">
        <v>0</v>
      </c>
      <c r="I31" s="5">
        <f t="shared" si="1"/>
        <v>5950</v>
      </c>
      <c r="J31" s="4" t="s">
        <v>64</v>
      </c>
      <c r="K31" s="4" t="s">
        <v>65</v>
      </c>
      <c r="L31" s="4"/>
    </row>
    <row r="32" spans="1:12" x14ac:dyDescent="0.2">
      <c r="A32" s="172">
        <v>66917</v>
      </c>
      <c r="B32" s="4" t="s">
        <v>110</v>
      </c>
      <c r="C32" s="4" t="s">
        <v>71</v>
      </c>
      <c r="D32" s="4" t="s">
        <v>72</v>
      </c>
      <c r="E32" s="36">
        <v>40</v>
      </c>
      <c r="F32" s="5">
        <v>86</v>
      </c>
      <c r="G32" s="5">
        <f t="shared" si="0"/>
        <v>3440</v>
      </c>
      <c r="H32" s="37">
        <v>0</v>
      </c>
      <c r="I32" s="5">
        <f t="shared" si="1"/>
        <v>3440</v>
      </c>
      <c r="J32" s="4" t="s">
        <v>64</v>
      </c>
      <c r="K32" s="4" t="s">
        <v>65</v>
      </c>
      <c r="L32" s="4"/>
    </row>
    <row r="33" spans="1:12" x14ac:dyDescent="0.2">
      <c r="A33" s="172">
        <v>66917</v>
      </c>
      <c r="B33" s="4" t="s">
        <v>111</v>
      </c>
      <c r="C33" s="4" t="s">
        <v>88</v>
      </c>
      <c r="D33" s="4" t="s">
        <v>63</v>
      </c>
      <c r="E33" s="36">
        <v>5</v>
      </c>
      <c r="F33" s="5">
        <v>85</v>
      </c>
      <c r="G33" s="5">
        <f t="shared" si="0"/>
        <v>425</v>
      </c>
      <c r="H33" s="37">
        <v>0</v>
      </c>
      <c r="I33" s="5">
        <f t="shared" si="1"/>
        <v>425</v>
      </c>
      <c r="J33" s="4" t="s">
        <v>64</v>
      </c>
      <c r="K33" s="4" t="s">
        <v>65</v>
      </c>
      <c r="L33" s="4"/>
    </row>
    <row r="34" spans="1:12" x14ac:dyDescent="0.2">
      <c r="A34" s="172">
        <v>66917</v>
      </c>
      <c r="B34" s="4" t="s">
        <v>112</v>
      </c>
      <c r="C34" s="4" t="s">
        <v>90</v>
      </c>
      <c r="D34" s="4" t="s">
        <v>63</v>
      </c>
      <c r="E34" s="36">
        <v>15</v>
      </c>
      <c r="F34" s="5">
        <v>85</v>
      </c>
      <c r="G34" s="5">
        <f t="shared" si="0"/>
        <v>1275</v>
      </c>
      <c r="H34" s="37">
        <v>0</v>
      </c>
      <c r="I34" s="5">
        <f t="shared" si="1"/>
        <v>1275</v>
      </c>
      <c r="J34" s="4" t="s">
        <v>64</v>
      </c>
      <c r="K34" s="4" t="s">
        <v>65</v>
      </c>
      <c r="L34" s="4"/>
    </row>
    <row r="35" spans="1:12" x14ac:dyDescent="0.2">
      <c r="A35" s="172">
        <v>66917</v>
      </c>
      <c r="B35" s="4" t="s">
        <v>113</v>
      </c>
      <c r="C35" s="4" t="s">
        <v>80</v>
      </c>
      <c r="D35" s="4" t="s">
        <v>63</v>
      </c>
      <c r="E35" s="36">
        <v>15</v>
      </c>
      <c r="F35" s="5">
        <v>85</v>
      </c>
      <c r="G35" s="5">
        <f t="shared" si="0"/>
        <v>1275</v>
      </c>
      <c r="H35" s="37">
        <v>0</v>
      </c>
      <c r="I35" s="5">
        <f t="shared" si="1"/>
        <v>1275</v>
      </c>
      <c r="J35" s="4" t="s">
        <v>64</v>
      </c>
      <c r="K35" s="4" t="s">
        <v>65</v>
      </c>
      <c r="L35" s="4"/>
    </row>
    <row r="36" spans="1:12" x14ac:dyDescent="0.2">
      <c r="A36" s="172">
        <v>66917</v>
      </c>
      <c r="B36" s="4" t="s">
        <v>114</v>
      </c>
      <c r="C36" s="4" t="s">
        <v>78</v>
      </c>
      <c r="D36" s="4" t="s">
        <v>63</v>
      </c>
      <c r="E36" s="36">
        <v>5</v>
      </c>
      <c r="F36" s="5">
        <v>85</v>
      </c>
      <c r="G36" s="5">
        <f t="shared" si="0"/>
        <v>425</v>
      </c>
      <c r="H36" s="37">
        <v>0</v>
      </c>
      <c r="I36" s="5">
        <f t="shared" si="1"/>
        <v>425</v>
      </c>
      <c r="J36" s="4" t="s">
        <v>64</v>
      </c>
      <c r="K36" s="4" t="s">
        <v>65</v>
      </c>
      <c r="L36" s="4"/>
    </row>
    <row r="37" spans="1:12" x14ac:dyDescent="0.2">
      <c r="A37" s="172">
        <v>66917</v>
      </c>
      <c r="B37" s="4" t="s">
        <v>115</v>
      </c>
      <c r="C37" s="4" t="s">
        <v>116</v>
      </c>
      <c r="D37" s="4" t="s">
        <v>95</v>
      </c>
      <c r="E37" s="36">
        <v>15</v>
      </c>
      <c r="F37" s="5">
        <v>1100</v>
      </c>
      <c r="G37" s="5">
        <f t="shared" si="0"/>
        <v>16500</v>
      </c>
      <c r="H37" s="37">
        <v>0</v>
      </c>
      <c r="I37" s="5">
        <f t="shared" si="1"/>
        <v>16500</v>
      </c>
      <c r="J37" s="4" t="s">
        <v>64</v>
      </c>
      <c r="K37" s="4" t="s">
        <v>65</v>
      </c>
      <c r="L37" s="4"/>
    </row>
    <row r="38" spans="1:12" x14ac:dyDescent="0.2">
      <c r="A38" s="172">
        <v>66917</v>
      </c>
      <c r="B38" s="4" t="s">
        <v>117</v>
      </c>
      <c r="C38" s="4" t="s">
        <v>74</v>
      </c>
      <c r="D38" s="4" t="s">
        <v>63</v>
      </c>
      <c r="E38" s="36">
        <v>18</v>
      </c>
      <c r="F38" s="5">
        <v>86</v>
      </c>
      <c r="G38" s="5">
        <f t="shared" si="0"/>
        <v>1548</v>
      </c>
      <c r="H38" s="37">
        <v>0</v>
      </c>
      <c r="I38" s="5">
        <f t="shared" si="1"/>
        <v>1548</v>
      </c>
      <c r="J38" s="4" t="s">
        <v>64</v>
      </c>
      <c r="K38" s="4" t="s">
        <v>65</v>
      </c>
      <c r="L38" s="4"/>
    </row>
    <row r="39" spans="1:12" x14ac:dyDescent="0.2">
      <c r="A39" s="172">
        <v>66917</v>
      </c>
      <c r="B39" s="4" t="s">
        <v>117</v>
      </c>
      <c r="C39" s="4" t="s">
        <v>74</v>
      </c>
      <c r="D39" s="4" t="s">
        <v>96</v>
      </c>
      <c r="E39" s="36">
        <v>1</v>
      </c>
      <c r="F39" s="5">
        <v>775</v>
      </c>
      <c r="G39" s="5">
        <f t="shared" si="0"/>
        <v>775</v>
      </c>
      <c r="H39" s="37">
        <v>0</v>
      </c>
      <c r="I39" s="5">
        <f t="shared" si="1"/>
        <v>775</v>
      </c>
      <c r="J39" s="4" t="s">
        <v>64</v>
      </c>
      <c r="K39" s="4" t="s">
        <v>65</v>
      </c>
      <c r="L39" s="4"/>
    </row>
    <row r="40" spans="1:12" x14ac:dyDescent="0.2">
      <c r="A40" s="172">
        <v>66917</v>
      </c>
      <c r="B40" s="4" t="s">
        <v>118</v>
      </c>
      <c r="C40" s="4" t="s">
        <v>119</v>
      </c>
      <c r="D40" s="4" t="s">
        <v>63</v>
      </c>
      <c r="E40" s="36">
        <v>35</v>
      </c>
      <c r="F40" s="5">
        <v>85</v>
      </c>
      <c r="G40" s="5">
        <f t="shared" si="0"/>
        <v>2975</v>
      </c>
      <c r="H40" s="37">
        <v>0</v>
      </c>
      <c r="I40" s="5">
        <f t="shared" si="1"/>
        <v>2975</v>
      </c>
      <c r="J40" s="4" t="s">
        <v>64</v>
      </c>
      <c r="K40" s="4" t="s">
        <v>65</v>
      </c>
      <c r="L40" s="4"/>
    </row>
    <row r="41" spans="1:12" x14ac:dyDescent="0.2">
      <c r="A41" s="172">
        <v>66917</v>
      </c>
      <c r="B41" s="4" t="s">
        <v>120</v>
      </c>
      <c r="C41" s="4" t="s">
        <v>121</v>
      </c>
      <c r="D41" s="4" t="s">
        <v>63</v>
      </c>
      <c r="E41" s="36">
        <v>30</v>
      </c>
      <c r="F41" s="5">
        <v>85</v>
      </c>
      <c r="G41" s="5">
        <f t="shared" si="0"/>
        <v>2550</v>
      </c>
      <c r="H41" s="37">
        <v>0</v>
      </c>
      <c r="I41" s="5">
        <f t="shared" si="1"/>
        <v>2550</v>
      </c>
      <c r="J41" s="4" t="s">
        <v>64</v>
      </c>
      <c r="K41" s="4" t="s">
        <v>65</v>
      </c>
      <c r="L41" s="4"/>
    </row>
    <row r="42" spans="1:12" x14ac:dyDescent="0.2">
      <c r="A42" s="172">
        <v>66917</v>
      </c>
      <c r="B42" s="4" t="s">
        <v>122</v>
      </c>
      <c r="C42" s="4" t="s">
        <v>92</v>
      </c>
      <c r="D42" s="4" t="s">
        <v>63</v>
      </c>
      <c r="E42" s="36">
        <v>20</v>
      </c>
      <c r="F42" s="5">
        <v>95</v>
      </c>
      <c r="G42" s="5">
        <f t="shared" si="0"/>
        <v>1900</v>
      </c>
      <c r="H42" s="37">
        <v>0</v>
      </c>
      <c r="I42" s="5">
        <f t="shared" si="1"/>
        <v>1900</v>
      </c>
      <c r="J42" s="4" t="s">
        <v>64</v>
      </c>
      <c r="K42" s="4" t="s">
        <v>65</v>
      </c>
      <c r="L42" s="4"/>
    </row>
    <row r="43" spans="1:12" x14ac:dyDescent="0.2">
      <c r="A43" s="172">
        <v>66917</v>
      </c>
      <c r="B43" s="4" t="s">
        <v>122</v>
      </c>
      <c r="C43" s="4" t="s">
        <v>92</v>
      </c>
      <c r="D43" s="4" t="s">
        <v>63</v>
      </c>
      <c r="E43" s="36">
        <v>7</v>
      </c>
      <c r="F43" s="5">
        <v>85</v>
      </c>
      <c r="G43" s="5">
        <f t="shared" si="0"/>
        <v>595</v>
      </c>
      <c r="H43" s="37">
        <v>0</v>
      </c>
      <c r="I43" s="5">
        <f t="shared" si="1"/>
        <v>595</v>
      </c>
      <c r="J43" s="4" t="s">
        <v>64</v>
      </c>
      <c r="K43" s="4" t="s">
        <v>65</v>
      </c>
      <c r="L43" s="4"/>
    </row>
    <row r="44" spans="1:12" x14ac:dyDescent="0.2">
      <c r="A44" s="172">
        <v>66917</v>
      </c>
      <c r="B44" s="4" t="s">
        <v>123</v>
      </c>
      <c r="C44" s="4" t="s">
        <v>94</v>
      </c>
      <c r="D44" s="4" t="s">
        <v>63</v>
      </c>
      <c r="E44" s="36">
        <v>25</v>
      </c>
      <c r="F44" s="5">
        <v>84</v>
      </c>
      <c r="G44" s="5">
        <f t="shared" si="0"/>
        <v>2100</v>
      </c>
      <c r="H44" s="37">
        <v>0</v>
      </c>
      <c r="I44" s="5">
        <f t="shared" si="1"/>
        <v>2100</v>
      </c>
      <c r="J44" s="4" t="s">
        <v>64</v>
      </c>
      <c r="K44" s="4" t="s">
        <v>65</v>
      </c>
      <c r="L44" s="4"/>
    </row>
    <row r="45" spans="1:12" x14ac:dyDescent="0.2">
      <c r="A45" s="172">
        <v>66917</v>
      </c>
      <c r="B45" s="4" t="s">
        <v>124</v>
      </c>
      <c r="C45" s="4" t="s">
        <v>98</v>
      </c>
      <c r="D45" s="4" t="s">
        <v>63</v>
      </c>
      <c r="E45" s="36">
        <v>8</v>
      </c>
      <c r="F45" s="5">
        <v>85</v>
      </c>
      <c r="G45" s="5">
        <f t="shared" si="0"/>
        <v>680</v>
      </c>
      <c r="H45" s="37">
        <v>0</v>
      </c>
      <c r="I45" s="5">
        <f t="shared" si="1"/>
        <v>680</v>
      </c>
      <c r="J45" s="4" t="s">
        <v>64</v>
      </c>
      <c r="K45" s="4" t="s">
        <v>65</v>
      </c>
      <c r="L45" s="4"/>
    </row>
    <row r="46" spans="1:12" x14ac:dyDescent="0.2">
      <c r="A46" s="172">
        <v>66917</v>
      </c>
      <c r="B46" s="4" t="s">
        <v>125</v>
      </c>
      <c r="C46" s="4" t="s">
        <v>100</v>
      </c>
      <c r="D46" s="4" t="s">
        <v>63</v>
      </c>
      <c r="E46" s="36">
        <v>4</v>
      </c>
      <c r="F46" s="5">
        <v>85</v>
      </c>
      <c r="G46" s="5">
        <f t="shared" si="0"/>
        <v>340</v>
      </c>
      <c r="H46" s="37">
        <v>0</v>
      </c>
      <c r="I46" s="5">
        <f t="shared" si="1"/>
        <v>340</v>
      </c>
      <c r="J46" s="4" t="s">
        <v>64</v>
      </c>
      <c r="K46" s="4" t="s">
        <v>65</v>
      </c>
      <c r="L46" s="4"/>
    </row>
    <row r="47" spans="1:12" x14ac:dyDescent="0.2">
      <c r="A47" s="172">
        <v>66917</v>
      </c>
      <c r="B47" s="4" t="s">
        <v>125</v>
      </c>
      <c r="C47" s="4" t="s">
        <v>100</v>
      </c>
      <c r="D47" s="4" t="s">
        <v>95</v>
      </c>
      <c r="E47" s="36">
        <v>1</v>
      </c>
      <c r="F47" s="5">
        <v>1100</v>
      </c>
      <c r="G47" s="5">
        <f t="shared" si="0"/>
        <v>1100</v>
      </c>
      <c r="H47" s="37">
        <v>0</v>
      </c>
      <c r="I47" s="5">
        <f t="shared" si="1"/>
        <v>1100</v>
      </c>
      <c r="J47" s="4" t="s">
        <v>64</v>
      </c>
      <c r="K47" s="4" t="s">
        <v>65</v>
      </c>
      <c r="L47" s="4"/>
    </row>
    <row r="48" spans="1:12" x14ac:dyDescent="0.2">
      <c r="A48" s="172">
        <v>66918</v>
      </c>
      <c r="B48" s="4" t="s">
        <v>126</v>
      </c>
      <c r="C48" s="4" t="s">
        <v>76</v>
      </c>
      <c r="D48" s="4" t="s">
        <v>63</v>
      </c>
      <c r="E48" s="36">
        <v>10</v>
      </c>
      <c r="F48" s="5">
        <v>85</v>
      </c>
      <c r="G48" s="5">
        <f t="shared" si="0"/>
        <v>850</v>
      </c>
      <c r="H48" s="37">
        <v>0</v>
      </c>
      <c r="I48" s="5">
        <f t="shared" si="1"/>
        <v>850</v>
      </c>
      <c r="J48" s="4" t="s">
        <v>64</v>
      </c>
      <c r="K48" s="4" t="s">
        <v>65</v>
      </c>
      <c r="L48" s="4"/>
    </row>
    <row r="49" spans="1:12" x14ac:dyDescent="0.2">
      <c r="A49" s="172">
        <v>66918</v>
      </c>
      <c r="B49" s="4" t="s">
        <v>127</v>
      </c>
      <c r="C49" s="4" t="s">
        <v>80</v>
      </c>
      <c r="D49" s="4" t="s">
        <v>63</v>
      </c>
      <c r="E49" s="36">
        <v>20</v>
      </c>
      <c r="F49" s="5">
        <v>85</v>
      </c>
      <c r="G49" s="5">
        <f t="shared" si="0"/>
        <v>1700</v>
      </c>
      <c r="H49" s="37">
        <v>0</v>
      </c>
      <c r="I49" s="5">
        <f t="shared" si="1"/>
        <v>1700</v>
      </c>
      <c r="J49" s="4" t="s">
        <v>64</v>
      </c>
      <c r="K49" s="4" t="s">
        <v>65</v>
      </c>
      <c r="L49" s="4"/>
    </row>
    <row r="50" spans="1:12" x14ac:dyDescent="0.2">
      <c r="A50" s="172">
        <v>66918</v>
      </c>
      <c r="B50" s="4" t="s">
        <v>128</v>
      </c>
      <c r="C50" s="4" t="s">
        <v>84</v>
      </c>
      <c r="D50" s="4" t="s">
        <v>63</v>
      </c>
      <c r="E50" s="36">
        <v>4</v>
      </c>
      <c r="F50" s="5">
        <v>86</v>
      </c>
      <c r="G50" s="5">
        <f t="shared" si="0"/>
        <v>344</v>
      </c>
      <c r="H50" s="37">
        <v>0</v>
      </c>
      <c r="I50" s="5">
        <f t="shared" si="1"/>
        <v>344</v>
      </c>
      <c r="J50" s="4" t="s">
        <v>64</v>
      </c>
      <c r="K50" s="4" t="s">
        <v>65</v>
      </c>
      <c r="L50" s="4"/>
    </row>
    <row r="51" spans="1:12" x14ac:dyDescent="0.2">
      <c r="A51" s="172">
        <v>66918</v>
      </c>
      <c r="B51" s="4" t="s">
        <v>129</v>
      </c>
      <c r="C51" s="4" t="s">
        <v>86</v>
      </c>
      <c r="D51" s="4" t="s">
        <v>63</v>
      </c>
      <c r="E51" s="36">
        <v>40</v>
      </c>
      <c r="F51" s="5">
        <v>86</v>
      </c>
      <c r="G51" s="5">
        <f t="shared" si="0"/>
        <v>3440</v>
      </c>
      <c r="H51" s="37">
        <v>0</v>
      </c>
      <c r="I51" s="5">
        <f t="shared" si="1"/>
        <v>3440</v>
      </c>
      <c r="J51" s="4" t="s">
        <v>64</v>
      </c>
      <c r="K51" s="4" t="s">
        <v>65</v>
      </c>
      <c r="L51" s="4"/>
    </row>
    <row r="52" spans="1:12" x14ac:dyDescent="0.2">
      <c r="A52" s="172">
        <v>66918</v>
      </c>
      <c r="B52" s="4" t="s">
        <v>130</v>
      </c>
      <c r="C52" s="4" t="s">
        <v>71</v>
      </c>
      <c r="D52" s="4" t="s">
        <v>63</v>
      </c>
      <c r="E52" s="36">
        <v>40</v>
      </c>
      <c r="F52" s="5">
        <v>86</v>
      </c>
      <c r="G52" s="5">
        <f t="shared" si="0"/>
        <v>3440</v>
      </c>
      <c r="H52" s="37">
        <v>0</v>
      </c>
      <c r="I52" s="5">
        <f t="shared" si="1"/>
        <v>3440</v>
      </c>
      <c r="J52" s="4" t="s">
        <v>64</v>
      </c>
      <c r="K52" s="4" t="s">
        <v>65</v>
      </c>
      <c r="L52" s="4"/>
    </row>
    <row r="53" spans="1:12" x14ac:dyDescent="0.2">
      <c r="A53" s="172">
        <v>66918</v>
      </c>
      <c r="B53" s="4" t="s">
        <v>130</v>
      </c>
      <c r="C53" s="4" t="s">
        <v>71</v>
      </c>
      <c r="D53" s="4" t="s">
        <v>63</v>
      </c>
      <c r="E53" s="36">
        <v>30</v>
      </c>
      <c r="F53" s="5">
        <v>85</v>
      </c>
      <c r="G53" s="5">
        <f t="shared" si="0"/>
        <v>2550</v>
      </c>
      <c r="H53" s="37">
        <v>0</v>
      </c>
      <c r="I53" s="5">
        <f t="shared" si="1"/>
        <v>2550</v>
      </c>
      <c r="J53" s="4" t="s">
        <v>64</v>
      </c>
      <c r="K53" s="4" t="s">
        <v>65</v>
      </c>
      <c r="L53" s="4"/>
    </row>
    <row r="54" spans="1:12" x14ac:dyDescent="0.2">
      <c r="A54" s="172">
        <v>66918</v>
      </c>
      <c r="B54" s="4" t="s">
        <v>130</v>
      </c>
      <c r="C54" s="4" t="s">
        <v>71</v>
      </c>
      <c r="D54" s="4" t="s">
        <v>72</v>
      </c>
      <c r="E54" s="36">
        <v>1</v>
      </c>
      <c r="F54" s="5">
        <v>80</v>
      </c>
      <c r="G54" s="5">
        <f t="shared" si="0"/>
        <v>80</v>
      </c>
      <c r="H54" s="37">
        <v>0</v>
      </c>
      <c r="I54" s="5">
        <f t="shared" si="1"/>
        <v>80</v>
      </c>
      <c r="J54" s="4" t="s">
        <v>64</v>
      </c>
      <c r="K54" s="4" t="s">
        <v>65</v>
      </c>
      <c r="L54" s="4"/>
    </row>
    <row r="55" spans="1:12" x14ac:dyDescent="0.2">
      <c r="A55" s="172">
        <v>66918</v>
      </c>
      <c r="B55" s="4" t="s">
        <v>131</v>
      </c>
      <c r="C55" s="4" t="s">
        <v>74</v>
      </c>
      <c r="D55" s="4" t="s">
        <v>63</v>
      </c>
      <c r="E55" s="36">
        <v>15</v>
      </c>
      <c r="F55" s="5">
        <v>86</v>
      </c>
      <c r="G55" s="5">
        <f t="shared" si="0"/>
        <v>1290</v>
      </c>
      <c r="H55" s="37">
        <v>0</v>
      </c>
      <c r="I55" s="5">
        <f t="shared" si="1"/>
        <v>1290</v>
      </c>
      <c r="J55" s="4" t="s">
        <v>64</v>
      </c>
      <c r="K55" s="4" t="s">
        <v>65</v>
      </c>
      <c r="L55" s="4"/>
    </row>
    <row r="56" spans="1:12" x14ac:dyDescent="0.2">
      <c r="A56" s="172">
        <v>66918</v>
      </c>
      <c r="B56" s="4" t="s">
        <v>132</v>
      </c>
      <c r="C56" s="4" t="s">
        <v>67</v>
      </c>
      <c r="D56" s="4" t="s">
        <v>63</v>
      </c>
      <c r="E56" s="36">
        <v>30</v>
      </c>
      <c r="F56" s="5">
        <v>85</v>
      </c>
      <c r="G56" s="5">
        <f t="shared" si="0"/>
        <v>2550</v>
      </c>
      <c r="H56" s="37">
        <v>0</v>
      </c>
      <c r="I56" s="5">
        <f t="shared" si="1"/>
        <v>2550</v>
      </c>
      <c r="J56" s="4" t="s">
        <v>64</v>
      </c>
      <c r="K56" s="4" t="s">
        <v>65</v>
      </c>
      <c r="L56" s="4"/>
    </row>
    <row r="57" spans="1:12" x14ac:dyDescent="0.2">
      <c r="A57" s="172">
        <v>66918</v>
      </c>
      <c r="B57" s="4" t="s">
        <v>133</v>
      </c>
      <c r="C57" s="4" t="s">
        <v>78</v>
      </c>
      <c r="D57" s="4" t="s">
        <v>63</v>
      </c>
      <c r="E57" s="36">
        <v>5</v>
      </c>
      <c r="F57" s="5">
        <v>85</v>
      </c>
      <c r="G57" s="5">
        <f t="shared" si="0"/>
        <v>425</v>
      </c>
      <c r="H57" s="37">
        <v>0</v>
      </c>
      <c r="I57" s="5">
        <f t="shared" si="1"/>
        <v>425</v>
      </c>
      <c r="J57" s="4" t="s">
        <v>64</v>
      </c>
      <c r="K57" s="4" t="s">
        <v>65</v>
      </c>
      <c r="L57" s="4"/>
    </row>
    <row r="58" spans="1:12" x14ac:dyDescent="0.2">
      <c r="A58" s="172">
        <v>66918</v>
      </c>
      <c r="B58" s="4" t="s">
        <v>134</v>
      </c>
      <c r="C58" s="4" t="s">
        <v>82</v>
      </c>
      <c r="D58" s="4" t="s">
        <v>63</v>
      </c>
      <c r="E58" s="36">
        <v>10</v>
      </c>
      <c r="F58" s="5">
        <v>85</v>
      </c>
      <c r="G58" s="5">
        <f t="shared" si="0"/>
        <v>850</v>
      </c>
      <c r="H58" s="37">
        <v>0</v>
      </c>
      <c r="I58" s="5">
        <f t="shared" si="1"/>
        <v>850</v>
      </c>
      <c r="J58" s="4" t="s">
        <v>64</v>
      </c>
      <c r="K58" s="4" t="s">
        <v>65</v>
      </c>
      <c r="L58" s="4"/>
    </row>
    <row r="59" spans="1:12" x14ac:dyDescent="0.2">
      <c r="A59" s="172">
        <v>66918</v>
      </c>
      <c r="B59" s="4" t="s">
        <v>135</v>
      </c>
      <c r="C59" s="4" t="s">
        <v>90</v>
      </c>
      <c r="D59" s="4" t="s">
        <v>63</v>
      </c>
      <c r="E59" s="36">
        <v>15</v>
      </c>
      <c r="F59" s="5">
        <v>85</v>
      </c>
      <c r="G59" s="5">
        <f t="shared" si="0"/>
        <v>1275</v>
      </c>
      <c r="H59" s="37">
        <v>0</v>
      </c>
      <c r="I59" s="5">
        <f t="shared" si="1"/>
        <v>1275</v>
      </c>
      <c r="J59" s="4" t="s">
        <v>64</v>
      </c>
      <c r="K59" s="4" t="s">
        <v>65</v>
      </c>
      <c r="L59" s="4"/>
    </row>
    <row r="60" spans="1:12" x14ac:dyDescent="0.2">
      <c r="A60" s="172">
        <v>66918</v>
      </c>
      <c r="B60" s="4" t="s">
        <v>136</v>
      </c>
      <c r="C60" s="4" t="s">
        <v>88</v>
      </c>
      <c r="D60" s="4" t="s">
        <v>63</v>
      </c>
      <c r="E60" s="36">
        <v>5</v>
      </c>
      <c r="F60" s="5">
        <v>85</v>
      </c>
      <c r="G60" s="5">
        <f t="shared" si="0"/>
        <v>425</v>
      </c>
      <c r="H60" s="37">
        <v>0</v>
      </c>
      <c r="I60" s="5">
        <f t="shared" si="1"/>
        <v>425</v>
      </c>
      <c r="J60" s="4" t="s">
        <v>64</v>
      </c>
      <c r="K60" s="4" t="s">
        <v>65</v>
      </c>
      <c r="L60" s="4"/>
    </row>
    <row r="61" spans="1:12" x14ac:dyDescent="0.2">
      <c r="A61" s="172">
        <v>66918</v>
      </c>
      <c r="B61" s="4" t="s">
        <v>137</v>
      </c>
      <c r="C61" s="4" t="s">
        <v>69</v>
      </c>
      <c r="D61" s="4" t="s">
        <v>63</v>
      </c>
      <c r="E61" s="36">
        <v>20</v>
      </c>
      <c r="F61" s="5">
        <v>85</v>
      </c>
      <c r="G61" s="5">
        <f t="shared" si="0"/>
        <v>1700</v>
      </c>
      <c r="H61" s="37">
        <v>0</v>
      </c>
      <c r="I61" s="5">
        <f t="shared" si="1"/>
        <v>1700</v>
      </c>
      <c r="J61" s="4" t="s">
        <v>64</v>
      </c>
      <c r="K61" s="4" t="s">
        <v>65</v>
      </c>
      <c r="L61" s="4"/>
    </row>
    <row r="62" spans="1:12" x14ac:dyDescent="0.2">
      <c r="A62" s="172">
        <v>66918</v>
      </c>
      <c r="B62" s="4" t="s">
        <v>138</v>
      </c>
      <c r="C62" s="4" t="s">
        <v>92</v>
      </c>
      <c r="D62" s="4" t="s">
        <v>63</v>
      </c>
      <c r="E62" s="36">
        <v>26</v>
      </c>
      <c r="F62" s="5">
        <v>95</v>
      </c>
      <c r="G62" s="5">
        <f t="shared" si="0"/>
        <v>2470</v>
      </c>
      <c r="H62" s="37">
        <v>0</v>
      </c>
      <c r="I62" s="5">
        <f t="shared" si="1"/>
        <v>2470</v>
      </c>
      <c r="J62" s="4" t="s">
        <v>64</v>
      </c>
      <c r="K62" s="4" t="s">
        <v>65</v>
      </c>
      <c r="L62" s="4"/>
    </row>
    <row r="63" spans="1:12" x14ac:dyDescent="0.2">
      <c r="A63" s="172">
        <v>66918</v>
      </c>
      <c r="B63" s="4" t="s">
        <v>138</v>
      </c>
      <c r="C63" s="4" t="s">
        <v>92</v>
      </c>
      <c r="D63" s="4" t="s">
        <v>63</v>
      </c>
      <c r="E63" s="36">
        <v>5</v>
      </c>
      <c r="F63" s="5">
        <v>85</v>
      </c>
      <c r="G63" s="5">
        <f t="shared" si="0"/>
        <v>425</v>
      </c>
      <c r="H63" s="37">
        <v>0</v>
      </c>
      <c r="I63" s="5">
        <f t="shared" si="1"/>
        <v>425</v>
      </c>
      <c r="J63" s="4" t="s">
        <v>64</v>
      </c>
      <c r="K63" s="4" t="s">
        <v>65</v>
      </c>
      <c r="L63" s="4"/>
    </row>
    <row r="64" spans="1:12" x14ac:dyDescent="0.2">
      <c r="A64" s="172">
        <v>66918</v>
      </c>
      <c r="B64" s="4" t="s">
        <v>139</v>
      </c>
      <c r="C64" s="4" t="s">
        <v>92</v>
      </c>
      <c r="D64" s="4" t="s">
        <v>63</v>
      </c>
      <c r="E64" s="36">
        <v>25</v>
      </c>
      <c r="F64" s="5">
        <v>95</v>
      </c>
      <c r="G64" s="5">
        <f t="shared" si="0"/>
        <v>2375</v>
      </c>
      <c r="H64" s="37">
        <v>0</v>
      </c>
      <c r="I64" s="5">
        <f t="shared" si="1"/>
        <v>2375</v>
      </c>
      <c r="J64" s="4" t="s">
        <v>64</v>
      </c>
      <c r="K64" s="4" t="s">
        <v>65</v>
      </c>
      <c r="L64" s="4"/>
    </row>
    <row r="65" spans="1:12" x14ac:dyDescent="0.2">
      <c r="A65" s="172">
        <v>66918</v>
      </c>
      <c r="B65" s="4" t="s">
        <v>139</v>
      </c>
      <c r="C65" s="4" t="s">
        <v>92</v>
      </c>
      <c r="D65" s="4" t="s">
        <v>63</v>
      </c>
      <c r="E65" s="36">
        <v>12</v>
      </c>
      <c r="F65" s="5">
        <v>85</v>
      </c>
      <c r="G65" s="5">
        <f t="shared" si="0"/>
        <v>1020</v>
      </c>
      <c r="H65" s="37">
        <v>0</v>
      </c>
      <c r="I65" s="5">
        <f t="shared" si="1"/>
        <v>1020</v>
      </c>
      <c r="J65" s="4" t="s">
        <v>64</v>
      </c>
      <c r="K65" s="4" t="s">
        <v>65</v>
      </c>
      <c r="L65" s="4"/>
    </row>
    <row r="66" spans="1:12" x14ac:dyDescent="0.2">
      <c r="A66" s="172">
        <v>66918</v>
      </c>
      <c r="B66" s="4" t="s">
        <v>140</v>
      </c>
      <c r="C66" s="4" t="s">
        <v>94</v>
      </c>
      <c r="D66" s="4" t="s">
        <v>63</v>
      </c>
      <c r="E66" s="36">
        <v>25</v>
      </c>
      <c r="F66" s="5">
        <v>84</v>
      </c>
      <c r="G66" s="5">
        <f t="shared" si="0"/>
        <v>2100</v>
      </c>
      <c r="H66" s="37">
        <v>0</v>
      </c>
      <c r="I66" s="5">
        <f t="shared" si="1"/>
        <v>2100</v>
      </c>
      <c r="J66" s="4" t="s">
        <v>64</v>
      </c>
      <c r="K66" s="4" t="s">
        <v>65</v>
      </c>
      <c r="L66" s="4"/>
    </row>
    <row r="67" spans="1:12" x14ac:dyDescent="0.2">
      <c r="A67" s="172">
        <v>66918</v>
      </c>
      <c r="B67" s="4" t="s">
        <v>141</v>
      </c>
      <c r="C67" s="4" t="s">
        <v>98</v>
      </c>
      <c r="D67" s="4" t="s">
        <v>63</v>
      </c>
      <c r="E67" s="36">
        <v>8</v>
      </c>
      <c r="F67" s="5">
        <v>85</v>
      </c>
      <c r="G67" s="5">
        <f t="shared" ref="G67:G130" si="2">IF($E67="","",$E67*$F67)</f>
        <v>680</v>
      </c>
      <c r="H67" s="37">
        <v>0</v>
      </c>
      <c r="I67" s="5">
        <f t="shared" ref="I67:I130" si="3">IF($E67="","",$G67*(1-$H67/100))</f>
        <v>680</v>
      </c>
      <c r="J67" s="4" t="s">
        <v>64</v>
      </c>
      <c r="K67" s="4" t="s">
        <v>65</v>
      </c>
      <c r="L67" s="4"/>
    </row>
    <row r="68" spans="1:12" x14ac:dyDescent="0.2">
      <c r="A68" s="172">
        <v>66918</v>
      </c>
      <c r="B68" s="4" t="s">
        <v>142</v>
      </c>
      <c r="C68" s="4" t="s">
        <v>100</v>
      </c>
      <c r="D68" s="4" t="s">
        <v>63</v>
      </c>
      <c r="E68" s="36">
        <v>5</v>
      </c>
      <c r="F68" s="5">
        <v>90</v>
      </c>
      <c r="G68" s="5">
        <f t="shared" si="2"/>
        <v>450</v>
      </c>
      <c r="H68" s="37">
        <v>0</v>
      </c>
      <c r="I68" s="5">
        <f t="shared" si="3"/>
        <v>450</v>
      </c>
      <c r="J68" s="4" t="s">
        <v>64</v>
      </c>
      <c r="K68" s="4" t="s">
        <v>65</v>
      </c>
      <c r="L68" s="4"/>
    </row>
    <row r="69" spans="1:12" x14ac:dyDescent="0.2">
      <c r="A69" s="172">
        <v>66918</v>
      </c>
      <c r="B69" s="4" t="s">
        <v>143</v>
      </c>
      <c r="C69" s="4" t="s">
        <v>144</v>
      </c>
      <c r="D69" s="4" t="s">
        <v>63</v>
      </c>
      <c r="E69" s="36">
        <v>3</v>
      </c>
      <c r="F69" s="5">
        <v>85</v>
      </c>
      <c r="G69" s="5">
        <f t="shared" si="2"/>
        <v>255</v>
      </c>
      <c r="H69" s="37">
        <v>0</v>
      </c>
      <c r="I69" s="5">
        <f t="shared" si="3"/>
        <v>255</v>
      </c>
      <c r="J69" s="4" t="s">
        <v>64</v>
      </c>
      <c r="K69" s="4" t="s">
        <v>65</v>
      </c>
      <c r="L69" s="4"/>
    </row>
    <row r="70" spans="1:12" x14ac:dyDescent="0.2">
      <c r="A70" s="172">
        <v>66918</v>
      </c>
      <c r="B70" s="4" t="s">
        <v>143</v>
      </c>
      <c r="C70" s="4" t="s">
        <v>144</v>
      </c>
      <c r="D70" s="4" t="s">
        <v>95</v>
      </c>
      <c r="E70" s="36">
        <v>0.5</v>
      </c>
      <c r="F70" s="5">
        <v>1100</v>
      </c>
      <c r="G70" s="5">
        <f t="shared" si="2"/>
        <v>550</v>
      </c>
      <c r="H70" s="37">
        <v>0</v>
      </c>
      <c r="I70" s="5">
        <f t="shared" si="3"/>
        <v>550</v>
      </c>
      <c r="J70" s="4" t="s">
        <v>64</v>
      </c>
      <c r="K70" s="4" t="s">
        <v>65</v>
      </c>
      <c r="L70" s="4"/>
    </row>
    <row r="71" spans="1:12" x14ac:dyDescent="0.2">
      <c r="A71" s="172">
        <v>66919</v>
      </c>
      <c r="B71" s="4" t="s">
        <v>145</v>
      </c>
      <c r="C71" s="4" t="s">
        <v>62</v>
      </c>
      <c r="D71" s="4" t="s">
        <v>63</v>
      </c>
      <c r="E71" s="36">
        <v>50</v>
      </c>
      <c r="F71" s="5">
        <v>85</v>
      </c>
      <c r="G71" s="5">
        <f t="shared" si="2"/>
        <v>4250</v>
      </c>
      <c r="H71" s="37">
        <v>0</v>
      </c>
      <c r="I71" s="5">
        <f t="shared" si="3"/>
        <v>4250</v>
      </c>
      <c r="J71" s="4" t="s">
        <v>64</v>
      </c>
      <c r="K71" s="4" t="s">
        <v>65</v>
      </c>
      <c r="L71" s="4"/>
    </row>
    <row r="72" spans="1:12" x14ac:dyDescent="0.2">
      <c r="A72" s="172">
        <v>66919</v>
      </c>
      <c r="B72" s="4" t="s">
        <v>146</v>
      </c>
      <c r="C72" s="4" t="s">
        <v>67</v>
      </c>
      <c r="D72" s="4" t="s">
        <v>63</v>
      </c>
      <c r="E72" s="36">
        <v>25</v>
      </c>
      <c r="F72" s="5">
        <v>85</v>
      </c>
      <c r="G72" s="5">
        <f t="shared" si="2"/>
        <v>2125</v>
      </c>
      <c r="H72" s="37">
        <v>0</v>
      </c>
      <c r="I72" s="5">
        <f t="shared" si="3"/>
        <v>2125</v>
      </c>
      <c r="J72" s="4" t="s">
        <v>64</v>
      </c>
      <c r="K72" s="4" t="s">
        <v>65</v>
      </c>
      <c r="L72" s="4"/>
    </row>
    <row r="73" spans="1:12" x14ac:dyDescent="0.2">
      <c r="A73" s="172">
        <v>66919</v>
      </c>
      <c r="B73" s="4" t="s">
        <v>147</v>
      </c>
      <c r="C73" s="4" t="s">
        <v>71</v>
      </c>
      <c r="D73" s="4" t="s">
        <v>63</v>
      </c>
      <c r="E73" s="36">
        <v>40</v>
      </c>
      <c r="F73" s="5">
        <v>86</v>
      </c>
      <c r="G73" s="5">
        <f t="shared" si="2"/>
        <v>3440</v>
      </c>
      <c r="H73" s="37">
        <v>0</v>
      </c>
      <c r="I73" s="5">
        <f t="shared" si="3"/>
        <v>3440</v>
      </c>
      <c r="J73" s="4" t="s">
        <v>64</v>
      </c>
      <c r="K73" s="4" t="s">
        <v>65</v>
      </c>
      <c r="L73" s="4"/>
    </row>
    <row r="74" spans="1:12" x14ac:dyDescent="0.2">
      <c r="A74" s="172">
        <v>66919</v>
      </c>
      <c r="B74" s="4" t="s">
        <v>147</v>
      </c>
      <c r="C74" s="4" t="s">
        <v>71</v>
      </c>
      <c r="D74" s="4" t="s">
        <v>63</v>
      </c>
      <c r="E74" s="36">
        <v>50</v>
      </c>
      <c r="F74" s="5">
        <v>85</v>
      </c>
      <c r="G74" s="5">
        <f t="shared" si="2"/>
        <v>4250</v>
      </c>
      <c r="H74" s="37">
        <v>0</v>
      </c>
      <c r="I74" s="5">
        <f t="shared" si="3"/>
        <v>4250</v>
      </c>
      <c r="J74" s="4" t="s">
        <v>64</v>
      </c>
      <c r="K74" s="4" t="s">
        <v>65</v>
      </c>
      <c r="L74" s="4"/>
    </row>
    <row r="75" spans="1:12" x14ac:dyDescent="0.2">
      <c r="A75" s="172">
        <v>66919</v>
      </c>
      <c r="B75" s="4" t="s">
        <v>147</v>
      </c>
      <c r="C75" s="4" t="s">
        <v>71</v>
      </c>
      <c r="D75" s="4" t="s">
        <v>72</v>
      </c>
      <c r="E75" s="36">
        <v>1</v>
      </c>
      <c r="F75" s="5">
        <v>80</v>
      </c>
      <c r="G75" s="5">
        <f t="shared" si="2"/>
        <v>80</v>
      </c>
      <c r="H75" s="37">
        <v>0</v>
      </c>
      <c r="I75" s="5">
        <f t="shared" si="3"/>
        <v>80</v>
      </c>
      <c r="J75" s="4" t="s">
        <v>64</v>
      </c>
      <c r="K75" s="4" t="s">
        <v>65</v>
      </c>
      <c r="L75" s="4"/>
    </row>
    <row r="76" spans="1:12" x14ac:dyDescent="0.2">
      <c r="A76" s="172">
        <v>66919</v>
      </c>
      <c r="B76" s="4" t="s">
        <v>148</v>
      </c>
      <c r="C76" s="4" t="s">
        <v>69</v>
      </c>
      <c r="D76" s="4" t="s">
        <v>63</v>
      </c>
      <c r="E76" s="36">
        <v>25</v>
      </c>
      <c r="F76" s="5">
        <v>85</v>
      </c>
      <c r="G76" s="5">
        <f t="shared" si="2"/>
        <v>2125</v>
      </c>
      <c r="H76" s="37">
        <v>0</v>
      </c>
      <c r="I76" s="5">
        <f t="shared" si="3"/>
        <v>2125</v>
      </c>
      <c r="J76" s="4" t="s">
        <v>64</v>
      </c>
      <c r="K76" s="4" t="s">
        <v>65</v>
      </c>
      <c r="L76" s="4"/>
    </row>
    <row r="77" spans="1:12" x14ac:dyDescent="0.2">
      <c r="A77" s="172">
        <v>66919</v>
      </c>
      <c r="B77" s="4" t="s">
        <v>149</v>
      </c>
      <c r="C77" s="4" t="s">
        <v>90</v>
      </c>
      <c r="D77" s="4" t="s">
        <v>63</v>
      </c>
      <c r="E77" s="36">
        <v>15</v>
      </c>
      <c r="F77" s="5">
        <v>85</v>
      </c>
      <c r="G77" s="5">
        <f t="shared" si="2"/>
        <v>1275</v>
      </c>
      <c r="H77" s="37">
        <v>0</v>
      </c>
      <c r="I77" s="5">
        <f t="shared" si="3"/>
        <v>1275</v>
      </c>
      <c r="J77" s="4" t="s">
        <v>64</v>
      </c>
      <c r="K77" s="4" t="s">
        <v>65</v>
      </c>
      <c r="L77" s="4"/>
    </row>
    <row r="78" spans="1:12" x14ac:dyDescent="0.2">
      <c r="A78" s="172">
        <v>66919</v>
      </c>
      <c r="B78" s="4" t="s">
        <v>150</v>
      </c>
      <c r="C78" s="4" t="s">
        <v>86</v>
      </c>
      <c r="D78" s="4" t="s">
        <v>63</v>
      </c>
      <c r="E78" s="36">
        <v>20</v>
      </c>
      <c r="F78" s="5">
        <v>86</v>
      </c>
      <c r="G78" s="5">
        <f t="shared" si="2"/>
        <v>1720</v>
      </c>
      <c r="H78" s="37">
        <v>0</v>
      </c>
      <c r="I78" s="5">
        <f t="shared" si="3"/>
        <v>1720</v>
      </c>
      <c r="J78" s="4" t="s">
        <v>64</v>
      </c>
      <c r="K78" s="4" t="s">
        <v>65</v>
      </c>
      <c r="L78" s="4"/>
    </row>
    <row r="79" spans="1:12" x14ac:dyDescent="0.2">
      <c r="A79" s="172">
        <v>66919</v>
      </c>
      <c r="B79" s="4" t="s">
        <v>151</v>
      </c>
      <c r="C79" s="4" t="s">
        <v>84</v>
      </c>
      <c r="D79" s="4" t="s">
        <v>63</v>
      </c>
      <c r="E79" s="36">
        <v>4</v>
      </c>
      <c r="F79" s="5">
        <v>86</v>
      </c>
      <c r="G79" s="5">
        <f t="shared" si="2"/>
        <v>344</v>
      </c>
      <c r="H79" s="37">
        <v>0</v>
      </c>
      <c r="I79" s="5">
        <f t="shared" si="3"/>
        <v>344</v>
      </c>
      <c r="J79" s="4" t="s">
        <v>64</v>
      </c>
      <c r="K79" s="4" t="s">
        <v>65</v>
      </c>
      <c r="L79" s="4"/>
    </row>
    <row r="80" spans="1:12" x14ac:dyDescent="0.2">
      <c r="A80" s="172">
        <v>66919</v>
      </c>
      <c r="B80" s="4" t="s">
        <v>152</v>
      </c>
      <c r="C80" s="4" t="s">
        <v>88</v>
      </c>
      <c r="D80" s="4" t="s">
        <v>63</v>
      </c>
      <c r="E80" s="36">
        <v>5</v>
      </c>
      <c r="F80" s="5">
        <v>85</v>
      </c>
      <c r="G80" s="5">
        <f t="shared" si="2"/>
        <v>425</v>
      </c>
      <c r="H80" s="37">
        <v>0</v>
      </c>
      <c r="I80" s="5">
        <f t="shared" si="3"/>
        <v>425</v>
      </c>
      <c r="J80" s="4" t="s">
        <v>64</v>
      </c>
      <c r="K80" s="4" t="s">
        <v>65</v>
      </c>
      <c r="L80" s="4"/>
    </row>
    <row r="81" spans="1:12" x14ac:dyDescent="0.2">
      <c r="A81" s="172">
        <v>66919</v>
      </c>
      <c r="B81" s="4" t="s">
        <v>153</v>
      </c>
      <c r="C81" s="4" t="s">
        <v>82</v>
      </c>
      <c r="D81" s="4" t="s">
        <v>63</v>
      </c>
      <c r="E81" s="36">
        <v>10</v>
      </c>
      <c r="F81" s="5">
        <v>85</v>
      </c>
      <c r="G81" s="5">
        <f t="shared" si="2"/>
        <v>850</v>
      </c>
      <c r="H81" s="37">
        <v>0</v>
      </c>
      <c r="I81" s="5">
        <f t="shared" si="3"/>
        <v>850</v>
      </c>
      <c r="J81" s="4" t="s">
        <v>64</v>
      </c>
      <c r="K81" s="4" t="s">
        <v>65</v>
      </c>
      <c r="L81" s="4"/>
    </row>
    <row r="82" spans="1:12" x14ac:dyDescent="0.2">
      <c r="A82" s="172">
        <v>66919</v>
      </c>
      <c r="B82" s="4" t="s">
        <v>154</v>
      </c>
      <c r="C82" s="4" t="s">
        <v>80</v>
      </c>
      <c r="D82" s="4" t="s">
        <v>63</v>
      </c>
      <c r="E82" s="36">
        <v>15</v>
      </c>
      <c r="F82" s="5">
        <v>85</v>
      </c>
      <c r="G82" s="5">
        <f t="shared" si="2"/>
        <v>1275</v>
      </c>
      <c r="H82" s="37">
        <v>0</v>
      </c>
      <c r="I82" s="5">
        <f t="shared" si="3"/>
        <v>1275</v>
      </c>
      <c r="J82" s="4" t="s">
        <v>64</v>
      </c>
      <c r="K82" s="4" t="s">
        <v>65</v>
      </c>
      <c r="L82" s="4"/>
    </row>
    <row r="83" spans="1:12" x14ac:dyDescent="0.2">
      <c r="A83" s="172">
        <v>66919</v>
      </c>
      <c r="B83" s="4" t="s">
        <v>155</v>
      </c>
      <c r="C83" s="4" t="s">
        <v>76</v>
      </c>
      <c r="D83" s="4" t="s">
        <v>63</v>
      </c>
      <c r="E83" s="36">
        <v>10</v>
      </c>
      <c r="F83" s="5">
        <v>85</v>
      </c>
      <c r="G83" s="5">
        <f t="shared" si="2"/>
        <v>850</v>
      </c>
      <c r="H83" s="37">
        <v>0</v>
      </c>
      <c r="I83" s="5">
        <f t="shared" si="3"/>
        <v>850</v>
      </c>
      <c r="J83" s="4" t="s">
        <v>64</v>
      </c>
      <c r="K83" s="4" t="s">
        <v>65</v>
      </c>
      <c r="L83" s="4"/>
    </row>
    <row r="84" spans="1:12" x14ac:dyDescent="0.2">
      <c r="A84" s="172">
        <v>66919</v>
      </c>
      <c r="B84" s="4" t="s">
        <v>156</v>
      </c>
      <c r="C84" s="4" t="s">
        <v>74</v>
      </c>
      <c r="D84" s="4" t="s">
        <v>63</v>
      </c>
      <c r="E84" s="36">
        <v>20</v>
      </c>
      <c r="F84" s="5">
        <v>86</v>
      </c>
      <c r="G84" s="5">
        <f t="shared" si="2"/>
        <v>1720</v>
      </c>
      <c r="H84" s="37">
        <v>0</v>
      </c>
      <c r="I84" s="5">
        <f t="shared" si="3"/>
        <v>1720</v>
      </c>
      <c r="J84" s="4" t="s">
        <v>64</v>
      </c>
      <c r="K84" s="4" t="s">
        <v>65</v>
      </c>
      <c r="L84" s="4"/>
    </row>
    <row r="85" spans="1:12" x14ac:dyDescent="0.2">
      <c r="A85" s="172">
        <v>66919</v>
      </c>
      <c r="B85" s="4" t="s">
        <v>156</v>
      </c>
      <c r="C85" s="4" t="s">
        <v>74</v>
      </c>
      <c r="D85" s="4" t="s">
        <v>96</v>
      </c>
      <c r="E85" s="36">
        <v>1</v>
      </c>
      <c r="F85" s="5">
        <v>775</v>
      </c>
      <c r="G85" s="5">
        <f t="shared" si="2"/>
        <v>775</v>
      </c>
      <c r="H85" s="37">
        <v>0</v>
      </c>
      <c r="I85" s="5">
        <f t="shared" si="3"/>
        <v>775</v>
      </c>
      <c r="J85" s="4" t="s">
        <v>64</v>
      </c>
      <c r="K85" s="4" t="s">
        <v>65</v>
      </c>
      <c r="L85" s="4"/>
    </row>
    <row r="86" spans="1:12" x14ac:dyDescent="0.2">
      <c r="A86" s="172">
        <v>66919</v>
      </c>
      <c r="B86" s="4" t="s">
        <v>157</v>
      </c>
      <c r="C86" s="4" t="s">
        <v>158</v>
      </c>
      <c r="D86" s="4" t="s">
        <v>96</v>
      </c>
      <c r="E86" s="36">
        <v>3</v>
      </c>
      <c r="F86" s="5">
        <v>800</v>
      </c>
      <c r="G86" s="5">
        <f t="shared" si="2"/>
        <v>2400</v>
      </c>
      <c r="H86" s="37">
        <v>0</v>
      </c>
      <c r="I86" s="5">
        <f t="shared" si="3"/>
        <v>2400</v>
      </c>
      <c r="J86" s="4" t="s">
        <v>64</v>
      </c>
      <c r="K86" s="4" t="s">
        <v>65</v>
      </c>
      <c r="L86" s="4"/>
    </row>
    <row r="87" spans="1:12" x14ac:dyDescent="0.2">
      <c r="A87" s="172">
        <v>66919</v>
      </c>
      <c r="B87" s="4" t="s">
        <v>159</v>
      </c>
      <c r="C87" s="4" t="s">
        <v>94</v>
      </c>
      <c r="D87" s="4" t="s">
        <v>63</v>
      </c>
      <c r="E87" s="36">
        <v>25</v>
      </c>
      <c r="F87" s="5">
        <v>84</v>
      </c>
      <c r="G87" s="5">
        <f t="shared" si="2"/>
        <v>2100</v>
      </c>
      <c r="H87" s="37">
        <v>0</v>
      </c>
      <c r="I87" s="5">
        <f t="shared" si="3"/>
        <v>2100</v>
      </c>
      <c r="J87" s="4" t="s">
        <v>64</v>
      </c>
      <c r="K87" s="4" t="s">
        <v>65</v>
      </c>
      <c r="L87" s="4"/>
    </row>
    <row r="88" spans="1:12" x14ac:dyDescent="0.2">
      <c r="A88" s="172">
        <v>66919</v>
      </c>
      <c r="B88" s="4" t="s">
        <v>160</v>
      </c>
      <c r="C88" s="4" t="s">
        <v>98</v>
      </c>
      <c r="D88" s="4" t="s">
        <v>63</v>
      </c>
      <c r="E88" s="36">
        <v>8</v>
      </c>
      <c r="F88" s="5">
        <v>85</v>
      </c>
      <c r="G88" s="5">
        <f t="shared" si="2"/>
        <v>680</v>
      </c>
      <c r="H88" s="37">
        <v>0</v>
      </c>
      <c r="I88" s="5">
        <f t="shared" si="3"/>
        <v>680</v>
      </c>
      <c r="J88" s="4" t="s">
        <v>64</v>
      </c>
      <c r="K88" s="4" t="s">
        <v>65</v>
      </c>
      <c r="L88" s="4"/>
    </row>
    <row r="89" spans="1:12" x14ac:dyDescent="0.2">
      <c r="A89" s="172">
        <v>66919</v>
      </c>
      <c r="B89" s="4" t="s">
        <v>161</v>
      </c>
      <c r="C89" s="4" t="s">
        <v>92</v>
      </c>
      <c r="D89" s="4" t="s">
        <v>63</v>
      </c>
      <c r="E89" s="36">
        <v>25</v>
      </c>
      <c r="F89" s="5">
        <v>95</v>
      </c>
      <c r="G89" s="5">
        <f t="shared" si="2"/>
        <v>2375</v>
      </c>
      <c r="H89" s="37">
        <v>0</v>
      </c>
      <c r="I89" s="5">
        <f t="shared" si="3"/>
        <v>2375</v>
      </c>
      <c r="J89" s="4" t="s">
        <v>64</v>
      </c>
      <c r="K89" s="4" t="s">
        <v>65</v>
      </c>
      <c r="L89" s="4"/>
    </row>
    <row r="90" spans="1:12" x14ac:dyDescent="0.2">
      <c r="A90" s="172">
        <v>66919</v>
      </c>
      <c r="B90" s="4" t="s">
        <v>161</v>
      </c>
      <c r="C90" s="4" t="s">
        <v>92</v>
      </c>
      <c r="D90" s="4" t="s">
        <v>63</v>
      </c>
      <c r="E90" s="36">
        <v>12</v>
      </c>
      <c r="F90" s="5">
        <v>85</v>
      </c>
      <c r="G90" s="5">
        <f t="shared" si="2"/>
        <v>1020</v>
      </c>
      <c r="H90" s="37">
        <v>0</v>
      </c>
      <c r="I90" s="5">
        <f t="shared" si="3"/>
        <v>1020</v>
      </c>
      <c r="J90" s="4" t="s">
        <v>64</v>
      </c>
      <c r="K90" s="4" t="s">
        <v>65</v>
      </c>
      <c r="L90" s="4"/>
    </row>
    <row r="91" spans="1:12" x14ac:dyDescent="0.2">
      <c r="A91" s="172">
        <v>66919</v>
      </c>
      <c r="B91" s="4" t="s">
        <v>162</v>
      </c>
      <c r="C91" s="4" t="s">
        <v>102</v>
      </c>
      <c r="D91" s="4" t="s">
        <v>63</v>
      </c>
      <c r="E91" s="36">
        <v>5</v>
      </c>
      <c r="F91" s="5">
        <v>86</v>
      </c>
      <c r="G91" s="5">
        <f t="shared" si="2"/>
        <v>430</v>
      </c>
      <c r="H91" s="37">
        <v>0</v>
      </c>
      <c r="I91" s="5">
        <f t="shared" si="3"/>
        <v>430</v>
      </c>
      <c r="J91" s="4" t="s">
        <v>64</v>
      </c>
      <c r="K91" s="4" t="s">
        <v>65</v>
      </c>
      <c r="L91" s="4"/>
    </row>
    <row r="92" spans="1:12" x14ac:dyDescent="0.2">
      <c r="A92" s="172">
        <v>66919</v>
      </c>
      <c r="B92" s="4" t="s">
        <v>163</v>
      </c>
      <c r="C92" s="4" t="s">
        <v>100</v>
      </c>
      <c r="D92" s="4" t="s">
        <v>63</v>
      </c>
      <c r="E92" s="36">
        <v>4.5</v>
      </c>
      <c r="F92" s="5">
        <v>93.33</v>
      </c>
      <c r="G92" s="5">
        <f t="shared" si="2"/>
        <v>419.98500000000001</v>
      </c>
      <c r="H92" s="37">
        <v>0</v>
      </c>
      <c r="I92" s="5">
        <f t="shared" si="3"/>
        <v>419.98500000000001</v>
      </c>
      <c r="J92" s="4" t="s">
        <v>64</v>
      </c>
      <c r="K92" s="4" t="s">
        <v>65</v>
      </c>
      <c r="L92" s="4"/>
    </row>
    <row r="93" spans="1:12" x14ac:dyDescent="0.2">
      <c r="A93" s="172">
        <v>66919</v>
      </c>
      <c r="B93" s="4" t="s">
        <v>163</v>
      </c>
      <c r="C93" s="4" t="s">
        <v>100</v>
      </c>
      <c r="D93" s="4" t="s">
        <v>164</v>
      </c>
      <c r="E93" s="36">
        <v>0.5</v>
      </c>
      <c r="F93" s="5">
        <v>800</v>
      </c>
      <c r="G93" s="5">
        <f t="shared" si="2"/>
        <v>400</v>
      </c>
      <c r="H93" s="37">
        <v>0</v>
      </c>
      <c r="I93" s="5">
        <f t="shared" si="3"/>
        <v>400</v>
      </c>
      <c r="J93" s="4" t="s">
        <v>64</v>
      </c>
      <c r="K93" s="4" t="s">
        <v>65</v>
      </c>
      <c r="L93" s="4"/>
    </row>
    <row r="94" spans="1:12" x14ac:dyDescent="0.2">
      <c r="A94" s="172">
        <v>66919</v>
      </c>
      <c r="B94" s="4" t="s">
        <v>165</v>
      </c>
      <c r="C94" s="4" t="s">
        <v>166</v>
      </c>
      <c r="D94" s="4" t="s">
        <v>63</v>
      </c>
      <c r="E94" s="36">
        <v>6</v>
      </c>
      <c r="F94" s="5">
        <v>85</v>
      </c>
      <c r="G94" s="5">
        <f t="shared" si="2"/>
        <v>510</v>
      </c>
      <c r="H94" s="37">
        <v>0</v>
      </c>
      <c r="I94" s="5">
        <f t="shared" si="3"/>
        <v>510</v>
      </c>
      <c r="J94" s="4" t="s">
        <v>64</v>
      </c>
      <c r="K94" s="4" t="s">
        <v>65</v>
      </c>
      <c r="L94" s="4"/>
    </row>
    <row r="95" spans="1:12" x14ac:dyDescent="0.2">
      <c r="A95" s="172">
        <v>66919</v>
      </c>
      <c r="B95" s="4" t="s">
        <v>167</v>
      </c>
      <c r="C95" s="4" t="s">
        <v>86</v>
      </c>
      <c r="D95" s="4" t="s">
        <v>63</v>
      </c>
      <c r="E95" s="36">
        <v>10</v>
      </c>
      <c r="F95" s="5">
        <v>86</v>
      </c>
      <c r="G95" s="5">
        <f t="shared" si="2"/>
        <v>860</v>
      </c>
      <c r="H95" s="37">
        <v>0</v>
      </c>
      <c r="I95" s="5">
        <f t="shared" si="3"/>
        <v>860</v>
      </c>
      <c r="J95" s="4" t="s">
        <v>64</v>
      </c>
      <c r="K95" s="4" t="s">
        <v>65</v>
      </c>
      <c r="L95" s="4"/>
    </row>
    <row r="96" spans="1:12" x14ac:dyDescent="0.2">
      <c r="A96" s="172">
        <v>66920</v>
      </c>
      <c r="B96" s="4" t="s">
        <v>168</v>
      </c>
      <c r="C96" s="4" t="s">
        <v>62</v>
      </c>
      <c r="D96" s="4" t="s">
        <v>63</v>
      </c>
      <c r="E96" s="36">
        <v>60</v>
      </c>
      <c r="F96" s="5">
        <v>85</v>
      </c>
      <c r="G96" s="5">
        <f t="shared" si="2"/>
        <v>5100</v>
      </c>
      <c r="H96" s="37">
        <v>0</v>
      </c>
      <c r="I96" s="5">
        <f t="shared" si="3"/>
        <v>5100</v>
      </c>
      <c r="J96" s="4" t="s">
        <v>64</v>
      </c>
      <c r="K96" s="4" t="s">
        <v>65</v>
      </c>
      <c r="L96" s="4"/>
    </row>
    <row r="97" spans="1:12" x14ac:dyDescent="0.2">
      <c r="A97" s="172">
        <v>66920</v>
      </c>
      <c r="B97" s="4" t="s">
        <v>169</v>
      </c>
      <c r="C97" s="4" t="s">
        <v>67</v>
      </c>
      <c r="D97" s="4" t="s">
        <v>63</v>
      </c>
      <c r="E97" s="36">
        <v>30</v>
      </c>
      <c r="F97" s="5">
        <v>85</v>
      </c>
      <c r="G97" s="5">
        <f t="shared" si="2"/>
        <v>2550</v>
      </c>
      <c r="H97" s="37">
        <v>0</v>
      </c>
      <c r="I97" s="5">
        <f t="shared" si="3"/>
        <v>2550</v>
      </c>
      <c r="J97" s="4" t="s">
        <v>64</v>
      </c>
      <c r="K97" s="4" t="s">
        <v>65</v>
      </c>
      <c r="L97" s="4"/>
    </row>
    <row r="98" spans="1:12" x14ac:dyDescent="0.2">
      <c r="A98" s="172">
        <v>66920</v>
      </c>
      <c r="B98" s="4" t="s">
        <v>170</v>
      </c>
      <c r="C98" s="4" t="s">
        <v>76</v>
      </c>
      <c r="D98" s="4" t="s">
        <v>63</v>
      </c>
      <c r="E98" s="36">
        <v>10</v>
      </c>
      <c r="F98" s="5">
        <v>85</v>
      </c>
      <c r="G98" s="5">
        <f t="shared" si="2"/>
        <v>850</v>
      </c>
      <c r="H98" s="37">
        <v>0</v>
      </c>
      <c r="I98" s="5">
        <f t="shared" si="3"/>
        <v>850</v>
      </c>
      <c r="J98" s="4" t="s">
        <v>64</v>
      </c>
      <c r="K98" s="4" t="s">
        <v>65</v>
      </c>
      <c r="L98" s="4"/>
    </row>
    <row r="99" spans="1:12" x14ac:dyDescent="0.2">
      <c r="A99" s="172">
        <v>66920</v>
      </c>
      <c r="B99" s="4" t="s">
        <v>171</v>
      </c>
      <c r="C99" s="4" t="s">
        <v>82</v>
      </c>
      <c r="D99" s="4" t="s">
        <v>63</v>
      </c>
      <c r="E99" s="36">
        <v>10</v>
      </c>
      <c r="F99" s="5">
        <v>85</v>
      </c>
      <c r="G99" s="5">
        <f t="shared" si="2"/>
        <v>850</v>
      </c>
      <c r="H99" s="37">
        <v>0</v>
      </c>
      <c r="I99" s="5">
        <f t="shared" si="3"/>
        <v>850</v>
      </c>
      <c r="J99" s="4" t="s">
        <v>64</v>
      </c>
      <c r="K99" s="4" t="s">
        <v>65</v>
      </c>
      <c r="L99" s="4"/>
    </row>
    <row r="100" spans="1:12" x14ac:dyDescent="0.2">
      <c r="A100" s="172">
        <v>66920</v>
      </c>
      <c r="B100" s="4" t="s">
        <v>172</v>
      </c>
      <c r="C100" s="4" t="s">
        <v>84</v>
      </c>
      <c r="D100" s="4" t="s">
        <v>63</v>
      </c>
      <c r="E100" s="36">
        <v>4</v>
      </c>
      <c r="F100" s="5">
        <v>86</v>
      </c>
      <c r="G100" s="5">
        <f t="shared" si="2"/>
        <v>344</v>
      </c>
      <c r="H100" s="37">
        <v>0</v>
      </c>
      <c r="I100" s="5">
        <f t="shared" si="3"/>
        <v>344</v>
      </c>
      <c r="J100" s="4" t="s">
        <v>64</v>
      </c>
      <c r="K100" s="4" t="s">
        <v>65</v>
      </c>
      <c r="L100" s="4"/>
    </row>
    <row r="101" spans="1:12" x14ac:dyDescent="0.2">
      <c r="A101" s="172">
        <v>66920</v>
      </c>
      <c r="B101" s="4" t="s">
        <v>173</v>
      </c>
      <c r="C101" s="4" t="s">
        <v>86</v>
      </c>
      <c r="D101" s="4" t="s">
        <v>63</v>
      </c>
      <c r="E101" s="36">
        <v>20</v>
      </c>
      <c r="F101" s="5">
        <v>86</v>
      </c>
      <c r="G101" s="5">
        <f t="shared" si="2"/>
        <v>1720</v>
      </c>
      <c r="H101" s="37">
        <v>0</v>
      </c>
      <c r="I101" s="5">
        <f t="shared" si="3"/>
        <v>1720</v>
      </c>
      <c r="J101" s="4" t="s">
        <v>64</v>
      </c>
      <c r="K101" s="4" t="s">
        <v>65</v>
      </c>
      <c r="L101" s="4"/>
    </row>
    <row r="102" spans="1:12" x14ac:dyDescent="0.2">
      <c r="A102" s="172">
        <v>66920</v>
      </c>
      <c r="B102" s="4" t="s">
        <v>174</v>
      </c>
      <c r="C102" s="4" t="s">
        <v>69</v>
      </c>
      <c r="D102" s="4" t="s">
        <v>63</v>
      </c>
      <c r="E102" s="36">
        <v>20</v>
      </c>
      <c r="F102" s="5">
        <v>85</v>
      </c>
      <c r="G102" s="5">
        <f t="shared" si="2"/>
        <v>1700</v>
      </c>
      <c r="H102" s="37">
        <v>0</v>
      </c>
      <c r="I102" s="5">
        <f t="shared" si="3"/>
        <v>1700</v>
      </c>
      <c r="J102" s="4" t="s">
        <v>64</v>
      </c>
      <c r="K102" s="4" t="s">
        <v>65</v>
      </c>
      <c r="L102" s="4"/>
    </row>
    <row r="103" spans="1:12" x14ac:dyDescent="0.2">
      <c r="A103" s="172">
        <v>66920</v>
      </c>
      <c r="B103" s="4" t="s">
        <v>175</v>
      </c>
      <c r="C103" s="4" t="s">
        <v>71</v>
      </c>
      <c r="D103" s="4" t="s">
        <v>63</v>
      </c>
      <c r="E103" s="36">
        <v>40</v>
      </c>
      <c r="F103" s="5">
        <v>86</v>
      </c>
      <c r="G103" s="5">
        <f t="shared" si="2"/>
        <v>3440</v>
      </c>
      <c r="H103" s="37">
        <v>0</v>
      </c>
      <c r="I103" s="5">
        <f t="shared" si="3"/>
        <v>3440</v>
      </c>
      <c r="J103" s="4" t="s">
        <v>64</v>
      </c>
      <c r="K103" s="4" t="s">
        <v>65</v>
      </c>
      <c r="L103" s="4"/>
    </row>
    <row r="104" spans="1:12" x14ac:dyDescent="0.2">
      <c r="A104" s="172">
        <v>66920</v>
      </c>
      <c r="B104" s="4" t="s">
        <v>175</v>
      </c>
      <c r="C104" s="4" t="s">
        <v>71</v>
      </c>
      <c r="D104" s="4" t="s">
        <v>63</v>
      </c>
      <c r="E104" s="36">
        <v>35</v>
      </c>
      <c r="F104" s="5">
        <v>85</v>
      </c>
      <c r="G104" s="5">
        <f t="shared" si="2"/>
        <v>2975</v>
      </c>
      <c r="H104" s="37">
        <v>0</v>
      </c>
      <c r="I104" s="5">
        <f t="shared" si="3"/>
        <v>2975</v>
      </c>
      <c r="J104" s="4" t="s">
        <v>64</v>
      </c>
      <c r="K104" s="4" t="s">
        <v>65</v>
      </c>
      <c r="L104" s="4"/>
    </row>
    <row r="105" spans="1:12" x14ac:dyDescent="0.2">
      <c r="A105" s="172">
        <v>66920</v>
      </c>
      <c r="B105" s="4" t="s">
        <v>175</v>
      </c>
      <c r="C105" s="4" t="s">
        <v>71</v>
      </c>
      <c r="D105" s="4" t="s">
        <v>72</v>
      </c>
      <c r="E105" s="36">
        <v>1</v>
      </c>
      <c r="F105" s="5">
        <v>80</v>
      </c>
      <c r="G105" s="5">
        <f t="shared" si="2"/>
        <v>80</v>
      </c>
      <c r="H105" s="37">
        <v>0</v>
      </c>
      <c r="I105" s="5">
        <f t="shared" si="3"/>
        <v>80</v>
      </c>
      <c r="J105" s="4" t="s">
        <v>64</v>
      </c>
      <c r="K105" s="4" t="s">
        <v>65</v>
      </c>
      <c r="L105" s="4"/>
    </row>
    <row r="106" spans="1:12" x14ac:dyDescent="0.2">
      <c r="A106" s="172">
        <v>66920</v>
      </c>
      <c r="B106" s="4" t="s">
        <v>176</v>
      </c>
      <c r="C106" s="4" t="s">
        <v>88</v>
      </c>
      <c r="D106" s="4" t="s">
        <v>63</v>
      </c>
      <c r="E106" s="36">
        <v>5</v>
      </c>
      <c r="F106" s="5">
        <v>85</v>
      </c>
      <c r="G106" s="5">
        <f t="shared" si="2"/>
        <v>425</v>
      </c>
      <c r="H106" s="37">
        <v>0</v>
      </c>
      <c r="I106" s="5">
        <f t="shared" si="3"/>
        <v>425</v>
      </c>
      <c r="J106" s="4" t="s">
        <v>64</v>
      </c>
      <c r="K106" s="4" t="s">
        <v>65</v>
      </c>
      <c r="L106" s="4"/>
    </row>
    <row r="107" spans="1:12" x14ac:dyDescent="0.2">
      <c r="A107" s="172">
        <v>66920</v>
      </c>
      <c r="B107" s="4" t="s">
        <v>177</v>
      </c>
      <c r="C107" s="4" t="s">
        <v>90</v>
      </c>
      <c r="D107" s="4" t="s">
        <v>63</v>
      </c>
      <c r="E107" s="36">
        <v>15</v>
      </c>
      <c r="F107" s="5">
        <v>85</v>
      </c>
      <c r="G107" s="5">
        <f t="shared" si="2"/>
        <v>1275</v>
      </c>
      <c r="H107" s="37">
        <v>0</v>
      </c>
      <c r="I107" s="5">
        <f t="shared" si="3"/>
        <v>1275</v>
      </c>
      <c r="J107" s="4" t="s">
        <v>64</v>
      </c>
      <c r="K107" s="4" t="s">
        <v>65</v>
      </c>
      <c r="L107" s="4"/>
    </row>
    <row r="108" spans="1:12" x14ac:dyDescent="0.2">
      <c r="A108" s="172">
        <v>66920</v>
      </c>
      <c r="B108" s="4" t="s">
        <v>178</v>
      </c>
      <c r="C108" s="4" t="s">
        <v>78</v>
      </c>
      <c r="D108" s="4" t="s">
        <v>63</v>
      </c>
      <c r="E108" s="36">
        <v>5</v>
      </c>
      <c r="F108" s="5">
        <v>85</v>
      </c>
      <c r="G108" s="5">
        <f t="shared" si="2"/>
        <v>425</v>
      </c>
      <c r="H108" s="37">
        <v>0</v>
      </c>
      <c r="I108" s="5">
        <f t="shared" si="3"/>
        <v>425</v>
      </c>
      <c r="J108" s="4" t="s">
        <v>64</v>
      </c>
      <c r="K108" s="4" t="s">
        <v>65</v>
      </c>
      <c r="L108" s="4"/>
    </row>
    <row r="109" spans="1:12" x14ac:dyDescent="0.2">
      <c r="A109" s="172">
        <v>66920</v>
      </c>
      <c r="B109" s="4" t="s">
        <v>179</v>
      </c>
      <c r="C109" s="4" t="s">
        <v>80</v>
      </c>
      <c r="D109" s="4" t="s">
        <v>63</v>
      </c>
      <c r="E109" s="36">
        <v>12</v>
      </c>
      <c r="F109" s="5">
        <v>85</v>
      </c>
      <c r="G109" s="5">
        <f t="shared" si="2"/>
        <v>1020</v>
      </c>
      <c r="H109" s="37">
        <v>0</v>
      </c>
      <c r="I109" s="5">
        <f t="shared" si="3"/>
        <v>1020</v>
      </c>
      <c r="J109" s="4" t="s">
        <v>64</v>
      </c>
      <c r="K109" s="4" t="s">
        <v>65</v>
      </c>
      <c r="L109" s="4"/>
    </row>
    <row r="110" spans="1:12" x14ac:dyDescent="0.2">
      <c r="A110" s="172">
        <v>66920</v>
      </c>
      <c r="B110" s="4" t="s">
        <v>180</v>
      </c>
      <c r="C110" s="4" t="s">
        <v>74</v>
      </c>
      <c r="D110" s="4" t="s">
        <v>63</v>
      </c>
      <c r="E110" s="36">
        <v>20</v>
      </c>
      <c r="F110" s="5">
        <v>86</v>
      </c>
      <c r="G110" s="5">
        <f t="shared" si="2"/>
        <v>1720</v>
      </c>
      <c r="H110" s="37">
        <v>0</v>
      </c>
      <c r="I110" s="5">
        <f t="shared" si="3"/>
        <v>1720</v>
      </c>
      <c r="J110" s="4" t="s">
        <v>64</v>
      </c>
      <c r="K110" s="4" t="s">
        <v>65</v>
      </c>
      <c r="L110" s="4"/>
    </row>
    <row r="111" spans="1:12" x14ac:dyDescent="0.2">
      <c r="A111" s="172">
        <v>66920</v>
      </c>
      <c r="B111" s="4" t="s">
        <v>181</v>
      </c>
      <c r="C111" s="4" t="s">
        <v>92</v>
      </c>
      <c r="D111" s="4" t="s">
        <v>63</v>
      </c>
      <c r="E111" s="36">
        <v>25</v>
      </c>
      <c r="F111" s="5">
        <v>95</v>
      </c>
      <c r="G111" s="5">
        <f t="shared" si="2"/>
        <v>2375</v>
      </c>
      <c r="H111" s="37">
        <v>0</v>
      </c>
      <c r="I111" s="5">
        <f t="shared" si="3"/>
        <v>2375</v>
      </c>
      <c r="J111" s="4" t="s">
        <v>64</v>
      </c>
      <c r="K111" s="4" t="s">
        <v>65</v>
      </c>
      <c r="L111" s="4"/>
    </row>
    <row r="112" spans="1:12" x14ac:dyDescent="0.2">
      <c r="A112" s="172">
        <v>66920</v>
      </c>
      <c r="B112" s="4" t="s">
        <v>181</v>
      </c>
      <c r="C112" s="4" t="s">
        <v>92</v>
      </c>
      <c r="D112" s="4" t="s">
        <v>63</v>
      </c>
      <c r="E112" s="36">
        <v>12</v>
      </c>
      <c r="F112" s="5">
        <v>85</v>
      </c>
      <c r="G112" s="5">
        <f t="shared" si="2"/>
        <v>1020</v>
      </c>
      <c r="H112" s="37">
        <v>0</v>
      </c>
      <c r="I112" s="5">
        <f t="shared" si="3"/>
        <v>1020</v>
      </c>
      <c r="J112" s="4" t="s">
        <v>64</v>
      </c>
      <c r="K112" s="4" t="s">
        <v>65</v>
      </c>
      <c r="L112" s="4"/>
    </row>
    <row r="113" spans="1:12" x14ac:dyDescent="0.2">
      <c r="A113" s="172">
        <v>66920</v>
      </c>
      <c r="B113" s="4" t="s">
        <v>182</v>
      </c>
      <c r="C113" s="4" t="s">
        <v>94</v>
      </c>
      <c r="D113" s="4" t="s">
        <v>63</v>
      </c>
      <c r="E113" s="36">
        <v>25</v>
      </c>
      <c r="F113" s="5">
        <v>84</v>
      </c>
      <c r="G113" s="5">
        <f t="shared" si="2"/>
        <v>2100</v>
      </c>
      <c r="H113" s="37">
        <v>0</v>
      </c>
      <c r="I113" s="5">
        <f t="shared" si="3"/>
        <v>2100</v>
      </c>
      <c r="J113" s="4" t="s">
        <v>64</v>
      </c>
      <c r="K113" s="4" t="s">
        <v>65</v>
      </c>
      <c r="L113" s="4"/>
    </row>
    <row r="114" spans="1:12" x14ac:dyDescent="0.2">
      <c r="A114" s="172">
        <v>66920</v>
      </c>
      <c r="B114" s="4" t="s">
        <v>183</v>
      </c>
      <c r="C114" s="4" t="s">
        <v>98</v>
      </c>
      <c r="D114" s="4" t="s">
        <v>63</v>
      </c>
      <c r="E114" s="36">
        <v>8</v>
      </c>
      <c r="F114" s="5">
        <v>85</v>
      </c>
      <c r="G114" s="5">
        <f t="shared" si="2"/>
        <v>680</v>
      </c>
      <c r="H114" s="37">
        <v>0</v>
      </c>
      <c r="I114" s="5">
        <f t="shared" si="3"/>
        <v>680</v>
      </c>
      <c r="J114" s="4" t="s">
        <v>64</v>
      </c>
      <c r="K114" s="4" t="s">
        <v>65</v>
      </c>
      <c r="L114" s="4"/>
    </row>
    <row r="115" spans="1:12" x14ac:dyDescent="0.2">
      <c r="A115" s="172">
        <v>66920</v>
      </c>
      <c r="B115" s="4" t="s">
        <v>184</v>
      </c>
      <c r="C115" s="4" t="s">
        <v>100</v>
      </c>
      <c r="D115" s="4" t="s">
        <v>63</v>
      </c>
      <c r="E115" s="36">
        <v>9.15</v>
      </c>
      <c r="F115" s="5">
        <v>100</v>
      </c>
      <c r="G115" s="5">
        <f t="shared" si="2"/>
        <v>915</v>
      </c>
      <c r="H115" s="37">
        <v>0</v>
      </c>
      <c r="I115" s="5">
        <f t="shared" si="3"/>
        <v>915</v>
      </c>
      <c r="J115" s="4" t="s">
        <v>64</v>
      </c>
      <c r="K115" s="4" t="s">
        <v>65</v>
      </c>
      <c r="L115" s="4"/>
    </row>
    <row r="116" spans="1:12" x14ac:dyDescent="0.2">
      <c r="A116" s="172">
        <v>66920</v>
      </c>
      <c r="B116" s="4" t="s">
        <v>185</v>
      </c>
      <c r="C116" s="4" t="s">
        <v>86</v>
      </c>
      <c r="D116" s="4" t="s">
        <v>63</v>
      </c>
      <c r="E116" s="36">
        <v>10</v>
      </c>
      <c r="F116" s="5">
        <v>86</v>
      </c>
      <c r="G116" s="5">
        <f t="shared" si="2"/>
        <v>860</v>
      </c>
      <c r="H116" s="37">
        <v>0</v>
      </c>
      <c r="I116" s="5">
        <f t="shared" si="3"/>
        <v>860</v>
      </c>
      <c r="J116" s="4" t="s">
        <v>64</v>
      </c>
      <c r="K116" s="4" t="s">
        <v>65</v>
      </c>
      <c r="L116" s="4"/>
    </row>
    <row r="117" spans="1:12" x14ac:dyDescent="0.2">
      <c r="A117" s="172">
        <v>66921</v>
      </c>
      <c r="B117" s="4" t="s">
        <v>186</v>
      </c>
      <c r="C117" s="4" t="s">
        <v>62</v>
      </c>
      <c r="D117" s="4" t="s">
        <v>63</v>
      </c>
      <c r="E117" s="36">
        <v>60</v>
      </c>
      <c r="F117" s="5">
        <v>85</v>
      </c>
      <c r="G117" s="5">
        <f t="shared" si="2"/>
        <v>5100</v>
      </c>
      <c r="H117" s="37">
        <v>0</v>
      </c>
      <c r="I117" s="5">
        <f t="shared" si="3"/>
        <v>5100</v>
      </c>
      <c r="J117" s="4" t="s">
        <v>64</v>
      </c>
      <c r="K117" s="4" t="s">
        <v>65</v>
      </c>
      <c r="L117" s="4"/>
    </row>
    <row r="118" spans="1:12" x14ac:dyDescent="0.2">
      <c r="A118" s="172">
        <v>66921</v>
      </c>
      <c r="B118" s="4" t="s">
        <v>187</v>
      </c>
      <c r="C118" s="4" t="s">
        <v>67</v>
      </c>
      <c r="D118" s="4" t="s">
        <v>63</v>
      </c>
      <c r="E118" s="36">
        <v>30</v>
      </c>
      <c r="F118" s="5">
        <v>85</v>
      </c>
      <c r="G118" s="5">
        <f t="shared" si="2"/>
        <v>2550</v>
      </c>
      <c r="H118" s="37">
        <v>0</v>
      </c>
      <c r="I118" s="5">
        <f t="shared" si="3"/>
        <v>2550</v>
      </c>
      <c r="J118" s="4" t="s">
        <v>64</v>
      </c>
      <c r="K118" s="4" t="s">
        <v>65</v>
      </c>
      <c r="L118" s="4"/>
    </row>
    <row r="119" spans="1:12" x14ac:dyDescent="0.2">
      <c r="A119" s="172">
        <v>66921</v>
      </c>
      <c r="B119" s="4" t="s">
        <v>188</v>
      </c>
      <c r="C119" s="4" t="s">
        <v>76</v>
      </c>
      <c r="D119" s="4" t="s">
        <v>63</v>
      </c>
      <c r="E119" s="36">
        <v>10</v>
      </c>
      <c r="F119" s="5">
        <v>85</v>
      </c>
      <c r="G119" s="5">
        <f t="shared" si="2"/>
        <v>850</v>
      </c>
      <c r="H119" s="37">
        <v>0</v>
      </c>
      <c r="I119" s="5">
        <f t="shared" si="3"/>
        <v>850</v>
      </c>
      <c r="J119" s="4" t="s">
        <v>64</v>
      </c>
      <c r="K119" s="4" t="s">
        <v>65</v>
      </c>
      <c r="L119" s="4"/>
    </row>
    <row r="120" spans="1:12" x14ac:dyDescent="0.2">
      <c r="A120" s="172">
        <v>66921</v>
      </c>
      <c r="B120" s="4" t="s">
        <v>189</v>
      </c>
      <c r="C120" s="4" t="s">
        <v>82</v>
      </c>
      <c r="D120" s="4" t="s">
        <v>63</v>
      </c>
      <c r="E120" s="36">
        <v>10</v>
      </c>
      <c r="F120" s="5">
        <v>85</v>
      </c>
      <c r="G120" s="5">
        <f t="shared" si="2"/>
        <v>850</v>
      </c>
      <c r="H120" s="37">
        <v>0</v>
      </c>
      <c r="I120" s="5">
        <f t="shared" si="3"/>
        <v>850</v>
      </c>
      <c r="J120" s="4" t="s">
        <v>64</v>
      </c>
      <c r="K120" s="4" t="s">
        <v>65</v>
      </c>
      <c r="L120" s="4"/>
    </row>
    <row r="121" spans="1:12" x14ac:dyDescent="0.2">
      <c r="A121" s="172">
        <v>66921</v>
      </c>
      <c r="B121" s="4" t="s">
        <v>190</v>
      </c>
      <c r="C121" s="4" t="s">
        <v>84</v>
      </c>
      <c r="D121" s="4" t="s">
        <v>63</v>
      </c>
      <c r="E121" s="36">
        <v>4</v>
      </c>
      <c r="F121" s="5">
        <v>86</v>
      </c>
      <c r="G121" s="5">
        <f t="shared" si="2"/>
        <v>344</v>
      </c>
      <c r="H121" s="37">
        <v>0</v>
      </c>
      <c r="I121" s="5">
        <f t="shared" si="3"/>
        <v>344</v>
      </c>
      <c r="J121" s="4" t="s">
        <v>64</v>
      </c>
      <c r="K121" s="4" t="s">
        <v>65</v>
      </c>
      <c r="L121" s="4"/>
    </row>
    <row r="122" spans="1:12" x14ac:dyDescent="0.2">
      <c r="A122" s="172">
        <v>66921</v>
      </c>
      <c r="B122" s="4" t="s">
        <v>191</v>
      </c>
      <c r="C122" s="4" t="s">
        <v>86</v>
      </c>
      <c r="D122" s="4" t="s">
        <v>63</v>
      </c>
      <c r="E122" s="36">
        <v>25</v>
      </c>
      <c r="F122" s="5">
        <v>86</v>
      </c>
      <c r="G122" s="5">
        <f t="shared" si="2"/>
        <v>2150</v>
      </c>
      <c r="H122" s="37">
        <v>0</v>
      </c>
      <c r="I122" s="5">
        <f t="shared" si="3"/>
        <v>2150</v>
      </c>
      <c r="J122" s="4" t="s">
        <v>64</v>
      </c>
      <c r="K122" s="4" t="s">
        <v>65</v>
      </c>
      <c r="L122" s="4"/>
    </row>
    <row r="123" spans="1:12" x14ac:dyDescent="0.2">
      <c r="A123" s="172">
        <v>66921</v>
      </c>
      <c r="B123" s="4" t="s">
        <v>192</v>
      </c>
      <c r="C123" s="4" t="s">
        <v>69</v>
      </c>
      <c r="D123" s="4" t="s">
        <v>63</v>
      </c>
      <c r="E123" s="36">
        <v>35</v>
      </c>
      <c r="F123" s="5">
        <v>85</v>
      </c>
      <c r="G123" s="5">
        <f t="shared" si="2"/>
        <v>2975</v>
      </c>
      <c r="H123" s="37">
        <v>0</v>
      </c>
      <c r="I123" s="5">
        <f t="shared" si="3"/>
        <v>2975</v>
      </c>
      <c r="J123" s="4" t="s">
        <v>64</v>
      </c>
      <c r="K123" s="4" t="s">
        <v>65</v>
      </c>
      <c r="L123" s="4"/>
    </row>
    <row r="124" spans="1:12" x14ac:dyDescent="0.2">
      <c r="A124" s="172">
        <v>66921</v>
      </c>
      <c r="B124" s="4" t="s">
        <v>193</v>
      </c>
      <c r="C124" s="4" t="s">
        <v>71</v>
      </c>
      <c r="D124" s="4" t="s">
        <v>63</v>
      </c>
      <c r="E124" s="36">
        <v>40</v>
      </c>
      <c r="F124" s="5">
        <v>86</v>
      </c>
      <c r="G124" s="5">
        <f t="shared" si="2"/>
        <v>3440</v>
      </c>
      <c r="H124" s="37">
        <v>0</v>
      </c>
      <c r="I124" s="5">
        <f t="shared" si="3"/>
        <v>3440</v>
      </c>
      <c r="J124" s="4" t="s">
        <v>64</v>
      </c>
      <c r="K124" s="4" t="s">
        <v>65</v>
      </c>
      <c r="L124" s="4"/>
    </row>
    <row r="125" spans="1:12" x14ac:dyDescent="0.2">
      <c r="A125" s="172">
        <v>66921</v>
      </c>
      <c r="B125" s="4" t="s">
        <v>193</v>
      </c>
      <c r="C125" s="4" t="s">
        <v>71</v>
      </c>
      <c r="D125" s="4" t="s">
        <v>63</v>
      </c>
      <c r="E125" s="36">
        <v>50</v>
      </c>
      <c r="F125" s="5">
        <v>85</v>
      </c>
      <c r="G125" s="5">
        <f t="shared" si="2"/>
        <v>4250</v>
      </c>
      <c r="H125" s="37">
        <v>0</v>
      </c>
      <c r="I125" s="5">
        <f t="shared" si="3"/>
        <v>4250</v>
      </c>
      <c r="J125" s="4" t="s">
        <v>64</v>
      </c>
      <c r="K125" s="4" t="s">
        <v>65</v>
      </c>
      <c r="L125" s="4"/>
    </row>
    <row r="126" spans="1:12" x14ac:dyDescent="0.2">
      <c r="A126" s="172">
        <v>66921</v>
      </c>
      <c r="B126" s="4" t="s">
        <v>194</v>
      </c>
      <c r="C126" s="4" t="s">
        <v>195</v>
      </c>
      <c r="D126" s="4" t="s">
        <v>96</v>
      </c>
      <c r="E126" s="36">
        <v>1</v>
      </c>
      <c r="F126" s="5">
        <v>800</v>
      </c>
      <c r="G126" s="5">
        <f t="shared" si="2"/>
        <v>800</v>
      </c>
      <c r="H126" s="37">
        <v>0</v>
      </c>
      <c r="I126" s="5">
        <f t="shared" si="3"/>
        <v>800</v>
      </c>
      <c r="J126" s="4" t="s">
        <v>64</v>
      </c>
      <c r="K126" s="4" t="s">
        <v>65</v>
      </c>
      <c r="L126" s="4"/>
    </row>
    <row r="127" spans="1:12" x14ac:dyDescent="0.2">
      <c r="A127" s="172">
        <v>66921</v>
      </c>
      <c r="B127" s="4" t="s">
        <v>196</v>
      </c>
      <c r="C127" s="4" t="s">
        <v>88</v>
      </c>
      <c r="D127" s="4" t="s">
        <v>63</v>
      </c>
      <c r="E127" s="36">
        <v>5</v>
      </c>
      <c r="F127" s="5">
        <v>85</v>
      </c>
      <c r="G127" s="5">
        <f t="shared" si="2"/>
        <v>425</v>
      </c>
      <c r="H127" s="37">
        <v>0</v>
      </c>
      <c r="I127" s="5">
        <f t="shared" si="3"/>
        <v>425</v>
      </c>
      <c r="J127" s="4" t="s">
        <v>64</v>
      </c>
      <c r="K127" s="4" t="s">
        <v>65</v>
      </c>
      <c r="L127" s="4"/>
    </row>
    <row r="128" spans="1:12" x14ac:dyDescent="0.2">
      <c r="A128" s="172">
        <v>66921</v>
      </c>
      <c r="B128" s="4" t="s">
        <v>197</v>
      </c>
      <c r="C128" s="4" t="s">
        <v>90</v>
      </c>
      <c r="D128" s="4" t="s">
        <v>63</v>
      </c>
      <c r="E128" s="36">
        <v>15</v>
      </c>
      <c r="F128" s="5">
        <v>85</v>
      </c>
      <c r="G128" s="5">
        <f t="shared" si="2"/>
        <v>1275</v>
      </c>
      <c r="H128" s="37">
        <v>0</v>
      </c>
      <c r="I128" s="5">
        <f t="shared" si="3"/>
        <v>1275</v>
      </c>
      <c r="J128" s="4" t="s">
        <v>64</v>
      </c>
      <c r="K128" s="4" t="s">
        <v>65</v>
      </c>
      <c r="L128" s="4"/>
    </row>
    <row r="129" spans="1:12" x14ac:dyDescent="0.2">
      <c r="A129" s="172">
        <v>66921</v>
      </c>
      <c r="B129" s="4" t="s">
        <v>198</v>
      </c>
      <c r="C129" s="4" t="s">
        <v>80</v>
      </c>
      <c r="D129" s="4" t="s">
        <v>63</v>
      </c>
      <c r="E129" s="36">
        <v>20</v>
      </c>
      <c r="F129" s="5">
        <v>85</v>
      </c>
      <c r="G129" s="5">
        <f t="shared" si="2"/>
        <v>1700</v>
      </c>
      <c r="H129" s="37">
        <v>0</v>
      </c>
      <c r="I129" s="5">
        <f t="shared" si="3"/>
        <v>1700</v>
      </c>
      <c r="J129" s="4" t="s">
        <v>64</v>
      </c>
      <c r="K129" s="4" t="s">
        <v>65</v>
      </c>
      <c r="L129" s="4"/>
    </row>
    <row r="130" spans="1:12" x14ac:dyDescent="0.2">
      <c r="A130" s="172">
        <v>66921</v>
      </c>
      <c r="B130" s="4" t="s">
        <v>199</v>
      </c>
      <c r="C130" s="4" t="s">
        <v>78</v>
      </c>
      <c r="D130" s="4" t="s">
        <v>63</v>
      </c>
      <c r="E130" s="36">
        <v>5</v>
      </c>
      <c r="F130" s="5">
        <v>85</v>
      </c>
      <c r="G130" s="5">
        <f t="shared" si="2"/>
        <v>425</v>
      </c>
      <c r="H130" s="37">
        <v>0</v>
      </c>
      <c r="I130" s="5">
        <f t="shared" si="3"/>
        <v>425</v>
      </c>
      <c r="J130" s="4" t="s">
        <v>64</v>
      </c>
      <c r="K130" s="4" t="s">
        <v>65</v>
      </c>
      <c r="L130" s="4"/>
    </row>
    <row r="131" spans="1:12" x14ac:dyDescent="0.2">
      <c r="A131" s="172">
        <v>66921</v>
      </c>
      <c r="B131" s="4" t="s">
        <v>200</v>
      </c>
      <c r="C131" s="4" t="s">
        <v>74</v>
      </c>
      <c r="D131" s="4" t="s">
        <v>63</v>
      </c>
      <c r="E131" s="36">
        <v>15</v>
      </c>
      <c r="F131" s="5">
        <v>85</v>
      </c>
      <c r="G131" s="5">
        <f t="shared" ref="G131:G194" si="4">IF($E131="","",$E131*$F131)</f>
        <v>1275</v>
      </c>
      <c r="H131" s="37">
        <v>0</v>
      </c>
      <c r="I131" s="5">
        <f t="shared" ref="I131:I194" si="5">IF($E131="","",$G131*(1-$H131/100))</f>
        <v>1275</v>
      </c>
      <c r="J131" s="4" t="s">
        <v>64</v>
      </c>
      <c r="K131" s="4" t="s">
        <v>65</v>
      </c>
      <c r="L131" s="4"/>
    </row>
    <row r="132" spans="1:12" x14ac:dyDescent="0.2">
      <c r="A132" s="172">
        <v>66921</v>
      </c>
      <c r="B132" s="4" t="s">
        <v>201</v>
      </c>
      <c r="C132" s="4" t="s">
        <v>92</v>
      </c>
      <c r="D132" s="4" t="s">
        <v>63</v>
      </c>
      <c r="E132" s="36">
        <v>12</v>
      </c>
      <c r="F132" s="5">
        <v>95</v>
      </c>
      <c r="G132" s="5">
        <f t="shared" si="4"/>
        <v>1140</v>
      </c>
      <c r="H132" s="37">
        <v>0</v>
      </c>
      <c r="I132" s="5">
        <f t="shared" si="5"/>
        <v>1140</v>
      </c>
      <c r="J132" s="4" t="s">
        <v>64</v>
      </c>
      <c r="K132" s="4" t="s">
        <v>65</v>
      </c>
      <c r="L132" s="4"/>
    </row>
    <row r="133" spans="1:12" x14ac:dyDescent="0.2">
      <c r="A133" s="172">
        <v>66921</v>
      </c>
      <c r="B133" s="4" t="s">
        <v>202</v>
      </c>
      <c r="C133" s="4" t="s">
        <v>92</v>
      </c>
      <c r="D133" s="4" t="s">
        <v>63</v>
      </c>
      <c r="E133" s="36">
        <v>25</v>
      </c>
      <c r="F133" s="5">
        <v>95</v>
      </c>
      <c r="G133" s="5">
        <f t="shared" si="4"/>
        <v>2375</v>
      </c>
      <c r="H133" s="37">
        <v>0</v>
      </c>
      <c r="I133" s="5">
        <f t="shared" si="5"/>
        <v>2375</v>
      </c>
      <c r="J133" s="4" t="s">
        <v>64</v>
      </c>
      <c r="K133" s="4" t="s">
        <v>65</v>
      </c>
      <c r="L133" s="4"/>
    </row>
    <row r="134" spans="1:12" x14ac:dyDescent="0.2">
      <c r="A134" s="172">
        <v>66921</v>
      </c>
      <c r="B134" s="4" t="s">
        <v>202</v>
      </c>
      <c r="C134" s="4" t="s">
        <v>92</v>
      </c>
      <c r="D134" s="4" t="s">
        <v>63</v>
      </c>
      <c r="E134" s="36">
        <v>12</v>
      </c>
      <c r="F134" s="5">
        <v>85</v>
      </c>
      <c r="G134" s="5">
        <f t="shared" si="4"/>
        <v>1020</v>
      </c>
      <c r="H134" s="37">
        <v>0</v>
      </c>
      <c r="I134" s="5">
        <f t="shared" si="5"/>
        <v>1020</v>
      </c>
      <c r="J134" s="4" t="s">
        <v>64</v>
      </c>
      <c r="K134" s="4" t="s">
        <v>65</v>
      </c>
      <c r="L134" s="4"/>
    </row>
    <row r="135" spans="1:12" x14ac:dyDescent="0.2">
      <c r="A135" s="172">
        <v>66921</v>
      </c>
      <c r="B135" s="4" t="s">
        <v>203</v>
      </c>
      <c r="C135" s="4" t="s">
        <v>94</v>
      </c>
      <c r="D135" s="4" t="s">
        <v>63</v>
      </c>
      <c r="E135" s="36">
        <v>28</v>
      </c>
      <c r="F135" s="5">
        <v>84</v>
      </c>
      <c r="G135" s="5">
        <f t="shared" si="4"/>
        <v>2352</v>
      </c>
      <c r="H135" s="37">
        <v>0</v>
      </c>
      <c r="I135" s="5">
        <f t="shared" si="5"/>
        <v>2352</v>
      </c>
      <c r="J135" s="4" t="s">
        <v>64</v>
      </c>
      <c r="K135" s="4" t="s">
        <v>65</v>
      </c>
      <c r="L135" s="4"/>
    </row>
    <row r="136" spans="1:12" x14ac:dyDescent="0.2">
      <c r="A136" s="172">
        <v>66921</v>
      </c>
      <c r="B136" s="4" t="s">
        <v>204</v>
      </c>
      <c r="C136" s="4" t="s">
        <v>98</v>
      </c>
      <c r="D136" s="4" t="s">
        <v>63</v>
      </c>
      <c r="E136" s="36">
        <v>8</v>
      </c>
      <c r="F136" s="5">
        <v>85</v>
      </c>
      <c r="G136" s="5">
        <f t="shared" si="4"/>
        <v>680</v>
      </c>
      <c r="H136" s="37">
        <v>0</v>
      </c>
      <c r="I136" s="5">
        <f t="shared" si="5"/>
        <v>680</v>
      </c>
      <c r="J136" s="4" t="s">
        <v>64</v>
      </c>
      <c r="K136" s="4" t="s">
        <v>65</v>
      </c>
      <c r="L136" s="4"/>
    </row>
    <row r="137" spans="1:12" x14ac:dyDescent="0.2">
      <c r="A137" s="172">
        <v>66921</v>
      </c>
      <c r="B137" s="4" t="s">
        <v>205</v>
      </c>
      <c r="C137" s="4" t="s">
        <v>206</v>
      </c>
      <c r="D137" s="4" t="s">
        <v>95</v>
      </c>
      <c r="E137" s="36">
        <v>1</v>
      </c>
      <c r="F137" s="5">
        <v>1100</v>
      </c>
      <c r="G137" s="5">
        <f t="shared" si="4"/>
        <v>1100</v>
      </c>
      <c r="H137" s="37">
        <v>0</v>
      </c>
      <c r="I137" s="5">
        <f t="shared" si="5"/>
        <v>1100</v>
      </c>
      <c r="J137" s="4" t="s">
        <v>64</v>
      </c>
      <c r="K137" s="4" t="s">
        <v>65</v>
      </c>
      <c r="L137" s="4"/>
    </row>
    <row r="138" spans="1:12" x14ac:dyDescent="0.2">
      <c r="A138" s="172">
        <v>66921</v>
      </c>
      <c r="B138" s="4" t="s">
        <v>207</v>
      </c>
      <c r="C138" s="4" t="s">
        <v>100</v>
      </c>
      <c r="D138" s="4" t="s">
        <v>63</v>
      </c>
      <c r="E138" s="36">
        <v>5</v>
      </c>
      <c r="F138" s="5">
        <v>95</v>
      </c>
      <c r="G138" s="5">
        <f t="shared" si="4"/>
        <v>475</v>
      </c>
      <c r="H138" s="37">
        <v>0</v>
      </c>
      <c r="I138" s="5">
        <f t="shared" si="5"/>
        <v>475</v>
      </c>
      <c r="J138" s="4" t="s">
        <v>64</v>
      </c>
      <c r="K138" s="4" t="s">
        <v>65</v>
      </c>
      <c r="L138" s="4"/>
    </row>
    <row r="139" spans="1:12" x14ac:dyDescent="0.2">
      <c r="A139" s="172">
        <v>66921</v>
      </c>
      <c r="B139" s="4" t="s">
        <v>208</v>
      </c>
      <c r="C139" s="4" t="s">
        <v>209</v>
      </c>
      <c r="D139" s="4" t="s">
        <v>95</v>
      </c>
      <c r="E139" s="36">
        <v>10</v>
      </c>
      <c r="F139" s="5">
        <v>1100</v>
      </c>
      <c r="G139" s="5">
        <f t="shared" si="4"/>
        <v>11000</v>
      </c>
      <c r="H139" s="37">
        <v>0</v>
      </c>
      <c r="I139" s="5">
        <f t="shared" si="5"/>
        <v>11000</v>
      </c>
      <c r="J139" s="4" t="s">
        <v>64</v>
      </c>
      <c r="K139" s="4" t="s">
        <v>65</v>
      </c>
      <c r="L139" s="4"/>
    </row>
    <row r="140" spans="1:12" x14ac:dyDescent="0.2">
      <c r="A140" s="172">
        <v>66921</v>
      </c>
      <c r="B140" s="4" t="s">
        <v>210</v>
      </c>
      <c r="C140" s="4" t="s">
        <v>86</v>
      </c>
      <c r="D140" s="4" t="s">
        <v>63</v>
      </c>
      <c r="E140" s="36">
        <v>10</v>
      </c>
      <c r="F140" s="5">
        <v>86</v>
      </c>
      <c r="G140" s="5">
        <f t="shared" si="4"/>
        <v>860</v>
      </c>
      <c r="H140" s="37">
        <v>0</v>
      </c>
      <c r="I140" s="5">
        <f t="shared" si="5"/>
        <v>860</v>
      </c>
      <c r="J140" s="4" t="s">
        <v>64</v>
      </c>
      <c r="K140" s="4" t="s">
        <v>65</v>
      </c>
      <c r="L140" s="4"/>
    </row>
    <row r="141" spans="1:12" x14ac:dyDescent="0.2">
      <c r="A141" s="172">
        <v>66921</v>
      </c>
      <c r="B141" s="4" t="s">
        <v>211</v>
      </c>
      <c r="C141" s="4" t="s">
        <v>212</v>
      </c>
      <c r="D141" s="4" t="s">
        <v>95</v>
      </c>
      <c r="E141" s="36">
        <v>2</v>
      </c>
      <c r="F141" s="5">
        <v>1100</v>
      </c>
      <c r="G141" s="5">
        <f t="shared" si="4"/>
        <v>2200</v>
      </c>
      <c r="H141" s="37">
        <v>0</v>
      </c>
      <c r="I141" s="5">
        <f t="shared" si="5"/>
        <v>2200</v>
      </c>
      <c r="J141" s="4" t="s">
        <v>64</v>
      </c>
      <c r="K141" s="4" t="s">
        <v>65</v>
      </c>
      <c r="L141" s="4"/>
    </row>
    <row r="142" spans="1:12" x14ac:dyDescent="0.2">
      <c r="A142" s="172">
        <v>66921</v>
      </c>
      <c r="B142" s="4" t="s">
        <v>213</v>
      </c>
      <c r="C142" s="4" t="s">
        <v>214</v>
      </c>
      <c r="D142" s="4" t="s">
        <v>63</v>
      </c>
      <c r="E142" s="36">
        <v>2</v>
      </c>
      <c r="F142" s="5">
        <v>90</v>
      </c>
      <c r="G142" s="5">
        <f t="shared" si="4"/>
        <v>180</v>
      </c>
      <c r="H142" s="37">
        <v>0</v>
      </c>
      <c r="I142" s="5">
        <f t="shared" si="5"/>
        <v>180</v>
      </c>
      <c r="J142" s="4" t="s">
        <v>64</v>
      </c>
      <c r="K142" s="4" t="s">
        <v>65</v>
      </c>
      <c r="L142" s="4"/>
    </row>
    <row r="143" spans="1:12" x14ac:dyDescent="0.2">
      <c r="A143" s="172">
        <v>66922</v>
      </c>
      <c r="B143" s="4" t="s">
        <v>215</v>
      </c>
      <c r="C143" s="4" t="s">
        <v>62</v>
      </c>
      <c r="D143" s="4" t="s">
        <v>63</v>
      </c>
      <c r="E143" s="36">
        <v>60</v>
      </c>
      <c r="F143" s="5">
        <v>85</v>
      </c>
      <c r="G143" s="5">
        <f t="shared" si="4"/>
        <v>5100</v>
      </c>
      <c r="H143" s="37">
        <v>0</v>
      </c>
      <c r="I143" s="5">
        <f t="shared" si="5"/>
        <v>5100</v>
      </c>
      <c r="J143" s="4" t="s">
        <v>64</v>
      </c>
      <c r="K143" s="4" t="s">
        <v>65</v>
      </c>
      <c r="L143" s="4"/>
    </row>
    <row r="144" spans="1:12" x14ac:dyDescent="0.2">
      <c r="A144" s="172">
        <v>66922</v>
      </c>
      <c r="B144" s="4" t="s">
        <v>215</v>
      </c>
      <c r="C144" s="4" t="s">
        <v>62</v>
      </c>
      <c r="D144" s="4" t="s">
        <v>63</v>
      </c>
      <c r="E144" s="36">
        <v>1</v>
      </c>
      <c r="F144" s="5">
        <v>80</v>
      </c>
      <c r="G144" s="5">
        <f t="shared" si="4"/>
        <v>80</v>
      </c>
      <c r="H144" s="37">
        <v>0</v>
      </c>
      <c r="I144" s="5">
        <f t="shared" si="5"/>
        <v>80</v>
      </c>
      <c r="J144" s="4" t="s">
        <v>64</v>
      </c>
      <c r="K144" s="4" t="s">
        <v>65</v>
      </c>
      <c r="L144" s="4"/>
    </row>
    <row r="145" spans="1:12" x14ac:dyDescent="0.2">
      <c r="A145" s="172">
        <v>66922</v>
      </c>
      <c r="B145" s="4" t="s">
        <v>216</v>
      </c>
      <c r="C145" s="4" t="s">
        <v>67</v>
      </c>
      <c r="D145" s="4" t="s">
        <v>63</v>
      </c>
      <c r="E145" s="36">
        <v>40</v>
      </c>
      <c r="F145" s="5">
        <v>85</v>
      </c>
      <c r="G145" s="5">
        <f t="shared" si="4"/>
        <v>3400</v>
      </c>
      <c r="H145" s="37">
        <v>0</v>
      </c>
      <c r="I145" s="5">
        <f t="shared" si="5"/>
        <v>3400</v>
      </c>
      <c r="J145" s="4" t="s">
        <v>64</v>
      </c>
      <c r="K145" s="4" t="s">
        <v>65</v>
      </c>
      <c r="L145" s="4"/>
    </row>
    <row r="146" spans="1:12" x14ac:dyDescent="0.2">
      <c r="A146" s="172">
        <v>66922</v>
      </c>
      <c r="B146" s="4" t="s">
        <v>217</v>
      </c>
      <c r="C146" s="4" t="s">
        <v>71</v>
      </c>
      <c r="D146" s="4" t="s">
        <v>63</v>
      </c>
      <c r="E146" s="36">
        <v>40</v>
      </c>
      <c r="F146" s="5">
        <v>86</v>
      </c>
      <c r="G146" s="5">
        <f t="shared" si="4"/>
        <v>3440</v>
      </c>
      <c r="H146" s="37">
        <v>0</v>
      </c>
      <c r="I146" s="5">
        <f t="shared" si="5"/>
        <v>3440</v>
      </c>
      <c r="J146" s="4" t="s">
        <v>64</v>
      </c>
      <c r="K146" s="4" t="s">
        <v>65</v>
      </c>
      <c r="L146" s="4"/>
    </row>
    <row r="147" spans="1:12" x14ac:dyDescent="0.2">
      <c r="A147" s="172">
        <v>66922</v>
      </c>
      <c r="B147" s="4" t="s">
        <v>217</v>
      </c>
      <c r="C147" s="4" t="s">
        <v>71</v>
      </c>
      <c r="D147" s="4" t="s">
        <v>63</v>
      </c>
      <c r="E147" s="36">
        <v>50</v>
      </c>
      <c r="F147" s="5">
        <v>85</v>
      </c>
      <c r="G147" s="5">
        <f t="shared" si="4"/>
        <v>4250</v>
      </c>
      <c r="H147" s="37">
        <v>0</v>
      </c>
      <c r="I147" s="5">
        <f t="shared" si="5"/>
        <v>4250</v>
      </c>
      <c r="J147" s="4" t="s">
        <v>64</v>
      </c>
      <c r="K147" s="4" t="s">
        <v>65</v>
      </c>
      <c r="L147" s="4"/>
    </row>
    <row r="148" spans="1:12" x14ac:dyDescent="0.2">
      <c r="A148" s="172">
        <v>66922</v>
      </c>
      <c r="B148" s="4" t="s">
        <v>217</v>
      </c>
      <c r="C148" s="4" t="s">
        <v>71</v>
      </c>
      <c r="D148" s="4" t="s">
        <v>72</v>
      </c>
      <c r="E148" s="36">
        <v>2</v>
      </c>
      <c r="F148" s="5">
        <v>80</v>
      </c>
      <c r="G148" s="5">
        <f t="shared" si="4"/>
        <v>160</v>
      </c>
      <c r="H148" s="37">
        <v>0</v>
      </c>
      <c r="I148" s="5">
        <f t="shared" si="5"/>
        <v>160</v>
      </c>
      <c r="J148" s="4" t="s">
        <v>64</v>
      </c>
      <c r="K148" s="4" t="s">
        <v>65</v>
      </c>
      <c r="L148" s="4"/>
    </row>
    <row r="149" spans="1:12" x14ac:dyDescent="0.2">
      <c r="A149" s="172">
        <v>66922</v>
      </c>
      <c r="B149" s="4" t="s">
        <v>218</v>
      </c>
      <c r="C149" s="4" t="s">
        <v>94</v>
      </c>
      <c r="D149" s="4" t="s">
        <v>63</v>
      </c>
      <c r="E149" s="36">
        <v>28</v>
      </c>
      <c r="F149" s="5">
        <v>84</v>
      </c>
      <c r="G149" s="5">
        <f t="shared" si="4"/>
        <v>2352</v>
      </c>
      <c r="H149" s="37">
        <v>0</v>
      </c>
      <c r="I149" s="5">
        <f t="shared" si="5"/>
        <v>2352</v>
      </c>
      <c r="J149" s="4" t="s">
        <v>64</v>
      </c>
      <c r="K149" s="4" t="s">
        <v>65</v>
      </c>
      <c r="L149" s="4"/>
    </row>
    <row r="150" spans="1:12" x14ac:dyDescent="0.2">
      <c r="A150" s="172">
        <v>66922</v>
      </c>
      <c r="B150" s="4" t="s">
        <v>219</v>
      </c>
      <c r="C150" s="4" t="s">
        <v>88</v>
      </c>
      <c r="D150" s="4" t="s">
        <v>63</v>
      </c>
      <c r="E150" s="36">
        <v>5</v>
      </c>
      <c r="F150" s="5">
        <v>85</v>
      </c>
      <c r="G150" s="5">
        <f t="shared" si="4"/>
        <v>425</v>
      </c>
      <c r="H150" s="37">
        <v>0</v>
      </c>
      <c r="I150" s="5">
        <f t="shared" si="5"/>
        <v>425</v>
      </c>
      <c r="J150" s="4" t="s">
        <v>64</v>
      </c>
      <c r="K150" s="4" t="s">
        <v>65</v>
      </c>
      <c r="L150" s="4"/>
    </row>
    <row r="151" spans="1:12" x14ac:dyDescent="0.2">
      <c r="A151" s="172">
        <v>66922</v>
      </c>
      <c r="B151" s="4" t="s">
        <v>220</v>
      </c>
      <c r="C151" s="4" t="s">
        <v>86</v>
      </c>
      <c r="D151" s="4" t="s">
        <v>63</v>
      </c>
      <c r="E151" s="36">
        <v>30</v>
      </c>
      <c r="F151" s="5">
        <v>86</v>
      </c>
      <c r="G151" s="5">
        <f t="shared" si="4"/>
        <v>2580</v>
      </c>
      <c r="H151" s="37">
        <v>0</v>
      </c>
      <c r="I151" s="5">
        <f t="shared" si="5"/>
        <v>2580</v>
      </c>
      <c r="J151" s="4" t="s">
        <v>64</v>
      </c>
      <c r="K151" s="4" t="s">
        <v>65</v>
      </c>
      <c r="L151" s="4"/>
    </row>
    <row r="152" spans="1:12" x14ac:dyDescent="0.2">
      <c r="A152" s="172">
        <v>66922</v>
      </c>
      <c r="B152" s="4" t="s">
        <v>221</v>
      </c>
      <c r="C152" s="4" t="s">
        <v>84</v>
      </c>
      <c r="D152" s="4" t="s">
        <v>63</v>
      </c>
      <c r="E152" s="36">
        <v>4</v>
      </c>
      <c r="F152" s="5">
        <v>86</v>
      </c>
      <c r="G152" s="5">
        <f t="shared" si="4"/>
        <v>344</v>
      </c>
      <c r="H152" s="37">
        <v>0</v>
      </c>
      <c r="I152" s="5">
        <f t="shared" si="5"/>
        <v>344</v>
      </c>
      <c r="J152" s="4" t="s">
        <v>64</v>
      </c>
      <c r="K152" s="4" t="s">
        <v>65</v>
      </c>
      <c r="L152" s="4"/>
    </row>
    <row r="153" spans="1:12" x14ac:dyDescent="0.2">
      <c r="A153" s="172">
        <v>66922</v>
      </c>
      <c r="B153" s="4" t="s">
        <v>222</v>
      </c>
      <c r="C153" s="4" t="s">
        <v>82</v>
      </c>
      <c r="D153" s="4" t="s">
        <v>63</v>
      </c>
      <c r="E153" s="36">
        <v>10</v>
      </c>
      <c r="F153" s="5">
        <v>85</v>
      </c>
      <c r="G153" s="5">
        <f t="shared" si="4"/>
        <v>850</v>
      </c>
      <c r="H153" s="37">
        <v>0</v>
      </c>
      <c r="I153" s="5">
        <f t="shared" si="5"/>
        <v>850</v>
      </c>
      <c r="J153" s="4" t="s">
        <v>64</v>
      </c>
      <c r="K153" s="4" t="s">
        <v>65</v>
      </c>
      <c r="L153" s="4"/>
    </row>
    <row r="154" spans="1:12" x14ac:dyDescent="0.2">
      <c r="A154" s="172">
        <v>66922</v>
      </c>
      <c r="B154" s="4" t="s">
        <v>223</v>
      </c>
      <c r="C154" s="4" t="s">
        <v>76</v>
      </c>
      <c r="D154" s="4" t="s">
        <v>63</v>
      </c>
      <c r="E154" s="36">
        <v>10</v>
      </c>
      <c r="F154" s="5">
        <v>85</v>
      </c>
      <c r="G154" s="5">
        <f t="shared" si="4"/>
        <v>850</v>
      </c>
      <c r="H154" s="37">
        <v>0</v>
      </c>
      <c r="I154" s="5">
        <f t="shared" si="5"/>
        <v>850</v>
      </c>
      <c r="J154" s="4" t="s">
        <v>64</v>
      </c>
      <c r="K154" s="4" t="s">
        <v>65</v>
      </c>
      <c r="L154" s="4"/>
    </row>
    <row r="155" spans="1:12" x14ac:dyDescent="0.2">
      <c r="A155" s="172">
        <v>66922</v>
      </c>
      <c r="B155" s="4" t="s">
        <v>224</v>
      </c>
      <c r="C155" s="4" t="s">
        <v>74</v>
      </c>
      <c r="D155" s="4" t="s">
        <v>63</v>
      </c>
      <c r="E155" s="36">
        <v>20</v>
      </c>
      <c r="F155" s="5">
        <v>86</v>
      </c>
      <c r="G155" s="5">
        <f t="shared" si="4"/>
        <v>1720</v>
      </c>
      <c r="H155" s="37">
        <v>0</v>
      </c>
      <c r="I155" s="5">
        <f t="shared" si="5"/>
        <v>1720</v>
      </c>
      <c r="J155" s="4" t="s">
        <v>64</v>
      </c>
      <c r="K155" s="4" t="s">
        <v>65</v>
      </c>
      <c r="L155" s="4"/>
    </row>
    <row r="156" spans="1:12" x14ac:dyDescent="0.2">
      <c r="A156" s="172">
        <v>66922</v>
      </c>
      <c r="B156" s="4" t="s">
        <v>225</v>
      </c>
      <c r="C156" s="4" t="s">
        <v>78</v>
      </c>
      <c r="D156" s="4" t="s">
        <v>63</v>
      </c>
      <c r="E156" s="36">
        <v>3</v>
      </c>
      <c r="F156" s="5">
        <v>85</v>
      </c>
      <c r="G156" s="5">
        <f t="shared" si="4"/>
        <v>255</v>
      </c>
      <c r="H156" s="37">
        <v>0</v>
      </c>
      <c r="I156" s="5">
        <f t="shared" si="5"/>
        <v>255</v>
      </c>
      <c r="J156" s="4" t="s">
        <v>64</v>
      </c>
      <c r="K156" s="4" t="s">
        <v>65</v>
      </c>
      <c r="L156" s="4"/>
    </row>
    <row r="157" spans="1:12" x14ac:dyDescent="0.2">
      <c r="A157" s="172">
        <v>66922</v>
      </c>
      <c r="B157" s="4" t="s">
        <v>226</v>
      </c>
      <c r="C157" s="4" t="s">
        <v>80</v>
      </c>
      <c r="D157" s="4" t="s">
        <v>63</v>
      </c>
      <c r="E157" s="36">
        <v>6</v>
      </c>
      <c r="F157" s="5">
        <v>85</v>
      </c>
      <c r="G157" s="5">
        <f t="shared" si="4"/>
        <v>510</v>
      </c>
      <c r="H157" s="37">
        <v>0</v>
      </c>
      <c r="I157" s="5">
        <f t="shared" si="5"/>
        <v>510</v>
      </c>
      <c r="J157" s="4" t="s">
        <v>64</v>
      </c>
      <c r="K157" s="4" t="s">
        <v>65</v>
      </c>
      <c r="L157" s="4"/>
    </row>
    <row r="158" spans="1:12" x14ac:dyDescent="0.2">
      <c r="A158" s="172">
        <v>66922</v>
      </c>
      <c r="B158" s="4" t="s">
        <v>227</v>
      </c>
      <c r="C158" s="4" t="s">
        <v>69</v>
      </c>
      <c r="D158" s="4" t="s">
        <v>63</v>
      </c>
      <c r="E158" s="36">
        <v>20</v>
      </c>
      <c r="F158" s="5">
        <v>85</v>
      </c>
      <c r="G158" s="5">
        <f t="shared" si="4"/>
        <v>1700</v>
      </c>
      <c r="H158" s="37">
        <v>0</v>
      </c>
      <c r="I158" s="5">
        <f t="shared" si="5"/>
        <v>1700</v>
      </c>
      <c r="J158" s="4" t="s">
        <v>64</v>
      </c>
      <c r="K158" s="4" t="s">
        <v>65</v>
      </c>
      <c r="L158" s="4"/>
    </row>
    <row r="159" spans="1:12" x14ac:dyDescent="0.2">
      <c r="A159" s="172">
        <v>66922</v>
      </c>
      <c r="B159" s="4" t="s">
        <v>228</v>
      </c>
      <c r="C159" s="4" t="s">
        <v>90</v>
      </c>
      <c r="D159" s="4" t="s">
        <v>63</v>
      </c>
      <c r="E159" s="36">
        <v>15</v>
      </c>
      <c r="F159" s="5">
        <v>85</v>
      </c>
      <c r="G159" s="5">
        <f t="shared" si="4"/>
        <v>1275</v>
      </c>
      <c r="H159" s="37">
        <v>0</v>
      </c>
      <c r="I159" s="5">
        <f t="shared" si="5"/>
        <v>1275</v>
      </c>
      <c r="J159" s="4" t="s">
        <v>64</v>
      </c>
      <c r="K159" s="4" t="s">
        <v>65</v>
      </c>
      <c r="L159" s="4"/>
    </row>
    <row r="160" spans="1:12" x14ac:dyDescent="0.2">
      <c r="A160" s="172">
        <v>66922</v>
      </c>
      <c r="B160" s="4" t="s">
        <v>229</v>
      </c>
      <c r="C160" s="4" t="s">
        <v>92</v>
      </c>
      <c r="D160" s="4" t="s">
        <v>63</v>
      </c>
      <c r="E160" s="36">
        <v>20</v>
      </c>
      <c r="F160" s="5">
        <v>95</v>
      </c>
      <c r="G160" s="5">
        <f t="shared" si="4"/>
        <v>1900</v>
      </c>
      <c r="H160" s="37">
        <v>0</v>
      </c>
      <c r="I160" s="5">
        <f t="shared" si="5"/>
        <v>1900</v>
      </c>
      <c r="J160" s="4" t="s">
        <v>64</v>
      </c>
      <c r="K160" s="4" t="s">
        <v>65</v>
      </c>
      <c r="L160" s="4"/>
    </row>
    <row r="161" spans="1:12" x14ac:dyDescent="0.2">
      <c r="A161" s="172">
        <v>66922</v>
      </c>
      <c r="B161" s="4" t="s">
        <v>230</v>
      </c>
      <c r="C161" s="4" t="s">
        <v>98</v>
      </c>
      <c r="D161" s="4" t="s">
        <v>63</v>
      </c>
      <c r="E161" s="36">
        <v>8</v>
      </c>
      <c r="F161" s="5">
        <v>85</v>
      </c>
      <c r="G161" s="5">
        <f t="shared" si="4"/>
        <v>680</v>
      </c>
      <c r="H161" s="37">
        <v>0</v>
      </c>
      <c r="I161" s="5">
        <f t="shared" si="5"/>
        <v>680</v>
      </c>
      <c r="J161" s="4" t="s">
        <v>64</v>
      </c>
      <c r="K161" s="4" t="s">
        <v>65</v>
      </c>
      <c r="L161" s="4"/>
    </row>
    <row r="162" spans="1:12" x14ac:dyDescent="0.2">
      <c r="A162" s="172">
        <v>66922</v>
      </c>
      <c r="B162" s="4" t="s">
        <v>231</v>
      </c>
      <c r="C162" s="4" t="s">
        <v>100</v>
      </c>
      <c r="D162" s="4" t="s">
        <v>63</v>
      </c>
      <c r="E162" s="36">
        <v>4.5</v>
      </c>
      <c r="F162" s="5">
        <v>95.56</v>
      </c>
      <c r="G162" s="5">
        <f t="shared" si="4"/>
        <v>430.02</v>
      </c>
      <c r="H162" s="37">
        <v>0</v>
      </c>
      <c r="I162" s="5">
        <f t="shared" si="5"/>
        <v>430.02</v>
      </c>
      <c r="J162" s="4" t="s">
        <v>64</v>
      </c>
      <c r="K162" s="4" t="s">
        <v>65</v>
      </c>
      <c r="L162" s="4"/>
    </row>
    <row r="163" spans="1:12" x14ac:dyDescent="0.2">
      <c r="A163" s="172">
        <v>66922</v>
      </c>
      <c r="B163" s="4" t="s">
        <v>232</v>
      </c>
      <c r="C163" s="4" t="s">
        <v>102</v>
      </c>
      <c r="D163" s="4" t="s">
        <v>63</v>
      </c>
      <c r="E163" s="36">
        <v>10</v>
      </c>
      <c r="F163" s="5">
        <v>86</v>
      </c>
      <c r="G163" s="5">
        <f t="shared" si="4"/>
        <v>860</v>
      </c>
      <c r="H163" s="37">
        <v>0</v>
      </c>
      <c r="I163" s="5">
        <f t="shared" si="5"/>
        <v>860</v>
      </c>
      <c r="J163" s="4" t="s">
        <v>64</v>
      </c>
      <c r="K163" s="4" t="s">
        <v>65</v>
      </c>
      <c r="L163" s="4"/>
    </row>
    <row r="164" spans="1:12" x14ac:dyDescent="0.2">
      <c r="A164" s="172">
        <v>66922</v>
      </c>
      <c r="B164" s="4" t="s">
        <v>233</v>
      </c>
      <c r="C164" s="4" t="s">
        <v>214</v>
      </c>
      <c r="D164" s="4" t="s">
        <v>63</v>
      </c>
      <c r="E164" s="36">
        <v>2</v>
      </c>
      <c r="F164" s="5">
        <v>90</v>
      </c>
      <c r="G164" s="5">
        <f t="shared" si="4"/>
        <v>180</v>
      </c>
      <c r="H164" s="37">
        <v>0</v>
      </c>
      <c r="I164" s="5">
        <f t="shared" si="5"/>
        <v>180</v>
      </c>
      <c r="J164" s="4" t="s">
        <v>64</v>
      </c>
      <c r="K164" s="4" t="s">
        <v>65</v>
      </c>
      <c r="L164" s="4"/>
    </row>
    <row r="165" spans="1:12" x14ac:dyDescent="0.2">
      <c r="A165" s="172">
        <v>66923</v>
      </c>
      <c r="B165" s="4" t="s">
        <v>234</v>
      </c>
      <c r="C165" s="4" t="s">
        <v>62</v>
      </c>
      <c r="D165" s="4" t="s">
        <v>63</v>
      </c>
      <c r="E165" s="36">
        <v>60</v>
      </c>
      <c r="F165" s="5">
        <v>85</v>
      </c>
      <c r="G165" s="5">
        <f t="shared" si="4"/>
        <v>5100</v>
      </c>
      <c r="H165" s="37">
        <v>0</v>
      </c>
      <c r="I165" s="5">
        <f t="shared" si="5"/>
        <v>5100</v>
      </c>
      <c r="J165" s="4" t="s">
        <v>64</v>
      </c>
      <c r="K165" s="4" t="s">
        <v>65</v>
      </c>
      <c r="L165" s="4"/>
    </row>
    <row r="166" spans="1:12" x14ac:dyDescent="0.2">
      <c r="A166" s="172">
        <v>66923</v>
      </c>
      <c r="B166" s="4" t="s">
        <v>234</v>
      </c>
      <c r="C166" s="4" t="s">
        <v>62</v>
      </c>
      <c r="D166" s="4" t="s">
        <v>72</v>
      </c>
      <c r="E166" s="36">
        <v>1</v>
      </c>
      <c r="F166" s="5">
        <v>80</v>
      </c>
      <c r="G166" s="5">
        <f t="shared" si="4"/>
        <v>80</v>
      </c>
      <c r="H166" s="37">
        <v>0</v>
      </c>
      <c r="I166" s="5">
        <f t="shared" si="5"/>
        <v>80</v>
      </c>
      <c r="J166" s="4" t="s">
        <v>64</v>
      </c>
      <c r="K166" s="4" t="s">
        <v>65</v>
      </c>
      <c r="L166" s="4"/>
    </row>
    <row r="167" spans="1:12" x14ac:dyDescent="0.2">
      <c r="A167" s="172">
        <v>66923</v>
      </c>
      <c r="B167" s="4" t="s">
        <v>235</v>
      </c>
      <c r="C167" s="4" t="s">
        <v>67</v>
      </c>
      <c r="D167" s="4" t="s">
        <v>63</v>
      </c>
      <c r="E167" s="36">
        <v>30</v>
      </c>
      <c r="F167" s="5">
        <v>85</v>
      </c>
      <c r="G167" s="5">
        <f t="shared" si="4"/>
        <v>2550</v>
      </c>
      <c r="H167" s="37">
        <v>0</v>
      </c>
      <c r="I167" s="5">
        <f t="shared" si="5"/>
        <v>2550</v>
      </c>
      <c r="J167" s="4" t="s">
        <v>64</v>
      </c>
      <c r="K167" s="4" t="s">
        <v>65</v>
      </c>
      <c r="L167" s="4"/>
    </row>
    <row r="168" spans="1:12" x14ac:dyDescent="0.2">
      <c r="A168" s="172">
        <v>66923</v>
      </c>
      <c r="B168" s="4" t="s">
        <v>236</v>
      </c>
      <c r="C168" s="4" t="s">
        <v>76</v>
      </c>
      <c r="D168" s="4" t="s">
        <v>63</v>
      </c>
      <c r="E168" s="36">
        <v>20</v>
      </c>
      <c r="F168" s="5">
        <v>85</v>
      </c>
      <c r="G168" s="5">
        <f t="shared" si="4"/>
        <v>1700</v>
      </c>
      <c r="H168" s="37">
        <v>0</v>
      </c>
      <c r="I168" s="5">
        <f t="shared" si="5"/>
        <v>1700</v>
      </c>
      <c r="J168" s="4" t="s">
        <v>64</v>
      </c>
      <c r="K168" s="4" t="s">
        <v>65</v>
      </c>
      <c r="L168" s="4"/>
    </row>
    <row r="169" spans="1:12" x14ac:dyDescent="0.2">
      <c r="A169" s="172">
        <v>66923</v>
      </c>
      <c r="B169" s="4" t="s">
        <v>237</v>
      </c>
      <c r="C169" s="4" t="s">
        <v>80</v>
      </c>
      <c r="D169" s="4" t="s">
        <v>63</v>
      </c>
      <c r="E169" s="36">
        <v>15</v>
      </c>
      <c r="F169" s="5">
        <v>85</v>
      </c>
      <c r="G169" s="5">
        <f t="shared" si="4"/>
        <v>1275</v>
      </c>
      <c r="H169" s="37">
        <v>0</v>
      </c>
      <c r="I169" s="5">
        <f t="shared" si="5"/>
        <v>1275</v>
      </c>
      <c r="J169" s="4" t="s">
        <v>64</v>
      </c>
      <c r="K169" s="4" t="s">
        <v>65</v>
      </c>
      <c r="L169" s="4"/>
    </row>
    <row r="170" spans="1:12" x14ac:dyDescent="0.2">
      <c r="A170" s="172">
        <v>66923</v>
      </c>
      <c r="B170" s="4" t="s">
        <v>238</v>
      </c>
      <c r="C170" s="4" t="s">
        <v>82</v>
      </c>
      <c r="D170" s="4" t="s">
        <v>63</v>
      </c>
      <c r="E170" s="36">
        <v>5</v>
      </c>
      <c r="F170" s="5">
        <v>85</v>
      </c>
      <c r="G170" s="5">
        <f t="shared" si="4"/>
        <v>425</v>
      </c>
      <c r="H170" s="37">
        <v>0</v>
      </c>
      <c r="I170" s="5">
        <f t="shared" si="5"/>
        <v>425</v>
      </c>
      <c r="J170" s="4" t="s">
        <v>64</v>
      </c>
      <c r="K170" s="4" t="s">
        <v>65</v>
      </c>
      <c r="L170" s="4"/>
    </row>
    <row r="171" spans="1:12" x14ac:dyDescent="0.2">
      <c r="A171" s="172">
        <v>66923</v>
      </c>
      <c r="B171" s="4" t="s">
        <v>239</v>
      </c>
      <c r="C171" s="4" t="s">
        <v>84</v>
      </c>
      <c r="D171" s="4" t="s">
        <v>63</v>
      </c>
      <c r="E171" s="36">
        <v>4</v>
      </c>
      <c r="F171" s="5">
        <v>86</v>
      </c>
      <c r="G171" s="5">
        <f t="shared" si="4"/>
        <v>344</v>
      </c>
      <c r="H171" s="37">
        <v>0</v>
      </c>
      <c r="I171" s="5">
        <f t="shared" si="5"/>
        <v>344</v>
      </c>
      <c r="J171" s="4" t="s">
        <v>64</v>
      </c>
      <c r="K171" s="4" t="s">
        <v>65</v>
      </c>
      <c r="L171" s="4"/>
    </row>
    <row r="172" spans="1:12" x14ac:dyDescent="0.2">
      <c r="A172" s="172">
        <v>66923</v>
      </c>
      <c r="B172" s="4" t="s">
        <v>240</v>
      </c>
      <c r="C172" s="4" t="s">
        <v>86</v>
      </c>
      <c r="D172" s="4" t="s">
        <v>63</v>
      </c>
      <c r="E172" s="36">
        <v>25</v>
      </c>
      <c r="F172" s="5">
        <v>86</v>
      </c>
      <c r="G172" s="5">
        <f t="shared" si="4"/>
        <v>2150</v>
      </c>
      <c r="H172" s="37">
        <v>0</v>
      </c>
      <c r="I172" s="5">
        <f t="shared" si="5"/>
        <v>2150</v>
      </c>
      <c r="J172" s="4" t="s">
        <v>64</v>
      </c>
      <c r="K172" s="4" t="s">
        <v>65</v>
      </c>
      <c r="L172" s="4"/>
    </row>
    <row r="173" spans="1:12" x14ac:dyDescent="0.2">
      <c r="A173" s="172">
        <v>66923</v>
      </c>
      <c r="B173" s="4" t="s">
        <v>241</v>
      </c>
      <c r="C173" s="4" t="s">
        <v>69</v>
      </c>
      <c r="D173" s="4" t="s">
        <v>63</v>
      </c>
      <c r="E173" s="36">
        <v>30</v>
      </c>
      <c r="F173" s="5">
        <v>85</v>
      </c>
      <c r="G173" s="5">
        <f t="shared" si="4"/>
        <v>2550</v>
      </c>
      <c r="H173" s="37">
        <v>0</v>
      </c>
      <c r="I173" s="5">
        <f t="shared" si="5"/>
        <v>2550</v>
      </c>
      <c r="J173" s="4" t="s">
        <v>64</v>
      </c>
      <c r="K173" s="4" t="s">
        <v>65</v>
      </c>
      <c r="L173" s="4"/>
    </row>
    <row r="174" spans="1:12" x14ac:dyDescent="0.2">
      <c r="A174" s="172">
        <v>66923</v>
      </c>
      <c r="B174" s="4" t="s">
        <v>242</v>
      </c>
      <c r="C174" s="4" t="s">
        <v>90</v>
      </c>
      <c r="D174" s="4" t="s">
        <v>63</v>
      </c>
      <c r="E174" s="36">
        <v>15</v>
      </c>
      <c r="F174" s="5">
        <v>85</v>
      </c>
      <c r="G174" s="5">
        <f t="shared" si="4"/>
        <v>1275</v>
      </c>
      <c r="H174" s="37">
        <v>0</v>
      </c>
      <c r="I174" s="5">
        <f t="shared" si="5"/>
        <v>1275</v>
      </c>
      <c r="J174" s="4" t="s">
        <v>64</v>
      </c>
      <c r="K174" s="4" t="s">
        <v>65</v>
      </c>
      <c r="L174" s="4"/>
    </row>
    <row r="175" spans="1:12" x14ac:dyDescent="0.2">
      <c r="A175" s="172">
        <v>66923</v>
      </c>
      <c r="B175" s="4" t="s">
        <v>243</v>
      </c>
      <c r="C175" s="4" t="s">
        <v>195</v>
      </c>
      <c r="D175" s="4" t="s">
        <v>96</v>
      </c>
      <c r="E175" s="36">
        <v>1</v>
      </c>
      <c r="F175" s="5">
        <v>800</v>
      </c>
      <c r="G175" s="5">
        <f t="shared" si="4"/>
        <v>800</v>
      </c>
      <c r="H175" s="37">
        <v>0</v>
      </c>
      <c r="I175" s="5">
        <f t="shared" si="5"/>
        <v>800</v>
      </c>
      <c r="J175" s="4" t="s">
        <v>64</v>
      </c>
      <c r="K175" s="4" t="s">
        <v>65</v>
      </c>
      <c r="L175" s="4"/>
    </row>
    <row r="176" spans="1:12" x14ac:dyDescent="0.2">
      <c r="A176" s="172">
        <v>66923</v>
      </c>
      <c r="B176" s="4" t="s">
        <v>244</v>
      </c>
      <c r="C176" s="4" t="s">
        <v>71</v>
      </c>
      <c r="D176" s="4" t="s">
        <v>63</v>
      </c>
      <c r="E176" s="36">
        <v>40</v>
      </c>
      <c r="F176" s="5">
        <v>86</v>
      </c>
      <c r="G176" s="5">
        <f t="shared" si="4"/>
        <v>3440</v>
      </c>
      <c r="H176" s="37">
        <v>0</v>
      </c>
      <c r="I176" s="5">
        <f t="shared" si="5"/>
        <v>3440</v>
      </c>
      <c r="J176" s="4" t="s">
        <v>64</v>
      </c>
      <c r="K176" s="4" t="s">
        <v>65</v>
      </c>
      <c r="L176" s="4"/>
    </row>
    <row r="177" spans="1:12" x14ac:dyDescent="0.2">
      <c r="A177" s="172">
        <v>66923</v>
      </c>
      <c r="B177" s="4" t="s">
        <v>244</v>
      </c>
      <c r="C177" s="4" t="s">
        <v>71</v>
      </c>
      <c r="D177" s="4" t="s">
        <v>63</v>
      </c>
      <c r="E177" s="36">
        <v>50</v>
      </c>
      <c r="F177" s="5">
        <v>85</v>
      </c>
      <c r="G177" s="5">
        <f t="shared" si="4"/>
        <v>4250</v>
      </c>
      <c r="H177" s="37">
        <v>0</v>
      </c>
      <c r="I177" s="5">
        <f t="shared" si="5"/>
        <v>4250</v>
      </c>
      <c r="J177" s="4" t="s">
        <v>64</v>
      </c>
      <c r="K177" s="4" t="s">
        <v>65</v>
      </c>
      <c r="L177" s="4"/>
    </row>
    <row r="178" spans="1:12" x14ac:dyDescent="0.2">
      <c r="A178" s="172">
        <v>66923</v>
      </c>
      <c r="B178" s="4" t="s">
        <v>244</v>
      </c>
      <c r="C178" s="4" t="s">
        <v>71</v>
      </c>
      <c r="D178" s="4" t="s">
        <v>72</v>
      </c>
      <c r="E178" s="36">
        <v>1</v>
      </c>
      <c r="F178" s="5">
        <v>80</v>
      </c>
      <c r="G178" s="5">
        <f t="shared" si="4"/>
        <v>80</v>
      </c>
      <c r="H178" s="37">
        <v>0</v>
      </c>
      <c r="I178" s="5">
        <f t="shared" si="5"/>
        <v>80</v>
      </c>
      <c r="J178" s="4" t="s">
        <v>64</v>
      </c>
      <c r="K178" s="4" t="s">
        <v>65</v>
      </c>
      <c r="L178" s="4"/>
    </row>
    <row r="179" spans="1:12" x14ac:dyDescent="0.2">
      <c r="A179" s="172">
        <v>66923</v>
      </c>
      <c r="B179" s="4" t="s">
        <v>245</v>
      </c>
      <c r="C179" s="4" t="s">
        <v>74</v>
      </c>
      <c r="D179" s="4" t="s">
        <v>63</v>
      </c>
      <c r="E179" s="36">
        <v>15</v>
      </c>
      <c r="F179" s="5">
        <v>86</v>
      </c>
      <c r="G179" s="5">
        <f t="shared" si="4"/>
        <v>1290</v>
      </c>
      <c r="H179" s="37">
        <v>0</v>
      </c>
      <c r="I179" s="5">
        <f t="shared" si="5"/>
        <v>1290</v>
      </c>
      <c r="J179" s="4" t="s">
        <v>64</v>
      </c>
      <c r="K179" s="4" t="s">
        <v>65</v>
      </c>
      <c r="L179" s="4"/>
    </row>
    <row r="180" spans="1:12" x14ac:dyDescent="0.2">
      <c r="A180" s="172">
        <v>66923</v>
      </c>
      <c r="B180" s="4" t="s">
        <v>245</v>
      </c>
      <c r="C180" s="4" t="s">
        <v>74</v>
      </c>
      <c r="D180" s="4" t="s">
        <v>96</v>
      </c>
      <c r="E180" s="36">
        <v>2.5</v>
      </c>
      <c r="F180" s="5">
        <v>775</v>
      </c>
      <c r="G180" s="5">
        <f t="shared" si="4"/>
        <v>1937.5</v>
      </c>
      <c r="H180" s="37">
        <v>0</v>
      </c>
      <c r="I180" s="5">
        <f t="shared" si="5"/>
        <v>1937.5</v>
      </c>
      <c r="J180" s="4" t="s">
        <v>64</v>
      </c>
      <c r="K180" s="4" t="s">
        <v>65</v>
      </c>
      <c r="L180" s="4"/>
    </row>
    <row r="181" spans="1:12" x14ac:dyDescent="0.2">
      <c r="A181" s="172">
        <v>66923</v>
      </c>
      <c r="B181" s="4" t="s">
        <v>246</v>
      </c>
      <c r="C181" s="4" t="s">
        <v>92</v>
      </c>
      <c r="D181" s="4" t="s">
        <v>63</v>
      </c>
      <c r="E181" s="36">
        <v>25</v>
      </c>
      <c r="F181" s="5">
        <v>95</v>
      </c>
      <c r="G181" s="5">
        <f t="shared" si="4"/>
        <v>2375</v>
      </c>
      <c r="H181" s="37">
        <v>0</v>
      </c>
      <c r="I181" s="5">
        <f t="shared" si="5"/>
        <v>2375</v>
      </c>
      <c r="J181" s="4" t="s">
        <v>64</v>
      </c>
      <c r="K181" s="4" t="s">
        <v>65</v>
      </c>
      <c r="L181" s="4"/>
    </row>
    <row r="182" spans="1:12" x14ac:dyDescent="0.2">
      <c r="A182" s="172">
        <v>66923</v>
      </c>
      <c r="B182" s="4" t="s">
        <v>247</v>
      </c>
      <c r="C182" s="4" t="s">
        <v>94</v>
      </c>
      <c r="D182" s="4" t="s">
        <v>63</v>
      </c>
      <c r="E182" s="36">
        <v>25</v>
      </c>
      <c r="F182" s="5">
        <v>84</v>
      </c>
      <c r="G182" s="5">
        <f t="shared" si="4"/>
        <v>2100</v>
      </c>
      <c r="H182" s="37">
        <v>0</v>
      </c>
      <c r="I182" s="5">
        <f t="shared" si="5"/>
        <v>2100</v>
      </c>
      <c r="J182" s="4" t="s">
        <v>64</v>
      </c>
      <c r="K182" s="4" t="s">
        <v>65</v>
      </c>
      <c r="L182" s="4"/>
    </row>
    <row r="183" spans="1:12" x14ac:dyDescent="0.2">
      <c r="A183" s="172">
        <v>66923</v>
      </c>
      <c r="B183" s="4" t="s">
        <v>248</v>
      </c>
      <c r="C183" s="4" t="s">
        <v>98</v>
      </c>
      <c r="D183" s="4" t="s">
        <v>63</v>
      </c>
      <c r="E183" s="36">
        <v>8</v>
      </c>
      <c r="F183" s="5">
        <v>85</v>
      </c>
      <c r="G183" s="5">
        <f t="shared" si="4"/>
        <v>680</v>
      </c>
      <c r="H183" s="37">
        <v>0</v>
      </c>
      <c r="I183" s="5">
        <f t="shared" si="5"/>
        <v>680</v>
      </c>
      <c r="J183" s="4" t="s">
        <v>64</v>
      </c>
      <c r="K183" s="4" t="s">
        <v>65</v>
      </c>
      <c r="L183" s="4"/>
    </row>
    <row r="184" spans="1:12" x14ac:dyDescent="0.2">
      <c r="A184" s="172">
        <v>66923</v>
      </c>
      <c r="B184" s="4" t="s">
        <v>249</v>
      </c>
      <c r="C184" s="4" t="s">
        <v>88</v>
      </c>
      <c r="D184" s="4" t="s">
        <v>63</v>
      </c>
      <c r="E184" s="36">
        <v>5</v>
      </c>
      <c r="F184" s="5">
        <v>85</v>
      </c>
      <c r="G184" s="5">
        <f t="shared" si="4"/>
        <v>425</v>
      </c>
      <c r="H184" s="37">
        <v>0</v>
      </c>
      <c r="I184" s="5">
        <f t="shared" si="5"/>
        <v>425</v>
      </c>
      <c r="J184" s="4" t="s">
        <v>64</v>
      </c>
      <c r="K184" s="4" t="s">
        <v>65</v>
      </c>
      <c r="L184" s="4"/>
    </row>
    <row r="185" spans="1:12" x14ac:dyDescent="0.2">
      <c r="A185" s="172">
        <v>66923</v>
      </c>
      <c r="B185" s="4" t="s">
        <v>250</v>
      </c>
      <c r="C185" s="4" t="s">
        <v>214</v>
      </c>
      <c r="D185" s="4" t="s">
        <v>63</v>
      </c>
      <c r="E185" s="36">
        <v>2</v>
      </c>
      <c r="F185" s="5">
        <v>90</v>
      </c>
      <c r="G185" s="5">
        <f t="shared" si="4"/>
        <v>180</v>
      </c>
      <c r="H185" s="37">
        <v>0</v>
      </c>
      <c r="I185" s="5">
        <f t="shared" si="5"/>
        <v>180</v>
      </c>
      <c r="J185" s="4" t="s">
        <v>64</v>
      </c>
      <c r="K185" s="4" t="s">
        <v>65</v>
      </c>
      <c r="L185" s="4"/>
    </row>
    <row r="186" spans="1:12" x14ac:dyDescent="0.2">
      <c r="A186" s="172">
        <v>66923</v>
      </c>
      <c r="B186" s="4" t="s">
        <v>251</v>
      </c>
      <c r="C186" s="4" t="s">
        <v>100</v>
      </c>
      <c r="D186" s="4" t="s">
        <v>63</v>
      </c>
      <c r="E186" s="36">
        <v>4</v>
      </c>
      <c r="F186" s="5">
        <v>92.5</v>
      </c>
      <c r="G186" s="5">
        <f t="shared" si="4"/>
        <v>370</v>
      </c>
      <c r="H186" s="37">
        <v>0</v>
      </c>
      <c r="I186" s="5">
        <f t="shared" si="5"/>
        <v>370</v>
      </c>
      <c r="J186" s="4" t="s">
        <v>64</v>
      </c>
      <c r="K186" s="4" t="s">
        <v>65</v>
      </c>
      <c r="L186" s="4"/>
    </row>
    <row r="187" spans="1:12" x14ac:dyDescent="0.2">
      <c r="A187" s="172">
        <v>66924</v>
      </c>
      <c r="B187" s="4" t="s">
        <v>252</v>
      </c>
      <c r="C187" s="4" t="s">
        <v>62</v>
      </c>
      <c r="D187" s="4" t="s">
        <v>63</v>
      </c>
      <c r="E187" s="36">
        <v>60</v>
      </c>
      <c r="F187" s="5">
        <v>85</v>
      </c>
      <c r="G187" s="5">
        <f t="shared" si="4"/>
        <v>5100</v>
      </c>
      <c r="H187" s="37">
        <v>0</v>
      </c>
      <c r="I187" s="5">
        <f t="shared" si="5"/>
        <v>5100</v>
      </c>
      <c r="J187" s="4" t="s">
        <v>64</v>
      </c>
      <c r="K187" s="4" t="s">
        <v>65</v>
      </c>
      <c r="L187" s="4"/>
    </row>
    <row r="188" spans="1:12" x14ac:dyDescent="0.2">
      <c r="A188" s="172">
        <v>66924</v>
      </c>
      <c r="B188" s="4" t="s">
        <v>252</v>
      </c>
      <c r="C188" s="4" t="s">
        <v>62</v>
      </c>
      <c r="D188" s="4" t="s">
        <v>72</v>
      </c>
      <c r="E188" s="36">
        <v>1</v>
      </c>
      <c r="F188" s="5">
        <v>80</v>
      </c>
      <c r="G188" s="5">
        <f t="shared" si="4"/>
        <v>80</v>
      </c>
      <c r="H188" s="37">
        <v>0</v>
      </c>
      <c r="I188" s="5">
        <f t="shared" si="5"/>
        <v>80</v>
      </c>
      <c r="J188" s="4" t="s">
        <v>64</v>
      </c>
      <c r="K188" s="4" t="s">
        <v>65</v>
      </c>
      <c r="L188" s="4"/>
    </row>
    <row r="189" spans="1:12" x14ac:dyDescent="0.2">
      <c r="A189" s="172">
        <v>66924</v>
      </c>
      <c r="B189" s="4" t="s">
        <v>253</v>
      </c>
      <c r="C189" s="4" t="s">
        <v>67</v>
      </c>
      <c r="D189" s="4" t="s">
        <v>63</v>
      </c>
      <c r="E189" s="36">
        <v>15</v>
      </c>
      <c r="F189" s="5">
        <v>85</v>
      </c>
      <c r="G189" s="5">
        <f t="shared" si="4"/>
        <v>1275</v>
      </c>
      <c r="H189" s="37">
        <v>0</v>
      </c>
      <c r="I189" s="5">
        <f t="shared" si="5"/>
        <v>1275</v>
      </c>
      <c r="J189" s="4" t="s">
        <v>64</v>
      </c>
      <c r="K189" s="4" t="s">
        <v>65</v>
      </c>
      <c r="L189" s="4"/>
    </row>
    <row r="190" spans="1:12" x14ac:dyDescent="0.2">
      <c r="A190" s="172">
        <v>66924</v>
      </c>
      <c r="B190" s="4" t="s">
        <v>254</v>
      </c>
      <c r="C190" s="4" t="s">
        <v>255</v>
      </c>
      <c r="D190" s="4" t="s">
        <v>63</v>
      </c>
      <c r="E190" s="36">
        <v>40</v>
      </c>
      <c r="F190" s="5">
        <v>85</v>
      </c>
      <c r="G190" s="5">
        <f t="shared" si="4"/>
        <v>3400</v>
      </c>
      <c r="H190" s="37">
        <v>0</v>
      </c>
      <c r="I190" s="5">
        <f t="shared" si="5"/>
        <v>3400</v>
      </c>
      <c r="J190" s="4" t="s">
        <v>64</v>
      </c>
      <c r="K190" s="4" t="s">
        <v>65</v>
      </c>
      <c r="L190" s="4"/>
    </row>
    <row r="191" spans="1:12" x14ac:dyDescent="0.2">
      <c r="A191" s="172">
        <v>66924</v>
      </c>
      <c r="B191" s="4" t="s">
        <v>256</v>
      </c>
      <c r="C191" s="4" t="s">
        <v>82</v>
      </c>
      <c r="D191" s="4" t="s">
        <v>63</v>
      </c>
      <c r="E191" s="36">
        <v>8</v>
      </c>
      <c r="F191" s="5">
        <v>85</v>
      </c>
      <c r="G191" s="5">
        <f t="shared" si="4"/>
        <v>680</v>
      </c>
      <c r="H191" s="37">
        <v>0</v>
      </c>
      <c r="I191" s="5">
        <f t="shared" si="5"/>
        <v>680</v>
      </c>
      <c r="J191" s="4" t="s">
        <v>64</v>
      </c>
      <c r="K191" s="4" t="s">
        <v>65</v>
      </c>
      <c r="L191" s="4"/>
    </row>
    <row r="192" spans="1:12" x14ac:dyDescent="0.2">
      <c r="A192" s="172">
        <v>66924</v>
      </c>
      <c r="B192" s="4" t="s">
        <v>257</v>
      </c>
      <c r="C192" s="4" t="s">
        <v>84</v>
      </c>
      <c r="D192" s="4" t="s">
        <v>63</v>
      </c>
      <c r="E192" s="36">
        <v>4</v>
      </c>
      <c r="F192" s="5">
        <v>86</v>
      </c>
      <c r="G192" s="5">
        <f t="shared" si="4"/>
        <v>344</v>
      </c>
      <c r="H192" s="37">
        <v>0</v>
      </c>
      <c r="I192" s="5">
        <f t="shared" si="5"/>
        <v>344</v>
      </c>
      <c r="J192" s="4" t="s">
        <v>64</v>
      </c>
      <c r="K192" s="4" t="s">
        <v>65</v>
      </c>
      <c r="L192" s="4"/>
    </row>
    <row r="193" spans="1:12" x14ac:dyDescent="0.2">
      <c r="A193" s="172">
        <v>66924</v>
      </c>
      <c r="B193" s="4" t="s">
        <v>258</v>
      </c>
      <c r="C193" s="4" t="s">
        <v>86</v>
      </c>
      <c r="D193" s="4" t="s">
        <v>63</v>
      </c>
      <c r="E193" s="36">
        <v>30</v>
      </c>
      <c r="F193" s="5">
        <v>86</v>
      </c>
      <c r="G193" s="5">
        <f t="shared" si="4"/>
        <v>2580</v>
      </c>
      <c r="H193" s="37">
        <v>0</v>
      </c>
      <c r="I193" s="5">
        <f t="shared" si="5"/>
        <v>2580</v>
      </c>
      <c r="J193" s="4" t="s">
        <v>64</v>
      </c>
      <c r="K193" s="4" t="s">
        <v>65</v>
      </c>
      <c r="L193" s="4"/>
    </row>
    <row r="194" spans="1:12" x14ac:dyDescent="0.2">
      <c r="A194" s="172">
        <v>66924</v>
      </c>
      <c r="B194" s="4" t="s">
        <v>259</v>
      </c>
      <c r="C194" s="4" t="s">
        <v>76</v>
      </c>
      <c r="D194" s="4" t="s">
        <v>63</v>
      </c>
      <c r="E194" s="36">
        <v>10</v>
      </c>
      <c r="F194" s="5">
        <v>85</v>
      </c>
      <c r="G194" s="5">
        <f t="shared" si="4"/>
        <v>850</v>
      </c>
      <c r="H194" s="37">
        <v>0</v>
      </c>
      <c r="I194" s="5">
        <f t="shared" si="5"/>
        <v>850</v>
      </c>
      <c r="J194" s="4" t="s">
        <v>64</v>
      </c>
      <c r="K194" s="4" t="s">
        <v>65</v>
      </c>
      <c r="L194" s="4"/>
    </row>
    <row r="195" spans="1:12" x14ac:dyDescent="0.2">
      <c r="A195" s="172">
        <v>66924</v>
      </c>
      <c r="B195" s="4" t="s">
        <v>260</v>
      </c>
      <c r="C195" s="4" t="s">
        <v>88</v>
      </c>
      <c r="D195" s="4" t="s">
        <v>63</v>
      </c>
      <c r="E195" s="36">
        <v>5</v>
      </c>
      <c r="F195" s="5">
        <v>85</v>
      </c>
      <c r="G195" s="5">
        <f t="shared" ref="G195:G258" si="6">IF($E195="","",$E195*$F195)</f>
        <v>425</v>
      </c>
      <c r="H195" s="37">
        <v>0</v>
      </c>
      <c r="I195" s="5">
        <f t="shared" ref="I195:I258" si="7">IF($E195="","",$G195*(1-$H195/100))</f>
        <v>425</v>
      </c>
      <c r="J195" s="4" t="s">
        <v>64</v>
      </c>
      <c r="K195" s="4" t="s">
        <v>65</v>
      </c>
      <c r="L195" s="4"/>
    </row>
    <row r="196" spans="1:12" x14ac:dyDescent="0.2">
      <c r="A196" s="172">
        <v>66924</v>
      </c>
      <c r="B196" s="4" t="s">
        <v>261</v>
      </c>
      <c r="C196" s="4" t="s">
        <v>71</v>
      </c>
      <c r="D196" s="4" t="s">
        <v>63</v>
      </c>
      <c r="E196" s="36">
        <v>40</v>
      </c>
      <c r="F196" s="5">
        <v>86</v>
      </c>
      <c r="G196" s="5">
        <f t="shared" si="6"/>
        <v>3440</v>
      </c>
      <c r="H196" s="37">
        <v>0</v>
      </c>
      <c r="I196" s="5">
        <f t="shared" si="7"/>
        <v>3440</v>
      </c>
      <c r="J196" s="4" t="s">
        <v>64</v>
      </c>
      <c r="K196" s="4" t="s">
        <v>65</v>
      </c>
      <c r="L196" s="4"/>
    </row>
    <row r="197" spans="1:12" x14ac:dyDescent="0.2">
      <c r="A197" s="172">
        <v>66924</v>
      </c>
      <c r="B197" s="4" t="s">
        <v>261</v>
      </c>
      <c r="C197" s="4" t="s">
        <v>71</v>
      </c>
      <c r="D197" s="4" t="s">
        <v>63</v>
      </c>
      <c r="E197" s="36">
        <v>50</v>
      </c>
      <c r="F197" s="5">
        <v>85</v>
      </c>
      <c r="G197" s="5">
        <f t="shared" si="6"/>
        <v>4250</v>
      </c>
      <c r="H197" s="37">
        <v>0</v>
      </c>
      <c r="I197" s="5">
        <f t="shared" si="7"/>
        <v>4250</v>
      </c>
      <c r="J197" s="4" t="s">
        <v>64</v>
      </c>
      <c r="K197" s="4" t="s">
        <v>65</v>
      </c>
      <c r="L197" s="4"/>
    </row>
    <row r="198" spans="1:12" x14ac:dyDescent="0.2">
      <c r="A198" s="172">
        <v>66924</v>
      </c>
      <c r="B198" s="4" t="s">
        <v>261</v>
      </c>
      <c r="C198" s="4" t="s">
        <v>71</v>
      </c>
      <c r="D198" s="4" t="s">
        <v>72</v>
      </c>
      <c r="E198" s="36">
        <v>1</v>
      </c>
      <c r="F198" s="5">
        <v>80</v>
      </c>
      <c r="G198" s="5">
        <f t="shared" si="6"/>
        <v>80</v>
      </c>
      <c r="H198" s="37">
        <v>0</v>
      </c>
      <c r="I198" s="5">
        <f t="shared" si="7"/>
        <v>80</v>
      </c>
      <c r="J198" s="4" t="s">
        <v>64</v>
      </c>
      <c r="K198" s="4" t="s">
        <v>65</v>
      </c>
      <c r="L198" s="4"/>
    </row>
    <row r="199" spans="1:12" x14ac:dyDescent="0.2">
      <c r="A199" s="172">
        <v>66924</v>
      </c>
      <c r="B199" s="4" t="s">
        <v>261</v>
      </c>
      <c r="C199" s="4" t="s">
        <v>71</v>
      </c>
      <c r="D199" s="4" t="s">
        <v>95</v>
      </c>
      <c r="E199" s="36">
        <v>2</v>
      </c>
      <c r="F199" s="5">
        <v>1100</v>
      </c>
      <c r="G199" s="5">
        <f t="shared" si="6"/>
        <v>2200</v>
      </c>
      <c r="H199" s="37">
        <v>0</v>
      </c>
      <c r="I199" s="5">
        <f t="shared" si="7"/>
        <v>2200</v>
      </c>
      <c r="J199" s="4" t="s">
        <v>64</v>
      </c>
      <c r="K199" s="4" t="s">
        <v>65</v>
      </c>
      <c r="L199" s="4"/>
    </row>
    <row r="200" spans="1:12" x14ac:dyDescent="0.2">
      <c r="A200" s="172">
        <v>66924</v>
      </c>
      <c r="B200" s="4" t="s">
        <v>262</v>
      </c>
      <c r="C200" s="4" t="s">
        <v>80</v>
      </c>
      <c r="D200" s="4" t="s">
        <v>63</v>
      </c>
      <c r="E200" s="36">
        <v>12</v>
      </c>
      <c r="F200" s="5">
        <v>85</v>
      </c>
      <c r="G200" s="5">
        <f t="shared" si="6"/>
        <v>1020</v>
      </c>
      <c r="H200" s="37">
        <v>0</v>
      </c>
      <c r="I200" s="5">
        <f t="shared" si="7"/>
        <v>1020</v>
      </c>
      <c r="J200" s="4" t="s">
        <v>64</v>
      </c>
      <c r="K200" s="4" t="s">
        <v>65</v>
      </c>
      <c r="L200" s="4"/>
    </row>
    <row r="201" spans="1:12" x14ac:dyDescent="0.2">
      <c r="A201" s="172">
        <v>66924</v>
      </c>
      <c r="B201" s="4" t="s">
        <v>263</v>
      </c>
      <c r="C201" s="4" t="s">
        <v>78</v>
      </c>
      <c r="D201" s="4" t="s">
        <v>63</v>
      </c>
      <c r="E201" s="36">
        <v>5</v>
      </c>
      <c r="F201" s="5">
        <v>85</v>
      </c>
      <c r="G201" s="5">
        <f t="shared" si="6"/>
        <v>425</v>
      </c>
      <c r="H201" s="37">
        <v>0</v>
      </c>
      <c r="I201" s="5">
        <f t="shared" si="7"/>
        <v>425</v>
      </c>
      <c r="J201" s="4" t="s">
        <v>64</v>
      </c>
      <c r="K201" s="4" t="s">
        <v>65</v>
      </c>
      <c r="L201" s="4"/>
    </row>
    <row r="202" spans="1:12" x14ac:dyDescent="0.2">
      <c r="A202" s="172">
        <v>66924</v>
      </c>
      <c r="B202" s="4" t="s">
        <v>264</v>
      </c>
      <c r="C202" s="4" t="s">
        <v>69</v>
      </c>
      <c r="D202" s="4" t="s">
        <v>63</v>
      </c>
      <c r="E202" s="36">
        <v>20</v>
      </c>
      <c r="F202" s="5">
        <v>85</v>
      </c>
      <c r="G202" s="5">
        <f t="shared" si="6"/>
        <v>1700</v>
      </c>
      <c r="H202" s="37">
        <v>0</v>
      </c>
      <c r="I202" s="5">
        <f t="shared" si="7"/>
        <v>1700</v>
      </c>
      <c r="J202" s="4" t="s">
        <v>64</v>
      </c>
      <c r="K202" s="4" t="s">
        <v>65</v>
      </c>
      <c r="L202" s="4"/>
    </row>
    <row r="203" spans="1:12" x14ac:dyDescent="0.2">
      <c r="A203" s="172">
        <v>66924</v>
      </c>
      <c r="B203" s="4" t="s">
        <v>265</v>
      </c>
      <c r="C203" s="4" t="s">
        <v>90</v>
      </c>
      <c r="D203" s="4" t="s">
        <v>63</v>
      </c>
      <c r="E203" s="36">
        <v>15</v>
      </c>
      <c r="F203" s="5">
        <v>85</v>
      </c>
      <c r="G203" s="5">
        <f t="shared" si="6"/>
        <v>1275</v>
      </c>
      <c r="H203" s="37">
        <v>0</v>
      </c>
      <c r="I203" s="5">
        <f t="shared" si="7"/>
        <v>1275</v>
      </c>
      <c r="J203" s="4" t="s">
        <v>64</v>
      </c>
      <c r="K203" s="4" t="s">
        <v>65</v>
      </c>
      <c r="L203" s="4"/>
    </row>
    <row r="204" spans="1:12" x14ac:dyDescent="0.2">
      <c r="A204" s="172">
        <v>66924</v>
      </c>
      <c r="B204" s="4" t="s">
        <v>266</v>
      </c>
      <c r="C204" s="4" t="s">
        <v>267</v>
      </c>
      <c r="D204" s="4" t="s">
        <v>268</v>
      </c>
      <c r="E204" s="36">
        <v>2</v>
      </c>
      <c r="F204" s="5">
        <v>1100</v>
      </c>
      <c r="G204" s="5">
        <f t="shared" si="6"/>
        <v>2200</v>
      </c>
      <c r="H204" s="37">
        <v>0</v>
      </c>
      <c r="I204" s="5">
        <f t="shared" si="7"/>
        <v>2200</v>
      </c>
      <c r="J204" s="4" t="s">
        <v>64</v>
      </c>
      <c r="K204" s="4" t="s">
        <v>65</v>
      </c>
      <c r="L204" s="4"/>
    </row>
    <row r="205" spans="1:12" x14ac:dyDescent="0.2">
      <c r="A205" s="172">
        <v>66924</v>
      </c>
      <c r="B205" s="4" t="s">
        <v>269</v>
      </c>
      <c r="C205" s="4" t="s">
        <v>74</v>
      </c>
      <c r="D205" s="4" t="s">
        <v>63</v>
      </c>
      <c r="E205" s="36">
        <v>15</v>
      </c>
      <c r="F205" s="5">
        <v>86</v>
      </c>
      <c r="G205" s="5">
        <f t="shared" si="6"/>
        <v>1290</v>
      </c>
      <c r="H205" s="37">
        <v>0</v>
      </c>
      <c r="I205" s="5">
        <f t="shared" si="7"/>
        <v>1290</v>
      </c>
      <c r="J205" s="4" t="s">
        <v>64</v>
      </c>
      <c r="K205" s="4" t="s">
        <v>65</v>
      </c>
      <c r="L205" s="4"/>
    </row>
    <row r="206" spans="1:12" x14ac:dyDescent="0.2">
      <c r="A206" s="172">
        <v>66924</v>
      </c>
      <c r="B206" s="4" t="s">
        <v>270</v>
      </c>
      <c r="C206" s="4" t="s">
        <v>119</v>
      </c>
      <c r="D206" s="4" t="s">
        <v>63</v>
      </c>
      <c r="E206" s="36">
        <v>35</v>
      </c>
      <c r="F206" s="5">
        <v>85</v>
      </c>
      <c r="G206" s="5">
        <f t="shared" si="6"/>
        <v>2975</v>
      </c>
      <c r="H206" s="37">
        <v>0</v>
      </c>
      <c r="I206" s="5">
        <f t="shared" si="7"/>
        <v>2975</v>
      </c>
      <c r="J206" s="4" t="s">
        <v>64</v>
      </c>
      <c r="K206" s="4" t="s">
        <v>65</v>
      </c>
      <c r="L206" s="4"/>
    </row>
    <row r="207" spans="1:12" x14ac:dyDescent="0.2">
      <c r="A207" s="172">
        <v>66924</v>
      </c>
      <c r="B207" s="4" t="s">
        <v>271</v>
      </c>
      <c r="C207" s="4" t="s">
        <v>121</v>
      </c>
      <c r="D207" s="4" t="s">
        <v>63</v>
      </c>
      <c r="E207" s="36">
        <v>30</v>
      </c>
      <c r="F207" s="5">
        <v>85</v>
      </c>
      <c r="G207" s="5">
        <f t="shared" si="6"/>
        <v>2550</v>
      </c>
      <c r="H207" s="37">
        <v>0</v>
      </c>
      <c r="I207" s="5">
        <f t="shared" si="7"/>
        <v>2550</v>
      </c>
      <c r="J207" s="4" t="s">
        <v>64</v>
      </c>
      <c r="K207" s="4" t="s">
        <v>65</v>
      </c>
      <c r="L207" s="4"/>
    </row>
    <row r="208" spans="1:12" x14ac:dyDescent="0.2">
      <c r="A208" s="172">
        <v>66924</v>
      </c>
      <c r="B208" s="4" t="s">
        <v>272</v>
      </c>
      <c r="C208" s="4" t="s">
        <v>273</v>
      </c>
      <c r="D208" s="4" t="s">
        <v>63</v>
      </c>
      <c r="E208" s="36">
        <v>50</v>
      </c>
      <c r="F208" s="5">
        <v>90</v>
      </c>
      <c r="G208" s="5">
        <f t="shared" si="6"/>
        <v>4500</v>
      </c>
      <c r="H208" s="37">
        <v>0</v>
      </c>
      <c r="I208" s="5">
        <f t="shared" si="7"/>
        <v>4500</v>
      </c>
      <c r="J208" s="4" t="s">
        <v>64</v>
      </c>
      <c r="K208" s="4" t="s">
        <v>65</v>
      </c>
      <c r="L208" s="4"/>
    </row>
    <row r="209" spans="1:12" x14ac:dyDescent="0.2">
      <c r="A209" s="172">
        <v>66924</v>
      </c>
      <c r="B209" s="4" t="s">
        <v>272</v>
      </c>
      <c r="C209" s="4" t="s">
        <v>273</v>
      </c>
      <c r="D209" s="4" t="s">
        <v>95</v>
      </c>
      <c r="E209" s="36">
        <v>2</v>
      </c>
      <c r="F209" s="5">
        <v>1150</v>
      </c>
      <c r="G209" s="5">
        <f t="shared" si="6"/>
        <v>2300</v>
      </c>
      <c r="H209" s="37">
        <v>0</v>
      </c>
      <c r="I209" s="5">
        <f t="shared" si="7"/>
        <v>2300</v>
      </c>
      <c r="J209" s="4" t="s">
        <v>64</v>
      </c>
      <c r="K209" s="4" t="s">
        <v>65</v>
      </c>
      <c r="L209" s="4"/>
    </row>
    <row r="210" spans="1:12" x14ac:dyDescent="0.2">
      <c r="A210" s="172">
        <v>66924</v>
      </c>
      <c r="B210" s="4" t="s">
        <v>272</v>
      </c>
      <c r="C210" s="4" t="s">
        <v>273</v>
      </c>
      <c r="D210" s="4" t="s">
        <v>164</v>
      </c>
      <c r="E210" s="36">
        <v>8</v>
      </c>
      <c r="F210" s="5">
        <v>800</v>
      </c>
      <c r="G210" s="5">
        <f t="shared" si="6"/>
        <v>6400</v>
      </c>
      <c r="H210" s="37">
        <v>0</v>
      </c>
      <c r="I210" s="5">
        <f t="shared" si="7"/>
        <v>6400</v>
      </c>
      <c r="J210" s="4" t="s">
        <v>64</v>
      </c>
      <c r="K210" s="4" t="s">
        <v>65</v>
      </c>
      <c r="L210" s="4"/>
    </row>
    <row r="211" spans="1:12" x14ac:dyDescent="0.2">
      <c r="A211" s="172">
        <v>66924</v>
      </c>
      <c r="B211" s="4" t="s">
        <v>274</v>
      </c>
      <c r="C211" s="4" t="s">
        <v>92</v>
      </c>
      <c r="D211" s="4" t="s">
        <v>63</v>
      </c>
      <c r="E211" s="36">
        <v>30</v>
      </c>
      <c r="F211" s="5">
        <v>95</v>
      </c>
      <c r="G211" s="5">
        <f t="shared" si="6"/>
        <v>2850</v>
      </c>
      <c r="H211" s="37">
        <v>0</v>
      </c>
      <c r="I211" s="5">
        <f t="shared" si="7"/>
        <v>2850</v>
      </c>
      <c r="J211" s="4" t="s">
        <v>64</v>
      </c>
      <c r="K211" s="4" t="s">
        <v>65</v>
      </c>
      <c r="L211" s="4"/>
    </row>
    <row r="212" spans="1:12" x14ac:dyDescent="0.2">
      <c r="A212" s="172">
        <v>66924</v>
      </c>
      <c r="B212" s="4" t="s">
        <v>275</v>
      </c>
      <c r="C212" s="4" t="s">
        <v>94</v>
      </c>
      <c r="D212" s="4" t="s">
        <v>63</v>
      </c>
      <c r="E212" s="36">
        <v>25</v>
      </c>
      <c r="F212" s="5">
        <v>84</v>
      </c>
      <c r="G212" s="5">
        <f t="shared" si="6"/>
        <v>2100</v>
      </c>
      <c r="H212" s="37">
        <v>0</v>
      </c>
      <c r="I212" s="5">
        <f t="shared" si="7"/>
        <v>2100</v>
      </c>
      <c r="J212" s="4" t="s">
        <v>64</v>
      </c>
      <c r="K212" s="4" t="s">
        <v>65</v>
      </c>
      <c r="L212" s="4"/>
    </row>
    <row r="213" spans="1:12" x14ac:dyDescent="0.2">
      <c r="A213" s="172">
        <v>66924</v>
      </c>
      <c r="B213" s="4" t="s">
        <v>276</v>
      </c>
      <c r="C213" s="4" t="s">
        <v>98</v>
      </c>
      <c r="D213" s="4" t="s">
        <v>63</v>
      </c>
      <c r="E213" s="36">
        <v>8</v>
      </c>
      <c r="F213" s="5">
        <v>85</v>
      </c>
      <c r="G213" s="5">
        <f t="shared" si="6"/>
        <v>680</v>
      </c>
      <c r="H213" s="37">
        <v>0</v>
      </c>
      <c r="I213" s="5">
        <f t="shared" si="7"/>
        <v>680</v>
      </c>
      <c r="J213" s="4" t="s">
        <v>64</v>
      </c>
      <c r="K213" s="4" t="s">
        <v>65</v>
      </c>
      <c r="L213" s="4"/>
    </row>
    <row r="214" spans="1:12" x14ac:dyDescent="0.2">
      <c r="A214" s="172">
        <v>66924</v>
      </c>
      <c r="B214" s="4" t="s">
        <v>277</v>
      </c>
      <c r="C214" s="4" t="s">
        <v>102</v>
      </c>
      <c r="D214" s="4" t="s">
        <v>63</v>
      </c>
      <c r="E214" s="36">
        <v>10</v>
      </c>
      <c r="F214" s="5">
        <v>86</v>
      </c>
      <c r="G214" s="5">
        <f t="shared" si="6"/>
        <v>860</v>
      </c>
      <c r="H214" s="37">
        <v>0</v>
      </c>
      <c r="I214" s="5">
        <f t="shared" si="7"/>
        <v>860</v>
      </c>
      <c r="J214" s="4" t="s">
        <v>64</v>
      </c>
      <c r="K214" s="4" t="s">
        <v>65</v>
      </c>
      <c r="L214" s="4"/>
    </row>
    <row r="215" spans="1:12" x14ac:dyDescent="0.2">
      <c r="A215" s="172">
        <v>66924</v>
      </c>
      <c r="B215" s="4" t="s">
        <v>278</v>
      </c>
      <c r="C215" s="4" t="s">
        <v>100</v>
      </c>
      <c r="D215" s="4" t="s">
        <v>63</v>
      </c>
      <c r="E215" s="36">
        <v>5.5</v>
      </c>
      <c r="F215" s="5">
        <v>92.73</v>
      </c>
      <c r="G215" s="5">
        <f t="shared" si="6"/>
        <v>510.01500000000004</v>
      </c>
      <c r="H215" s="37">
        <v>0</v>
      </c>
      <c r="I215" s="5">
        <f t="shared" si="7"/>
        <v>510.01500000000004</v>
      </c>
      <c r="J215" s="4" t="s">
        <v>64</v>
      </c>
      <c r="K215" s="4" t="s">
        <v>65</v>
      </c>
      <c r="L215" s="4"/>
    </row>
    <row r="216" spans="1:12" x14ac:dyDescent="0.2">
      <c r="A216" s="172">
        <v>66924</v>
      </c>
      <c r="B216" s="4" t="s">
        <v>279</v>
      </c>
      <c r="C216" s="4" t="s">
        <v>214</v>
      </c>
      <c r="D216" s="4" t="s">
        <v>63</v>
      </c>
      <c r="E216" s="36">
        <v>2</v>
      </c>
      <c r="F216" s="5">
        <v>90</v>
      </c>
      <c r="G216" s="5">
        <f t="shared" si="6"/>
        <v>180</v>
      </c>
      <c r="H216" s="37">
        <v>0</v>
      </c>
      <c r="I216" s="5">
        <f t="shared" si="7"/>
        <v>180</v>
      </c>
      <c r="J216" s="4" t="s">
        <v>64</v>
      </c>
      <c r="K216" s="4" t="s">
        <v>65</v>
      </c>
      <c r="L216" s="4"/>
    </row>
    <row r="217" spans="1:12" x14ac:dyDescent="0.2">
      <c r="A217" s="172">
        <v>66925</v>
      </c>
      <c r="B217" s="4" t="s">
        <v>280</v>
      </c>
      <c r="C217" s="4" t="s">
        <v>62</v>
      </c>
      <c r="D217" s="4" t="s">
        <v>63</v>
      </c>
      <c r="E217" s="36">
        <v>60</v>
      </c>
      <c r="F217" s="5">
        <v>85</v>
      </c>
      <c r="G217" s="5">
        <f t="shared" si="6"/>
        <v>5100</v>
      </c>
      <c r="H217" s="37">
        <v>0</v>
      </c>
      <c r="I217" s="5">
        <f t="shared" si="7"/>
        <v>5100</v>
      </c>
      <c r="J217" s="4" t="s">
        <v>64</v>
      </c>
      <c r="K217" s="4" t="s">
        <v>65</v>
      </c>
      <c r="L217" s="4"/>
    </row>
    <row r="218" spans="1:12" x14ac:dyDescent="0.2">
      <c r="A218" s="172">
        <v>66925</v>
      </c>
      <c r="B218" s="4" t="s">
        <v>280</v>
      </c>
      <c r="C218" s="4" t="s">
        <v>62</v>
      </c>
      <c r="D218" s="4" t="s">
        <v>72</v>
      </c>
      <c r="E218" s="36">
        <v>1</v>
      </c>
      <c r="F218" s="5">
        <v>80</v>
      </c>
      <c r="G218" s="5">
        <f t="shared" si="6"/>
        <v>80</v>
      </c>
      <c r="H218" s="37">
        <v>0</v>
      </c>
      <c r="I218" s="5">
        <f t="shared" si="7"/>
        <v>80</v>
      </c>
      <c r="J218" s="4" t="s">
        <v>64</v>
      </c>
      <c r="K218" s="4" t="s">
        <v>65</v>
      </c>
      <c r="L218" s="4"/>
    </row>
    <row r="219" spans="1:12" x14ac:dyDescent="0.2">
      <c r="A219" s="172">
        <v>66925</v>
      </c>
      <c r="B219" s="4" t="s">
        <v>281</v>
      </c>
      <c r="C219" s="4" t="s">
        <v>67</v>
      </c>
      <c r="D219" s="4" t="s">
        <v>63</v>
      </c>
      <c r="E219" s="36">
        <v>30</v>
      </c>
      <c r="F219" s="5">
        <v>85</v>
      </c>
      <c r="G219" s="5">
        <f t="shared" si="6"/>
        <v>2550</v>
      </c>
      <c r="H219" s="37">
        <v>0</v>
      </c>
      <c r="I219" s="5">
        <f t="shared" si="7"/>
        <v>2550</v>
      </c>
      <c r="J219" s="4" t="s">
        <v>64</v>
      </c>
      <c r="K219" s="4" t="s">
        <v>65</v>
      </c>
      <c r="L219" s="4"/>
    </row>
    <row r="220" spans="1:12" x14ac:dyDescent="0.2">
      <c r="A220" s="172">
        <v>66925</v>
      </c>
      <c r="B220" s="4" t="s">
        <v>282</v>
      </c>
      <c r="C220" s="4" t="s">
        <v>76</v>
      </c>
      <c r="D220" s="4" t="s">
        <v>63</v>
      </c>
      <c r="E220" s="36">
        <v>10</v>
      </c>
      <c r="F220" s="5">
        <v>85</v>
      </c>
      <c r="G220" s="5">
        <f t="shared" si="6"/>
        <v>850</v>
      </c>
      <c r="H220" s="37">
        <v>0</v>
      </c>
      <c r="I220" s="5">
        <f t="shared" si="7"/>
        <v>850</v>
      </c>
      <c r="J220" s="4" t="s">
        <v>64</v>
      </c>
      <c r="K220" s="4" t="s">
        <v>65</v>
      </c>
      <c r="L220" s="4"/>
    </row>
    <row r="221" spans="1:12" x14ac:dyDescent="0.2">
      <c r="A221" s="172">
        <v>66925</v>
      </c>
      <c r="B221" s="4" t="s">
        <v>283</v>
      </c>
      <c r="C221" s="4" t="s">
        <v>82</v>
      </c>
      <c r="D221" s="4" t="s">
        <v>63</v>
      </c>
      <c r="E221" s="36">
        <v>8</v>
      </c>
      <c r="F221" s="5">
        <v>85</v>
      </c>
      <c r="G221" s="5">
        <f t="shared" si="6"/>
        <v>680</v>
      </c>
      <c r="H221" s="37">
        <v>0</v>
      </c>
      <c r="I221" s="5">
        <f t="shared" si="7"/>
        <v>680</v>
      </c>
      <c r="J221" s="4" t="s">
        <v>64</v>
      </c>
      <c r="K221" s="4" t="s">
        <v>65</v>
      </c>
      <c r="L221" s="4"/>
    </row>
    <row r="222" spans="1:12" x14ac:dyDescent="0.2">
      <c r="A222" s="172">
        <v>66925</v>
      </c>
      <c r="B222" s="4" t="s">
        <v>284</v>
      </c>
      <c r="C222" s="4" t="s">
        <v>84</v>
      </c>
      <c r="D222" s="4" t="s">
        <v>63</v>
      </c>
      <c r="E222" s="36">
        <v>4</v>
      </c>
      <c r="F222" s="5">
        <v>86</v>
      </c>
      <c r="G222" s="5">
        <f t="shared" si="6"/>
        <v>344</v>
      </c>
      <c r="H222" s="37">
        <v>0</v>
      </c>
      <c r="I222" s="5">
        <f t="shared" si="7"/>
        <v>344</v>
      </c>
      <c r="J222" s="4" t="s">
        <v>64</v>
      </c>
      <c r="K222" s="4" t="s">
        <v>65</v>
      </c>
      <c r="L222" s="4"/>
    </row>
    <row r="223" spans="1:12" x14ac:dyDescent="0.2">
      <c r="A223" s="172">
        <v>66925</v>
      </c>
      <c r="B223" s="4" t="s">
        <v>284</v>
      </c>
      <c r="C223" s="4" t="s">
        <v>84</v>
      </c>
      <c r="D223" s="4" t="s">
        <v>96</v>
      </c>
      <c r="E223" s="36">
        <v>3</v>
      </c>
      <c r="F223" s="5">
        <v>800</v>
      </c>
      <c r="G223" s="5">
        <f t="shared" si="6"/>
        <v>2400</v>
      </c>
      <c r="H223" s="37">
        <v>0</v>
      </c>
      <c r="I223" s="5">
        <f t="shared" si="7"/>
        <v>2400</v>
      </c>
      <c r="J223" s="4" t="s">
        <v>64</v>
      </c>
      <c r="K223" s="4" t="s">
        <v>65</v>
      </c>
      <c r="L223" s="4"/>
    </row>
    <row r="224" spans="1:12" x14ac:dyDescent="0.2">
      <c r="A224" s="172">
        <v>66925</v>
      </c>
      <c r="B224" s="4" t="s">
        <v>285</v>
      </c>
      <c r="C224" s="4" t="s">
        <v>86</v>
      </c>
      <c r="D224" s="4" t="s">
        <v>63</v>
      </c>
      <c r="E224" s="36">
        <v>30</v>
      </c>
      <c r="F224" s="5">
        <v>86</v>
      </c>
      <c r="G224" s="5">
        <f t="shared" si="6"/>
        <v>2580</v>
      </c>
      <c r="H224" s="37">
        <v>0</v>
      </c>
      <c r="I224" s="5">
        <f t="shared" si="7"/>
        <v>2580</v>
      </c>
      <c r="J224" s="4" t="s">
        <v>64</v>
      </c>
      <c r="K224" s="4" t="s">
        <v>65</v>
      </c>
      <c r="L224" s="4"/>
    </row>
    <row r="225" spans="1:12" x14ac:dyDescent="0.2">
      <c r="A225" s="172">
        <v>66925</v>
      </c>
      <c r="B225" s="4" t="s">
        <v>286</v>
      </c>
      <c r="C225" s="4" t="s">
        <v>69</v>
      </c>
      <c r="D225" s="4" t="s">
        <v>63</v>
      </c>
      <c r="E225" s="36">
        <v>20</v>
      </c>
      <c r="F225" s="5">
        <v>85</v>
      </c>
      <c r="G225" s="5">
        <f t="shared" si="6"/>
        <v>1700</v>
      </c>
      <c r="H225" s="37">
        <v>0</v>
      </c>
      <c r="I225" s="5">
        <f t="shared" si="7"/>
        <v>1700</v>
      </c>
      <c r="J225" s="4" t="s">
        <v>64</v>
      </c>
      <c r="K225" s="4" t="s">
        <v>65</v>
      </c>
      <c r="L225" s="4"/>
    </row>
    <row r="226" spans="1:12" x14ac:dyDescent="0.2">
      <c r="A226" s="172">
        <v>66925</v>
      </c>
      <c r="B226" s="4" t="s">
        <v>287</v>
      </c>
      <c r="C226" s="4" t="s">
        <v>71</v>
      </c>
      <c r="D226" s="4" t="s">
        <v>63</v>
      </c>
      <c r="E226" s="36">
        <v>40</v>
      </c>
      <c r="F226" s="5">
        <v>86</v>
      </c>
      <c r="G226" s="5">
        <f t="shared" si="6"/>
        <v>3440</v>
      </c>
      <c r="H226" s="37">
        <v>0</v>
      </c>
      <c r="I226" s="5">
        <f t="shared" si="7"/>
        <v>3440</v>
      </c>
      <c r="J226" s="4" t="s">
        <v>64</v>
      </c>
      <c r="K226" s="4" t="s">
        <v>65</v>
      </c>
      <c r="L226" s="4"/>
    </row>
    <row r="227" spans="1:12" x14ac:dyDescent="0.2">
      <c r="A227" s="172">
        <v>66925</v>
      </c>
      <c r="B227" s="4" t="s">
        <v>287</v>
      </c>
      <c r="C227" s="4" t="s">
        <v>71</v>
      </c>
      <c r="D227" s="4" t="s">
        <v>63</v>
      </c>
      <c r="E227" s="36">
        <v>45</v>
      </c>
      <c r="F227" s="5">
        <v>85</v>
      </c>
      <c r="G227" s="5">
        <f t="shared" si="6"/>
        <v>3825</v>
      </c>
      <c r="H227" s="37">
        <v>0</v>
      </c>
      <c r="I227" s="5">
        <f t="shared" si="7"/>
        <v>3825</v>
      </c>
      <c r="J227" s="4" t="s">
        <v>64</v>
      </c>
      <c r="K227" s="4" t="s">
        <v>65</v>
      </c>
      <c r="L227" s="4"/>
    </row>
    <row r="228" spans="1:12" x14ac:dyDescent="0.2">
      <c r="A228" s="172">
        <v>66925</v>
      </c>
      <c r="B228" s="4" t="s">
        <v>287</v>
      </c>
      <c r="C228" s="4" t="s">
        <v>71</v>
      </c>
      <c r="D228" s="4" t="s">
        <v>72</v>
      </c>
      <c r="E228" s="36">
        <v>1</v>
      </c>
      <c r="F228" s="5">
        <v>80</v>
      </c>
      <c r="G228" s="5">
        <f t="shared" si="6"/>
        <v>80</v>
      </c>
      <c r="H228" s="37">
        <v>0</v>
      </c>
      <c r="I228" s="5">
        <f t="shared" si="7"/>
        <v>80</v>
      </c>
      <c r="J228" s="4" t="s">
        <v>64</v>
      </c>
      <c r="K228" s="4" t="s">
        <v>65</v>
      </c>
      <c r="L228" s="4"/>
    </row>
    <row r="229" spans="1:12" x14ac:dyDescent="0.2">
      <c r="A229" s="172">
        <v>66925</v>
      </c>
      <c r="B229" s="4" t="s">
        <v>288</v>
      </c>
      <c r="C229" s="4" t="s">
        <v>88</v>
      </c>
      <c r="D229" s="4" t="s">
        <v>63</v>
      </c>
      <c r="E229" s="36">
        <v>5</v>
      </c>
      <c r="F229" s="5">
        <v>85</v>
      </c>
      <c r="G229" s="5">
        <f t="shared" si="6"/>
        <v>425</v>
      </c>
      <c r="H229" s="37">
        <v>0</v>
      </c>
      <c r="I229" s="5">
        <f t="shared" si="7"/>
        <v>425</v>
      </c>
      <c r="J229" s="4" t="s">
        <v>64</v>
      </c>
      <c r="K229" s="4" t="s">
        <v>65</v>
      </c>
      <c r="L229" s="4"/>
    </row>
    <row r="230" spans="1:12" x14ac:dyDescent="0.2">
      <c r="A230" s="172">
        <v>66925</v>
      </c>
      <c r="B230" s="4" t="s">
        <v>289</v>
      </c>
      <c r="C230" s="4" t="s">
        <v>90</v>
      </c>
      <c r="D230" s="4" t="s">
        <v>63</v>
      </c>
      <c r="E230" s="36">
        <v>15</v>
      </c>
      <c r="F230" s="5">
        <v>85</v>
      </c>
      <c r="G230" s="5">
        <f t="shared" si="6"/>
        <v>1275</v>
      </c>
      <c r="H230" s="37">
        <v>0</v>
      </c>
      <c r="I230" s="5">
        <f t="shared" si="7"/>
        <v>1275</v>
      </c>
      <c r="J230" s="4" t="s">
        <v>64</v>
      </c>
      <c r="K230" s="4" t="s">
        <v>65</v>
      </c>
      <c r="L230" s="4"/>
    </row>
    <row r="231" spans="1:12" x14ac:dyDescent="0.2">
      <c r="A231" s="172">
        <v>66925</v>
      </c>
      <c r="B231" s="4" t="s">
        <v>290</v>
      </c>
      <c r="C231" s="4" t="s">
        <v>80</v>
      </c>
      <c r="D231" s="4" t="s">
        <v>63</v>
      </c>
      <c r="E231" s="36">
        <v>12</v>
      </c>
      <c r="F231" s="5">
        <v>85</v>
      </c>
      <c r="G231" s="5">
        <f t="shared" si="6"/>
        <v>1020</v>
      </c>
      <c r="H231" s="37">
        <v>0</v>
      </c>
      <c r="I231" s="5">
        <f t="shared" si="7"/>
        <v>1020</v>
      </c>
      <c r="J231" s="4" t="s">
        <v>64</v>
      </c>
      <c r="K231" s="4" t="s">
        <v>65</v>
      </c>
      <c r="L231" s="4"/>
    </row>
    <row r="232" spans="1:12" x14ac:dyDescent="0.2">
      <c r="A232" s="172">
        <v>66925</v>
      </c>
      <c r="B232" s="4" t="s">
        <v>291</v>
      </c>
      <c r="C232" s="4" t="s">
        <v>78</v>
      </c>
      <c r="D232" s="4" t="s">
        <v>63</v>
      </c>
      <c r="E232" s="36">
        <v>8</v>
      </c>
      <c r="F232" s="5">
        <v>85</v>
      </c>
      <c r="G232" s="5">
        <f t="shared" si="6"/>
        <v>680</v>
      </c>
      <c r="H232" s="37">
        <v>0</v>
      </c>
      <c r="I232" s="5">
        <f t="shared" si="7"/>
        <v>680</v>
      </c>
      <c r="J232" s="4" t="s">
        <v>64</v>
      </c>
      <c r="K232" s="4" t="s">
        <v>65</v>
      </c>
      <c r="L232" s="4"/>
    </row>
    <row r="233" spans="1:12" x14ac:dyDescent="0.2">
      <c r="A233" s="172">
        <v>66925</v>
      </c>
      <c r="B233" s="4" t="s">
        <v>292</v>
      </c>
      <c r="C233" s="4" t="s">
        <v>293</v>
      </c>
      <c r="D233" s="4" t="s">
        <v>63</v>
      </c>
      <c r="E233" s="36">
        <v>2</v>
      </c>
      <c r="F233" s="5">
        <v>85</v>
      </c>
      <c r="G233" s="5">
        <f t="shared" si="6"/>
        <v>170</v>
      </c>
      <c r="H233" s="37">
        <v>0</v>
      </c>
      <c r="I233" s="5">
        <f t="shared" si="7"/>
        <v>170</v>
      </c>
      <c r="J233" s="4" t="s">
        <v>64</v>
      </c>
      <c r="K233" s="4" t="s">
        <v>65</v>
      </c>
      <c r="L233" s="4"/>
    </row>
    <row r="234" spans="1:12" x14ac:dyDescent="0.2">
      <c r="A234" s="172">
        <v>66925</v>
      </c>
      <c r="B234" s="4" t="s">
        <v>292</v>
      </c>
      <c r="C234" s="4" t="s">
        <v>293</v>
      </c>
      <c r="D234" s="4" t="s">
        <v>95</v>
      </c>
      <c r="E234" s="36">
        <v>1</v>
      </c>
      <c r="F234" s="5">
        <v>1100</v>
      </c>
      <c r="G234" s="5">
        <f t="shared" si="6"/>
        <v>1100</v>
      </c>
      <c r="H234" s="37">
        <v>0</v>
      </c>
      <c r="I234" s="5">
        <f t="shared" si="7"/>
        <v>1100</v>
      </c>
      <c r="J234" s="4" t="s">
        <v>64</v>
      </c>
      <c r="K234" s="4" t="s">
        <v>65</v>
      </c>
      <c r="L234" s="4"/>
    </row>
    <row r="235" spans="1:12" x14ac:dyDescent="0.2">
      <c r="A235" s="172">
        <v>66925</v>
      </c>
      <c r="B235" s="4" t="s">
        <v>294</v>
      </c>
      <c r="C235" s="4" t="s">
        <v>74</v>
      </c>
      <c r="D235" s="4" t="s">
        <v>63</v>
      </c>
      <c r="E235" s="36">
        <v>15</v>
      </c>
      <c r="F235" s="5">
        <v>86</v>
      </c>
      <c r="G235" s="5">
        <f t="shared" si="6"/>
        <v>1290</v>
      </c>
      <c r="H235" s="37">
        <v>0</v>
      </c>
      <c r="I235" s="5">
        <f t="shared" si="7"/>
        <v>1290</v>
      </c>
      <c r="J235" s="4" t="s">
        <v>64</v>
      </c>
      <c r="K235" s="4" t="s">
        <v>65</v>
      </c>
      <c r="L235" s="4"/>
    </row>
    <row r="236" spans="1:12" x14ac:dyDescent="0.2">
      <c r="A236" s="172">
        <v>66925</v>
      </c>
      <c r="B236" s="4" t="s">
        <v>295</v>
      </c>
      <c r="C236" s="4" t="s">
        <v>92</v>
      </c>
      <c r="D236" s="4" t="s">
        <v>63</v>
      </c>
      <c r="E236" s="36">
        <v>20</v>
      </c>
      <c r="F236" s="5">
        <v>95</v>
      </c>
      <c r="G236" s="5">
        <f t="shared" si="6"/>
        <v>1900</v>
      </c>
      <c r="H236" s="37">
        <v>0</v>
      </c>
      <c r="I236" s="5">
        <f t="shared" si="7"/>
        <v>1900</v>
      </c>
      <c r="J236" s="4" t="s">
        <v>64</v>
      </c>
      <c r="K236" s="4" t="s">
        <v>65</v>
      </c>
      <c r="L236" s="4"/>
    </row>
    <row r="237" spans="1:12" x14ac:dyDescent="0.2">
      <c r="A237" s="172">
        <v>66925</v>
      </c>
      <c r="B237" s="4" t="s">
        <v>295</v>
      </c>
      <c r="C237" s="4" t="s">
        <v>92</v>
      </c>
      <c r="D237" s="4" t="s">
        <v>63</v>
      </c>
      <c r="E237" s="36">
        <v>12</v>
      </c>
      <c r="F237" s="5">
        <v>85</v>
      </c>
      <c r="G237" s="5">
        <f t="shared" si="6"/>
        <v>1020</v>
      </c>
      <c r="H237" s="37">
        <v>0</v>
      </c>
      <c r="I237" s="5">
        <f t="shared" si="7"/>
        <v>1020</v>
      </c>
      <c r="J237" s="4" t="s">
        <v>64</v>
      </c>
      <c r="K237" s="4" t="s">
        <v>65</v>
      </c>
      <c r="L237" s="4"/>
    </row>
    <row r="238" spans="1:12" x14ac:dyDescent="0.2">
      <c r="A238" s="172">
        <v>66925</v>
      </c>
      <c r="B238" s="4" t="s">
        <v>295</v>
      </c>
      <c r="C238" s="4" t="s">
        <v>92</v>
      </c>
      <c r="D238" s="4" t="s">
        <v>95</v>
      </c>
      <c r="E238" s="36">
        <v>1</v>
      </c>
      <c r="F238" s="5">
        <v>1100</v>
      </c>
      <c r="G238" s="5">
        <f t="shared" si="6"/>
        <v>1100</v>
      </c>
      <c r="H238" s="37">
        <v>0</v>
      </c>
      <c r="I238" s="5">
        <f t="shared" si="7"/>
        <v>1100</v>
      </c>
      <c r="J238" s="4" t="s">
        <v>64</v>
      </c>
      <c r="K238" s="4" t="s">
        <v>65</v>
      </c>
      <c r="L238" s="4"/>
    </row>
    <row r="239" spans="1:12" x14ac:dyDescent="0.2">
      <c r="A239" s="172">
        <v>66925</v>
      </c>
      <c r="B239" s="4" t="s">
        <v>296</v>
      </c>
      <c r="C239" s="4" t="s">
        <v>94</v>
      </c>
      <c r="D239" s="4" t="s">
        <v>63</v>
      </c>
      <c r="E239" s="36">
        <v>25</v>
      </c>
      <c r="F239" s="5">
        <v>84</v>
      </c>
      <c r="G239" s="5">
        <f t="shared" si="6"/>
        <v>2100</v>
      </c>
      <c r="H239" s="37">
        <v>0</v>
      </c>
      <c r="I239" s="5">
        <f t="shared" si="7"/>
        <v>2100</v>
      </c>
      <c r="J239" s="4" t="s">
        <v>64</v>
      </c>
      <c r="K239" s="4" t="s">
        <v>65</v>
      </c>
      <c r="L239" s="4"/>
    </row>
    <row r="240" spans="1:12" x14ac:dyDescent="0.2">
      <c r="A240" s="172">
        <v>66925</v>
      </c>
      <c r="B240" s="4" t="s">
        <v>297</v>
      </c>
      <c r="C240" s="4" t="s">
        <v>98</v>
      </c>
      <c r="D240" s="4" t="s">
        <v>63</v>
      </c>
      <c r="E240" s="36">
        <v>8</v>
      </c>
      <c r="F240" s="5">
        <v>85</v>
      </c>
      <c r="G240" s="5">
        <f t="shared" si="6"/>
        <v>680</v>
      </c>
      <c r="H240" s="37">
        <v>0</v>
      </c>
      <c r="I240" s="5">
        <f t="shared" si="7"/>
        <v>680</v>
      </c>
      <c r="J240" s="4" t="s">
        <v>64</v>
      </c>
      <c r="K240" s="4" t="s">
        <v>65</v>
      </c>
      <c r="L240" s="4"/>
    </row>
    <row r="241" spans="1:12" x14ac:dyDescent="0.2">
      <c r="A241" s="172">
        <v>66925</v>
      </c>
      <c r="B241" s="4" t="s">
        <v>298</v>
      </c>
      <c r="C241" s="4" t="s">
        <v>100</v>
      </c>
      <c r="D241" s="4" t="s">
        <v>63</v>
      </c>
      <c r="E241" s="36">
        <v>2.5</v>
      </c>
      <c r="F241" s="5">
        <v>100</v>
      </c>
      <c r="G241" s="5">
        <f t="shared" si="6"/>
        <v>250</v>
      </c>
      <c r="H241" s="37">
        <v>0</v>
      </c>
      <c r="I241" s="5">
        <f t="shared" si="7"/>
        <v>250</v>
      </c>
      <c r="J241" s="4" t="s">
        <v>64</v>
      </c>
      <c r="K241" s="4" t="s">
        <v>65</v>
      </c>
      <c r="L241" s="4"/>
    </row>
    <row r="242" spans="1:12" x14ac:dyDescent="0.2">
      <c r="A242" s="172">
        <v>66925</v>
      </c>
      <c r="B242" s="4" t="s">
        <v>299</v>
      </c>
      <c r="C242" s="4" t="s">
        <v>214</v>
      </c>
      <c r="D242" s="4" t="s">
        <v>63</v>
      </c>
      <c r="E242" s="36">
        <v>2</v>
      </c>
      <c r="F242" s="5">
        <v>90</v>
      </c>
      <c r="G242" s="5">
        <f t="shared" si="6"/>
        <v>180</v>
      </c>
      <c r="H242" s="37">
        <v>0</v>
      </c>
      <c r="I242" s="5">
        <f t="shared" si="7"/>
        <v>180</v>
      </c>
      <c r="J242" s="4" t="s">
        <v>64</v>
      </c>
      <c r="K242" s="4" t="s">
        <v>65</v>
      </c>
      <c r="L242" s="4"/>
    </row>
    <row r="243" spans="1:12" x14ac:dyDescent="0.2">
      <c r="A243" s="172">
        <v>66926</v>
      </c>
      <c r="B243" s="4" t="s">
        <v>300</v>
      </c>
      <c r="C243" s="4" t="s">
        <v>92</v>
      </c>
      <c r="D243" s="4" t="s">
        <v>63</v>
      </c>
      <c r="E243" s="36">
        <v>20</v>
      </c>
      <c r="F243" s="5">
        <v>95</v>
      </c>
      <c r="G243" s="5">
        <f t="shared" si="6"/>
        <v>1900</v>
      </c>
      <c r="H243" s="37">
        <v>0</v>
      </c>
      <c r="I243" s="5">
        <f t="shared" si="7"/>
        <v>1900</v>
      </c>
      <c r="J243" s="4" t="s">
        <v>64</v>
      </c>
      <c r="K243" s="4" t="s">
        <v>65</v>
      </c>
      <c r="L243" s="4"/>
    </row>
    <row r="244" spans="1:12" x14ac:dyDescent="0.2">
      <c r="A244" s="172">
        <v>66926</v>
      </c>
      <c r="B244" s="4" t="s">
        <v>301</v>
      </c>
      <c r="C244" s="4" t="s">
        <v>94</v>
      </c>
      <c r="D244" s="4" t="s">
        <v>63</v>
      </c>
      <c r="E244" s="36">
        <v>28</v>
      </c>
      <c r="F244" s="5">
        <v>84</v>
      </c>
      <c r="G244" s="5">
        <f t="shared" si="6"/>
        <v>2352</v>
      </c>
      <c r="H244" s="37">
        <v>0</v>
      </c>
      <c r="I244" s="5">
        <f t="shared" si="7"/>
        <v>2352</v>
      </c>
      <c r="J244" s="4" t="s">
        <v>64</v>
      </c>
      <c r="K244" s="4" t="s">
        <v>65</v>
      </c>
      <c r="L244" s="4"/>
    </row>
    <row r="245" spans="1:12" x14ac:dyDescent="0.2">
      <c r="A245" s="172">
        <v>66926</v>
      </c>
      <c r="B245" s="4" t="s">
        <v>302</v>
      </c>
      <c r="C245" s="4" t="s">
        <v>98</v>
      </c>
      <c r="D245" s="4" t="s">
        <v>63</v>
      </c>
      <c r="E245" s="36">
        <v>8</v>
      </c>
      <c r="F245" s="5">
        <v>85</v>
      </c>
      <c r="G245" s="5">
        <f t="shared" si="6"/>
        <v>680</v>
      </c>
      <c r="H245" s="37">
        <v>0</v>
      </c>
      <c r="I245" s="5">
        <f t="shared" si="7"/>
        <v>680</v>
      </c>
      <c r="J245" s="4" t="s">
        <v>64</v>
      </c>
      <c r="K245" s="4" t="s">
        <v>65</v>
      </c>
      <c r="L245" s="4"/>
    </row>
    <row r="246" spans="1:12" x14ac:dyDescent="0.2">
      <c r="A246" s="172">
        <v>66926</v>
      </c>
      <c r="B246" s="4" t="s">
        <v>303</v>
      </c>
      <c r="C246" s="4" t="s">
        <v>100</v>
      </c>
      <c r="D246" s="4" t="s">
        <v>96</v>
      </c>
      <c r="E246" s="36">
        <v>4</v>
      </c>
      <c r="F246" s="5">
        <v>800</v>
      </c>
      <c r="G246" s="5">
        <f t="shared" si="6"/>
        <v>3200</v>
      </c>
      <c r="H246" s="37">
        <v>0</v>
      </c>
      <c r="I246" s="5">
        <f t="shared" si="7"/>
        <v>3200</v>
      </c>
      <c r="J246" s="4" t="s">
        <v>64</v>
      </c>
      <c r="K246" s="4" t="s">
        <v>65</v>
      </c>
      <c r="L246" s="4"/>
    </row>
    <row r="247" spans="1:12" x14ac:dyDescent="0.2">
      <c r="A247" s="172">
        <v>66926</v>
      </c>
      <c r="B247" s="4" t="s">
        <v>303</v>
      </c>
      <c r="C247" s="4" t="s">
        <v>100</v>
      </c>
      <c r="D247" s="4" t="s">
        <v>63</v>
      </c>
      <c r="E247" s="36">
        <v>4.75</v>
      </c>
      <c r="F247" s="5">
        <v>95.79</v>
      </c>
      <c r="G247" s="5">
        <f t="shared" si="6"/>
        <v>455.00250000000005</v>
      </c>
      <c r="H247" s="37">
        <v>0</v>
      </c>
      <c r="I247" s="5">
        <f t="shared" si="7"/>
        <v>455.00250000000005</v>
      </c>
      <c r="J247" s="4" t="s">
        <v>64</v>
      </c>
      <c r="K247" s="4" t="s">
        <v>65</v>
      </c>
      <c r="L247" s="4"/>
    </row>
    <row r="248" spans="1:12" x14ac:dyDescent="0.2">
      <c r="A248" s="172">
        <v>66926</v>
      </c>
      <c r="B248" s="4" t="s">
        <v>304</v>
      </c>
      <c r="C248" s="4" t="s">
        <v>62</v>
      </c>
      <c r="D248" s="4" t="s">
        <v>63</v>
      </c>
      <c r="E248" s="36">
        <v>60</v>
      </c>
      <c r="F248" s="5">
        <v>85</v>
      </c>
      <c r="G248" s="5">
        <f t="shared" si="6"/>
        <v>5100</v>
      </c>
      <c r="H248" s="37">
        <v>0</v>
      </c>
      <c r="I248" s="5">
        <f t="shared" si="7"/>
        <v>5100</v>
      </c>
      <c r="J248" s="4" t="s">
        <v>64</v>
      </c>
      <c r="K248" s="4" t="s">
        <v>65</v>
      </c>
      <c r="L248" s="4"/>
    </row>
    <row r="249" spans="1:12" x14ac:dyDescent="0.2">
      <c r="A249" s="172">
        <v>66926</v>
      </c>
      <c r="B249" s="4" t="s">
        <v>304</v>
      </c>
      <c r="C249" s="4" t="s">
        <v>62</v>
      </c>
      <c r="D249" s="4" t="s">
        <v>72</v>
      </c>
      <c r="E249" s="36">
        <v>1</v>
      </c>
      <c r="F249" s="5">
        <v>80</v>
      </c>
      <c r="G249" s="5">
        <f t="shared" si="6"/>
        <v>80</v>
      </c>
      <c r="H249" s="37">
        <v>0</v>
      </c>
      <c r="I249" s="5">
        <f t="shared" si="7"/>
        <v>80</v>
      </c>
      <c r="J249" s="4" t="s">
        <v>64</v>
      </c>
      <c r="K249" s="4" t="s">
        <v>65</v>
      </c>
      <c r="L249" s="4"/>
    </row>
    <row r="250" spans="1:12" x14ac:dyDescent="0.2">
      <c r="A250" s="172">
        <v>66926</v>
      </c>
      <c r="B250" s="4" t="s">
        <v>305</v>
      </c>
      <c r="C250" s="4" t="s">
        <v>67</v>
      </c>
      <c r="D250" s="4" t="s">
        <v>63</v>
      </c>
      <c r="E250" s="36">
        <v>30</v>
      </c>
      <c r="F250" s="5">
        <v>85</v>
      </c>
      <c r="G250" s="5">
        <f t="shared" si="6"/>
        <v>2550</v>
      </c>
      <c r="H250" s="37">
        <v>0</v>
      </c>
      <c r="I250" s="5">
        <f t="shared" si="7"/>
        <v>2550</v>
      </c>
      <c r="J250" s="4" t="s">
        <v>64</v>
      </c>
      <c r="K250" s="4" t="s">
        <v>65</v>
      </c>
      <c r="L250" s="4"/>
    </row>
    <row r="251" spans="1:12" x14ac:dyDescent="0.2">
      <c r="A251" s="172">
        <v>66926</v>
      </c>
      <c r="B251" s="4" t="s">
        <v>306</v>
      </c>
      <c r="C251" s="4" t="s">
        <v>69</v>
      </c>
      <c r="D251" s="4" t="s">
        <v>63</v>
      </c>
      <c r="E251" s="36">
        <v>20</v>
      </c>
      <c r="F251" s="5">
        <v>85</v>
      </c>
      <c r="G251" s="5">
        <f t="shared" si="6"/>
        <v>1700</v>
      </c>
      <c r="H251" s="37">
        <v>0</v>
      </c>
      <c r="I251" s="5">
        <f t="shared" si="7"/>
        <v>1700</v>
      </c>
      <c r="J251" s="4" t="s">
        <v>64</v>
      </c>
      <c r="K251" s="4" t="s">
        <v>65</v>
      </c>
      <c r="L251" s="4"/>
    </row>
    <row r="252" spans="1:12" x14ac:dyDescent="0.2">
      <c r="A252" s="172">
        <v>66926</v>
      </c>
      <c r="B252" s="4" t="s">
        <v>307</v>
      </c>
      <c r="C252" s="4" t="s">
        <v>71</v>
      </c>
      <c r="D252" s="4" t="s">
        <v>63</v>
      </c>
      <c r="E252" s="36">
        <v>40</v>
      </c>
      <c r="F252" s="5">
        <v>86</v>
      </c>
      <c r="G252" s="5">
        <f t="shared" si="6"/>
        <v>3440</v>
      </c>
      <c r="H252" s="37">
        <v>0</v>
      </c>
      <c r="I252" s="5">
        <f t="shared" si="7"/>
        <v>3440</v>
      </c>
      <c r="J252" s="4" t="s">
        <v>64</v>
      </c>
      <c r="K252" s="4" t="s">
        <v>65</v>
      </c>
      <c r="L252" s="4"/>
    </row>
    <row r="253" spans="1:12" x14ac:dyDescent="0.2">
      <c r="A253" s="172">
        <v>66926</v>
      </c>
      <c r="B253" s="4" t="s">
        <v>307</v>
      </c>
      <c r="C253" s="4" t="s">
        <v>71</v>
      </c>
      <c r="D253" s="4" t="s">
        <v>63</v>
      </c>
      <c r="E253" s="36">
        <v>40</v>
      </c>
      <c r="F253" s="5">
        <v>85</v>
      </c>
      <c r="G253" s="5">
        <f t="shared" si="6"/>
        <v>3400</v>
      </c>
      <c r="H253" s="37">
        <v>0</v>
      </c>
      <c r="I253" s="5">
        <f t="shared" si="7"/>
        <v>3400</v>
      </c>
      <c r="J253" s="4" t="s">
        <v>64</v>
      </c>
      <c r="K253" s="4" t="s">
        <v>65</v>
      </c>
      <c r="L253" s="4"/>
    </row>
    <row r="254" spans="1:12" x14ac:dyDescent="0.2">
      <c r="A254" s="172">
        <v>66926</v>
      </c>
      <c r="B254" s="4" t="s">
        <v>307</v>
      </c>
      <c r="C254" s="4" t="s">
        <v>71</v>
      </c>
      <c r="D254" s="4" t="s">
        <v>72</v>
      </c>
      <c r="E254" s="36">
        <v>1</v>
      </c>
      <c r="F254" s="5">
        <v>80</v>
      </c>
      <c r="G254" s="5">
        <f t="shared" si="6"/>
        <v>80</v>
      </c>
      <c r="H254" s="37">
        <v>0</v>
      </c>
      <c r="I254" s="5">
        <f t="shared" si="7"/>
        <v>80</v>
      </c>
      <c r="J254" s="4" t="s">
        <v>64</v>
      </c>
      <c r="K254" s="4" t="s">
        <v>65</v>
      </c>
      <c r="L254" s="4"/>
    </row>
    <row r="255" spans="1:12" x14ac:dyDescent="0.2">
      <c r="A255" s="172">
        <v>66926</v>
      </c>
      <c r="B255" s="4" t="s">
        <v>308</v>
      </c>
      <c r="C255" s="4" t="s">
        <v>88</v>
      </c>
      <c r="D255" s="4" t="s">
        <v>63</v>
      </c>
      <c r="E255" s="36">
        <v>5</v>
      </c>
      <c r="F255" s="5">
        <v>85</v>
      </c>
      <c r="G255" s="5">
        <f t="shared" si="6"/>
        <v>425</v>
      </c>
      <c r="H255" s="37">
        <v>0</v>
      </c>
      <c r="I255" s="5">
        <f t="shared" si="7"/>
        <v>425</v>
      </c>
      <c r="J255" s="4" t="s">
        <v>64</v>
      </c>
      <c r="K255" s="4" t="s">
        <v>65</v>
      </c>
      <c r="L255" s="4"/>
    </row>
    <row r="256" spans="1:12" x14ac:dyDescent="0.2">
      <c r="A256" s="172">
        <v>66926</v>
      </c>
      <c r="B256" s="4" t="s">
        <v>309</v>
      </c>
      <c r="C256" s="4" t="s">
        <v>90</v>
      </c>
      <c r="D256" s="4" t="s">
        <v>63</v>
      </c>
      <c r="E256" s="36">
        <v>15</v>
      </c>
      <c r="F256" s="5">
        <v>85</v>
      </c>
      <c r="G256" s="5">
        <f t="shared" si="6"/>
        <v>1275</v>
      </c>
      <c r="H256" s="37">
        <v>0</v>
      </c>
      <c r="I256" s="5">
        <f t="shared" si="7"/>
        <v>1275</v>
      </c>
      <c r="J256" s="4" t="s">
        <v>64</v>
      </c>
      <c r="K256" s="4" t="s">
        <v>65</v>
      </c>
      <c r="L256" s="4"/>
    </row>
    <row r="257" spans="1:12" x14ac:dyDescent="0.2">
      <c r="A257" s="172">
        <v>66926</v>
      </c>
      <c r="B257" s="4" t="s">
        <v>310</v>
      </c>
      <c r="C257" s="4" t="s">
        <v>86</v>
      </c>
      <c r="D257" s="4" t="s">
        <v>63</v>
      </c>
      <c r="E257" s="36">
        <v>25</v>
      </c>
      <c r="F257" s="5">
        <v>86</v>
      </c>
      <c r="G257" s="5">
        <f t="shared" si="6"/>
        <v>2150</v>
      </c>
      <c r="H257" s="37">
        <v>0</v>
      </c>
      <c r="I257" s="5">
        <f t="shared" si="7"/>
        <v>2150</v>
      </c>
      <c r="J257" s="4" t="s">
        <v>64</v>
      </c>
      <c r="K257" s="4" t="s">
        <v>65</v>
      </c>
      <c r="L257" s="4"/>
    </row>
    <row r="258" spans="1:12" x14ac:dyDescent="0.2">
      <c r="A258" s="172">
        <v>66926</v>
      </c>
      <c r="B258" s="4" t="s">
        <v>311</v>
      </c>
      <c r="C258" s="4" t="s">
        <v>84</v>
      </c>
      <c r="D258" s="4" t="s">
        <v>63</v>
      </c>
      <c r="E258" s="36">
        <v>4</v>
      </c>
      <c r="F258" s="5">
        <v>86</v>
      </c>
      <c r="G258" s="5">
        <f t="shared" si="6"/>
        <v>344</v>
      </c>
      <c r="H258" s="37">
        <v>0</v>
      </c>
      <c r="I258" s="5">
        <f t="shared" si="7"/>
        <v>344</v>
      </c>
      <c r="J258" s="4" t="s">
        <v>64</v>
      </c>
      <c r="K258" s="4" t="s">
        <v>65</v>
      </c>
      <c r="L258" s="4"/>
    </row>
    <row r="259" spans="1:12" x14ac:dyDescent="0.2">
      <c r="A259" s="172">
        <v>66926</v>
      </c>
      <c r="B259" s="4" t="s">
        <v>312</v>
      </c>
      <c r="C259" s="4" t="s">
        <v>82</v>
      </c>
      <c r="D259" s="4" t="s">
        <v>63</v>
      </c>
      <c r="E259" s="36">
        <v>8</v>
      </c>
      <c r="F259" s="5">
        <v>85</v>
      </c>
      <c r="G259" s="5">
        <f t="shared" ref="G259:G322" si="8">IF($E259="","",$E259*$F259)</f>
        <v>680</v>
      </c>
      <c r="H259" s="37">
        <v>0</v>
      </c>
      <c r="I259" s="5">
        <f t="shared" ref="I259:I322" si="9">IF($E259="","",$G259*(1-$H259/100))</f>
        <v>680</v>
      </c>
      <c r="J259" s="4" t="s">
        <v>64</v>
      </c>
      <c r="K259" s="4" t="s">
        <v>65</v>
      </c>
      <c r="L259" s="4"/>
    </row>
    <row r="260" spans="1:12" x14ac:dyDescent="0.2">
      <c r="A260" s="172">
        <v>66926</v>
      </c>
      <c r="B260" s="4" t="s">
        <v>313</v>
      </c>
      <c r="C260" s="4" t="s">
        <v>78</v>
      </c>
      <c r="D260" s="4" t="s">
        <v>63</v>
      </c>
      <c r="E260" s="36">
        <v>5</v>
      </c>
      <c r="F260" s="5">
        <v>85</v>
      </c>
      <c r="G260" s="5">
        <f t="shared" si="8"/>
        <v>425</v>
      </c>
      <c r="H260" s="37">
        <v>0</v>
      </c>
      <c r="I260" s="5">
        <f t="shared" si="9"/>
        <v>425</v>
      </c>
      <c r="J260" s="4" t="s">
        <v>64</v>
      </c>
      <c r="K260" s="4" t="s">
        <v>65</v>
      </c>
      <c r="L260" s="4"/>
    </row>
    <row r="261" spans="1:12" x14ac:dyDescent="0.2">
      <c r="A261" s="172">
        <v>66926</v>
      </c>
      <c r="B261" s="4" t="s">
        <v>314</v>
      </c>
      <c r="C261" s="4" t="s">
        <v>80</v>
      </c>
      <c r="D261" s="4" t="s">
        <v>63</v>
      </c>
      <c r="E261" s="36">
        <v>17</v>
      </c>
      <c r="F261" s="5">
        <v>85</v>
      </c>
      <c r="G261" s="5">
        <f t="shared" si="8"/>
        <v>1445</v>
      </c>
      <c r="H261" s="37">
        <v>0</v>
      </c>
      <c r="I261" s="5">
        <f t="shared" si="9"/>
        <v>1445</v>
      </c>
      <c r="J261" s="4" t="s">
        <v>64</v>
      </c>
      <c r="K261" s="4" t="s">
        <v>65</v>
      </c>
      <c r="L261" s="4"/>
    </row>
    <row r="262" spans="1:12" x14ac:dyDescent="0.2">
      <c r="A262" s="172">
        <v>66926</v>
      </c>
      <c r="B262" s="4" t="s">
        <v>315</v>
      </c>
      <c r="C262" s="4" t="s">
        <v>76</v>
      </c>
      <c r="D262" s="4" t="s">
        <v>63</v>
      </c>
      <c r="E262" s="36">
        <v>10</v>
      </c>
      <c r="F262" s="5">
        <v>85</v>
      </c>
      <c r="G262" s="5">
        <f t="shared" si="8"/>
        <v>850</v>
      </c>
      <c r="H262" s="37">
        <v>0</v>
      </c>
      <c r="I262" s="5">
        <f t="shared" si="9"/>
        <v>850</v>
      </c>
      <c r="J262" s="4" t="s">
        <v>64</v>
      </c>
      <c r="K262" s="4" t="s">
        <v>65</v>
      </c>
      <c r="L262" s="4"/>
    </row>
    <row r="263" spans="1:12" x14ac:dyDescent="0.2">
      <c r="A263" s="172">
        <v>66926</v>
      </c>
      <c r="B263" s="4" t="s">
        <v>316</v>
      </c>
      <c r="C263" s="4" t="s">
        <v>74</v>
      </c>
      <c r="D263" s="4" t="s">
        <v>63</v>
      </c>
      <c r="E263" s="36">
        <v>15</v>
      </c>
      <c r="F263" s="5">
        <v>85</v>
      </c>
      <c r="G263" s="5">
        <f t="shared" si="8"/>
        <v>1275</v>
      </c>
      <c r="H263" s="37">
        <v>0</v>
      </c>
      <c r="I263" s="5">
        <f t="shared" si="9"/>
        <v>1275</v>
      </c>
      <c r="J263" s="4" t="s">
        <v>64</v>
      </c>
      <c r="K263" s="4" t="s">
        <v>65</v>
      </c>
      <c r="L263" s="4"/>
    </row>
    <row r="264" spans="1:12" x14ac:dyDescent="0.2">
      <c r="A264" s="172">
        <v>66926</v>
      </c>
      <c r="B264" s="4" t="s">
        <v>317</v>
      </c>
      <c r="C264" s="4" t="s">
        <v>102</v>
      </c>
      <c r="D264" s="4" t="s">
        <v>63</v>
      </c>
      <c r="E264" s="36">
        <v>5</v>
      </c>
      <c r="F264" s="5">
        <v>86</v>
      </c>
      <c r="G264" s="5">
        <f t="shared" si="8"/>
        <v>430</v>
      </c>
      <c r="H264" s="37">
        <v>0</v>
      </c>
      <c r="I264" s="5">
        <f t="shared" si="9"/>
        <v>430</v>
      </c>
      <c r="J264" s="4" t="s">
        <v>64</v>
      </c>
      <c r="K264" s="4" t="s">
        <v>65</v>
      </c>
      <c r="L264" s="4"/>
    </row>
    <row r="265" spans="1:12" x14ac:dyDescent="0.2">
      <c r="A265" s="172">
        <v>66927</v>
      </c>
      <c r="B265" s="4" t="s">
        <v>318</v>
      </c>
      <c r="C265" s="4" t="s">
        <v>62</v>
      </c>
      <c r="D265" s="4" t="s">
        <v>63</v>
      </c>
      <c r="E265" s="36">
        <v>60</v>
      </c>
      <c r="F265" s="5">
        <v>85</v>
      </c>
      <c r="G265" s="5">
        <f t="shared" si="8"/>
        <v>5100</v>
      </c>
      <c r="H265" s="37">
        <v>0</v>
      </c>
      <c r="I265" s="5">
        <f t="shared" si="9"/>
        <v>5100</v>
      </c>
      <c r="J265" s="4" t="s">
        <v>64</v>
      </c>
      <c r="K265" s="4" t="s">
        <v>65</v>
      </c>
      <c r="L265" s="4"/>
    </row>
    <row r="266" spans="1:12" x14ac:dyDescent="0.2">
      <c r="A266" s="172">
        <v>66927</v>
      </c>
      <c r="B266" s="4" t="s">
        <v>319</v>
      </c>
      <c r="C266" s="4" t="s">
        <v>67</v>
      </c>
      <c r="D266" s="4" t="s">
        <v>63</v>
      </c>
      <c r="E266" s="36">
        <v>35</v>
      </c>
      <c r="F266" s="5">
        <v>85</v>
      </c>
      <c r="G266" s="5">
        <f t="shared" si="8"/>
        <v>2975</v>
      </c>
      <c r="H266" s="37">
        <v>0</v>
      </c>
      <c r="I266" s="5">
        <f t="shared" si="9"/>
        <v>2975</v>
      </c>
      <c r="J266" s="4" t="s">
        <v>64</v>
      </c>
      <c r="K266" s="4" t="s">
        <v>65</v>
      </c>
      <c r="L266" s="4"/>
    </row>
    <row r="267" spans="1:12" x14ac:dyDescent="0.2">
      <c r="A267" s="172">
        <v>66927</v>
      </c>
      <c r="B267" s="4" t="s">
        <v>320</v>
      </c>
      <c r="C267" s="4" t="s">
        <v>69</v>
      </c>
      <c r="D267" s="4" t="s">
        <v>63</v>
      </c>
      <c r="E267" s="36">
        <v>20</v>
      </c>
      <c r="F267" s="5">
        <v>85</v>
      </c>
      <c r="G267" s="5">
        <f t="shared" si="8"/>
        <v>1700</v>
      </c>
      <c r="H267" s="37">
        <v>0</v>
      </c>
      <c r="I267" s="5">
        <f t="shared" si="9"/>
        <v>1700</v>
      </c>
      <c r="J267" s="4" t="s">
        <v>64</v>
      </c>
      <c r="K267" s="4" t="s">
        <v>65</v>
      </c>
      <c r="L267" s="4"/>
    </row>
    <row r="268" spans="1:12" x14ac:dyDescent="0.2">
      <c r="A268" s="172">
        <v>66927</v>
      </c>
      <c r="B268" s="4" t="s">
        <v>321</v>
      </c>
      <c r="C268" s="4" t="s">
        <v>71</v>
      </c>
      <c r="D268" s="4" t="s">
        <v>63</v>
      </c>
      <c r="E268" s="36">
        <v>40</v>
      </c>
      <c r="F268" s="5">
        <v>86</v>
      </c>
      <c r="G268" s="5">
        <f t="shared" si="8"/>
        <v>3440</v>
      </c>
      <c r="H268" s="37">
        <v>0</v>
      </c>
      <c r="I268" s="5">
        <f t="shared" si="9"/>
        <v>3440</v>
      </c>
      <c r="J268" s="4" t="s">
        <v>64</v>
      </c>
      <c r="K268" s="4" t="s">
        <v>65</v>
      </c>
      <c r="L268" s="4"/>
    </row>
    <row r="269" spans="1:12" x14ac:dyDescent="0.2">
      <c r="A269" s="172">
        <v>66927</v>
      </c>
      <c r="B269" s="4" t="s">
        <v>321</v>
      </c>
      <c r="C269" s="4" t="s">
        <v>71</v>
      </c>
      <c r="D269" s="4" t="s">
        <v>63</v>
      </c>
      <c r="E269" s="36">
        <v>50</v>
      </c>
      <c r="F269" s="5">
        <v>85</v>
      </c>
      <c r="G269" s="5">
        <f t="shared" si="8"/>
        <v>4250</v>
      </c>
      <c r="H269" s="37">
        <v>0</v>
      </c>
      <c r="I269" s="5">
        <f t="shared" si="9"/>
        <v>4250</v>
      </c>
      <c r="J269" s="4" t="s">
        <v>64</v>
      </c>
      <c r="K269" s="4" t="s">
        <v>65</v>
      </c>
      <c r="L269" s="4"/>
    </row>
    <row r="270" spans="1:12" x14ac:dyDescent="0.2">
      <c r="A270" s="172">
        <v>66927</v>
      </c>
      <c r="B270" s="4" t="s">
        <v>322</v>
      </c>
      <c r="C270" s="4" t="s">
        <v>88</v>
      </c>
      <c r="D270" s="4" t="s">
        <v>63</v>
      </c>
      <c r="E270" s="36">
        <v>5</v>
      </c>
      <c r="F270" s="5">
        <v>85</v>
      </c>
      <c r="G270" s="5">
        <f t="shared" si="8"/>
        <v>425</v>
      </c>
      <c r="H270" s="37">
        <v>0</v>
      </c>
      <c r="I270" s="5">
        <f t="shared" si="9"/>
        <v>425</v>
      </c>
      <c r="J270" s="4" t="s">
        <v>64</v>
      </c>
      <c r="K270" s="4" t="s">
        <v>65</v>
      </c>
      <c r="L270" s="4"/>
    </row>
    <row r="271" spans="1:12" x14ac:dyDescent="0.2">
      <c r="A271" s="172">
        <v>66927</v>
      </c>
      <c r="B271" s="4" t="s">
        <v>323</v>
      </c>
      <c r="C271" s="4" t="s">
        <v>90</v>
      </c>
      <c r="D271" s="4" t="s">
        <v>63</v>
      </c>
      <c r="E271" s="36">
        <v>15</v>
      </c>
      <c r="F271" s="5">
        <v>85</v>
      </c>
      <c r="G271" s="5">
        <f t="shared" si="8"/>
        <v>1275</v>
      </c>
      <c r="H271" s="37">
        <v>0</v>
      </c>
      <c r="I271" s="5">
        <f t="shared" si="9"/>
        <v>1275</v>
      </c>
      <c r="J271" s="4" t="s">
        <v>64</v>
      </c>
      <c r="K271" s="4" t="s">
        <v>65</v>
      </c>
      <c r="L271" s="4"/>
    </row>
    <row r="272" spans="1:12" x14ac:dyDescent="0.2">
      <c r="A272" s="172">
        <v>66927</v>
      </c>
      <c r="B272" s="4" t="s">
        <v>324</v>
      </c>
      <c r="C272" s="4" t="s">
        <v>86</v>
      </c>
      <c r="D272" s="4" t="s">
        <v>63</v>
      </c>
      <c r="E272" s="36">
        <v>20</v>
      </c>
      <c r="F272" s="5">
        <v>86</v>
      </c>
      <c r="G272" s="5">
        <f t="shared" si="8"/>
        <v>1720</v>
      </c>
      <c r="H272" s="37">
        <v>0</v>
      </c>
      <c r="I272" s="5">
        <f t="shared" si="9"/>
        <v>1720</v>
      </c>
      <c r="J272" s="4" t="s">
        <v>64</v>
      </c>
      <c r="K272" s="4" t="s">
        <v>65</v>
      </c>
      <c r="L272" s="4"/>
    </row>
    <row r="273" spans="1:12" x14ac:dyDescent="0.2">
      <c r="A273" s="172">
        <v>66927</v>
      </c>
      <c r="B273" s="4" t="s">
        <v>325</v>
      </c>
      <c r="C273" s="4" t="s">
        <v>84</v>
      </c>
      <c r="D273" s="4" t="s">
        <v>63</v>
      </c>
      <c r="E273" s="36">
        <v>4</v>
      </c>
      <c r="F273" s="5">
        <v>86</v>
      </c>
      <c r="G273" s="5">
        <f t="shared" si="8"/>
        <v>344</v>
      </c>
      <c r="H273" s="37">
        <v>0</v>
      </c>
      <c r="I273" s="5">
        <f t="shared" si="9"/>
        <v>344</v>
      </c>
      <c r="J273" s="4" t="s">
        <v>64</v>
      </c>
      <c r="K273" s="4" t="s">
        <v>65</v>
      </c>
      <c r="L273" s="4"/>
    </row>
    <row r="274" spans="1:12" x14ac:dyDescent="0.2">
      <c r="A274" s="172">
        <v>66927</v>
      </c>
      <c r="B274" s="4" t="s">
        <v>326</v>
      </c>
      <c r="C274" s="4" t="s">
        <v>82</v>
      </c>
      <c r="D274" s="4" t="s">
        <v>63</v>
      </c>
      <c r="E274" s="36">
        <v>8</v>
      </c>
      <c r="F274" s="5">
        <v>85</v>
      </c>
      <c r="G274" s="5">
        <f t="shared" si="8"/>
        <v>680</v>
      </c>
      <c r="H274" s="37">
        <v>0</v>
      </c>
      <c r="I274" s="5">
        <f t="shared" si="9"/>
        <v>680</v>
      </c>
      <c r="J274" s="4" t="s">
        <v>64</v>
      </c>
      <c r="K274" s="4" t="s">
        <v>65</v>
      </c>
      <c r="L274" s="4"/>
    </row>
    <row r="275" spans="1:12" x14ac:dyDescent="0.2">
      <c r="A275" s="172">
        <v>66927</v>
      </c>
      <c r="B275" s="4" t="s">
        <v>327</v>
      </c>
      <c r="C275" s="4" t="s">
        <v>76</v>
      </c>
      <c r="D275" s="4" t="s">
        <v>63</v>
      </c>
      <c r="E275" s="36">
        <v>10</v>
      </c>
      <c r="F275" s="5">
        <v>85</v>
      </c>
      <c r="G275" s="5">
        <f t="shared" si="8"/>
        <v>850</v>
      </c>
      <c r="H275" s="37">
        <v>0</v>
      </c>
      <c r="I275" s="5">
        <f t="shared" si="9"/>
        <v>850</v>
      </c>
      <c r="J275" s="4" t="s">
        <v>64</v>
      </c>
      <c r="K275" s="4" t="s">
        <v>65</v>
      </c>
      <c r="L275" s="4"/>
    </row>
    <row r="276" spans="1:12" x14ac:dyDescent="0.2">
      <c r="A276" s="172">
        <v>66927</v>
      </c>
      <c r="B276" s="4" t="s">
        <v>328</v>
      </c>
      <c r="C276" s="4" t="s">
        <v>80</v>
      </c>
      <c r="D276" s="4" t="s">
        <v>63</v>
      </c>
      <c r="E276" s="36">
        <v>15</v>
      </c>
      <c r="F276" s="5">
        <v>85</v>
      </c>
      <c r="G276" s="5">
        <f t="shared" si="8"/>
        <v>1275</v>
      </c>
      <c r="H276" s="37">
        <v>0</v>
      </c>
      <c r="I276" s="5">
        <f t="shared" si="9"/>
        <v>1275</v>
      </c>
      <c r="J276" s="4" t="s">
        <v>64</v>
      </c>
      <c r="K276" s="4" t="s">
        <v>65</v>
      </c>
      <c r="L276" s="4"/>
    </row>
    <row r="277" spans="1:12" x14ac:dyDescent="0.2">
      <c r="A277" s="172">
        <v>66927</v>
      </c>
      <c r="B277" s="4" t="s">
        <v>329</v>
      </c>
      <c r="C277" s="4" t="s">
        <v>78</v>
      </c>
      <c r="D277" s="4" t="s">
        <v>63</v>
      </c>
      <c r="E277" s="36">
        <v>5</v>
      </c>
      <c r="F277" s="5">
        <v>85</v>
      </c>
      <c r="G277" s="5">
        <f t="shared" si="8"/>
        <v>425</v>
      </c>
      <c r="H277" s="37">
        <v>0</v>
      </c>
      <c r="I277" s="5">
        <f t="shared" si="9"/>
        <v>425</v>
      </c>
      <c r="J277" s="4" t="s">
        <v>64</v>
      </c>
      <c r="K277" s="4" t="s">
        <v>65</v>
      </c>
      <c r="L277" s="4"/>
    </row>
    <row r="278" spans="1:12" x14ac:dyDescent="0.2">
      <c r="A278" s="172">
        <v>66927</v>
      </c>
      <c r="B278" s="4" t="s">
        <v>330</v>
      </c>
      <c r="C278" s="4" t="s">
        <v>74</v>
      </c>
      <c r="D278" s="4" t="s">
        <v>63</v>
      </c>
      <c r="E278" s="36">
        <v>10</v>
      </c>
      <c r="F278" s="5">
        <v>86</v>
      </c>
      <c r="G278" s="5">
        <f t="shared" si="8"/>
        <v>860</v>
      </c>
      <c r="H278" s="37">
        <v>0</v>
      </c>
      <c r="I278" s="5">
        <f t="shared" si="9"/>
        <v>860</v>
      </c>
      <c r="J278" s="4" t="s">
        <v>64</v>
      </c>
      <c r="K278" s="4" t="s">
        <v>65</v>
      </c>
      <c r="L278" s="4"/>
    </row>
    <row r="279" spans="1:12" x14ac:dyDescent="0.2">
      <c r="A279" s="172">
        <v>66927</v>
      </c>
      <c r="B279" s="4" t="s">
        <v>331</v>
      </c>
      <c r="C279" s="4" t="s">
        <v>92</v>
      </c>
      <c r="D279" s="4" t="s">
        <v>63</v>
      </c>
      <c r="E279" s="36">
        <v>30</v>
      </c>
      <c r="F279" s="5">
        <v>95</v>
      </c>
      <c r="G279" s="5">
        <f t="shared" si="8"/>
        <v>2850</v>
      </c>
      <c r="H279" s="37">
        <v>0</v>
      </c>
      <c r="I279" s="5">
        <f t="shared" si="9"/>
        <v>2850</v>
      </c>
      <c r="J279" s="4" t="s">
        <v>64</v>
      </c>
      <c r="K279" s="4" t="s">
        <v>65</v>
      </c>
      <c r="L279" s="4"/>
    </row>
    <row r="280" spans="1:12" x14ac:dyDescent="0.2">
      <c r="A280" s="172">
        <v>66927</v>
      </c>
      <c r="B280" s="4" t="s">
        <v>332</v>
      </c>
      <c r="C280" s="4" t="s">
        <v>214</v>
      </c>
      <c r="D280" s="4" t="s">
        <v>63</v>
      </c>
      <c r="E280" s="36">
        <v>4</v>
      </c>
      <c r="F280" s="5">
        <v>90</v>
      </c>
      <c r="G280" s="5">
        <f t="shared" si="8"/>
        <v>360</v>
      </c>
      <c r="H280" s="37">
        <v>0</v>
      </c>
      <c r="I280" s="5">
        <f t="shared" si="9"/>
        <v>360</v>
      </c>
      <c r="J280" s="4" t="s">
        <v>64</v>
      </c>
      <c r="K280" s="4" t="s">
        <v>65</v>
      </c>
      <c r="L280" s="4"/>
    </row>
    <row r="281" spans="1:12" x14ac:dyDescent="0.2">
      <c r="A281" s="172">
        <v>66927</v>
      </c>
      <c r="B281" s="4" t="s">
        <v>333</v>
      </c>
      <c r="C281" s="4" t="s">
        <v>100</v>
      </c>
      <c r="D281" s="4" t="s">
        <v>63</v>
      </c>
      <c r="E281" s="36">
        <v>5.5</v>
      </c>
      <c r="F281" s="5">
        <v>91.82</v>
      </c>
      <c r="G281" s="5">
        <f t="shared" si="8"/>
        <v>505.01</v>
      </c>
      <c r="H281" s="37">
        <v>0</v>
      </c>
      <c r="I281" s="5">
        <f t="shared" si="9"/>
        <v>505.01</v>
      </c>
      <c r="J281" s="4" t="s">
        <v>64</v>
      </c>
      <c r="K281" s="4" t="s">
        <v>65</v>
      </c>
      <c r="L281" s="4"/>
    </row>
    <row r="282" spans="1:12" x14ac:dyDescent="0.2">
      <c r="A282" s="172">
        <v>66927</v>
      </c>
      <c r="B282" s="4" t="s">
        <v>334</v>
      </c>
      <c r="C282" s="4" t="s">
        <v>98</v>
      </c>
      <c r="D282" s="4" t="s">
        <v>63</v>
      </c>
      <c r="E282" s="36">
        <v>8</v>
      </c>
      <c r="F282" s="5">
        <v>85</v>
      </c>
      <c r="G282" s="5">
        <f t="shared" si="8"/>
        <v>680</v>
      </c>
      <c r="H282" s="37">
        <v>0</v>
      </c>
      <c r="I282" s="5">
        <f t="shared" si="9"/>
        <v>680</v>
      </c>
      <c r="J282" s="4" t="s">
        <v>64</v>
      </c>
      <c r="K282" s="4" t="s">
        <v>65</v>
      </c>
      <c r="L282" s="4"/>
    </row>
    <row r="283" spans="1:12" x14ac:dyDescent="0.2">
      <c r="A283" s="172">
        <v>66927</v>
      </c>
      <c r="B283" s="4" t="s">
        <v>334</v>
      </c>
      <c r="C283" s="4" t="s">
        <v>98</v>
      </c>
      <c r="D283" s="4" t="s">
        <v>63</v>
      </c>
      <c r="E283" s="36">
        <v>8</v>
      </c>
      <c r="F283" s="5">
        <v>85</v>
      </c>
      <c r="G283" s="5">
        <f t="shared" si="8"/>
        <v>680</v>
      </c>
      <c r="H283" s="37">
        <v>0</v>
      </c>
      <c r="I283" s="5">
        <f t="shared" si="9"/>
        <v>680</v>
      </c>
      <c r="J283" s="4" t="s">
        <v>64</v>
      </c>
      <c r="K283" s="4" t="s">
        <v>65</v>
      </c>
      <c r="L283" s="4"/>
    </row>
    <row r="284" spans="1:12" x14ac:dyDescent="0.2">
      <c r="A284" s="172">
        <v>66928</v>
      </c>
      <c r="B284" s="4" t="s">
        <v>335</v>
      </c>
      <c r="C284" s="4" t="s">
        <v>74</v>
      </c>
      <c r="D284" s="4" t="s">
        <v>63</v>
      </c>
      <c r="E284" s="36">
        <v>15</v>
      </c>
      <c r="F284" s="5">
        <v>86</v>
      </c>
      <c r="G284" s="5">
        <f t="shared" si="8"/>
        <v>1290</v>
      </c>
      <c r="H284" s="37">
        <v>0</v>
      </c>
      <c r="I284" s="5">
        <f t="shared" si="9"/>
        <v>1290</v>
      </c>
      <c r="J284" s="4" t="s">
        <v>64</v>
      </c>
      <c r="K284" s="4" t="s">
        <v>65</v>
      </c>
      <c r="L284" s="4"/>
    </row>
    <row r="285" spans="1:12" x14ac:dyDescent="0.2">
      <c r="A285" s="172">
        <v>66928</v>
      </c>
      <c r="B285" s="4" t="s">
        <v>336</v>
      </c>
      <c r="C285" s="4" t="s">
        <v>67</v>
      </c>
      <c r="D285" s="4" t="s">
        <v>63</v>
      </c>
      <c r="E285" s="36">
        <v>35</v>
      </c>
      <c r="F285" s="5">
        <v>85</v>
      </c>
      <c r="G285" s="5">
        <f t="shared" si="8"/>
        <v>2975</v>
      </c>
      <c r="H285" s="37">
        <v>0</v>
      </c>
      <c r="I285" s="5">
        <f t="shared" si="9"/>
        <v>2975</v>
      </c>
      <c r="J285" s="4" t="s">
        <v>64</v>
      </c>
      <c r="K285" s="4" t="s">
        <v>65</v>
      </c>
      <c r="L285" s="4"/>
    </row>
    <row r="286" spans="1:12" x14ac:dyDescent="0.2">
      <c r="A286" s="172">
        <v>66928</v>
      </c>
      <c r="B286" s="4" t="s">
        <v>337</v>
      </c>
      <c r="C286" s="4" t="s">
        <v>76</v>
      </c>
      <c r="D286" s="4" t="s">
        <v>63</v>
      </c>
      <c r="E286" s="36">
        <v>10</v>
      </c>
      <c r="F286" s="5">
        <v>85</v>
      </c>
      <c r="G286" s="5">
        <f t="shared" si="8"/>
        <v>850</v>
      </c>
      <c r="H286" s="37">
        <v>0</v>
      </c>
      <c r="I286" s="5">
        <f t="shared" si="9"/>
        <v>850</v>
      </c>
      <c r="J286" s="4" t="s">
        <v>64</v>
      </c>
      <c r="K286" s="4" t="s">
        <v>65</v>
      </c>
      <c r="L286" s="4"/>
    </row>
    <row r="287" spans="1:12" x14ac:dyDescent="0.2">
      <c r="A287" s="172">
        <v>66928</v>
      </c>
      <c r="B287" s="4" t="s">
        <v>338</v>
      </c>
      <c r="C287" s="4" t="s">
        <v>82</v>
      </c>
      <c r="D287" s="4" t="s">
        <v>63</v>
      </c>
      <c r="E287" s="36">
        <v>8</v>
      </c>
      <c r="F287" s="5">
        <v>85</v>
      </c>
      <c r="G287" s="5">
        <f t="shared" si="8"/>
        <v>680</v>
      </c>
      <c r="H287" s="37">
        <v>0</v>
      </c>
      <c r="I287" s="5">
        <f t="shared" si="9"/>
        <v>680</v>
      </c>
      <c r="J287" s="4" t="s">
        <v>64</v>
      </c>
      <c r="K287" s="4" t="s">
        <v>65</v>
      </c>
      <c r="L287" s="4"/>
    </row>
    <row r="288" spans="1:12" x14ac:dyDescent="0.2">
      <c r="A288" s="172">
        <v>66928</v>
      </c>
      <c r="B288" s="4" t="s">
        <v>339</v>
      </c>
      <c r="C288" s="4" t="s">
        <v>86</v>
      </c>
      <c r="D288" s="4" t="s">
        <v>63</v>
      </c>
      <c r="E288" s="36">
        <v>30</v>
      </c>
      <c r="F288" s="5">
        <v>86</v>
      </c>
      <c r="G288" s="5">
        <f t="shared" si="8"/>
        <v>2580</v>
      </c>
      <c r="H288" s="37">
        <v>0</v>
      </c>
      <c r="I288" s="5">
        <f t="shared" si="9"/>
        <v>2580</v>
      </c>
      <c r="J288" s="4" t="s">
        <v>64</v>
      </c>
      <c r="K288" s="4" t="s">
        <v>65</v>
      </c>
      <c r="L288" s="4"/>
    </row>
    <row r="289" spans="1:12" x14ac:dyDescent="0.2">
      <c r="A289" s="172">
        <v>66928</v>
      </c>
      <c r="B289" s="4" t="s">
        <v>340</v>
      </c>
      <c r="C289" s="4" t="s">
        <v>84</v>
      </c>
      <c r="D289" s="4" t="s">
        <v>63</v>
      </c>
      <c r="E289" s="36">
        <v>4</v>
      </c>
      <c r="F289" s="5">
        <v>86</v>
      </c>
      <c r="G289" s="5">
        <f t="shared" si="8"/>
        <v>344</v>
      </c>
      <c r="H289" s="37">
        <v>0</v>
      </c>
      <c r="I289" s="5">
        <f t="shared" si="9"/>
        <v>344</v>
      </c>
      <c r="J289" s="4" t="s">
        <v>64</v>
      </c>
      <c r="K289" s="4" t="s">
        <v>65</v>
      </c>
      <c r="L289" s="4"/>
    </row>
    <row r="290" spans="1:12" x14ac:dyDescent="0.2">
      <c r="A290" s="172">
        <v>66928</v>
      </c>
      <c r="B290" s="4" t="s">
        <v>341</v>
      </c>
      <c r="C290" s="4" t="s">
        <v>92</v>
      </c>
      <c r="D290" s="4" t="s">
        <v>63</v>
      </c>
      <c r="E290" s="36">
        <v>25</v>
      </c>
      <c r="F290" s="5">
        <v>95</v>
      </c>
      <c r="G290" s="5">
        <f t="shared" si="8"/>
        <v>2375</v>
      </c>
      <c r="H290" s="37">
        <v>0</v>
      </c>
      <c r="I290" s="5">
        <f t="shared" si="9"/>
        <v>2375</v>
      </c>
      <c r="J290" s="4" t="s">
        <v>64</v>
      </c>
      <c r="K290" s="4" t="s">
        <v>65</v>
      </c>
      <c r="L290" s="4"/>
    </row>
    <row r="291" spans="1:12" x14ac:dyDescent="0.2">
      <c r="A291" s="172">
        <v>66928</v>
      </c>
      <c r="B291" s="4" t="s">
        <v>341</v>
      </c>
      <c r="C291" s="4" t="s">
        <v>92</v>
      </c>
      <c r="D291" s="4" t="s">
        <v>63</v>
      </c>
      <c r="E291" s="36">
        <v>12</v>
      </c>
      <c r="F291" s="5">
        <v>85</v>
      </c>
      <c r="G291" s="5">
        <f t="shared" si="8"/>
        <v>1020</v>
      </c>
      <c r="H291" s="37">
        <v>0</v>
      </c>
      <c r="I291" s="5">
        <f t="shared" si="9"/>
        <v>1020</v>
      </c>
      <c r="J291" s="4" t="s">
        <v>64</v>
      </c>
      <c r="K291" s="4" t="s">
        <v>65</v>
      </c>
      <c r="L291" s="4"/>
    </row>
    <row r="292" spans="1:12" x14ac:dyDescent="0.2">
      <c r="A292" s="172">
        <v>66928</v>
      </c>
      <c r="B292" s="4" t="s">
        <v>342</v>
      </c>
      <c r="C292" s="4" t="s">
        <v>69</v>
      </c>
      <c r="D292" s="4" t="s">
        <v>63</v>
      </c>
      <c r="E292" s="36">
        <v>35</v>
      </c>
      <c r="F292" s="5">
        <v>85</v>
      </c>
      <c r="G292" s="5">
        <f t="shared" si="8"/>
        <v>2975</v>
      </c>
      <c r="H292" s="37">
        <v>0</v>
      </c>
      <c r="I292" s="5">
        <f t="shared" si="9"/>
        <v>2975</v>
      </c>
      <c r="J292" s="4" t="s">
        <v>64</v>
      </c>
      <c r="K292" s="4" t="s">
        <v>65</v>
      </c>
      <c r="L292" s="4"/>
    </row>
    <row r="293" spans="1:12" x14ac:dyDescent="0.2">
      <c r="A293" s="172">
        <v>66928</v>
      </c>
      <c r="B293" s="4" t="s">
        <v>343</v>
      </c>
      <c r="C293" s="4" t="s">
        <v>90</v>
      </c>
      <c r="D293" s="4" t="s">
        <v>63</v>
      </c>
      <c r="E293" s="36">
        <v>15</v>
      </c>
      <c r="F293" s="5">
        <v>85</v>
      </c>
      <c r="G293" s="5">
        <f t="shared" si="8"/>
        <v>1275</v>
      </c>
      <c r="H293" s="37">
        <v>0</v>
      </c>
      <c r="I293" s="5">
        <f t="shared" si="9"/>
        <v>1275</v>
      </c>
      <c r="J293" s="4" t="s">
        <v>64</v>
      </c>
      <c r="K293" s="4" t="s">
        <v>65</v>
      </c>
      <c r="L293" s="4"/>
    </row>
    <row r="294" spans="1:12" x14ac:dyDescent="0.2">
      <c r="A294" s="172">
        <v>66928</v>
      </c>
      <c r="B294" s="4" t="s">
        <v>344</v>
      </c>
      <c r="C294" s="4" t="s">
        <v>88</v>
      </c>
      <c r="D294" s="4" t="s">
        <v>63</v>
      </c>
      <c r="E294" s="36">
        <v>8</v>
      </c>
      <c r="F294" s="5">
        <v>85</v>
      </c>
      <c r="G294" s="5">
        <f t="shared" si="8"/>
        <v>680</v>
      </c>
      <c r="H294" s="37">
        <v>0</v>
      </c>
      <c r="I294" s="5">
        <f t="shared" si="9"/>
        <v>680</v>
      </c>
      <c r="J294" s="4" t="s">
        <v>64</v>
      </c>
      <c r="K294" s="4" t="s">
        <v>65</v>
      </c>
      <c r="L294" s="4"/>
    </row>
    <row r="295" spans="1:12" x14ac:dyDescent="0.2">
      <c r="A295" s="172">
        <v>66928</v>
      </c>
      <c r="B295" s="4" t="s">
        <v>345</v>
      </c>
      <c r="C295" s="4" t="s">
        <v>71</v>
      </c>
      <c r="D295" s="4" t="s">
        <v>63</v>
      </c>
      <c r="E295" s="36">
        <v>40</v>
      </c>
      <c r="F295" s="5">
        <v>86</v>
      </c>
      <c r="G295" s="5">
        <f t="shared" si="8"/>
        <v>3440</v>
      </c>
      <c r="H295" s="37">
        <v>0</v>
      </c>
      <c r="I295" s="5">
        <f t="shared" si="9"/>
        <v>3440</v>
      </c>
      <c r="J295" s="4" t="s">
        <v>64</v>
      </c>
      <c r="K295" s="4" t="s">
        <v>65</v>
      </c>
      <c r="L295" s="4"/>
    </row>
    <row r="296" spans="1:12" x14ac:dyDescent="0.2">
      <c r="A296" s="172">
        <v>66928</v>
      </c>
      <c r="B296" s="4" t="s">
        <v>345</v>
      </c>
      <c r="C296" s="4" t="s">
        <v>71</v>
      </c>
      <c r="D296" s="4" t="s">
        <v>63</v>
      </c>
      <c r="E296" s="36">
        <v>50</v>
      </c>
      <c r="F296" s="5">
        <v>85</v>
      </c>
      <c r="G296" s="5">
        <f t="shared" si="8"/>
        <v>4250</v>
      </c>
      <c r="H296" s="37">
        <v>0</v>
      </c>
      <c r="I296" s="5">
        <f t="shared" si="9"/>
        <v>4250</v>
      </c>
      <c r="J296" s="4" t="s">
        <v>64</v>
      </c>
      <c r="K296" s="4" t="s">
        <v>65</v>
      </c>
      <c r="L296" s="4"/>
    </row>
    <row r="297" spans="1:12" x14ac:dyDescent="0.2">
      <c r="A297" s="172">
        <v>66928</v>
      </c>
      <c r="B297" s="4" t="s">
        <v>345</v>
      </c>
      <c r="C297" s="4" t="s">
        <v>71</v>
      </c>
      <c r="D297" s="4" t="s">
        <v>72</v>
      </c>
      <c r="E297" s="36">
        <v>1</v>
      </c>
      <c r="F297" s="5">
        <v>80</v>
      </c>
      <c r="G297" s="5">
        <f t="shared" si="8"/>
        <v>80</v>
      </c>
      <c r="H297" s="37">
        <v>0</v>
      </c>
      <c r="I297" s="5">
        <f t="shared" si="9"/>
        <v>80</v>
      </c>
      <c r="J297" s="4" t="s">
        <v>64</v>
      </c>
      <c r="K297" s="4" t="s">
        <v>65</v>
      </c>
      <c r="L297" s="4"/>
    </row>
    <row r="298" spans="1:12" x14ac:dyDescent="0.2">
      <c r="A298" s="172">
        <v>66928</v>
      </c>
      <c r="B298" s="4" t="s">
        <v>346</v>
      </c>
      <c r="C298" s="4" t="s">
        <v>94</v>
      </c>
      <c r="D298" s="4" t="s">
        <v>63</v>
      </c>
      <c r="E298" s="36">
        <v>20</v>
      </c>
      <c r="F298" s="5">
        <v>84</v>
      </c>
      <c r="G298" s="5">
        <f t="shared" si="8"/>
        <v>1680</v>
      </c>
      <c r="H298" s="37">
        <v>0</v>
      </c>
      <c r="I298" s="5">
        <f t="shared" si="9"/>
        <v>1680</v>
      </c>
      <c r="J298" s="4" t="s">
        <v>64</v>
      </c>
      <c r="K298" s="4" t="s">
        <v>65</v>
      </c>
      <c r="L298" s="4"/>
    </row>
    <row r="299" spans="1:12" x14ac:dyDescent="0.2">
      <c r="A299" s="172">
        <v>66928</v>
      </c>
      <c r="B299" s="4" t="s">
        <v>347</v>
      </c>
      <c r="C299" s="4" t="s">
        <v>98</v>
      </c>
      <c r="D299" s="4" t="s">
        <v>63</v>
      </c>
      <c r="E299" s="36">
        <v>8</v>
      </c>
      <c r="F299" s="5">
        <v>85</v>
      </c>
      <c r="G299" s="5">
        <f t="shared" si="8"/>
        <v>680</v>
      </c>
      <c r="H299" s="37">
        <v>0</v>
      </c>
      <c r="I299" s="5">
        <f t="shared" si="9"/>
        <v>680</v>
      </c>
      <c r="J299" s="4" t="s">
        <v>64</v>
      </c>
      <c r="K299" s="4" t="s">
        <v>65</v>
      </c>
      <c r="L299" s="4"/>
    </row>
    <row r="300" spans="1:12" x14ac:dyDescent="0.2">
      <c r="A300" s="172">
        <v>66928</v>
      </c>
      <c r="B300" s="4" t="s">
        <v>348</v>
      </c>
      <c r="C300" s="4" t="s">
        <v>100</v>
      </c>
      <c r="D300" s="4" t="s">
        <v>63</v>
      </c>
      <c r="E300" s="36">
        <v>3.5</v>
      </c>
      <c r="F300" s="5">
        <v>100</v>
      </c>
      <c r="G300" s="5">
        <f t="shared" si="8"/>
        <v>350</v>
      </c>
      <c r="H300" s="37">
        <v>0</v>
      </c>
      <c r="I300" s="5">
        <f t="shared" si="9"/>
        <v>350</v>
      </c>
      <c r="J300" s="4" t="s">
        <v>64</v>
      </c>
      <c r="K300" s="4" t="s">
        <v>65</v>
      </c>
      <c r="L300" s="4"/>
    </row>
    <row r="301" spans="1:12" x14ac:dyDescent="0.2">
      <c r="A301" s="172">
        <v>66929</v>
      </c>
      <c r="B301" s="4" t="s">
        <v>349</v>
      </c>
      <c r="C301" s="4" t="s">
        <v>350</v>
      </c>
      <c r="D301" s="4" t="s">
        <v>351</v>
      </c>
      <c r="E301" s="36">
        <v>35</v>
      </c>
      <c r="F301" s="5">
        <v>48</v>
      </c>
      <c r="G301" s="5">
        <f t="shared" si="8"/>
        <v>1680</v>
      </c>
      <c r="H301" s="37">
        <v>0</v>
      </c>
      <c r="I301" s="5">
        <f t="shared" si="9"/>
        <v>1680</v>
      </c>
      <c r="J301" s="4" t="s">
        <v>64</v>
      </c>
      <c r="K301" s="4" t="s">
        <v>65</v>
      </c>
      <c r="L301" s="4"/>
    </row>
    <row r="302" spans="1:12" x14ac:dyDescent="0.2">
      <c r="A302" s="172">
        <v>66929</v>
      </c>
      <c r="B302" s="4" t="s">
        <v>352</v>
      </c>
      <c r="C302" s="4" t="s">
        <v>214</v>
      </c>
      <c r="D302" s="4" t="s">
        <v>63</v>
      </c>
      <c r="E302" s="36">
        <v>4</v>
      </c>
      <c r="F302" s="5">
        <v>90</v>
      </c>
      <c r="G302" s="5">
        <f t="shared" si="8"/>
        <v>360</v>
      </c>
      <c r="H302" s="37">
        <v>0</v>
      </c>
      <c r="I302" s="5">
        <f t="shared" si="9"/>
        <v>360</v>
      </c>
      <c r="J302" s="4" t="s">
        <v>64</v>
      </c>
      <c r="K302" s="4" t="s">
        <v>65</v>
      </c>
      <c r="L302" s="4"/>
    </row>
    <row r="303" spans="1:12" x14ac:dyDescent="0.2">
      <c r="A303" s="172">
        <v>66929</v>
      </c>
      <c r="B303" s="4" t="s">
        <v>353</v>
      </c>
      <c r="C303" s="4" t="s">
        <v>98</v>
      </c>
      <c r="D303" s="4" t="s">
        <v>63</v>
      </c>
      <c r="E303" s="36">
        <v>6</v>
      </c>
      <c r="F303" s="5">
        <v>85</v>
      </c>
      <c r="G303" s="5">
        <f t="shared" si="8"/>
        <v>510</v>
      </c>
      <c r="H303" s="37">
        <v>0</v>
      </c>
      <c r="I303" s="5">
        <f t="shared" si="9"/>
        <v>510</v>
      </c>
      <c r="J303" s="4" t="s">
        <v>64</v>
      </c>
      <c r="K303" s="4" t="s">
        <v>65</v>
      </c>
      <c r="L303" s="4"/>
    </row>
    <row r="304" spans="1:12" x14ac:dyDescent="0.2">
      <c r="A304" s="172">
        <v>66929</v>
      </c>
      <c r="B304" s="4" t="s">
        <v>354</v>
      </c>
      <c r="C304" s="4" t="s">
        <v>100</v>
      </c>
      <c r="D304" s="4" t="s">
        <v>63</v>
      </c>
      <c r="E304" s="36">
        <v>7.75</v>
      </c>
      <c r="F304" s="5">
        <v>92.26</v>
      </c>
      <c r="G304" s="5">
        <f t="shared" si="8"/>
        <v>715.01499999999999</v>
      </c>
      <c r="H304" s="37">
        <v>0</v>
      </c>
      <c r="I304" s="5">
        <f t="shared" si="9"/>
        <v>715.01499999999999</v>
      </c>
      <c r="J304" s="4" t="s">
        <v>64</v>
      </c>
      <c r="K304" s="4" t="s">
        <v>65</v>
      </c>
      <c r="L304" s="4"/>
    </row>
    <row r="305" spans="1:12" x14ac:dyDescent="0.2">
      <c r="A305" s="172">
        <v>66929</v>
      </c>
      <c r="B305" s="4" t="s">
        <v>355</v>
      </c>
      <c r="C305" s="4" t="s">
        <v>62</v>
      </c>
      <c r="D305" s="4" t="s">
        <v>63</v>
      </c>
      <c r="E305" s="36">
        <v>60</v>
      </c>
      <c r="F305" s="5">
        <v>85</v>
      </c>
      <c r="G305" s="5">
        <f t="shared" si="8"/>
        <v>5100</v>
      </c>
      <c r="H305" s="37">
        <v>0</v>
      </c>
      <c r="I305" s="5">
        <f t="shared" si="9"/>
        <v>5100</v>
      </c>
      <c r="J305" s="4" t="s">
        <v>64</v>
      </c>
      <c r="K305" s="4" t="s">
        <v>65</v>
      </c>
      <c r="L305" s="4"/>
    </row>
    <row r="306" spans="1:12" x14ac:dyDescent="0.2">
      <c r="A306" s="172">
        <v>66929</v>
      </c>
      <c r="B306" s="4" t="s">
        <v>355</v>
      </c>
      <c r="C306" s="4" t="s">
        <v>62</v>
      </c>
      <c r="D306" s="4" t="s">
        <v>72</v>
      </c>
      <c r="E306" s="36">
        <v>1</v>
      </c>
      <c r="F306" s="5">
        <v>80</v>
      </c>
      <c r="G306" s="5">
        <f t="shared" si="8"/>
        <v>80</v>
      </c>
      <c r="H306" s="37">
        <v>0</v>
      </c>
      <c r="I306" s="5">
        <f t="shared" si="9"/>
        <v>80</v>
      </c>
      <c r="J306" s="4" t="s">
        <v>64</v>
      </c>
      <c r="K306" s="4" t="s">
        <v>65</v>
      </c>
      <c r="L306" s="4"/>
    </row>
    <row r="307" spans="1:12" x14ac:dyDescent="0.2">
      <c r="A307" s="172">
        <v>66929</v>
      </c>
      <c r="B307" s="4" t="s">
        <v>356</v>
      </c>
      <c r="C307" s="4" t="s">
        <v>67</v>
      </c>
      <c r="D307" s="4" t="s">
        <v>63</v>
      </c>
      <c r="E307" s="36">
        <v>30</v>
      </c>
      <c r="F307" s="5">
        <v>85</v>
      </c>
      <c r="G307" s="5">
        <f t="shared" si="8"/>
        <v>2550</v>
      </c>
      <c r="H307" s="37">
        <v>0</v>
      </c>
      <c r="I307" s="5">
        <f t="shared" si="9"/>
        <v>2550</v>
      </c>
      <c r="J307" s="4" t="s">
        <v>64</v>
      </c>
      <c r="K307" s="4" t="s">
        <v>65</v>
      </c>
      <c r="L307" s="4"/>
    </row>
    <row r="308" spans="1:12" x14ac:dyDescent="0.2">
      <c r="A308" s="172">
        <v>66929</v>
      </c>
      <c r="B308" s="4" t="s">
        <v>357</v>
      </c>
      <c r="C308" s="4" t="s">
        <v>80</v>
      </c>
      <c r="D308" s="4" t="s">
        <v>63</v>
      </c>
      <c r="E308" s="36">
        <v>12</v>
      </c>
      <c r="F308" s="5">
        <v>85</v>
      </c>
      <c r="G308" s="5">
        <f t="shared" si="8"/>
        <v>1020</v>
      </c>
      <c r="H308" s="37">
        <v>0</v>
      </c>
      <c r="I308" s="5">
        <f t="shared" si="9"/>
        <v>1020</v>
      </c>
      <c r="J308" s="4" t="s">
        <v>64</v>
      </c>
      <c r="K308" s="4" t="s">
        <v>65</v>
      </c>
      <c r="L308" s="4"/>
    </row>
    <row r="309" spans="1:12" x14ac:dyDescent="0.2">
      <c r="A309" s="172">
        <v>66929</v>
      </c>
      <c r="B309" s="4" t="s">
        <v>358</v>
      </c>
      <c r="C309" s="4" t="s">
        <v>82</v>
      </c>
      <c r="D309" s="4" t="s">
        <v>63</v>
      </c>
      <c r="E309" s="36">
        <v>8</v>
      </c>
      <c r="F309" s="5">
        <v>85</v>
      </c>
      <c r="G309" s="5">
        <f t="shared" si="8"/>
        <v>680</v>
      </c>
      <c r="H309" s="37">
        <v>0</v>
      </c>
      <c r="I309" s="5">
        <f t="shared" si="9"/>
        <v>680</v>
      </c>
      <c r="J309" s="4" t="s">
        <v>64</v>
      </c>
      <c r="K309" s="4" t="s">
        <v>65</v>
      </c>
      <c r="L309" s="4"/>
    </row>
    <row r="310" spans="1:12" x14ac:dyDescent="0.2">
      <c r="A310" s="172">
        <v>66929</v>
      </c>
      <c r="B310" s="4" t="s">
        <v>359</v>
      </c>
      <c r="C310" s="4" t="s">
        <v>84</v>
      </c>
      <c r="D310" s="4" t="s">
        <v>63</v>
      </c>
      <c r="E310" s="36">
        <v>4</v>
      </c>
      <c r="F310" s="5">
        <v>86</v>
      </c>
      <c r="G310" s="5">
        <f t="shared" si="8"/>
        <v>344</v>
      </c>
      <c r="H310" s="37">
        <v>0</v>
      </c>
      <c r="I310" s="5">
        <f t="shared" si="9"/>
        <v>344</v>
      </c>
      <c r="J310" s="4" t="s">
        <v>64</v>
      </c>
      <c r="K310" s="4" t="s">
        <v>65</v>
      </c>
      <c r="L310" s="4"/>
    </row>
    <row r="311" spans="1:12" x14ac:dyDescent="0.2">
      <c r="A311" s="172">
        <v>66929</v>
      </c>
      <c r="B311" s="4" t="s">
        <v>360</v>
      </c>
      <c r="C311" s="4" t="s">
        <v>86</v>
      </c>
      <c r="D311" s="4" t="s">
        <v>63</v>
      </c>
      <c r="E311" s="36">
        <v>30</v>
      </c>
      <c r="F311" s="5">
        <v>86</v>
      </c>
      <c r="G311" s="5">
        <f t="shared" si="8"/>
        <v>2580</v>
      </c>
      <c r="H311" s="37">
        <v>0</v>
      </c>
      <c r="I311" s="5">
        <f t="shared" si="9"/>
        <v>2580</v>
      </c>
      <c r="J311" s="4" t="s">
        <v>64</v>
      </c>
      <c r="K311" s="4" t="s">
        <v>65</v>
      </c>
      <c r="L311" s="4"/>
    </row>
    <row r="312" spans="1:12" x14ac:dyDescent="0.2">
      <c r="A312" s="172">
        <v>66929</v>
      </c>
      <c r="B312" s="4" t="s">
        <v>361</v>
      </c>
      <c r="C312" s="4" t="s">
        <v>69</v>
      </c>
      <c r="D312" s="4" t="s">
        <v>63</v>
      </c>
      <c r="E312" s="36">
        <v>20</v>
      </c>
      <c r="F312" s="5">
        <v>85</v>
      </c>
      <c r="G312" s="5">
        <f t="shared" si="8"/>
        <v>1700</v>
      </c>
      <c r="H312" s="37">
        <v>0</v>
      </c>
      <c r="I312" s="5">
        <f t="shared" si="9"/>
        <v>1700</v>
      </c>
      <c r="J312" s="4" t="s">
        <v>64</v>
      </c>
      <c r="K312" s="4" t="s">
        <v>65</v>
      </c>
      <c r="L312" s="4"/>
    </row>
    <row r="313" spans="1:12" x14ac:dyDescent="0.2">
      <c r="A313" s="172">
        <v>66929</v>
      </c>
      <c r="B313" s="4" t="s">
        <v>362</v>
      </c>
      <c r="C313" s="4" t="s">
        <v>90</v>
      </c>
      <c r="D313" s="4" t="s">
        <v>63</v>
      </c>
      <c r="E313" s="36">
        <v>30</v>
      </c>
      <c r="F313" s="5">
        <v>85</v>
      </c>
      <c r="G313" s="5">
        <f t="shared" si="8"/>
        <v>2550</v>
      </c>
      <c r="H313" s="37">
        <v>0</v>
      </c>
      <c r="I313" s="5">
        <f t="shared" si="9"/>
        <v>2550</v>
      </c>
      <c r="J313" s="4" t="s">
        <v>64</v>
      </c>
      <c r="K313" s="4" t="s">
        <v>65</v>
      </c>
      <c r="L313" s="4"/>
    </row>
    <row r="314" spans="1:12" x14ac:dyDescent="0.2">
      <c r="A314" s="172">
        <v>66929</v>
      </c>
      <c r="B314" s="4" t="s">
        <v>363</v>
      </c>
      <c r="C314" s="4" t="s">
        <v>88</v>
      </c>
      <c r="D314" s="4" t="s">
        <v>63</v>
      </c>
      <c r="E314" s="36">
        <v>8</v>
      </c>
      <c r="F314" s="5">
        <v>85</v>
      </c>
      <c r="G314" s="5">
        <f t="shared" si="8"/>
        <v>680</v>
      </c>
      <c r="H314" s="37">
        <v>0</v>
      </c>
      <c r="I314" s="5">
        <f t="shared" si="9"/>
        <v>680</v>
      </c>
      <c r="J314" s="4" t="s">
        <v>64</v>
      </c>
      <c r="K314" s="4" t="s">
        <v>65</v>
      </c>
      <c r="L314" s="4"/>
    </row>
    <row r="315" spans="1:12" x14ac:dyDescent="0.2">
      <c r="A315" s="172">
        <v>66929</v>
      </c>
      <c r="B315" s="4" t="s">
        <v>364</v>
      </c>
      <c r="C315" s="4" t="s">
        <v>94</v>
      </c>
      <c r="D315" s="4" t="s">
        <v>63</v>
      </c>
      <c r="E315" s="36">
        <v>26</v>
      </c>
      <c r="F315" s="5">
        <v>84</v>
      </c>
      <c r="G315" s="5">
        <f t="shared" si="8"/>
        <v>2184</v>
      </c>
      <c r="H315" s="37">
        <v>0</v>
      </c>
      <c r="I315" s="5">
        <f t="shared" si="9"/>
        <v>2184</v>
      </c>
      <c r="J315" s="4" t="s">
        <v>64</v>
      </c>
      <c r="K315" s="4" t="s">
        <v>65</v>
      </c>
      <c r="L315" s="4"/>
    </row>
    <row r="316" spans="1:12" x14ac:dyDescent="0.2">
      <c r="A316" s="172">
        <v>66929</v>
      </c>
      <c r="B316" s="4" t="s">
        <v>365</v>
      </c>
      <c r="C316" s="4" t="s">
        <v>71</v>
      </c>
      <c r="D316" s="4" t="s">
        <v>63</v>
      </c>
      <c r="E316" s="36">
        <v>40</v>
      </c>
      <c r="F316" s="5">
        <v>86</v>
      </c>
      <c r="G316" s="5">
        <f t="shared" si="8"/>
        <v>3440</v>
      </c>
      <c r="H316" s="37">
        <v>0</v>
      </c>
      <c r="I316" s="5">
        <f t="shared" si="9"/>
        <v>3440</v>
      </c>
      <c r="J316" s="4" t="s">
        <v>64</v>
      </c>
      <c r="K316" s="4" t="s">
        <v>65</v>
      </c>
      <c r="L316" s="4"/>
    </row>
    <row r="317" spans="1:12" x14ac:dyDescent="0.2">
      <c r="A317" s="172">
        <v>66929</v>
      </c>
      <c r="B317" s="4" t="s">
        <v>365</v>
      </c>
      <c r="C317" s="4" t="s">
        <v>71</v>
      </c>
      <c r="D317" s="4" t="s">
        <v>63</v>
      </c>
      <c r="E317" s="36">
        <v>70</v>
      </c>
      <c r="F317" s="5">
        <v>85</v>
      </c>
      <c r="G317" s="5">
        <f t="shared" si="8"/>
        <v>5950</v>
      </c>
      <c r="H317" s="37">
        <v>0</v>
      </c>
      <c r="I317" s="5">
        <f t="shared" si="9"/>
        <v>5950</v>
      </c>
      <c r="J317" s="4" t="s">
        <v>64</v>
      </c>
      <c r="K317" s="4" t="s">
        <v>65</v>
      </c>
      <c r="L317" s="4"/>
    </row>
    <row r="318" spans="1:12" x14ac:dyDescent="0.2">
      <c r="A318" s="172">
        <v>66929</v>
      </c>
      <c r="B318" s="4" t="s">
        <v>365</v>
      </c>
      <c r="C318" s="4" t="s">
        <v>71</v>
      </c>
      <c r="D318" s="4" t="s">
        <v>72</v>
      </c>
      <c r="E318" s="36">
        <v>1</v>
      </c>
      <c r="F318" s="5">
        <v>80</v>
      </c>
      <c r="G318" s="5">
        <f t="shared" si="8"/>
        <v>80</v>
      </c>
      <c r="H318" s="37">
        <v>0</v>
      </c>
      <c r="I318" s="5">
        <f t="shared" si="9"/>
        <v>80</v>
      </c>
      <c r="J318" s="4" t="s">
        <v>64</v>
      </c>
      <c r="K318" s="4" t="s">
        <v>65</v>
      </c>
      <c r="L318" s="4"/>
    </row>
    <row r="319" spans="1:12" x14ac:dyDescent="0.2">
      <c r="A319" s="172">
        <v>66929</v>
      </c>
      <c r="B319" s="4" t="s">
        <v>366</v>
      </c>
      <c r="C319" s="4" t="s">
        <v>74</v>
      </c>
      <c r="D319" s="4" t="s">
        <v>63</v>
      </c>
      <c r="E319" s="36">
        <v>15</v>
      </c>
      <c r="F319" s="5">
        <v>86</v>
      </c>
      <c r="G319" s="5">
        <f t="shared" si="8"/>
        <v>1290</v>
      </c>
      <c r="H319" s="37">
        <v>0</v>
      </c>
      <c r="I319" s="5">
        <f t="shared" si="9"/>
        <v>1290</v>
      </c>
      <c r="J319" s="4" t="s">
        <v>64</v>
      </c>
      <c r="K319" s="4" t="s">
        <v>65</v>
      </c>
      <c r="L319" s="4"/>
    </row>
    <row r="320" spans="1:12" x14ac:dyDescent="0.2">
      <c r="A320" s="172">
        <v>66929</v>
      </c>
      <c r="B320" s="4" t="s">
        <v>367</v>
      </c>
      <c r="C320" s="4" t="s">
        <v>92</v>
      </c>
      <c r="D320" s="4" t="s">
        <v>63</v>
      </c>
      <c r="E320" s="36">
        <v>20</v>
      </c>
      <c r="F320" s="5">
        <v>95</v>
      </c>
      <c r="G320" s="5">
        <f t="shared" si="8"/>
        <v>1900</v>
      </c>
      <c r="H320" s="37">
        <v>0</v>
      </c>
      <c r="I320" s="5">
        <f t="shared" si="9"/>
        <v>1900</v>
      </c>
      <c r="J320" s="4" t="s">
        <v>64</v>
      </c>
      <c r="K320" s="4" t="s">
        <v>65</v>
      </c>
      <c r="L320" s="4"/>
    </row>
    <row r="321" spans="1:12" x14ac:dyDescent="0.2">
      <c r="A321" s="172">
        <v>66929</v>
      </c>
      <c r="B321" s="4" t="s">
        <v>367</v>
      </c>
      <c r="C321" s="4" t="s">
        <v>92</v>
      </c>
      <c r="D321" s="4" t="s">
        <v>63</v>
      </c>
      <c r="E321" s="36">
        <v>12</v>
      </c>
      <c r="F321" s="5">
        <v>85</v>
      </c>
      <c r="G321" s="5">
        <f t="shared" si="8"/>
        <v>1020</v>
      </c>
      <c r="H321" s="37">
        <v>0</v>
      </c>
      <c r="I321" s="5">
        <f t="shared" si="9"/>
        <v>1020</v>
      </c>
      <c r="J321" s="4" t="s">
        <v>64</v>
      </c>
      <c r="K321" s="4" t="s">
        <v>65</v>
      </c>
      <c r="L321" s="4"/>
    </row>
    <row r="322" spans="1:12" x14ac:dyDescent="0.2">
      <c r="A322" s="172">
        <v>66930</v>
      </c>
      <c r="B322" s="4" t="s">
        <v>368</v>
      </c>
      <c r="C322" s="4" t="s">
        <v>62</v>
      </c>
      <c r="D322" s="4" t="s">
        <v>63</v>
      </c>
      <c r="E322" s="36">
        <v>60</v>
      </c>
      <c r="F322" s="5">
        <v>85</v>
      </c>
      <c r="G322" s="5">
        <f t="shared" si="8"/>
        <v>5100</v>
      </c>
      <c r="H322" s="37">
        <v>0</v>
      </c>
      <c r="I322" s="5">
        <f t="shared" si="9"/>
        <v>5100</v>
      </c>
      <c r="J322" s="4" t="s">
        <v>64</v>
      </c>
      <c r="K322" s="4" t="s">
        <v>65</v>
      </c>
      <c r="L322" s="4"/>
    </row>
    <row r="323" spans="1:12" x14ac:dyDescent="0.2">
      <c r="A323" s="172">
        <v>66930</v>
      </c>
      <c r="B323" s="4" t="s">
        <v>368</v>
      </c>
      <c r="C323" s="4" t="s">
        <v>62</v>
      </c>
      <c r="D323" s="4" t="s">
        <v>72</v>
      </c>
      <c r="E323" s="36">
        <v>1</v>
      </c>
      <c r="F323" s="5">
        <v>80</v>
      </c>
      <c r="G323" s="5">
        <f t="shared" ref="G323:G386" si="10">IF($E323="","",$E323*$F323)</f>
        <v>80</v>
      </c>
      <c r="H323" s="37">
        <v>0</v>
      </c>
      <c r="I323" s="5">
        <f t="shared" ref="I323:I386" si="11">IF($E323="","",$G323*(1-$H323/100))</f>
        <v>80</v>
      </c>
      <c r="J323" s="4" t="s">
        <v>64</v>
      </c>
      <c r="K323" s="4" t="s">
        <v>65</v>
      </c>
      <c r="L323" s="4"/>
    </row>
    <row r="324" spans="1:12" x14ac:dyDescent="0.2">
      <c r="A324" s="172">
        <v>66930</v>
      </c>
      <c r="B324" s="4" t="s">
        <v>369</v>
      </c>
      <c r="C324" s="4" t="s">
        <v>67</v>
      </c>
      <c r="D324" s="4" t="s">
        <v>63</v>
      </c>
      <c r="E324" s="36">
        <v>35</v>
      </c>
      <c r="F324" s="5">
        <v>85</v>
      </c>
      <c r="G324" s="5">
        <f t="shared" si="10"/>
        <v>2975</v>
      </c>
      <c r="H324" s="37">
        <v>0</v>
      </c>
      <c r="I324" s="5">
        <f t="shared" si="11"/>
        <v>2975</v>
      </c>
      <c r="J324" s="4" t="s">
        <v>64</v>
      </c>
      <c r="K324" s="4" t="s">
        <v>65</v>
      </c>
      <c r="L324" s="4"/>
    </row>
    <row r="325" spans="1:12" x14ac:dyDescent="0.2">
      <c r="A325" s="172">
        <v>66930</v>
      </c>
      <c r="B325" s="4" t="s">
        <v>370</v>
      </c>
      <c r="C325" s="4" t="s">
        <v>69</v>
      </c>
      <c r="D325" s="4" t="s">
        <v>63</v>
      </c>
      <c r="E325" s="36">
        <v>20</v>
      </c>
      <c r="F325" s="5">
        <v>85</v>
      </c>
      <c r="G325" s="5">
        <f t="shared" si="10"/>
        <v>1700</v>
      </c>
      <c r="H325" s="37">
        <v>0</v>
      </c>
      <c r="I325" s="5">
        <f t="shared" si="11"/>
        <v>1700</v>
      </c>
      <c r="J325" s="4" t="s">
        <v>64</v>
      </c>
      <c r="K325" s="4" t="s">
        <v>65</v>
      </c>
      <c r="L325" s="4"/>
    </row>
    <row r="326" spans="1:12" x14ac:dyDescent="0.2">
      <c r="A326" s="172">
        <v>66930</v>
      </c>
      <c r="B326" s="4" t="s">
        <v>371</v>
      </c>
      <c r="C326" s="4" t="s">
        <v>71</v>
      </c>
      <c r="D326" s="4" t="s">
        <v>63</v>
      </c>
      <c r="E326" s="36">
        <v>50</v>
      </c>
      <c r="F326" s="5">
        <v>86</v>
      </c>
      <c r="G326" s="5">
        <f t="shared" si="10"/>
        <v>4300</v>
      </c>
      <c r="H326" s="37">
        <v>0</v>
      </c>
      <c r="I326" s="5">
        <f t="shared" si="11"/>
        <v>4300</v>
      </c>
      <c r="J326" s="4" t="s">
        <v>64</v>
      </c>
      <c r="K326" s="4" t="s">
        <v>65</v>
      </c>
      <c r="L326" s="4"/>
    </row>
    <row r="327" spans="1:12" x14ac:dyDescent="0.2">
      <c r="A327" s="172">
        <v>66930</v>
      </c>
      <c r="B327" s="4" t="s">
        <v>371</v>
      </c>
      <c r="C327" s="4" t="s">
        <v>71</v>
      </c>
      <c r="D327" s="4" t="s">
        <v>63</v>
      </c>
      <c r="E327" s="36">
        <v>40</v>
      </c>
      <c r="F327" s="5">
        <v>85</v>
      </c>
      <c r="G327" s="5">
        <f t="shared" si="10"/>
        <v>3400</v>
      </c>
      <c r="H327" s="37">
        <v>0</v>
      </c>
      <c r="I327" s="5">
        <f t="shared" si="11"/>
        <v>3400</v>
      </c>
      <c r="J327" s="4" t="s">
        <v>64</v>
      </c>
      <c r="K327" s="4" t="s">
        <v>65</v>
      </c>
      <c r="L327" s="4"/>
    </row>
    <row r="328" spans="1:12" x14ac:dyDescent="0.2">
      <c r="A328" s="172">
        <v>66930</v>
      </c>
      <c r="B328" s="4" t="s">
        <v>371</v>
      </c>
      <c r="C328" s="4" t="s">
        <v>71</v>
      </c>
      <c r="D328" s="4" t="s">
        <v>72</v>
      </c>
      <c r="E328" s="36">
        <v>1</v>
      </c>
      <c r="F328" s="5">
        <v>80</v>
      </c>
      <c r="G328" s="5">
        <f t="shared" si="10"/>
        <v>80</v>
      </c>
      <c r="H328" s="37">
        <v>0</v>
      </c>
      <c r="I328" s="5">
        <f t="shared" si="11"/>
        <v>80</v>
      </c>
      <c r="J328" s="4" t="s">
        <v>64</v>
      </c>
      <c r="K328" s="4" t="s">
        <v>65</v>
      </c>
      <c r="L328" s="4"/>
    </row>
    <row r="329" spans="1:12" x14ac:dyDescent="0.2">
      <c r="A329" s="172">
        <v>66930</v>
      </c>
      <c r="B329" s="4" t="s">
        <v>372</v>
      </c>
      <c r="C329" s="4" t="s">
        <v>90</v>
      </c>
      <c r="D329" s="4" t="s">
        <v>63</v>
      </c>
      <c r="E329" s="36">
        <v>15</v>
      </c>
      <c r="F329" s="5">
        <v>85</v>
      </c>
      <c r="G329" s="5">
        <f t="shared" si="10"/>
        <v>1275</v>
      </c>
      <c r="H329" s="37">
        <v>0</v>
      </c>
      <c r="I329" s="5">
        <f t="shared" si="11"/>
        <v>1275</v>
      </c>
      <c r="J329" s="4" t="s">
        <v>64</v>
      </c>
      <c r="K329" s="4" t="s">
        <v>65</v>
      </c>
      <c r="L329" s="4"/>
    </row>
    <row r="330" spans="1:12" x14ac:dyDescent="0.2">
      <c r="A330" s="172">
        <v>66930</v>
      </c>
      <c r="B330" s="4" t="s">
        <v>373</v>
      </c>
      <c r="C330" s="4" t="s">
        <v>86</v>
      </c>
      <c r="D330" s="4" t="s">
        <v>63</v>
      </c>
      <c r="E330" s="36">
        <v>20</v>
      </c>
      <c r="F330" s="5">
        <v>86</v>
      </c>
      <c r="G330" s="5">
        <f t="shared" si="10"/>
        <v>1720</v>
      </c>
      <c r="H330" s="37">
        <v>0</v>
      </c>
      <c r="I330" s="5">
        <f t="shared" si="11"/>
        <v>1720</v>
      </c>
      <c r="J330" s="4" t="s">
        <v>64</v>
      </c>
      <c r="K330" s="4" t="s">
        <v>65</v>
      </c>
      <c r="L330" s="4"/>
    </row>
    <row r="331" spans="1:12" x14ac:dyDescent="0.2">
      <c r="A331" s="172">
        <v>66930</v>
      </c>
      <c r="B331" s="4" t="s">
        <v>374</v>
      </c>
      <c r="C331" s="4" t="s">
        <v>84</v>
      </c>
      <c r="D331" s="4" t="s">
        <v>63</v>
      </c>
      <c r="E331" s="36">
        <v>4</v>
      </c>
      <c r="F331" s="5">
        <v>86</v>
      </c>
      <c r="G331" s="5">
        <f t="shared" si="10"/>
        <v>344</v>
      </c>
      <c r="H331" s="37">
        <v>0</v>
      </c>
      <c r="I331" s="5">
        <f t="shared" si="11"/>
        <v>344</v>
      </c>
      <c r="J331" s="4" t="s">
        <v>64</v>
      </c>
      <c r="K331" s="4" t="s">
        <v>65</v>
      </c>
      <c r="L331" s="4"/>
    </row>
    <row r="332" spans="1:12" x14ac:dyDescent="0.2">
      <c r="A332" s="172">
        <v>66930</v>
      </c>
      <c r="B332" s="4" t="s">
        <v>375</v>
      </c>
      <c r="C332" s="4" t="s">
        <v>88</v>
      </c>
      <c r="D332" s="4" t="s">
        <v>63</v>
      </c>
      <c r="E332" s="36">
        <v>5</v>
      </c>
      <c r="F332" s="5">
        <v>85</v>
      </c>
      <c r="G332" s="5">
        <f t="shared" si="10"/>
        <v>425</v>
      </c>
      <c r="H332" s="37">
        <v>0</v>
      </c>
      <c r="I332" s="5">
        <f t="shared" si="11"/>
        <v>425</v>
      </c>
      <c r="J332" s="4" t="s">
        <v>64</v>
      </c>
      <c r="K332" s="4" t="s">
        <v>65</v>
      </c>
      <c r="L332" s="4"/>
    </row>
    <row r="333" spans="1:12" x14ac:dyDescent="0.2">
      <c r="A333" s="172">
        <v>66930</v>
      </c>
      <c r="B333" s="4" t="s">
        <v>376</v>
      </c>
      <c r="C333" s="4" t="s">
        <v>82</v>
      </c>
      <c r="D333" s="4" t="s">
        <v>63</v>
      </c>
      <c r="E333" s="36">
        <v>8</v>
      </c>
      <c r="F333" s="5">
        <v>85</v>
      </c>
      <c r="G333" s="5">
        <f t="shared" si="10"/>
        <v>680</v>
      </c>
      <c r="H333" s="37">
        <v>0</v>
      </c>
      <c r="I333" s="5">
        <f t="shared" si="11"/>
        <v>680</v>
      </c>
      <c r="J333" s="4" t="s">
        <v>64</v>
      </c>
      <c r="K333" s="4" t="s">
        <v>65</v>
      </c>
      <c r="L333" s="4"/>
    </row>
    <row r="334" spans="1:12" x14ac:dyDescent="0.2">
      <c r="A334" s="172">
        <v>66930</v>
      </c>
      <c r="B334" s="4" t="s">
        <v>377</v>
      </c>
      <c r="C334" s="4" t="s">
        <v>80</v>
      </c>
      <c r="D334" s="4" t="s">
        <v>63</v>
      </c>
      <c r="E334" s="36">
        <v>15</v>
      </c>
      <c r="F334" s="5">
        <v>85</v>
      </c>
      <c r="G334" s="5">
        <f t="shared" si="10"/>
        <v>1275</v>
      </c>
      <c r="H334" s="37">
        <v>0</v>
      </c>
      <c r="I334" s="5">
        <f t="shared" si="11"/>
        <v>1275</v>
      </c>
      <c r="J334" s="4" t="s">
        <v>64</v>
      </c>
      <c r="K334" s="4" t="s">
        <v>65</v>
      </c>
      <c r="L334" s="4"/>
    </row>
    <row r="335" spans="1:12" x14ac:dyDescent="0.2">
      <c r="A335" s="172">
        <v>66930</v>
      </c>
      <c r="B335" s="4" t="s">
        <v>378</v>
      </c>
      <c r="C335" s="4" t="s">
        <v>76</v>
      </c>
      <c r="D335" s="4" t="s">
        <v>63</v>
      </c>
      <c r="E335" s="36">
        <v>10</v>
      </c>
      <c r="F335" s="5">
        <v>85</v>
      </c>
      <c r="G335" s="5">
        <f t="shared" si="10"/>
        <v>850</v>
      </c>
      <c r="H335" s="37">
        <v>0</v>
      </c>
      <c r="I335" s="5">
        <f t="shared" si="11"/>
        <v>850</v>
      </c>
      <c r="J335" s="4" t="s">
        <v>64</v>
      </c>
      <c r="K335" s="4" t="s">
        <v>65</v>
      </c>
      <c r="L335" s="4"/>
    </row>
    <row r="336" spans="1:12" x14ac:dyDescent="0.2">
      <c r="A336" s="172">
        <v>66930</v>
      </c>
      <c r="B336" s="4" t="s">
        <v>379</v>
      </c>
      <c r="C336" s="4" t="s">
        <v>92</v>
      </c>
      <c r="D336" s="4" t="s">
        <v>63</v>
      </c>
      <c r="E336" s="36">
        <v>25</v>
      </c>
      <c r="F336" s="5">
        <v>95</v>
      </c>
      <c r="G336" s="5">
        <f t="shared" si="10"/>
        <v>2375</v>
      </c>
      <c r="H336" s="37">
        <v>0</v>
      </c>
      <c r="I336" s="5">
        <f t="shared" si="11"/>
        <v>2375</v>
      </c>
      <c r="J336" s="4" t="s">
        <v>64</v>
      </c>
      <c r="K336" s="4" t="s">
        <v>65</v>
      </c>
      <c r="L336" s="4"/>
    </row>
    <row r="337" spans="1:12" x14ac:dyDescent="0.2">
      <c r="A337" s="172">
        <v>66930</v>
      </c>
      <c r="B337" s="4" t="s">
        <v>380</v>
      </c>
      <c r="C337" s="4" t="s">
        <v>74</v>
      </c>
      <c r="D337" s="4" t="s">
        <v>63</v>
      </c>
      <c r="E337" s="36">
        <v>10</v>
      </c>
      <c r="F337" s="5">
        <v>86</v>
      </c>
      <c r="G337" s="5">
        <f t="shared" si="10"/>
        <v>860</v>
      </c>
      <c r="H337" s="37">
        <v>0</v>
      </c>
      <c r="I337" s="5">
        <f t="shared" si="11"/>
        <v>860</v>
      </c>
      <c r="J337" s="4" t="s">
        <v>64</v>
      </c>
      <c r="K337" s="4" t="s">
        <v>65</v>
      </c>
      <c r="L337" s="4"/>
    </row>
    <row r="338" spans="1:12" x14ac:dyDescent="0.2">
      <c r="A338" s="172">
        <v>66930</v>
      </c>
      <c r="B338" s="4" t="s">
        <v>380</v>
      </c>
      <c r="C338" s="4" t="s">
        <v>74</v>
      </c>
      <c r="D338" s="4" t="s">
        <v>96</v>
      </c>
      <c r="E338" s="36">
        <v>2</v>
      </c>
      <c r="F338" s="5">
        <v>800</v>
      </c>
      <c r="G338" s="5">
        <f t="shared" si="10"/>
        <v>1600</v>
      </c>
      <c r="H338" s="37">
        <v>0</v>
      </c>
      <c r="I338" s="5">
        <f t="shared" si="11"/>
        <v>1600</v>
      </c>
      <c r="J338" s="4" t="s">
        <v>64</v>
      </c>
      <c r="K338" s="4" t="s">
        <v>65</v>
      </c>
      <c r="L338" s="4"/>
    </row>
    <row r="339" spans="1:12" x14ac:dyDescent="0.2">
      <c r="A339" s="172">
        <v>66930</v>
      </c>
      <c r="B339" s="4" t="s">
        <v>381</v>
      </c>
      <c r="C339" s="4" t="s">
        <v>94</v>
      </c>
      <c r="D339" s="4" t="s">
        <v>63</v>
      </c>
      <c r="E339" s="36">
        <v>25</v>
      </c>
      <c r="F339" s="5">
        <v>84</v>
      </c>
      <c r="G339" s="5">
        <f t="shared" si="10"/>
        <v>2100</v>
      </c>
      <c r="H339" s="37">
        <v>0</v>
      </c>
      <c r="I339" s="5">
        <f t="shared" si="11"/>
        <v>2100</v>
      </c>
      <c r="J339" s="4" t="s">
        <v>64</v>
      </c>
      <c r="K339" s="4" t="s">
        <v>65</v>
      </c>
      <c r="L339" s="4"/>
    </row>
    <row r="340" spans="1:12" x14ac:dyDescent="0.2">
      <c r="A340" s="172">
        <v>66930</v>
      </c>
      <c r="B340" s="4" t="s">
        <v>382</v>
      </c>
      <c r="C340" s="4" t="s">
        <v>98</v>
      </c>
      <c r="D340" s="4" t="s">
        <v>63</v>
      </c>
      <c r="E340" s="36">
        <v>7</v>
      </c>
      <c r="F340" s="5">
        <v>85</v>
      </c>
      <c r="G340" s="5">
        <f t="shared" si="10"/>
        <v>595</v>
      </c>
      <c r="H340" s="37">
        <v>0</v>
      </c>
      <c r="I340" s="5">
        <f t="shared" si="11"/>
        <v>595</v>
      </c>
      <c r="J340" s="4" t="s">
        <v>64</v>
      </c>
      <c r="K340" s="4" t="s">
        <v>65</v>
      </c>
      <c r="L340" s="4"/>
    </row>
    <row r="341" spans="1:12" x14ac:dyDescent="0.2">
      <c r="A341" s="172">
        <v>66930</v>
      </c>
      <c r="B341" s="4" t="s">
        <v>383</v>
      </c>
      <c r="C341" s="4" t="s">
        <v>100</v>
      </c>
      <c r="D341" s="4" t="s">
        <v>63</v>
      </c>
      <c r="E341" s="36">
        <v>5.25</v>
      </c>
      <c r="F341" s="5">
        <v>100</v>
      </c>
      <c r="G341" s="5">
        <f t="shared" si="10"/>
        <v>525</v>
      </c>
      <c r="H341" s="37">
        <v>0</v>
      </c>
      <c r="I341" s="5">
        <f t="shared" si="11"/>
        <v>525</v>
      </c>
      <c r="J341" s="4" t="s">
        <v>64</v>
      </c>
      <c r="K341" s="4" t="s">
        <v>65</v>
      </c>
      <c r="L341" s="4"/>
    </row>
    <row r="342" spans="1:12" x14ac:dyDescent="0.2">
      <c r="A342" s="172">
        <v>66931</v>
      </c>
      <c r="B342" s="4" t="s">
        <v>384</v>
      </c>
      <c r="C342" s="4" t="s">
        <v>62</v>
      </c>
      <c r="D342" s="4" t="s">
        <v>63</v>
      </c>
      <c r="E342" s="36">
        <v>60</v>
      </c>
      <c r="F342" s="5">
        <v>85</v>
      </c>
      <c r="G342" s="5">
        <f t="shared" si="10"/>
        <v>5100</v>
      </c>
      <c r="H342" s="37">
        <v>0</v>
      </c>
      <c r="I342" s="5">
        <f t="shared" si="11"/>
        <v>5100</v>
      </c>
      <c r="J342" s="4" t="s">
        <v>64</v>
      </c>
      <c r="K342" s="4" t="s">
        <v>65</v>
      </c>
      <c r="L342" s="4"/>
    </row>
    <row r="343" spans="1:12" x14ac:dyDescent="0.2">
      <c r="A343" s="172">
        <v>66931</v>
      </c>
      <c r="B343" s="4" t="s">
        <v>384</v>
      </c>
      <c r="C343" s="4" t="s">
        <v>62</v>
      </c>
      <c r="D343" s="4" t="s">
        <v>72</v>
      </c>
      <c r="E343" s="36">
        <v>1</v>
      </c>
      <c r="F343" s="5">
        <v>80</v>
      </c>
      <c r="G343" s="5">
        <f t="shared" si="10"/>
        <v>80</v>
      </c>
      <c r="H343" s="37">
        <v>0</v>
      </c>
      <c r="I343" s="5">
        <f t="shared" si="11"/>
        <v>80</v>
      </c>
      <c r="J343" s="4" t="s">
        <v>64</v>
      </c>
      <c r="K343" s="4" t="s">
        <v>65</v>
      </c>
      <c r="L343" s="4"/>
    </row>
    <row r="344" spans="1:12" x14ac:dyDescent="0.2">
      <c r="A344" s="172">
        <v>66931</v>
      </c>
      <c r="B344" s="4" t="s">
        <v>385</v>
      </c>
      <c r="C344" s="4" t="s">
        <v>67</v>
      </c>
      <c r="D344" s="4" t="s">
        <v>63</v>
      </c>
      <c r="E344" s="36">
        <v>35</v>
      </c>
      <c r="F344" s="5">
        <v>85</v>
      </c>
      <c r="G344" s="5">
        <f t="shared" si="10"/>
        <v>2975</v>
      </c>
      <c r="H344" s="37">
        <v>0</v>
      </c>
      <c r="I344" s="5">
        <f t="shared" si="11"/>
        <v>2975</v>
      </c>
      <c r="J344" s="4" t="s">
        <v>64</v>
      </c>
      <c r="K344" s="4" t="s">
        <v>65</v>
      </c>
      <c r="L344" s="4"/>
    </row>
    <row r="345" spans="1:12" x14ac:dyDescent="0.2">
      <c r="A345" s="172">
        <v>66931</v>
      </c>
      <c r="B345" s="4" t="s">
        <v>386</v>
      </c>
      <c r="C345" s="4" t="s">
        <v>76</v>
      </c>
      <c r="D345" s="4" t="s">
        <v>63</v>
      </c>
      <c r="E345" s="36">
        <v>10</v>
      </c>
      <c r="F345" s="5">
        <v>85</v>
      </c>
      <c r="G345" s="5">
        <f t="shared" si="10"/>
        <v>850</v>
      </c>
      <c r="H345" s="37">
        <v>0</v>
      </c>
      <c r="I345" s="5">
        <f t="shared" si="11"/>
        <v>850</v>
      </c>
      <c r="J345" s="4" t="s">
        <v>64</v>
      </c>
      <c r="K345" s="4" t="s">
        <v>65</v>
      </c>
      <c r="L345" s="4"/>
    </row>
    <row r="346" spans="1:12" x14ac:dyDescent="0.2">
      <c r="A346" s="172">
        <v>66931</v>
      </c>
      <c r="B346" s="4" t="s">
        <v>387</v>
      </c>
      <c r="C346" s="4" t="s">
        <v>82</v>
      </c>
      <c r="D346" s="4" t="s">
        <v>63</v>
      </c>
      <c r="E346" s="36">
        <v>8</v>
      </c>
      <c r="F346" s="5">
        <v>85</v>
      </c>
      <c r="G346" s="5">
        <f t="shared" si="10"/>
        <v>680</v>
      </c>
      <c r="H346" s="37">
        <v>0</v>
      </c>
      <c r="I346" s="5">
        <f t="shared" si="11"/>
        <v>680</v>
      </c>
      <c r="J346" s="4" t="s">
        <v>64</v>
      </c>
      <c r="K346" s="4" t="s">
        <v>65</v>
      </c>
      <c r="L346" s="4"/>
    </row>
    <row r="347" spans="1:12" x14ac:dyDescent="0.2">
      <c r="A347" s="172">
        <v>66931</v>
      </c>
      <c r="B347" s="4" t="s">
        <v>388</v>
      </c>
      <c r="C347" s="4" t="s">
        <v>84</v>
      </c>
      <c r="D347" s="4" t="s">
        <v>63</v>
      </c>
      <c r="E347" s="36">
        <v>4.5</v>
      </c>
      <c r="F347" s="5">
        <v>86</v>
      </c>
      <c r="G347" s="5">
        <f t="shared" si="10"/>
        <v>387</v>
      </c>
      <c r="H347" s="37">
        <v>0</v>
      </c>
      <c r="I347" s="5">
        <f t="shared" si="11"/>
        <v>387</v>
      </c>
      <c r="J347" s="4" t="s">
        <v>64</v>
      </c>
      <c r="K347" s="4" t="s">
        <v>65</v>
      </c>
      <c r="L347" s="4"/>
    </row>
    <row r="348" spans="1:12" x14ac:dyDescent="0.2">
      <c r="A348" s="172">
        <v>66931</v>
      </c>
      <c r="B348" s="4" t="s">
        <v>389</v>
      </c>
      <c r="C348" s="4" t="s">
        <v>86</v>
      </c>
      <c r="D348" s="4" t="s">
        <v>63</v>
      </c>
      <c r="E348" s="36">
        <v>25</v>
      </c>
      <c r="F348" s="5">
        <v>86</v>
      </c>
      <c r="G348" s="5">
        <f t="shared" si="10"/>
        <v>2150</v>
      </c>
      <c r="H348" s="37">
        <v>0</v>
      </c>
      <c r="I348" s="5">
        <f t="shared" si="11"/>
        <v>2150</v>
      </c>
      <c r="J348" s="4" t="s">
        <v>64</v>
      </c>
      <c r="K348" s="4" t="s">
        <v>65</v>
      </c>
      <c r="L348" s="4"/>
    </row>
    <row r="349" spans="1:12" x14ac:dyDescent="0.2">
      <c r="A349" s="172">
        <v>66931</v>
      </c>
      <c r="B349" s="4" t="s">
        <v>390</v>
      </c>
      <c r="C349" s="4" t="s">
        <v>69</v>
      </c>
      <c r="D349" s="4" t="s">
        <v>63</v>
      </c>
      <c r="E349" s="36">
        <v>20</v>
      </c>
      <c r="F349" s="5">
        <v>85</v>
      </c>
      <c r="G349" s="5">
        <f t="shared" si="10"/>
        <v>1700</v>
      </c>
      <c r="H349" s="37">
        <v>0</v>
      </c>
      <c r="I349" s="5">
        <f t="shared" si="11"/>
        <v>1700</v>
      </c>
      <c r="J349" s="4" t="s">
        <v>64</v>
      </c>
      <c r="K349" s="4" t="s">
        <v>65</v>
      </c>
      <c r="L349" s="4"/>
    </row>
    <row r="350" spans="1:12" x14ac:dyDescent="0.2">
      <c r="A350" s="172">
        <v>66931</v>
      </c>
      <c r="B350" s="4" t="s">
        <v>391</v>
      </c>
      <c r="C350" s="4" t="s">
        <v>71</v>
      </c>
      <c r="D350" s="4" t="s">
        <v>63</v>
      </c>
      <c r="E350" s="36">
        <v>40</v>
      </c>
      <c r="F350" s="5">
        <v>86</v>
      </c>
      <c r="G350" s="5">
        <f t="shared" si="10"/>
        <v>3440</v>
      </c>
      <c r="H350" s="37">
        <v>0</v>
      </c>
      <c r="I350" s="5">
        <f t="shared" si="11"/>
        <v>3440</v>
      </c>
      <c r="J350" s="4" t="s">
        <v>64</v>
      </c>
      <c r="K350" s="4" t="s">
        <v>65</v>
      </c>
      <c r="L350" s="4"/>
    </row>
    <row r="351" spans="1:12" x14ac:dyDescent="0.2">
      <c r="A351" s="172">
        <v>66931</v>
      </c>
      <c r="B351" s="4" t="s">
        <v>391</v>
      </c>
      <c r="C351" s="4" t="s">
        <v>71</v>
      </c>
      <c r="D351" s="4" t="s">
        <v>63</v>
      </c>
      <c r="E351" s="36">
        <v>45</v>
      </c>
      <c r="F351" s="5">
        <v>85</v>
      </c>
      <c r="G351" s="5">
        <f t="shared" si="10"/>
        <v>3825</v>
      </c>
      <c r="H351" s="37">
        <v>0</v>
      </c>
      <c r="I351" s="5">
        <f t="shared" si="11"/>
        <v>3825</v>
      </c>
      <c r="J351" s="4" t="s">
        <v>64</v>
      </c>
      <c r="K351" s="4" t="s">
        <v>65</v>
      </c>
      <c r="L351" s="4"/>
    </row>
    <row r="352" spans="1:12" x14ac:dyDescent="0.2">
      <c r="A352" s="172">
        <v>66931</v>
      </c>
      <c r="B352" s="4" t="s">
        <v>391</v>
      </c>
      <c r="C352" s="4" t="s">
        <v>71</v>
      </c>
      <c r="D352" s="4" t="s">
        <v>72</v>
      </c>
      <c r="E352" s="36">
        <v>1</v>
      </c>
      <c r="F352" s="5">
        <v>80</v>
      </c>
      <c r="G352" s="5">
        <f t="shared" si="10"/>
        <v>80</v>
      </c>
      <c r="H352" s="37">
        <v>0</v>
      </c>
      <c r="I352" s="5">
        <f t="shared" si="11"/>
        <v>80</v>
      </c>
      <c r="J352" s="4" t="s">
        <v>64</v>
      </c>
      <c r="K352" s="4" t="s">
        <v>65</v>
      </c>
      <c r="L352" s="4"/>
    </row>
    <row r="353" spans="1:12" x14ac:dyDescent="0.2">
      <c r="A353" s="172">
        <v>66931</v>
      </c>
      <c r="B353" s="4" t="s">
        <v>392</v>
      </c>
      <c r="C353" s="4" t="s">
        <v>88</v>
      </c>
      <c r="D353" s="4" t="s">
        <v>63</v>
      </c>
      <c r="E353" s="36">
        <v>5</v>
      </c>
      <c r="F353" s="5">
        <v>85</v>
      </c>
      <c r="G353" s="5">
        <f t="shared" si="10"/>
        <v>425</v>
      </c>
      <c r="H353" s="37">
        <v>0</v>
      </c>
      <c r="I353" s="5">
        <f t="shared" si="11"/>
        <v>425</v>
      </c>
      <c r="J353" s="4" t="s">
        <v>64</v>
      </c>
      <c r="K353" s="4" t="s">
        <v>65</v>
      </c>
      <c r="L353" s="4"/>
    </row>
    <row r="354" spans="1:12" x14ac:dyDescent="0.2">
      <c r="A354" s="172">
        <v>66931</v>
      </c>
      <c r="B354" s="4" t="s">
        <v>393</v>
      </c>
      <c r="C354" s="4" t="s">
        <v>90</v>
      </c>
      <c r="D354" s="4" t="s">
        <v>63</v>
      </c>
      <c r="E354" s="36">
        <v>15</v>
      </c>
      <c r="F354" s="5">
        <v>85</v>
      </c>
      <c r="G354" s="5">
        <f t="shared" si="10"/>
        <v>1275</v>
      </c>
      <c r="H354" s="37">
        <v>0</v>
      </c>
      <c r="I354" s="5">
        <f t="shared" si="11"/>
        <v>1275</v>
      </c>
      <c r="J354" s="4" t="s">
        <v>64</v>
      </c>
      <c r="K354" s="4" t="s">
        <v>65</v>
      </c>
      <c r="L354" s="4"/>
    </row>
    <row r="355" spans="1:12" x14ac:dyDescent="0.2">
      <c r="A355" s="172">
        <v>66931</v>
      </c>
      <c r="B355" s="4" t="s">
        <v>394</v>
      </c>
      <c r="C355" s="4" t="s">
        <v>80</v>
      </c>
      <c r="D355" s="4" t="s">
        <v>63</v>
      </c>
      <c r="E355" s="36">
        <v>15</v>
      </c>
      <c r="F355" s="5">
        <v>85</v>
      </c>
      <c r="G355" s="5">
        <f t="shared" si="10"/>
        <v>1275</v>
      </c>
      <c r="H355" s="37">
        <v>0</v>
      </c>
      <c r="I355" s="5">
        <f t="shared" si="11"/>
        <v>1275</v>
      </c>
      <c r="J355" s="4" t="s">
        <v>64</v>
      </c>
      <c r="K355" s="4" t="s">
        <v>65</v>
      </c>
      <c r="L355" s="4"/>
    </row>
    <row r="356" spans="1:12" x14ac:dyDescent="0.2">
      <c r="A356" s="172">
        <v>66931</v>
      </c>
      <c r="B356" s="4" t="s">
        <v>395</v>
      </c>
      <c r="C356" s="4" t="s">
        <v>78</v>
      </c>
      <c r="D356" s="4" t="s">
        <v>63</v>
      </c>
      <c r="E356" s="36">
        <v>8</v>
      </c>
      <c r="F356" s="5">
        <v>85</v>
      </c>
      <c r="G356" s="5">
        <f t="shared" si="10"/>
        <v>680</v>
      </c>
      <c r="H356" s="37">
        <v>0</v>
      </c>
      <c r="I356" s="5">
        <f t="shared" si="11"/>
        <v>680</v>
      </c>
      <c r="J356" s="4" t="s">
        <v>64</v>
      </c>
      <c r="K356" s="4" t="s">
        <v>65</v>
      </c>
      <c r="L356" s="4"/>
    </row>
    <row r="357" spans="1:12" x14ac:dyDescent="0.2">
      <c r="A357" s="172">
        <v>66931</v>
      </c>
      <c r="B357" s="4" t="s">
        <v>396</v>
      </c>
      <c r="C357" s="4" t="s">
        <v>74</v>
      </c>
      <c r="D357" s="4" t="s">
        <v>63</v>
      </c>
      <c r="E357" s="36">
        <v>15</v>
      </c>
      <c r="F357" s="5">
        <v>86</v>
      </c>
      <c r="G357" s="5">
        <f t="shared" si="10"/>
        <v>1290</v>
      </c>
      <c r="H357" s="37">
        <v>0</v>
      </c>
      <c r="I357" s="5">
        <f t="shared" si="11"/>
        <v>1290</v>
      </c>
      <c r="J357" s="4" t="s">
        <v>64</v>
      </c>
      <c r="K357" s="4" t="s">
        <v>65</v>
      </c>
      <c r="L357" s="4"/>
    </row>
    <row r="358" spans="1:12" x14ac:dyDescent="0.2">
      <c r="A358" s="172">
        <v>66931</v>
      </c>
      <c r="B358" s="4" t="s">
        <v>397</v>
      </c>
      <c r="C358" s="4" t="s">
        <v>119</v>
      </c>
      <c r="D358" s="4" t="s">
        <v>63</v>
      </c>
      <c r="E358" s="36">
        <v>35</v>
      </c>
      <c r="F358" s="5">
        <v>85</v>
      </c>
      <c r="G358" s="5">
        <f t="shared" si="10"/>
        <v>2975</v>
      </c>
      <c r="H358" s="37">
        <v>0</v>
      </c>
      <c r="I358" s="5">
        <f t="shared" si="11"/>
        <v>2975</v>
      </c>
      <c r="J358" s="4" t="s">
        <v>64</v>
      </c>
      <c r="K358" s="4" t="s">
        <v>65</v>
      </c>
      <c r="L358" s="4"/>
    </row>
    <row r="359" spans="1:12" x14ac:dyDescent="0.2">
      <c r="A359" s="172">
        <v>66931</v>
      </c>
      <c r="B359" s="4" t="s">
        <v>398</v>
      </c>
      <c r="C359" s="4" t="s">
        <v>121</v>
      </c>
      <c r="D359" s="4" t="s">
        <v>63</v>
      </c>
      <c r="E359" s="36">
        <v>30</v>
      </c>
      <c r="F359" s="5">
        <v>85</v>
      </c>
      <c r="G359" s="5">
        <f t="shared" si="10"/>
        <v>2550</v>
      </c>
      <c r="H359" s="37">
        <v>0</v>
      </c>
      <c r="I359" s="5">
        <f t="shared" si="11"/>
        <v>2550</v>
      </c>
      <c r="J359" s="4" t="s">
        <v>64</v>
      </c>
      <c r="K359" s="4" t="s">
        <v>65</v>
      </c>
      <c r="L359" s="4"/>
    </row>
    <row r="360" spans="1:12" x14ac:dyDescent="0.2">
      <c r="A360" s="172">
        <v>66931</v>
      </c>
      <c r="B360" s="4" t="s">
        <v>399</v>
      </c>
      <c r="C360" s="4" t="s">
        <v>92</v>
      </c>
      <c r="D360" s="4" t="s">
        <v>63</v>
      </c>
      <c r="E360" s="36">
        <v>29.5</v>
      </c>
      <c r="F360" s="5">
        <v>95</v>
      </c>
      <c r="G360" s="5">
        <f t="shared" si="10"/>
        <v>2802.5</v>
      </c>
      <c r="H360" s="37">
        <v>0</v>
      </c>
      <c r="I360" s="5">
        <f t="shared" si="11"/>
        <v>2802.5</v>
      </c>
      <c r="J360" s="4" t="s">
        <v>64</v>
      </c>
      <c r="K360" s="4" t="s">
        <v>65</v>
      </c>
      <c r="L360" s="4"/>
    </row>
    <row r="361" spans="1:12" x14ac:dyDescent="0.2">
      <c r="A361" s="172">
        <v>66931</v>
      </c>
      <c r="B361" s="4" t="s">
        <v>400</v>
      </c>
      <c r="C361" s="4" t="s">
        <v>94</v>
      </c>
      <c r="D361" s="4" t="s">
        <v>63</v>
      </c>
      <c r="E361" s="36">
        <v>24</v>
      </c>
      <c r="F361" s="5">
        <v>84</v>
      </c>
      <c r="G361" s="5">
        <f t="shared" si="10"/>
        <v>2016</v>
      </c>
      <c r="H361" s="37">
        <v>0</v>
      </c>
      <c r="I361" s="5">
        <f t="shared" si="11"/>
        <v>2016</v>
      </c>
      <c r="J361" s="4" t="s">
        <v>64</v>
      </c>
      <c r="K361" s="4" t="s">
        <v>65</v>
      </c>
      <c r="L361" s="4"/>
    </row>
    <row r="362" spans="1:12" x14ac:dyDescent="0.2">
      <c r="A362" s="172">
        <v>66931</v>
      </c>
      <c r="B362" s="4" t="s">
        <v>401</v>
      </c>
      <c r="C362" s="4" t="s">
        <v>98</v>
      </c>
      <c r="D362" s="4" t="s">
        <v>63</v>
      </c>
      <c r="E362" s="36">
        <v>6</v>
      </c>
      <c r="F362" s="5">
        <v>85</v>
      </c>
      <c r="G362" s="5">
        <f t="shared" si="10"/>
        <v>510</v>
      </c>
      <c r="H362" s="37">
        <v>0</v>
      </c>
      <c r="I362" s="5">
        <f t="shared" si="11"/>
        <v>510</v>
      </c>
      <c r="J362" s="4" t="s">
        <v>64</v>
      </c>
      <c r="K362" s="4" t="s">
        <v>65</v>
      </c>
      <c r="L362" s="4"/>
    </row>
    <row r="363" spans="1:12" x14ac:dyDescent="0.2">
      <c r="A363" s="172">
        <v>66931</v>
      </c>
      <c r="B363" s="4" t="s">
        <v>402</v>
      </c>
      <c r="C363" s="4" t="s">
        <v>214</v>
      </c>
      <c r="D363" s="4" t="s">
        <v>63</v>
      </c>
      <c r="E363" s="36">
        <v>2</v>
      </c>
      <c r="F363" s="5">
        <v>90</v>
      </c>
      <c r="G363" s="5">
        <f t="shared" si="10"/>
        <v>180</v>
      </c>
      <c r="H363" s="37">
        <v>0</v>
      </c>
      <c r="I363" s="5">
        <f t="shared" si="11"/>
        <v>180</v>
      </c>
      <c r="J363" s="4" t="s">
        <v>64</v>
      </c>
      <c r="K363" s="4" t="s">
        <v>65</v>
      </c>
      <c r="L363" s="4"/>
    </row>
    <row r="364" spans="1:12" x14ac:dyDescent="0.2">
      <c r="A364" s="172">
        <v>66931</v>
      </c>
      <c r="B364" s="4" t="s">
        <v>403</v>
      </c>
      <c r="C364" s="4" t="s">
        <v>100</v>
      </c>
      <c r="D364" s="4" t="s">
        <v>63</v>
      </c>
      <c r="E364" s="36">
        <v>8.5</v>
      </c>
      <c r="F364" s="5">
        <v>92.94</v>
      </c>
      <c r="G364" s="5">
        <f t="shared" si="10"/>
        <v>789.99</v>
      </c>
      <c r="H364" s="37">
        <v>0</v>
      </c>
      <c r="I364" s="5">
        <f t="shared" si="11"/>
        <v>789.99</v>
      </c>
      <c r="J364" s="4" t="s">
        <v>64</v>
      </c>
      <c r="K364" s="4" t="s">
        <v>65</v>
      </c>
      <c r="L364" s="4"/>
    </row>
    <row r="365" spans="1:12" x14ac:dyDescent="0.2">
      <c r="A365" s="159" t="s">
        <v>404</v>
      </c>
      <c r="B365" s="4" t="s">
        <v>405</v>
      </c>
      <c r="C365" s="142" t="s">
        <v>406</v>
      </c>
      <c r="D365" s="142"/>
      <c r="E365" s="143"/>
      <c r="F365" s="144"/>
      <c r="G365" s="144" t="str">
        <f t="shared" si="10"/>
        <v/>
      </c>
      <c r="H365" s="37">
        <v>0</v>
      </c>
      <c r="I365" s="5" t="str">
        <f t="shared" si="11"/>
        <v/>
      </c>
      <c r="J365" s="4" t="s">
        <v>64</v>
      </c>
      <c r="K365" s="4" t="s">
        <v>65</v>
      </c>
      <c r="L365" s="142"/>
    </row>
    <row r="366" spans="1:12" x14ac:dyDescent="0.2">
      <c r="A366" s="159" t="s">
        <v>404</v>
      </c>
      <c r="B366" s="4" t="s">
        <v>407</v>
      </c>
      <c r="C366" s="142" t="s">
        <v>62</v>
      </c>
      <c r="D366" s="142" t="s">
        <v>63</v>
      </c>
      <c r="E366" s="143">
        <v>60</v>
      </c>
      <c r="F366" s="144">
        <v>85</v>
      </c>
      <c r="G366" s="144">
        <f t="shared" si="10"/>
        <v>5100</v>
      </c>
      <c r="H366" s="37">
        <v>0</v>
      </c>
      <c r="I366" s="5">
        <f t="shared" si="11"/>
        <v>5100</v>
      </c>
      <c r="J366" s="4" t="s">
        <v>64</v>
      </c>
      <c r="K366" s="4" t="s">
        <v>65</v>
      </c>
      <c r="L366" s="142"/>
    </row>
    <row r="367" spans="1:12" x14ac:dyDescent="0.2">
      <c r="A367" s="159" t="s">
        <v>404</v>
      </c>
      <c r="B367" s="4" t="s">
        <v>407</v>
      </c>
      <c r="C367" s="142" t="s">
        <v>62</v>
      </c>
      <c r="D367" s="142" t="s">
        <v>72</v>
      </c>
      <c r="E367" s="143">
        <v>1</v>
      </c>
      <c r="F367" s="144">
        <v>80</v>
      </c>
      <c r="G367" s="144">
        <f t="shared" si="10"/>
        <v>80</v>
      </c>
      <c r="H367" s="37">
        <v>0</v>
      </c>
      <c r="I367" s="5">
        <f t="shared" si="11"/>
        <v>80</v>
      </c>
      <c r="J367" s="4" t="s">
        <v>64</v>
      </c>
      <c r="K367" s="4" t="s">
        <v>65</v>
      </c>
      <c r="L367" s="142"/>
    </row>
    <row r="368" spans="1:12" x14ac:dyDescent="0.2">
      <c r="A368" s="159" t="s">
        <v>404</v>
      </c>
      <c r="B368" s="4" t="s">
        <v>408</v>
      </c>
      <c r="C368" s="142" t="s">
        <v>71</v>
      </c>
      <c r="D368" s="142" t="s">
        <v>63</v>
      </c>
      <c r="E368" s="143">
        <v>40</v>
      </c>
      <c r="F368" s="144">
        <v>86</v>
      </c>
      <c r="G368" s="144">
        <f t="shared" si="10"/>
        <v>3440</v>
      </c>
      <c r="H368" s="37">
        <v>0</v>
      </c>
      <c r="I368" s="5">
        <f t="shared" si="11"/>
        <v>3440</v>
      </c>
      <c r="J368" s="4" t="s">
        <v>64</v>
      </c>
      <c r="K368" s="4" t="s">
        <v>65</v>
      </c>
      <c r="L368" s="142"/>
    </row>
    <row r="369" spans="1:12" x14ac:dyDescent="0.2">
      <c r="A369" s="159" t="s">
        <v>404</v>
      </c>
      <c r="B369" s="4" t="s">
        <v>408</v>
      </c>
      <c r="C369" s="142" t="s">
        <v>71</v>
      </c>
      <c r="D369" s="142" t="s">
        <v>63</v>
      </c>
      <c r="E369" s="143">
        <v>50</v>
      </c>
      <c r="F369" s="144">
        <v>85</v>
      </c>
      <c r="G369" s="144">
        <f t="shared" si="10"/>
        <v>4250</v>
      </c>
      <c r="H369" s="37">
        <v>0</v>
      </c>
      <c r="I369" s="5">
        <f t="shared" si="11"/>
        <v>4250</v>
      </c>
      <c r="J369" s="4" t="s">
        <v>64</v>
      </c>
      <c r="K369" s="4" t="s">
        <v>65</v>
      </c>
      <c r="L369" s="142"/>
    </row>
    <row r="370" spans="1:12" x14ac:dyDescent="0.2">
      <c r="A370" s="159" t="s">
        <v>404</v>
      </c>
      <c r="B370" s="4" t="s">
        <v>408</v>
      </c>
      <c r="C370" s="142" t="s">
        <v>71</v>
      </c>
      <c r="D370" s="142" t="s">
        <v>72</v>
      </c>
      <c r="E370" s="143">
        <v>1</v>
      </c>
      <c r="F370" s="144">
        <v>80</v>
      </c>
      <c r="G370" s="144">
        <f t="shared" si="10"/>
        <v>80</v>
      </c>
      <c r="H370" s="37">
        <v>0</v>
      </c>
      <c r="I370" s="5">
        <f t="shared" si="11"/>
        <v>80</v>
      </c>
      <c r="J370" s="4" t="s">
        <v>64</v>
      </c>
      <c r="K370" s="4" t="s">
        <v>65</v>
      </c>
      <c r="L370" s="142"/>
    </row>
    <row r="371" spans="1:12" x14ac:dyDescent="0.2">
      <c r="A371" s="159" t="s">
        <v>404</v>
      </c>
      <c r="B371" s="4" t="s">
        <v>409</v>
      </c>
      <c r="C371" s="142" t="s">
        <v>67</v>
      </c>
      <c r="D371" s="142" t="s">
        <v>63</v>
      </c>
      <c r="E371" s="143">
        <v>35</v>
      </c>
      <c r="F371" s="144">
        <v>85</v>
      </c>
      <c r="G371" s="144">
        <f t="shared" si="10"/>
        <v>2975</v>
      </c>
      <c r="H371" s="37">
        <v>0</v>
      </c>
      <c r="I371" s="5">
        <f t="shared" si="11"/>
        <v>2975</v>
      </c>
      <c r="J371" s="4" t="s">
        <v>64</v>
      </c>
      <c r="K371" s="4" t="s">
        <v>65</v>
      </c>
      <c r="L371" s="142"/>
    </row>
    <row r="372" spans="1:12" x14ac:dyDescent="0.2">
      <c r="A372" s="159" t="s">
        <v>404</v>
      </c>
      <c r="B372" s="4" t="s">
        <v>410</v>
      </c>
      <c r="C372" s="142" t="s">
        <v>86</v>
      </c>
      <c r="D372" s="142" t="s">
        <v>63</v>
      </c>
      <c r="E372" s="143">
        <v>25</v>
      </c>
      <c r="F372" s="144">
        <v>86</v>
      </c>
      <c r="G372" s="144">
        <f t="shared" si="10"/>
        <v>2150</v>
      </c>
      <c r="H372" s="37">
        <v>0</v>
      </c>
      <c r="I372" s="5">
        <f t="shared" si="11"/>
        <v>2150</v>
      </c>
      <c r="J372" s="4" t="s">
        <v>64</v>
      </c>
      <c r="K372" s="4" t="s">
        <v>65</v>
      </c>
      <c r="L372" s="142"/>
    </row>
    <row r="373" spans="1:12" x14ac:dyDescent="0.2">
      <c r="A373" s="159" t="s">
        <v>404</v>
      </c>
      <c r="B373" s="4" t="s">
        <v>411</v>
      </c>
      <c r="C373" s="142" t="s">
        <v>84</v>
      </c>
      <c r="D373" s="142" t="s">
        <v>63</v>
      </c>
      <c r="E373" s="143">
        <v>4.5</v>
      </c>
      <c r="F373" s="144">
        <v>86</v>
      </c>
      <c r="G373" s="144">
        <f t="shared" si="10"/>
        <v>387</v>
      </c>
      <c r="H373" s="37">
        <v>0</v>
      </c>
      <c r="I373" s="5">
        <f t="shared" si="11"/>
        <v>387</v>
      </c>
      <c r="J373" s="4" t="s">
        <v>64</v>
      </c>
      <c r="K373" s="4" t="s">
        <v>65</v>
      </c>
      <c r="L373" s="142"/>
    </row>
    <row r="374" spans="1:12" x14ac:dyDescent="0.2">
      <c r="A374" s="159" t="s">
        <v>404</v>
      </c>
      <c r="B374" s="4" t="s">
        <v>411</v>
      </c>
      <c r="C374" s="142" t="s">
        <v>84</v>
      </c>
      <c r="D374" s="142" t="s">
        <v>96</v>
      </c>
      <c r="E374" s="143">
        <v>1</v>
      </c>
      <c r="F374" s="144">
        <v>800</v>
      </c>
      <c r="G374" s="144">
        <f t="shared" si="10"/>
        <v>800</v>
      </c>
      <c r="H374" s="37">
        <v>0</v>
      </c>
      <c r="I374" s="5">
        <f t="shared" si="11"/>
        <v>800</v>
      </c>
      <c r="J374" s="4" t="s">
        <v>64</v>
      </c>
      <c r="K374" s="4" t="s">
        <v>65</v>
      </c>
      <c r="L374" s="142"/>
    </row>
    <row r="375" spans="1:12" x14ac:dyDescent="0.2">
      <c r="A375" s="159" t="s">
        <v>404</v>
      </c>
      <c r="B375" s="4" t="s">
        <v>412</v>
      </c>
      <c r="C375" s="142" t="s">
        <v>82</v>
      </c>
      <c r="D375" s="142" t="s">
        <v>63</v>
      </c>
      <c r="E375" s="143">
        <v>8</v>
      </c>
      <c r="F375" s="144">
        <v>85</v>
      </c>
      <c r="G375" s="144">
        <f t="shared" si="10"/>
        <v>680</v>
      </c>
      <c r="H375" s="37">
        <v>0</v>
      </c>
      <c r="I375" s="5">
        <f t="shared" si="11"/>
        <v>680</v>
      </c>
      <c r="J375" s="4" t="s">
        <v>64</v>
      </c>
      <c r="K375" s="4" t="s">
        <v>65</v>
      </c>
      <c r="L375" s="142"/>
    </row>
    <row r="376" spans="1:12" s="68" customFormat="1" x14ac:dyDescent="0.2">
      <c r="A376" s="159" t="s">
        <v>404</v>
      </c>
      <c r="B376" s="4" t="s">
        <v>413</v>
      </c>
      <c r="C376" s="142" t="s">
        <v>76</v>
      </c>
      <c r="D376" s="142" t="s">
        <v>63</v>
      </c>
      <c r="E376" s="143">
        <v>5</v>
      </c>
      <c r="F376" s="144">
        <v>85</v>
      </c>
      <c r="G376" s="144">
        <f t="shared" si="10"/>
        <v>425</v>
      </c>
      <c r="H376" s="37">
        <v>0</v>
      </c>
      <c r="I376" s="5">
        <f t="shared" si="11"/>
        <v>425</v>
      </c>
      <c r="J376" s="4" t="s">
        <v>64</v>
      </c>
      <c r="K376" s="4" t="s">
        <v>65</v>
      </c>
      <c r="L376" s="142"/>
    </row>
    <row r="377" spans="1:12" s="68" customFormat="1" x14ac:dyDescent="0.2">
      <c r="A377" s="159" t="s">
        <v>404</v>
      </c>
      <c r="B377" s="4" t="s">
        <v>414</v>
      </c>
      <c r="C377" s="142" t="s">
        <v>74</v>
      </c>
      <c r="D377" s="142" t="s">
        <v>63</v>
      </c>
      <c r="E377" s="143">
        <v>10</v>
      </c>
      <c r="F377" s="144">
        <v>86</v>
      </c>
      <c r="G377" s="144">
        <f t="shared" si="10"/>
        <v>860</v>
      </c>
      <c r="H377" s="37">
        <v>0</v>
      </c>
      <c r="I377" s="5">
        <f t="shared" si="11"/>
        <v>860</v>
      </c>
      <c r="J377" s="4" t="s">
        <v>64</v>
      </c>
      <c r="K377" s="4" t="s">
        <v>65</v>
      </c>
      <c r="L377" s="142"/>
    </row>
    <row r="378" spans="1:12" s="68" customFormat="1" x14ac:dyDescent="0.2">
      <c r="A378" s="159" t="s">
        <v>404</v>
      </c>
      <c r="B378" s="4" t="s">
        <v>414</v>
      </c>
      <c r="C378" s="142" t="s">
        <v>74</v>
      </c>
      <c r="D378" s="142" t="s">
        <v>95</v>
      </c>
      <c r="E378" s="143">
        <v>2</v>
      </c>
      <c r="F378" s="144">
        <v>1100</v>
      </c>
      <c r="G378" s="144">
        <f t="shared" si="10"/>
        <v>2200</v>
      </c>
      <c r="H378" s="37">
        <v>0</v>
      </c>
      <c r="I378" s="5">
        <f t="shared" si="11"/>
        <v>2200</v>
      </c>
      <c r="J378" s="4" t="s">
        <v>64</v>
      </c>
      <c r="K378" s="4" t="s">
        <v>65</v>
      </c>
      <c r="L378" s="142"/>
    </row>
    <row r="379" spans="1:12" s="68" customFormat="1" x14ac:dyDescent="0.2">
      <c r="A379" s="159" t="s">
        <v>404</v>
      </c>
      <c r="B379" s="4" t="s">
        <v>415</v>
      </c>
      <c r="C379" s="142" t="s">
        <v>78</v>
      </c>
      <c r="D379" s="142" t="s">
        <v>63</v>
      </c>
      <c r="E379" s="143">
        <v>5</v>
      </c>
      <c r="F379" s="144">
        <v>85</v>
      </c>
      <c r="G379" s="144">
        <f t="shared" si="10"/>
        <v>425</v>
      </c>
      <c r="H379" s="37">
        <v>0</v>
      </c>
      <c r="I379" s="5">
        <f t="shared" si="11"/>
        <v>425</v>
      </c>
      <c r="J379" s="4" t="s">
        <v>64</v>
      </c>
      <c r="K379" s="4" t="s">
        <v>65</v>
      </c>
      <c r="L379" s="142"/>
    </row>
    <row r="380" spans="1:12" s="68" customFormat="1" x14ac:dyDescent="0.2">
      <c r="A380" s="159" t="s">
        <v>404</v>
      </c>
      <c r="B380" s="4" t="s">
        <v>416</v>
      </c>
      <c r="C380" s="142" t="s">
        <v>78</v>
      </c>
      <c r="D380" s="142" t="s">
        <v>63</v>
      </c>
      <c r="E380" s="143">
        <v>15</v>
      </c>
      <c r="F380" s="144">
        <v>85</v>
      </c>
      <c r="G380" s="144">
        <f t="shared" si="10"/>
        <v>1275</v>
      </c>
      <c r="H380" s="37">
        <v>0</v>
      </c>
      <c r="I380" s="5">
        <f t="shared" si="11"/>
        <v>1275</v>
      </c>
      <c r="J380" s="4" t="s">
        <v>64</v>
      </c>
      <c r="K380" s="4" t="s">
        <v>65</v>
      </c>
      <c r="L380" s="142"/>
    </row>
    <row r="381" spans="1:12" s="68" customFormat="1" x14ac:dyDescent="0.2">
      <c r="A381" s="159" t="s">
        <v>404</v>
      </c>
      <c r="B381" s="4" t="s">
        <v>417</v>
      </c>
      <c r="C381" s="142" t="s">
        <v>69</v>
      </c>
      <c r="D381" s="142" t="s">
        <v>63</v>
      </c>
      <c r="E381" s="143">
        <v>30</v>
      </c>
      <c r="F381" s="144">
        <v>85</v>
      </c>
      <c r="G381" s="144">
        <f t="shared" si="10"/>
        <v>2550</v>
      </c>
      <c r="H381" s="37">
        <v>0</v>
      </c>
      <c r="I381" s="5">
        <f t="shared" si="11"/>
        <v>2550</v>
      </c>
      <c r="J381" s="4" t="s">
        <v>64</v>
      </c>
      <c r="K381" s="4" t="s">
        <v>65</v>
      </c>
      <c r="L381" s="142"/>
    </row>
    <row r="382" spans="1:12" s="68" customFormat="1" x14ac:dyDescent="0.2">
      <c r="A382" s="159" t="s">
        <v>404</v>
      </c>
      <c r="B382" s="4" t="s">
        <v>418</v>
      </c>
      <c r="C382" s="142" t="s">
        <v>88</v>
      </c>
      <c r="D382" s="142" t="s">
        <v>63</v>
      </c>
      <c r="E382" s="143">
        <v>10</v>
      </c>
      <c r="F382" s="144">
        <v>85</v>
      </c>
      <c r="G382" s="144">
        <f t="shared" si="10"/>
        <v>850</v>
      </c>
      <c r="H382" s="37">
        <v>0</v>
      </c>
      <c r="I382" s="5">
        <f t="shared" si="11"/>
        <v>850</v>
      </c>
      <c r="J382" s="4" t="s">
        <v>64</v>
      </c>
      <c r="K382" s="4" t="s">
        <v>65</v>
      </c>
      <c r="L382" s="142"/>
    </row>
    <row r="383" spans="1:12" s="68" customFormat="1" x14ac:dyDescent="0.2">
      <c r="A383" s="159" t="s">
        <v>404</v>
      </c>
      <c r="B383" s="4" t="s">
        <v>419</v>
      </c>
      <c r="C383" s="142" t="s">
        <v>90</v>
      </c>
      <c r="D383" s="142" t="s">
        <v>63</v>
      </c>
      <c r="E383" s="143">
        <v>15</v>
      </c>
      <c r="F383" s="144">
        <v>85</v>
      </c>
      <c r="G383" s="144">
        <f t="shared" si="10"/>
        <v>1275</v>
      </c>
      <c r="H383" s="37">
        <v>0</v>
      </c>
      <c r="I383" s="5">
        <f t="shared" si="11"/>
        <v>1275</v>
      </c>
      <c r="J383" s="4" t="s">
        <v>64</v>
      </c>
      <c r="K383" s="4" t="s">
        <v>65</v>
      </c>
      <c r="L383" s="142"/>
    </row>
    <row r="384" spans="1:12" s="68" customFormat="1" x14ac:dyDescent="0.2">
      <c r="A384" s="159" t="s">
        <v>404</v>
      </c>
      <c r="B384" s="4" t="s">
        <v>420</v>
      </c>
      <c r="C384" s="142" t="s">
        <v>421</v>
      </c>
      <c r="D384" s="142" t="s">
        <v>63</v>
      </c>
      <c r="E384" s="143">
        <v>60</v>
      </c>
      <c r="F384" s="144">
        <v>85</v>
      </c>
      <c r="G384" s="144">
        <f t="shared" si="10"/>
        <v>5100</v>
      </c>
      <c r="H384" s="37">
        <v>0</v>
      </c>
      <c r="I384" s="5">
        <f t="shared" si="11"/>
        <v>5100</v>
      </c>
      <c r="J384" s="4" t="s">
        <v>64</v>
      </c>
      <c r="K384" s="4" t="s">
        <v>65</v>
      </c>
      <c r="L384" s="142"/>
    </row>
    <row r="385" spans="1:12" s="68" customFormat="1" x14ac:dyDescent="0.2">
      <c r="A385" s="159" t="s">
        <v>404</v>
      </c>
      <c r="B385" s="4" t="s">
        <v>420</v>
      </c>
      <c r="C385" s="142" t="s">
        <v>421</v>
      </c>
      <c r="D385" s="142" t="s">
        <v>164</v>
      </c>
      <c r="E385" s="143">
        <v>7</v>
      </c>
      <c r="F385" s="144">
        <v>800</v>
      </c>
      <c r="G385" s="144">
        <f t="shared" si="10"/>
        <v>5600</v>
      </c>
      <c r="H385" s="37">
        <v>0</v>
      </c>
      <c r="I385" s="5">
        <f t="shared" si="11"/>
        <v>5600</v>
      </c>
      <c r="J385" s="4" t="s">
        <v>64</v>
      </c>
      <c r="K385" s="4" t="s">
        <v>65</v>
      </c>
      <c r="L385" s="142"/>
    </row>
    <row r="386" spans="1:12" s="68" customFormat="1" x14ac:dyDescent="0.2">
      <c r="A386" s="159" t="s">
        <v>404</v>
      </c>
      <c r="B386" s="4" t="s">
        <v>422</v>
      </c>
      <c r="C386" s="142" t="s">
        <v>92</v>
      </c>
      <c r="D386" s="142" t="s">
        <v>63</v>
      </c>
      <c r="E386" s="143">
        <v>20</v>
      </c>
      <c r="F386" s="144">
        <v>95</v>
      </c>
      <c r="G386" s="144">
        <f t="shared" si="10"/>
        <v>1900</v>
      </c>
      <c r="H386" s="37">
        <v>0</v>
      </c>
      <c r="I386" s="5">
        <f t="shared" si="11"/>
        <v>1900</v>
      </c>
      <c r="J386" s="4" t="s">
        <v>64</v>
      </c>
      <c r="K386" s="4" t="s">
        <v>65</v>
      </c>
      <c r="L386" s="142"/>
    </row>
    <row r="387" spans="1:12" s="68" customFormat="1" x14ac:dyDescent="0.2">
      <c r="A387" s="159" t="s">
        <v>404</v>
      </c>
      <c r="B387" s="4" t="s">
        <v>422</v>
      </c>
      <c r="C387" s="142" t="s">
        <v>92</v>
      </c>
      <c r="D387" s="142" t="s">
        <v>95</v>
      </c>
      <c r="E387" s="143">
        <v>1</v>
      </c>
      <c r="F387" s="144">
        <v>1100</v>
      </c>
      <c r="G387" s="144">
        <f t="shared" ref="G387:G450" si="12">IF($E387="","",$E387*$F387)</f>
        <v>1100</v>
      </c>
      <c r="H387" s="37">
        <v>0</v>
      </c>
      <c r="I387" s="5">
        <f t="shared" ref="I387:I450" si="13">IF($E387="","",$G387*(1-$H387/100))</f>
        <v>1100</v>
      </c>
      <c r="J387" s="4" t="s">
        <v>64</v>
      </c>
      <c r="K387" s="4" t="s">
        <v>65</v>
      </c>
      <c r="L387" s="142"/>
    </row>
    <row r="388" spans="1:12" s="68" customFormat="1" x14ac:dyDescent="0.2">
      <c r="A388" s="159" t="s">
        <v>404</v>
      </c>
      <c r="B388" s="4" t="s">
        <v>422</v>
      </c>
      <c r="C388" s="4" t="s">
        <v>92</v>
      </c>
      <c r="D388" s="142" t="s">
        <v>164</v>
      </c>
      <c r="E388" s="36">
        <v>1</v>
      </c>
      <c r="F388" s="5">
        <v>800</v>
      </c>
      <c r="G388" s="144">
        <f t="shared" si="12"/>
        <v>800</v>
      </c>
      <c r="H388" s="37">
        <v>0</v>
      </c>
      <c r="I388" s="5">
        <f t="shared" si="13"/>
        <v>800</v>
      </c>
      <c r="J388" s="4" t="s">
        <v>64</v>
      </c>
      <c r="K388" s="4" t="s">
        <v>65</v>
      </c>
      <c r="L388" s="4"/>
    </row>
    <row r="389" spans="1:12" s="68" customFormat="1" x14ac:dyDescent="0.2">
      <c r="A389" s="159" t="s">
        <v>404</v>
      </c>
      <c r="B389" s="4" t="s">
        <v>423</v>
      </c>
      <c r="C389" s="142" t="s">
        <v>94</v>
      </c>
      <c r="D389" s="142" t="s">
        <v>63</v>
      </c>
      <c r="E389" s="143">
        <v>25</v>
      </c>
      <c r="F389" s="144">
        <v>84</v>
      </c>
      <c r="G389" s="144">
        <f t="shared" si="12"/>
        <v>2100</v>
      </c>
      <c r="H389" s="37">
        <v>0</v>
      </c>
      <c r="I389" s="5">
        <f t="shared" si="13"/>
        <v>2100</v>
      </c>
      <c r="J389" s="4" t="s">
        <v>64</v>
      </c>
      <c r="K389" s="4" t="s">
        <v>65</v>
      </c>
      <c r="L389" s="142"/>
    </row>
    <row r="390" spans="1:12" s="68" customFormat="1" x14ac:dyDescent="0.2">
      <c r="A390" s="159" t="s">
        <v>404</v>
      </c>
      <c r="B390" s="4" t="s">
        <v>424</v>
      </c>
      <c r="C390" s="142" t="s">
        <v>98</v>
      </c>
      <c r="D390" s="142" t="s">
        <v>63</v>
      </c>
      <c r="E390" s="143">
        <v>6</v>
      </c>
      <c r="F390" s="144">
        <v>85</v>
      </c>
      <c r="G390" s="144">
        <f t="shared" si="12"/>
        <v>510</v>
      </c>
      <c r="H390" s="37">
        <v>0</v>
      </c>
      <c r="I390" s="5">
        <f t="shared" si="13"/>
        <v>510</v>
      </c>
      <c r="J390" s="4" t="s">
        <v>64</v>
      </c>
      <c r="K390" s="4" t="s">
        <v>65</v>
      </c>
      <c r="L390" s="142"/>
    </row>
    <row r="391" spans="1:12" s="68" customFormat="1" x14ac:dyDescent="0.2">
      <c r="A391" s="159" t="s">
        <v>404</v>
      </c>
      <c r="B391" s="4" t="s">
        <v>425</v>
      </c>
      <c r="C391" s="142" t="s">
        <v>166</v>
      </c>
      <c r="D391" s="142" t="s">
        <v>63</v>
      </c>
      <c r="E391" s="143">
        <v>0.5</v>
      </c>
      <c r="F391" s="144">
        <v>1100</v>
      </c>
      <c r="G391" s="144">
        <f t="shared" si="12"/>
        <v>550</v>
      </c>
      <c r="H391" s="37">
        <v>0</v>
      </c>
      <c r="I391" s="5">
        <f t="shared" si="13"/>
        <v>550</v>
      </c>
      <c r="J391" s="4" t="s">
        <v>64</v>
      </c>
      <c r="K391" s="4" t="s">
        <v>65</v>
      </c>
      <c r="L391" s="142"/>
    </row>
    <row r="392" spans="1:12" s="68" customFormat="1" x14ac:dyDescent="0.2">
      <c r="A392" s="159" t="s">
        <v>404</v>
      </c>
      <c r="B392" s="4" t="s">
        <v>426</v>
      </c>
      <c r="C392" s="142" t="s">
        <v>100</v>
      </c>
      <c r="D392" s="142" t="s">
        <v>63</v>
      </c>
      <c r="E392" s="143">
        <v>2.5</v>
      </c>
      <c r="F392" s="144">
        <v>94</v>
      </c>
      <c r="G392" s="144">
        <f t="shared" si="12"/>
        <v>235</v>
      </c>
      <c r="H392" s="37">
        <v>0</v>
      </c>
      <c r="I392" s="5">
        <f t="shared" si="13"/>
        <v>235</v>
      </c>
      <c r="J392" s="4" t="s">
        <v>64</v>
      </c>
      <c r="K392" s="4" t="s">
        <v>65</v>
      </c>
      <c r="L392" s="142"/>
    </row>
    <row r="393" spans="1:12" s="68" customFormat="1" x14ac:dyDescent="0.2">
      <c r="A393" s="159" t="s">
        <v>404</v>
      </c>
      <c r="B393" s="4" t="s">
        <v>427</v>
      </c>
      <c r="C393" s="142" t="s">
        <v>214</v>
      </c>
      <c r="D393" s="142" t="s">
        <v>63</v>
      </c>
      <c r="E393" s="143">
        <v>2</v>
      </c>
      <c r="F393" s="144">
        <v>90</v>
      </c>
      <c r="G393" s="144">
        <f t="shared" si="12"/>
        <v>180</v>
      </c>
      <c r="H393" s="37">
        <v>0</v>
      </c>
      <c r="I393" s="5">
        <f t="shared" si="13"/>
        <v>180</v>
      </c>
      <c r="J393" s="4" t="s">
        <v>64</v>
      </c>
      <c r="K393" s="4" t="s">
        <v>65</v>
      </c>
      <c r="L393" s="142"/>
    </row>
    <row r="394" spans="1:12" s="68" customFormat="1" x14ac:dyDescent="0.2">
      <c r="A394" s="159" t="s">
        <v>404</v>
      </c>
      <c r="B394" s="4" t="s">
        <v>428</v>
      </c>
      <c r="C394" s="142" t="s">
        <v>429</v>
      </c>
      <c r="D394" s="142" t="s">
        <v>63</v>
      </c>
      <c r="E394" s="143">
        <v>11</v>
      </c>
      <c r="F394" s="144">
        <v>100</v>
      </c>
      <c r="G394" s="144">
        <f t="shared" si="12"/>
        <v>1100</v>
      </c>
      <c r="H394" s="37">
        <v>0</v>
      </c>
      <c r="I394" s="5">
        <f t="shared" si="13"/>
        <v>1100</v>
      </c>
      <c r="J394" s="4" t="s">
        <v>64</v>
      </c>
      <c r="K394" s="4" t="s">
        <v>65</v>
      </c>
      <c r="L394" s="142"/>
    </row>
    <row r="395" spans="1:12" s="68" customFormat="1" x14ac:dyDescent="0.2">
      <c r="A395" s="159" t="s">
        <v>404</v>
      </c>
      <c r="B395" s="4" t="s">
        <v>430</v>
      </c>
      <c r="C395" s="142" t="s">
        <v>431</v>
      </c>
      <c r="D395" s="142" t="s">
        <v>63</v>
      </c>
      <c r="E395" s="143">
        <v>35</v>
      </c>
      <c r="F395" s="144">
        <v>90</v>
      </c>
      <c r="G395" s="144">
        <f t="shared" si="12"/>
        <v>3150</v>
      </c>
      <c r="H395" s="37">
        <v>0</v>
      </c>
      <c r="I395" s="5">
        <f t="shared" si="13"/>
        <v>3150</v>
      </c>
      <c r="J395" s="4" t="s">
        <v>64</v>
      </c>
      <c r="K395" s="4" t="s">
        <v>65</v>
      </c>
      <c r="L395" s="142"/>
    </row>
    <row r="396" spans="1:12" x14ac:dyDescent="0.2">
      <c r="A396" s="172">
        <v>66932</v>
      </c>
      <c r="B396" s="4" t="s">
        <v>432</v>
      </c>
      <c r="C396" s="4" t="s">
        <v>62</v>
      </c>
      <c r="D396" s="4" t="s">
        <v>63</v>
      </c>
      <c r="E396" s="36">
        <v>60</v>
      </c>
      <c r="F396" s="5">
        <v>85</v>
      </c>
      <c r="G396" s="5">
        <f t="shared" si="12"/>
        <v>5100</v>
      </c>
      <c r="H396" s="37">
        <v>0</v>
      </c>
      <c r="I396" s="5">
        <f t="shared" si="13"/>
        <v>5100</v>
      </c>
      <c r="J396" s="4" t="s">
        <v>64</v>
      </c>
      <c r="K396" s="4" t="s">
        <v>65</v>
      </c>
      <c r="L396" s="4"/>
    </row>
    <row r="397" spans="1:12" x14ac:dyDescent="0.2">
      <c r="A397" s="172">
        <v>66932</v>
      </c>
      <c r="B397" s="4" t="s">
        <v>432</v>
      </c>
      <c r="C397" s="4" t="s">
        <v>62</v>
      </c>
      <c r="D397" s="4" t="s">
        <v>72</v>
      </c>
      <c r="E397" s="36">
        <v>1</v>
      </c>
      <c r="F397" s="5">
        <v>80</v>
      </c>
      <c r="G397" s="5">
        <f t="shared" si="12"/>
        <v>80</v>
      </c>
      <c r="H397" s="37">
        <v>0</v>
      </c>
      <c r="I397" s="5">
        <f t="shared" si="13"/>
        <v>80</v>
      </c>
      <c r="J397" s="4" t="s">
        <v>64</v>
      </c>
      <c r="K397" s="4" t="s">
        <v>65</v>
      </c>
      <c r="L397" s="4"/>
    </row>
    <row r="398" spans="1:12" x14ac:dyDescent="0.2">
      <c r="A398" s="172">
        <v>66932</v>
      </c>
      <c r="B398" s="4" t="s">
        <v>433</v>
      </c>
      <c r="C398" s="4" t="s">
        <v>67</v>
      </c>
      <c r="D398" s="4" t="s">
        <v>63</v>
      </c>
      <c r="E398" s="36">
        <v>55</v>
      </c>
      <c r="F398" s="5">
        <v>85</v>
      </c>
      <c r="G398" s="5">
        <f t="shared" si="12"/>
        <v>4675</v>
      </c>
      <c r="H398" s="37">
        <v>0</v>
      </c>
      <c r="I398" s="5">
        <f t="shared" si="13"/>
        <v>4675</v>
      </c>
      <c r="J398" s="4" t="s">
        <v>64</v>
      </c>
      <c r="K398" s="4" t="s">
        <v>65</v>
      </c>
      <c r="L398" s="4"/>
    </row>
    <row r="399" spans="1:12" x14ac:dyDescent="0.2">
      <c r="A399" s="172">
        <v>66932</v>
      </c>
      <c r="B399" s="4" t="s">
        <v>434</v>
      </c>
      <c r="C399" s="4" t="s">
        <v>69</v>
      </c>
      <c r="D399" s="4" t="s">
        <v>63</v>
      </c>
      <c r="E399" s="36">
        <v>25</v>
      </c>
      <c r="F399" s="5">
        <v>85</v>
      </c>
      <c r="G399" s="5">
        <f t="shared" si="12"/>
        <v>2125</v>
      </c>
      <c r="H399" s="37">
        <v>0</v>
      </c>
      <c r="I399" s="5">
        <f t="shared" si="13"/>
        <v>2125</v>
      </c>
      <c r="J399" s="4" t="s">
        <v>64</v>
      </c>
      <c r="K399" s="4" t="s">
        <v>65</v>
      </c>
      <c r="L399" s="4"/>
    </row>
    <row r="400" spans="1:12" x14ac:dyDescent="0.2">
      <c r="A400" s="172">
        <v>66932</v>
      </c>
      <c r="B400" s="4" t="s">
        <v>435</v>
      </c>
      <c r="C400" s="4" t="s">
        <v>71</v>
      </c>
      <c r="D400" s="4" t="s">
        <v>63</v>
      </c>
      <c r="E400" s="36">
        <v>40</v>
      </c>
      <c r="F400" s="5">
        <v>86</v>
      </c>
      <c r="G400" s="5">
        <f t="shared" si="12"/>
        <v>3440</v>
      </c>
      <c r="H400" s="37">
        <v>1</v>
      </c>
      <c r="I400" s="5">
        <f t="shared" si="13"/>
        <v>3405.6</v>
      </c>
      <c r="J400" s="4" t="s">
        <v>64</v>
      </c>
      <c r="K400" s="4" t="s">
        <v>65</v>
      </c>
      <c r="L400" s="4"/>
    </row>
    <row r="401" spans="1:12" x14ac:dyDescent="0.2">
      <c r="A401" s="172">
        <v>66932</v>
      </c>
      <c r="B401" s="4" t="s">
        <v>435</v>
      </c>
      <c r="C401" s="4" t="s">
        <v>71</v>
      </c>
      <c r="D401" s="4" t="s">
        <v>63</v>
      </c>
      <c r="E401" s="36">
        <v>55</v>
      </c>
      <c r="F401" s="5">
        <v>85</v>
      </c>
      <c r="G401" s="5">
        <f t="shared" si="12"/>
        <v>4675</v>
      </c>
      <c r="H401" s="37">
        <v>2</v>
      </c>
      <c r="I401" s="5">
        <f t="shared" si="13"/>
        <v>4581.5</v>
      </c>
      <c r="J401" s="4" t="s">
        <v>64</v>
      </c>
      <c r="K401" s="4" t="s">
        <v>65</v>
      </c>
      <c r="L401" s="4"/>
    </row>
    <row r="402" spans="1:12" x14ac:dyDescent="0.2">
      <c r="A402" s="172">
        <v>66932</v>
      </c>
      <c r="B402" s="4" t="s">
        <v>435</v>
      </c>
      <c r="C402" s="4" t="s">
        <v>71</v>
      </c>
      <c r="D402" s="4" t="s">
        <v>95</v>
      </c>
      <c r="E402" s="36">
        <v>4</v>
      </c>
      <c r="F402" s="5">
        <v>1100</v>
      </c>
      <c r="G402" s="5">
        <f t="shared" si="12"/>
        <v>4400</v>
      </c>
      <c r="H402" s="37">
        <v>3</v>
      </c>
      <c r="I402" s="5">
        <f t="shared" si="13"/>
        <v>4268</v>
      </c>
      <c r="J402" s="4" t="s">
        <v>64</v>
      </c>
      <c r="K402" s="4" t="s">
        <v>65</v>
      </c>
      <c r="L402" s="4"/>
    </row>
    <row r="403" spans="1:12" x14ac:dyDescent="0.2">
      <c r="A403" s="172">
        <v>66932</v>
      </c>
      <c r="B403" s="4" t="s">
        <v>435</v>
      </c>
      <c r="C403" s="4" t="s">
        <v>71</v>
      </c>
      <c r="D403" s="4" t="s">
        <v>72</v>
      </c>
      <c r="E403" s="36">
        <v>1</v>
      </c>
      <c r="F403" s="5">
        <v>80</v>
      </c>
      <c r="G403" s="5">
        <f t="shared" si="12"/>
        <v>80</v>
      </c>
      <c r="H403" s="37">
        <v>4</v>
      </c>
      <c r="I403" s="5">
        <f t="shared" si="13"/>
        <v>76.8</v>
      </c>
      <c r="J403" s="4" t="s">
        <v>64</v>
      </c>
      <c r="K403" s="4" t="s">
        <v>65</v>
      </c>
      <c r="L403" s="4"/>
    </row>
    <row r="404" spans="1:12" x14ac:dyDescent="0.2">
      <c r="A404" s="172">
        <v>66932</v>
      </c>
      <c r="B404" s="4" t="s">
        <v>436</v>
      </c>
      <c r="C404" s="4" t="s">
        <v>88</v>
      </c>
      <c r="D404" s="4" t="s">
        <v>63</v>
      </c>
      <c r="E404" s="36">
        <v>5</v>
      </c>
      <c r="F404" s="5">
        <v>85</v>
      </c>
      <c r="G404" s="5">
        <f t="shared" si="12"/>
        <v>425</v>
      </c>
      <c r="H404" s="37">
        <v>5</v>
      </c>
      <c r="I404" s="5">
        <f t="shared" si="13"/>
        <v>403.75</v>
      </c>
      <c r="J404" s="4" t="s">
        <v>64</v>
      </c>
      <c r="K404" s="4" t="s">
        <v>65</v>
      </c>
      <c r="L404" s="4"/>
    </row>
    <row r="405" spans="1:12" x14ac:dyDescent="0.2">
      <c r="A405" s="172">
        <v>66932</v>
      </c>
      <c r="B405" s="4" t="s">
        <v>437</v>
      </c>
      <c r="C405" s="4" t="s">
        <v>90</v>
      </c>
      <c r="D405" s="4" t="s">
        <v>63</v>
      </c>
      <c r="E405" s="36">
        <v>35</v>
      </c>
      <c r="F405" s="5">
        <v>85</v>
      </c>
      <c r="G405" s="5">
        <f t="shared" si="12"/>
        <v>2975</v>
      </c>
      <c r="H405" s="37">
        <v>6</v>
      </c>
      <c r="I405" s="5">
        <f t="shared" si="13"/>
        <v>2796.5</v>
      </c>
      <c r="J405" s="4" t="s">
        <v>64</v>
      </c>
      <c r="K405" s="4" t="s">
        <v>65</v>
      </c>
      <c r="L405" s="4"/>
    </row>
    <row r="406" spans="1:12" x14ac:dyDescent="0.2">
      <c r="A406" s="172">
        <v>66932</v>
      </c>
      <c r="B406" s="4" t="s">
        <v>438</v>
      </c>
      <c r="C406" s="4" t="s">
        <v>86</v>
      </c>
      <c r="D406" s="4" t="s">
        <v>63</v>
      </c>
      <c r="E406" s="36">
        <v>30</v>
      </c>
      <c r="F406" s="5">
        <v>86</v>
      </c>
      <c r="G406" s="5">
        <f t="shared" si="12"/>
        <v>2580</v>
      </c>
      <c r="H406" s="37">
        <v>0</v>
      </c>
      <c r="I406" s="5">
        <f t="shared" si="13"/>
        <v>2580</v>
      </c>
      <c r="J406" s="4" t="s">
        <v>64</v>
      </c>
      <c r="K406" s="4" t="s">
        <v>65</v>
      </c>
      <c r="L406" s="4"/>
    </row>
    <row r="407" spans="1:12" x14ac:dyDescent="0.2">
      <c r="A407" s="172">
        <v>66932</v>
      </c>
      <c r="B407" s="4" t="s">
        <v>439</v>
      </c>
      <c r="C407" s="4" t="s">
        <v>84</v>
      </c>
      <c r="D407" s="4" t="s">
        <v>63</v>
      </c>
      <c r="E407" s="36">
        <v>4.5</v>
      </c>
      <c r="F407" s="5">
        <v>86</v>
      </c>
      <c r="G407" s="5">
        <f t="shared" si="12"/>
        <v>387</v>
      </c>
      <c r="H407" s="37">
        <v>0</v>
      </c>
      <c r="I407" s="5">
        <f t="shared" si="13"/>
        <v>387</v>
      </c>
      <c r="J407" s="4" t="s">
        <v>64</v>
      </c>
      <c r="K407" s="4" t="s">
        <v>65</v>
      </c>
      <c r="L407" s="4"/>
    </row>
    <row r="408" spans="1:12" x14ac:dyDescent="0.2">
      <c r="A408" s="172">
        <v>66932</v>
      </c>
      <c r="B408" s="4" t="s">
        <v>440</v>
      </c>
      <c r="C408" s="4" t="s">
        <v>82</v>
      </c>
      <c r="D408" s="4" t="s">
        <v>63</v>
      </c>
      <c r="E408" s="36">
        <v>8</v>
      </c>
      <c r="F408" s="5">
        <v>85</v>
      </c>
      <c r="G408" s="5">
        <f t="shared" si="12"/>
        <v>680</v>
      </c>
      <c r="H408" s="37">
        <v>0</v>
      </c>
      <c r="I408" s="5">
        <f t="shared" si="13"/>
        <v>680</v>
      </c>
      <c r="J408" s="4" t="s">
        <v>64</v>
      </c>
      <c r="K408" s="4" t="s">
        <v>65</v>
      </c>
      <c r="L408" s="4"/>
    </row>
    <row r="409" spans="1:12" x14ac:dyDescent="0.2">
      <c r="A409" s="172">
        <v>66932</v>
      </c>
      <c r="B409" s="4" t="s">
        <v>441</v>
      </c>
      <c r="C409" s="4" t="s">
        <v>80</v>
      </c>
      <c r="D409" s="4" t="s">
        <v>63</v>
      </c>
      <c r="E409" s="36">
        <v>25</v>
      </c>
      <c r="F409" s="5">
        <v>85</v>
      </c>
      <c r="G409" s="5">
        <f t="shared" si="12"/>
        <v>2125</v>
      </c>
      <c r="H409" s="37">
        <v>0</v>
      </c>
      <c r="I409" s="5">
        <f t="shared" si="13"/>
        <v>2125</v>
      </c>
      <c r="J409" s="4" t="s">
        <v>64</v>
      </c>
      <c r="K409" s="4" t="s">
        <v>65</v>
      </c>
      <c r="L409" s="4"/>
    </row>
    <row r="410" spans="1:12" x14ac:dyDescent="0.2">
      <c r="A410" s="172">
        <v>66932</v>
      </c>
      <c r="B410" s="4" t="s">
        <v>442</v>
      </c>
      <c r="C410" s="4" t="s">
        <v>76</v>
      </c>
      <c r="D410" s="4" t="s">
        <v>63</v>
      </c>
      <c r="E410" s="36">
        <v>10</v>
      </c>
      <c r="F410" s="5">
        <v>85</v>
      </c>
      <c r="G410" s="5">
        <f t="shared" si="12"/>
        <v>850</v>
      </c>
      <c r="H410" s="37">
        <v>0</v>
      </c>
      <c r="I410" s="5">
        <f t="shared" si="13"/>
        <v>850</v>
      </c>
      <c r="J410" s="4" t="s">
        <v>64</v>
      </c>
      <c r="K410" s="4" t="s">
        <v>65</v>
      </c>
      <c r="L410" s="4"/>
    </row>
    <row r="411" spans="1:12" x14ac:dyDescent="0.2">
      <c r="A411" s="172">
        <v>66932</v>
      </c>
      <c r="B411" s="4" t="s">
        <v>443</v>
      </c>
      <c r="C411" s="4" t="s">
        <v>444</v>
      </c>
      <c r="D411" s="4" t="s">
        <v>95</v>
      </c>
      <c r="E411" s="36">
        <v>1</v>
      </c>
      <c r="F411" s="5">
        <v>1100</v>
      </c>
      <c r="G411" s="5">
        <f t="shared" si="12"/>
        <v>1100</v>
      </c>
      <c r="H411" s="37">
        <v>0</v>
      </c>
      <c r="I411" s="5">
        <f t="shared" si="13"/>
        <v>1100</v>
      </c>
      <c r="J411" s="4" t="s">
        <v>64</v>
      </c>
      <c r="K411" s="4" t="s">
        <v>65</v>
      </c>
      <c r="L411" s="4"/>
    </row>
    <row r="412" spans="1:12" x14ac:dyDescent="0.2">
      <c r="A412" s="172">
        <v>66932</v>
      </c>
      <c r="B412" s="4" t="s">
        <v>445</v>
      </c>
      <c r="C412" s="4" t="s">
        <v>74</v>
      </c>
      <c r="D412" s="4" t="s">
        <v>63</v>
      </c>
      <c r="E412" s="36">
        <v>15</v>
      </c>
      <c r="F412" s="5">
        <v>86</v>
      </c>
      <c r="G412" s="5">
        <f t="shared" si="12"/>
        <v>1290</v>
      </c>
      <c r="H412" s="37">
        <v>0</v>
      </c>
      <c r="I412" s="5">
        <f t="shared" si="13"/>
        <v>1290</v>
      </c>
      <c r="J412" s="4" t="s">
        <v>64</v>
      </c>
      <c r="K412" s="4" t="s">
        <v>65</v>
      </c>
      <c r="L412" s="4"/>
    </row>
    <row r="413" spans="1:12" x14ac:dyDescent="0.2">
      <c r="A413" s="172">
        <v>66932</v>
      </c>
      <c r="B413" s="4" t="s">
        <v>446</v>
      </c>
      <c r="C413" s="4" t="s">
        <v>94</v>
      </c>
      <c r="D413" s="4" t="s">
        <v>63</v>
      </c>
      <c r="E413" s="36">
        <v>30</v>
      </c>
      <c r="F413" s="5">
        <v>84</v>
      </c>
      <c r="G413" s="5">
        <f t="shared" si="12"/>
        <v>2520</v>
      </c>
      <c r="H413" s="37">
        <v>0</v>
      </c>
      <c r="I413" s="5">
        <f t="shared" si="13"/>
        <v>2520</v>
      </c>
      <c r="J413" s="4" t="s">
        <v>64</v>
      </c>
      <c r="K413" s="4" t="s">
        <v>65</v>
      </c>
      <c r="L413" s="4"/>
    </row>
    <row r="414" spans="1:12" x14ac:dyDescent="0.2">
      <c r="A414" s="172">
        <v>66932</v>
      </c>
      <c r="B414" s="4" t="s">
        <v>447</v>
      </c>
      <c r="C414" s="4" t="s">
        <v>98</v>
      </c>
      <c r="D414" s="4" t="s">
        <v>63</v>
      </c>
      <c r="E414" s="36">
        <v>8</v>
      </c>
      <c r="F414" s="5">
        <v>85</v>
      </c>
      <c r="G414" s="5">
        <f t="shared" si="12"/>
        <v>680</v>
      </c>
      <c r="H414" s="37">
        <v>0</v>
      </c>
      <c r="I414" s="5">
        <f t="shared" si="13"/>
        <v>680</v>
      </c>
      <c r="J414" s="4" t="s">
        <v>64</v>
      </c>
      <c r="K414" s="4" t="s">
        <v>65</v>
      </c>
      <c r="L414" s="4"/>
    </row>
    <row r="415" spans="1:12" x14ac:dyDescent="0.2">
      <c r="A415" s="172">
        <v>66932</v>
      </c>
      <c r="B415" s="4" t="s">
        <v>448</v>
      </c>
      <c r="C415" s="4" t="s">
        <v>92</v>
      </c>
      <c r="D415" s="4" t="s">
        <v>63</v>
      </c>
      <c r="E415" s="36">
        <v>12</v>
      </c>
      <c r="F415" s="5">
        <v>85</v>
      </c>
      <c r="G415" s="5">
        <f t="shared" si="12"/>
        <v>1020</v>
      </c>
      <c r="H415" s="37">
        <v>0</v>
      </c>
      <c r="I415" s="5">
        <f t="shared" si="13"/>
        <v>1020</v>
      </c>
      <c r="J415" s="4" t="s">
        <v>64</v>
      </c>
      <c r="K415" s="4" t="s">
        <v>65</v>
      </c>
      <c r="L415" s="4"/>
    </row>
    <row r="416" spans="1:12" x14ac:dyDescent="0.2">
      <c r="A416" s="172">
        <v>66932</v>
      </c>
      <c r="B416" s="4" t="s">
        <v>448</v>
      </c>
      <c r="C416" s="4" t="s">
        <v>92</v>
      </c>
      <c r="D416" s="4" t="s">
        <v>63</v>
      </c>
      <c r="E416" s="36">
        <v>20</v>
      </c>
      <c r="F416" s="5">
        <v>95</v>
      </c>
      <c r="G416" s="5">
        <f t="shared" si="12"/>
        <v>1900</v>
      </c>
      <c r="H416" s="37">
        <v>0</v>
      </c>
      <c r="I416" s="5">
        <f t="shared" si="13"/>
        <v>1900</v>
      </c>
      <c r="J416" s="4" t="s">
        <v>64</v>
      </c>
      <c r="K416" s="4" t="s">
        <v>65</v>
      </c>
      <c r="L416" s="4"/>
    </row>
    <row r="417" spans="1:12" x14ac:dyDescent="0.2">
      <c r="A417" s="172">
        <v>66932</v>
      </c>
      <c r="B417" s="4" t="s">
        <v>449</v>
      </c>
      <c r="C417" s="4" t="s">
        <v>100</v>
      </c>
      <c r="D417" s="4" t="s">
        <v>63</v>
      </c>
      <c r="E417" s="36">
        <v>7.25</v>
      </c>
      <c r="F417" s="5">
        <v>100</v>
      </c>
      <c r="G417" s="5">
        <f t="shared" si="12"/>
        <v>725</v>
      </c>
      <c r="H417" s="37">
        <v>0</v>
      </c>
      <c r="I417" s="5">
        <f t="shared" si="13"/>
        <v>725</v>
      </c>
      <c r="J417" s="4" t="s">
        <v>64</v>
      </c>
      <c r="K417" s="4" t="s">
        <v>65</v>
      </c>
      <c r="L417" s="4"/>
    </row>
    <row r="418" spans="1:12" x14ac:dyDescent="0.2">
      <c r="A418" s="172">
        <v>66932</v>
      </c>
      <c r="B418" s="4" t="s">
        <v>449</v>
      </c>
      <c r="C418" s="4" t="s">
        <v>100</v>
      </c>
      <c r="D418" s="4" t="s">
        <v>164</v>
      </c>
      <c r="E418" s="36">
        <v>0.75</v>
      </c>
      <c r="F418" s="5">
        <v>800</v>
      </c>
      <c r="G418" s="5">
        <f t="shared" si="12"/>
        <v>600</v>
      </c>
      <c r="H418" s="37">
        <v>0</v>
      </c>
      <c r="I418" s="5">
        <f t="shared" si="13"/>
        <v>600</v>
      </c>
      <c r="J418" s="4" t="s">
        <v>64</v>
      </c>
      <c r="K418" s="4" t="s">
        <v>65</v>
      </c>
      <c r="L418" s="4"/>
    </row>
    <row r="419" spans="1:12" x14ac:dyDescent="0.2">
      <c r="A419" s="172">
        <v>66932</v>
      </c>
      <c r="B419" s="4" t="s">
        <v>450</v>
      </c>
      <c r="C419" s="4" t="s">
        <v>214</v>
      </c>
      <c r="D419" s="4" t="s">
        <v>63</v>
      </c>
      <c r="E419" s="36">
        <v>2</v>
      </c>
      <c r="F419" s="5">
        <v>90</v>
      </c>
      <c r="G419" s="5">
        <f t="shared" si="12"/>
        <v>180</v>
      </c>
      <c r="H419" s="37">
        <v>0</v>
      </c>
      <c r="I419" s="5">
        <f t="shared" si="13"/>
        <v>180</v>
      </c>
      <c r="J419" s="4" t="s">
        <v>64</v>
      </c>
      <c r="K419" s="4" t="s">
        <v>65</v>
      </c>
      <c r="L419" s="4"/>
    </row>
    <row r="420" spans="1:12" x14ac:dyDescent="0.2">
      <c r="A420" s="172">
        <v>66933</v>
      </c>
      <c r="B420" s="4" t="s">
        <v>451</v>
      </c>
      <c r="C420" s="4" t="s">
        <v>100</v>
      </c>
      <c r="D420" s="4" t="s">
        <v>63</v>
      </c>
      <c r="E420" s="36">
        <v>3</v>
      </c>
      <c r="F420" s="5">
        <v>90</v>
      </c>
      <c r="G420" s="5">
        <f t="shared" si="12"/>
        <v>270</v>
      </c>
      <c r="H420" s="37">
        <v>0</v>
      </c>
      <c r="I420" s="5">
        <f t="shared" si="13"/>
        <v>270</v>
      </c>
      <c r="J420" s="4" t="s">
        <v>64</v>
      </c>
      <c r="K420" s="4" t="s">
        <v>65</v>
      </c>
      <c r="L420" s="4"/>
    </row>
    <row r="421" spans="1:12" x14ac:dyDescent="0.2">
      <c r="A421" s="172">
        <v>66933</v>
      </c>
      <c r="B421" s="4" t="s">
        <v>452</v>
      </c>
      <c r="C421" s="4" t="s">
        <v>100</v>
      </c>
      <c r="D421" s="4" t="s">
        <v>63</v>
      </c>
      <c r="E421" s="36">
        <v>9</v>
      </c>
      <c r="F421" s="5">
        <v>93.33</v>
      </c>
      <c r="G421" s="5">
        <f t="shared" si="12"/>
        <v>839.97</v>
      </c>
      <c r="H421" s="37">
        <v>0</v>
      </c>
      <c r="I421" s="5">
        <f t="shared" si="13"/>
        <v>839.97</v>
      </c>
      <c r="J421" s="4" t="s">
        <v>64</v>
      </c>
      <c r="K421" s="4" t="s">
        <v>65</v>
      </c>
      <c r="L421" s="4"/>
    </row>
    <row r="422" spans="1:12" x14ac:dyDescent="0.2">
      <c r="A422" s="172">
        <v>66933</v>
      </c>
      <c r="B422" s="4" t="s">
        <v>453</v>
      </c>
      <c r="C422" s="4" t="s">
        <v>62</v>
      </c>
      <c r="D422" s="4" t="s">
        <v>63</v>
      </c>
      <c r="E422" s="36">
        <v>35</v>
      </c>
      <c r="F422" s="5">
        <v>85</v>
      </c>
      <c r="G422" s="5">
        <f t="shared" si="12"/>
        <v>2975</v>
      </c>
      <c r="H422" s="37">
        <v>0</v>
      </c>
      <c r="I422" s="5">
        <f t="shared" si="13"/>
        <v>2975</v>
      </c>
      <c r="J422" s="4" t="s">
        <v>64</v>
      </c>
      <c r="K422" s="4" t="s">
        <v>65</v>
      </c>
      <c r="L422" s="4"/>
    </row>
    <row r="423" spans="1:12" x14ac:dyDescent="0.2">
      <c r="A423" s="172">
        <v>66933</v>
      </c>
      <c r="B423" s="4" t="s">
        <v>454</v>
      </c>
      <c r="C423" s="4" t="s">
        <v>67</v>
      </c>
      <c r="D423" s="4" t="s">
        <v>63</v>
      </c>
      <c r="E423" s="36">
        <v>25</v>
      </c>
      <c r="F423" s="5">
        <v>85</v>
      </c>
      <c r="G423" s="5">
        <f t="shared" si="12"/>
        <v>2125</v>
      </c>
      <c r="H423" s="37">
        <v>0</v>
      </c>
      <c r="I423" s="5">
        <f t="shared" si="13"/>
        <v>2125</v>
      </c>
      <c r="J423" s="4" t="s">
        <v>64</v>
      </c>
      <c r="K423" s="4" t="s">
        <v>65</v>
      </c>
      <c r="L423" s="4"/>
    </row>
    <row r="424" spans="1:12" x14ac:dyDescent="0.2">
      <c r="A424" s="172">
        <v>66933</v>
      </c>
      <c r="B424" s="4" t="s">
        <v>455</v>
      </c>
      <c r="C424" s="4" t="s">
        <v>71</v>
      </c>
      <c r="D424" s="4" t="s">
        <v>63</v>
      </c>
      <c r="E424" s="36">
        <v>40</v>
      </c>
      <c r="F424" s="5">
        <v>86</v>
      </c>
      <c r="G424" s="5">
        <f t="shared" si="12"/>
        <v>3440</v>
      </c>
      <c r="H424" s="37">
        <v>0</v>
      </c>
      <c r="I424" s="5">
        <f t="shared" si="13"/>
        <v>3440</v>
      </c>
      <c r="J424" s="4" t="s">
        <v>64</v>
      </c>
      <c r="K424" s="4" t="s">
        <v>65</v>
      </c>
      <c r="L424" s="4"/>
    </row>
    <row r="425" spans="1:12" x14ac:dyDescent="0.2">
      <c r="A425" s="172">
        <v>66933</v>
      </c>
      <c r="B425" s="4" t="s">
        <v>455</v>
      </c>
      <c r="C425" s="4" t="s">
        <v>71</v>
      </c>
      <c r="D425" s="4" t="s">
        <v>63</v>
      </c>
      <c r="E425" s="36">
        <v>60</v>
      </c>
      <c r="F425" s="5">
        <v>85</v>
      </c>
      <c r="G425" s="5">
        <f t="shared" si="12"/>
        <v>5100</v>
      </c>
      <c r="H425" s="37">
        <v>0</v>
      </c>
      <c r="I425" s="5">
        <f t="shared" si="13"/>
        <v>5100</v>
      </c>
      <c r="J425" s="4" t="s">
        <v>64</v>
      </c>
      <c r="K425" s="4" t="s">
        <v>65</v>
      </c>
      <c r="L425" s="4"/>
    </row>
    <row r="426" spans="1:12" x14ac:dyDescent="0.2">
      <c r="A426" s="172">
        <v>66933</v>
      </c>
      <c r="B426" s="4" t="s">
        <v>455</v>
      </c>
      <c r="C426" s="4" t="s">
        <v>71</v>
      </c>
      <c r="D426" s="4" t="s">
        <v>72</v>
      </c>
      <c r="E426" s="36">
        <v>1</v>
      </c>
      <c r="F426" s="5">
        <v>80</v>
      </c>
      <c r="G426" s="5">
        <f t="shared" si="12"/>
        <v>80</v>
      </c>
      <c r="H426" s="37">
        <v>0</v>
      </c>
      <c r="I426" s="5">
        <f t="shared" si="13"/>
        <v>80</v>
      </c>
      <c r="J426" s="4" t="s">
        <v>64</v>
      </c>
      <c r="K426" s="4" t="s">
        <v>65</v>
      </c>
      <c r="L426" s="4"/>
    </row>
    <row r="427" spans="1:12" x14ac:dyDescent="0.2">
      <c r="A427" s="172">
        <v>66933</v>
      </c>
      <c r="B427" s="4" t="s">
        <v>456</v>
      </c>
      <c r="C427" s="4" t="s">
        <v>78</v>
      </c>
      <c r="D427" s="4" t="s">
        <v>63</v>
      </c>
      <c r="E427" s="36">
        <v>8</v>
      </c>
      <c r="F427" s="5">
        <v>85</v>
      </c>
      <c r="G427" s="5">
        <f t="shared" si="12"/>
        <v>680</v>
      </c>
      <c r="H427" s="37">
        <v>0</v>
      </c>
      <c r="I427" s="5">
        <f t="shared" si="13"/>
        <v>680</v>
      </c>
      <c r="J427" s="4" t="s">
        <v>64</v>
      </c>
      <c r="K427" s="4" t="s">
        <v>65</v>
      </c>
      <c r="L427" s="4"/>
    </row>
    <row r="428" spans="1:12" x14ac:dyDescent="0.2">
      <c r="A428" s="172">
        <v>66933</v>
      </c>
      <c r="B428" s="4" t="s">
        <v>457</v>
      </c>
      <c r="C428" s="4" t="s">
        <v>80</v>
      </c>
      <c r="D428" s="4" t="s">
        <v>63</v>
      </c>
      <c r="E428" s="36">
        <v>12</v>
      </c>
      <c r="F428" s="5">
        <v>85</v>
      </c>
      <c r="G428" s="5">
        <f t="shared" si="12"/>
        <v>1020</v>
      </c>
      <c r="H428" s="37">
        <v>0</v>
      </c>
      <c r="I428" s="5">
        <f t="shared" si="13"/>
        <v>1020</v>
      </c>
      <c r="J428" s="4" t="s">
        <v>64</v>
      </c>
      <c r="K428" s="4" t="s">
        <v>65</v>
      </c>
      <c r="L428" s="4"/>
    </row>
    <row r="429" spans="1:12" x14ac:dyDescent="0.2">
      <c r="A429" s="172">
        <v>66933</v>
      </c>
      <c r="B429" s="4" t="s">
        <v>458</v>
      </c>
      <c r="C429" s="4" t="s">
        <v>84</v>
      </c>
      <c r="D429" s="4" t="s">
        <v>63</v>
      </c>
      <c r="E429" s="36">
        <v>3.5</v>
      </c>
      <c r="F429" s="5">
        <v>86</v>
      </c>
      <c r="G429" s="5">
        <f t="shared" si="12"/>
        <v>301</v>
      </c>
      <c r="H429" s="37">
        <v>0</v>
      </c>
      <c r="I429" s="5">
        <f t="shared" si="13"/>
        <v>301</v>
      </c>
      <c r="J429" s="4" t="s">
        <v>64</v>
      </c>
      <c r="K429" s="4" t="s">
        <v>65</v>
      </c>
      <c r="L429" s="4"/>
    </row>
    <row r="430" spans="1:12" x14ac:dyDescent="0.2">
      <c r="A430" s="172">
        <v>66933</v>
      </c>
      <c r="B430" s="4" t="s">
        <v>459</v>
      </c>
      <c r="C430" s="82" t="s">
        <v>86</v>
      </c>
      <c r="D430" s="82" t="s">
        <v>63</v>
      </c>
      <c r="E430" s="83">
        <v>30</v>
      </c>
      <c r="F430" s="84">
        <v>86</v>
      </c>
      <c r="G430" s="84">
        <f t="shared" si="12"/>
        <v>2580</v>
      </c>
      <c r="H430" s="37">
        <v>0</v>
      </c>
      <c r="I430" s="5">
        <f t="shared" si="13"/>
        <v>2580</v>
      </c>
      <c r="J430" s="4" t="s">
        <v>64</v>
      </c>
      <c r="K430" s="4" t="s">
        <v>65</v>
      </c>
      <c r="L430" s="82"/>
    </row>
    <row r="431" spans="1:12" x14ac:dyDescent="0.2">
      <c r="A431" s="172">
        <v>66933</v>
      </c>
      <c r="B431" s="4" t="s">
        <v>460</v>
      </c>
      <c r="C431" s="82" t="s">
        <v>116</v>
      </c>
      <c r="D431" s="82" t="s">
        <v>95</v>
      </c>
      <c r="E431" s="83">
        <v>2</v>
      </c>
      <c r="F431" s="84">
        <v>1100</v>
      </c>
      <c r="G431" s="84">
        <f t="shared" si="12"/>
        <v>2200</v>
      </c>
      <c r="H431" s="37">
        <v>0</v>
      </c>
      <c r="I431" s="5">
        <f t="shared" si="13"/>
        <v>2200</v>
      </c>
      <c r="J431" s="4" t="s">
        <v>64</v>
      </c>
      <c r="K431" s="4" t="s">
        <v>65</v>
      </c>
      <c r="L431" s="82"/>
    </row>
    <row r="432" spans="1:12" x14ac:dyDescent="0.2">
      <c r="A432" s="172">
        <v>66933</v>
      </c>
      <c r="B432" s="4" t="s">
        <v>461</v>
      </c>
      <c r="C432" s="82" t="s">
        <v>74</v>
      </c>
      <c r="D432" s="82" t="s">
        <v>63</v>
      </c>
      <c r="E432" s="83">
        <v>15</v>
      </c>
      <c r="F432" s="84">
        <v>86</v>
      </c>
      <c r="G432" s="84">
        <f t="shared" si="12"/>
        <v>1290</v>
      </c>
      <c r="H432" s="37">
        <v>0</v>
      </c>
      <c r="I432" s="5">
        <f t="shared" si="13"/>
        <v>1290</v>
      </c>
      <c r="J432" s="4" t="s">
        <v>64</v>
      </c>
      <c r="K432" s="4" t="s">
        <v>65</v>
      </c>
      <c r="L432" s="82"/>
    </row>
    <row r="433" spans="1:12" x14ac:dyDescent="0.2">
      <c r="A433" s="172">
        <v>66933</v>
      </c>
      <c r="B433" s="4" t="s">
        <v>462</v>
      </c>
      <c r="C433" s="82" t="s">
        <v>82</v>
      </c>
      <c r="D433" s="82" t="s">
        <v>63</v>
      </c>
      <c r="E433" s="83">
        <v>8</v>
      </c>
      <c r="F433" s="84">
        <v>85</v>
      </c>
      <c r="G433" s="84">
        <f t="shared" si="12"/>
        <v>680</v>
      </c>
      <c r="H433" s="37">
        <v>0</v>
      </c>
      <c r="I433" s="5">
        <f t="shared" si="13"/>
        <v>680</v>
      </c>
      <c r="J433" s="4" t="s">
        <v>64</v>
      </c>
      <c r="K433" s="4" t="s">
        <v>65</v>
      </c>
      <c r="L433" s="82"/>
    </row>
    <row r="434" spans="1:12" x14ac:dyDescent="0.2">
      <c r="A434" s="172">
        <v>66933</v>
      </c>
      <c r="B434" s="4" t="s">
        <v>463</v>
      </c>
      <c r="C434" s="82" t="s">
        <v>69</v>
      </c>
      <c r="D434" s="82" t="s">
        <v>63</v>
      </c>
      <c r="E434" s="83">
        <v>20</v>
      </c>
      <c r="F434" s="84">
        <v>85</v>
      </c>
      <c r="G434" s="84">
        <f t="shared" si="12"/>
        <v>1700</v>
      </c>
      <c r="H434" s="37">
        <v>0</v>
      </c>
      <c r="I434" s="5">
        <f t="shared" si="13"/>
        <v>1700</v>
      </c>
      <c r="J434" s="4" t="s">
        <v>64</v>
      </c>
      <c r="K434" s="4" t="s">
        <v>65</v>
      </c>
      <c r="L434" s="82"/>
    </row>
    <row r="435" spans="1:12" x14ac:dyDescent="0.2">
      <c r="A435" s="172">
        <v>66933</v>
      </c>
      <c r="B435" s="4" t="s">
        <v>464</v>
      </c>
      <c r="C435" s="4" t="s">
        <v>90</v>
      </c>
      <c r="D435" s="4" t="s">
        <v>63</v>
      </c>
      <c r="E435" s="36">
        <v>15</v>
      </c>
      <c r="F435" s="5">
        <v>85</v>
      </c>
      <c r="G435" s="5">
        <f t="shared" si="12"/>
        <v>1275</v>
      </c>
      <c r="H435" s="37">
        <v>0</v>
      </c>
      <c r="I435" s="5">
        <f t="shared" si="13"/>
        <v>1275</v>
      </c>
      <c r="J435" s="4" t="s">
        <v>64</v>
      </c>
      <c r="K435" s="4" t="s">
        <v>65</v>
      </c>
      <c r="L435" s="4"/>
    </row>
    <row r="436" spans="1:12" x14ac:dyDescent="0.2">
      <c r="A436" s="172">
        <v>66933</v>
      </c>
      <c r="B436" s="4" t="s">
        <v>465</v>
      </c>
      <c r="C436" s="4" t="s">
        <v>88</v>
      </c>
      <c r="D436" s="4" t="s">
        <v>63</v>
      </c>
      <c r="E436" s="36">
        <v>5</v>
      </c>
      <c r="F436" s="5">
        <v>85</v>
      </c>
      <c r="G436" s="5">
        <f t="shared" si="12"/>
        <v>425</v>
      </c>
      <c r="H436" s="37">
        <v>0</v>
      </c>
      <c r="I436" s="5">
        <f t="shared" si="13"/>
        <v>425</v>
      </c>
      <c r="J436" s="4" t="s">
        <v>64</v>
      </c>
      <c r="K436" s="4" t="s">
        <v>65</v>
      </c>
      <c r="L436" s="4"/>
    </row>
    <row r="437" spans="1:12" x14ac:dyDescent="0.2">
      <c r="A437" s="172">
        <v>66933</v>
      </c>
      <c r="B437" s="4" t="s">
        <v>466</v>
      </c>
      <c r="C437" s="4" t="s">
        <v>94</v>
      </c>
      <c r="D437" s="4" t="s">
        <v>63</v>
      </c>
      <c r="E437" s="36">
        <v>30</v>
      </c>
      <c r="F437" s="5">
        <v>84</v>
      </c>
      <c r="G437" s="5">
        <f t="shared" si="12"/>
        <v>2520</v>
      </c>
      <c r="H437" s="37">
        <v>0</v>
      </c>
      <c r="I437" s="5">
        <f t="shared" si="13"/>
        <v>2520</v>
      </c>
      <c r="J437" s="4" t="s">
        <v>64</v>
      </c>
      <c r="K437" s="4" t="s">
        <v>65</v>
      </c>
      <c r="L437" s="4"/>
    </row>
    <row r="438" spans="1:12" x14ac:dyDescent="0.2">
      <c r="A438" s="172">
        <v>66933</v>
      </c>
      <c r="B438" s="4" t="s">
        <v>467</v>
      </c>
      <c r="C438" s="4" t="s">
        <v>98</v>
      </c>
      <c r="D438" s="4" t="s">
        <v>63</v>
      </c>
      <c r="E438" s="36">
        <v>7</v>
      </c>
      <c r="F438" s="5">
        <v>85</v>
      </c>
      <c r="G438" s="5">
        <f t="shared" si="12"/>
        <v>595</v>
      </c>
      <c r="H438" s="37">
        <v>0</v>
      </c>
      <c r="I438" s="5">
        <f t="shared" si="13"/>
        <v>595</v>
      </c>
      <c r="J438" s="4" t="s">
        <v>64</v>
      </c>
      <c r="K438" s="4" t="s">
        <v>65</v>
      </c>
      <c r="L438" s="4"/>
    </row>
    <row r="439" spans="1:12" x14ac:dyDescent="0.2">
      <c r="A439" s="172">
        <v>66933</v>
      </c>
      <c r="B439" s="4" t="s">
        <v>468</v>
      </c>
      <c r="C439" s="4" t="s">
        <v>102</v>
      </c>
      <c r="D439" s="4" t="s">
        <v>63</v>
      </c>
      <c r="E439" s="36">
        <v>40</v>
      </c>
      <c r="F439" s="5">
        <v>85</v>
      </c>
      <c r="G439" s="5">
        <f t="shared" si="12"/>
        <v>3400</v>
      </c>
      <c r="H439" s="37">
        <v>0</v>
      </c>
      <c r="I439" s="5">
        <f t="shared" si="13"/>
        <v>3400</v>
      </c>
      <c r="J439" s="4" t="s">
        <v>64</v>
      </c>
      <c r="K439" s="4" t="s">
        <v>65</v>
      </c>
      <c r="L439" s="4"/>
    </row>
    <row r="440" spans="1:12" x14ac:dyDescent="0.2">
      <c r="A440" s="172">
        <v>66933</v>
      </c>
      <c r="B440" s="4" t="s">
        <v>468</v>
      </c>
      <c r="C440" s="4" t="s">
        <v>102</v>
      </c>
      <c r="D440" s="4" t="s">
        <v>63</v>
      </c>
      <c r="E440" s="36">
        <v>5</v>
      </c>
      <c r="F440" s="5">
        <v>86</v>
      </c>
      <c r="G440" s="5">
        <f t="shared" si="12"/>
        <v>430</v>
      </c>
      <c r="H440" s="37">
        <v>0</v>
      </c>
      <c r="I440" s="5">
        <f t="shared" si="13"/>
        <v>430</v>
      </c>
      <c r="J440" s="4" t="s">
        <v>64</v>
      </c>
      <c r="K440" s="4" t="s">
        <v>65</v>
      </c>
      <c r="L440" s="4"/>
    </row>
    <row r="441" spans="1:12" x14ac:dyDescent="0.2">
      <c r="A441" s="172">
        <v>66933</v>
      </c>
      <c r="B441" s="4" t="s">
        <v>469</v>
      </c>
      <c r="C441" s="4" t="s">
        <v>214</v>
      </c>
      <c r="D441" s="4" t="s">
        <v>63</v>
      </c>
      <c r="E441" s="36">
        <v>2</v>
      </c>
      <c r="F441" s="5">
        <v>100</v>
      </c>
      <c r="G441" s="5">
        <f t="shared" si="12"/>
        <v>200</v>
      </c>
      <c r="H441" s="37">
        <v>0</v>
      </c>
      <c r="I441" s="5">
        <f t="shared" si="13"/>
        <v>200</v>
      </c>
      <c r="J441" s="4" t="s">
        <v>64</v>
      </c>
      <c r="K441" s="4" t="s">
        <v>65</v>
      </c>
      <c r="L441" s="4"/>
    </row>
    <row r="442" spans="1:12" x14ac:dyDescent="0.2">
      <c r="A442" s="172">
        <v>66934</v>
      </c>
      <c r="B442" s="4" t="s">
        <v>470</v>
      </c>
      <c r="C442" s="4" t="s">
        <v>98</v>
      </c>
      <c r="D442" s="4" t="s">
        <v>63</v>
      </c>
      <c r="E442" s="36">
        <v>6</v>
      </c>
      <c r="F442" s="5">
        <v>85</v>
      </c>
      <c r="G442" s="5">
        <f t="shared" si="12"/>
        <v>510</v>
      </c>
      <c r="H442" s="37">
        <v>0</v>
      </c>
      <c r="I442" s="5">
        <f t="shared" si="13"/>
        <v>510</v>
      </c>
      <c r="J442" s="4" t="s">
        <v>64</v>
      </c>
      <c r="K442" s="4" t="s">
        <v>65</v>
      </c>
      <c r="L442" s="4"/>
    </row>
    <row r="443" spans="1:12" x14ac:dyDescent="0.2">
      <c r="A443" s="172">
        <v>66934</v>
      </c>
      <c r="B443" s="4" t="s">
        <v>471</v>
      </c>
      <c r="C443" s="4" t="s">
        <v>62</v>
      </c>
      <c r="D443" s="4" t="s">
        <v>63</v>
      </c>
      <c r="E443" s="36">
        <v>60</v>
      </c>
      <c r="F443" s="5">
        <v>85</v>
      </c>
      <c r="G443" s="5">
        <f t="shared" si="12"/>
        <v>5100</v>
      </c>
      <c r="H443" s="37">
        <v>0</v>
      </c>
      <c r="I443" s="5">
        <f t="shared" si="13"/>
        <v>5100</v>
      </c>
      <c r="J443" s="4" t="s">
        <v>64</v>
      </c>
      <c r="K443" s="4" t="s">
        <v>65</v>
      </c>
      <c r="L443" s="4"/>
    </row>
    <row r="444" spans="1:12" x14ac:dyDescent="0.2">
      <c r="A444" s="172">
        <v>66934</v>
      </c>
      <c r="B444" s="4" t="s">
        <v>472</v>
      </c>
      <c r="C444" s="4" t="s">
        <v>84</v>
      </c>
      <c r="D444" s="4" t="s">
        <v>63</v>
      </c>
      <c r="E444" s="36">
        <v>3.5</v>
      </c>
      <c r="F444" s="5">
        <v>86</v>
      </c>
      <c r="G444" s="5">
        <f t="shared" si="12"/>
        <v>301</v>
      </c>
      <c r="H444" s="37">
        <v>0</v>
      </c>
      <c r="I444" s="5">
        <f t="shared" si="13"/>
        <v>301</v>
      </c>
      <c r="J444" s="4" t="s">
        <v>64</v>
      </c>
      <c r="K444" s="4" t="s">
        <v>65</v>
      </c>
      <c r="L444" s="4"/>
    </row>
    <row r="445" spans="1:12" x14ac:dyDescent="0.2">
      <c r="A445" s="172">
        <v>66934</v>
      </c>
      <c r="B445" s="4" t="s">
        <v>473</v>
      </c>
      <c r="C445" s="4" t="s">
        <v>86</v>
      </c>
      <c r="D445" s="4" t="s">
        <v>63</v>
      </c>
      <c r="E445" s="36">
        <v>30</v>
      </c>
      <c r="F445" s="5">
        <v>86</v>
      </c>
      <c r="G445" s="5">
        <f t="shared" si="12"/>
        <v>2580</v>
      </c>
      <c r="H445" s="37">
        <v>0</v>
      </c>
      <c r="I445" s="5">
        <f t="shared" si="13"/>
        <v>2580</v>
      </c>
      <c r="J445" s="4" t="s">
        <v>64</v>
      </c>
      <c r="K445" s="4" t="s">
        <v>65</v>
      </c>
      <c r="L445" s="4"/>
    </row>
    <row r="446" spans="1:12" x14ac:dyDescent="0.2">
      <c r="A446" s="172">
        <v>66934</v>
      </c>
      <c r="B446" s="4" t="s">
        <v>474</v>
      </c>
      <c r="C446" s="4" t="s">
        <v>74</v>
      </c>
      <c r="D446" s="4" t="s">
        <v>63</v>
      </c>
      <c r="E446" s="36">
        <v>15</v>
      </c>
      <c r="F446" s="5">
        <v>86</v>
      </c>
      <c r="G446" s="5">
        <f t="shared" si="12"/>
        <v>1290</v>
      </c>
      <c r="H446" s="37">
        <v>0</v>
      </c>
      <c r="I446" s="5">
        <f t="shared" si="13"/>
        <v>1290</v>
      </c>
      <c r="J446" s="4" t="s">
        <v>64</v>
      </c>
      <c r="K446" s="4" t="s">
        <v>65</v>
      </c>
      <c r="L446" s="4"/>
    </row>
    <row r="447" spans="1:12" x14ac:dyDescent="0.2">
      <c r="A447" s="172">
        <v>66934</v>
      </c>
      <c r="B447" s="4" t="s">
        <v>475</v>
      </c>
      <c r="C447" s="4" t="s">
        <v>67</v>
      </c>
      <c r="D447" s="4" t="s">
        <v>63</v>
      </c>
      <c r="E447" s="36">
        <v>35</v>
      </c>
      <c r="F447" s="5">
        <v>85</v>
      </c>
      <c r="G447" s="5">
        <f t="shared" si="12"/>
        <v>2975</v>
      </c>
      <c r="H447" s="37">
        <v>0</v>
      </c>
      <c r="I447" s="5">
        <f t="shared" si="13"/>
        <v>2975</v>
      </c>
      <c r="J447" s="4" t="s">
        <v>64</v>
      </c>
      <c r="K447" s="4" t="s">
        <v>65</v>
      </c>
      <c r="L447" s="4"/>
    </row>
    <row r="448" spans="1:12" x14ac:dyDescent="0.2">
      <c r="A448" s="172">
        <v>66934</v>
      </c>
      <c r="B448" s="4" t="s">
        <v>476</v>
      </c>
      <c r="C448" s="4" t="s">
        <v>76</v>
      </c>
      <c r="D448" s="4" t="s">
        <v>63</v>
      </c>
      <c r="E448" s="36">
        <v>5</v>
      </c>
      <c r="F448" s="5">
        <v>85</v>
      </c>
      <c r="G448" s="5">
        <f t="shared" si="12"/>
        <v>425</v>
      </c>
      <c r="H448" s="37">
        <v>0</v>
      </c>
      <c r="I448" s="5">
        <f t="shared" si="13"/>
        <v>425</v>
      </c>
      <c r="J448" s="4" t="s">
        <v>64</v>
      </c>
      <c r="K448" s="4" t="s">
        <v>65</v>
      </c>
      <c r="L448" s="4"/>
    </row>
    <row r="449" spans="1:12" x14ac:dyDescent="0.2">
      <c r="A449" s="172">
        <v>66934</v>
      </c>
      <c r="B449" s="4" t="s">
        <v>477</v>
      </c>
      <c r="C449" s="4" t="s">
        <v>80</v>
      </c>
      <c r="D449" s="4" t="s">
        <v>63</v>
      </c>
      <c r="E449" s="36">
        <v>15</v>
      </c>
      <c r="F449" s="5">
        <v>85</v>
      </c>
      <c r="G449" s="5">
        <f t="shared" si="12"/>
        <v>1275</v>
      </c>
      <c r="H449" s="37">
        <v>0</v>
      </c>
      <c r="I449" s="5">
        <f t="shared" si="13"/>
        <v>1275</v>
      </c>
      <c r="J449" s="4" t="s">
        <v>64</v>
      </c>
      <c r="K449" s="4" t="s">
        <v>65</v>
      </c>
      <c r="L449" s="4"/>
    </row>
    <row r="450" spans="1:12" x14ac:dyDescent="0.2">
      <c r="A450" s="172">
        <v>66934</v>
      </c>
      <c r="B450" s="4" t="s">
        <v>478</v>
      </c>
      <c r="C450" s="4" t="s">
        <v>92</v>
      </c>
      <c r="D450" s="4" t="s">
        <v>63</v>
      </c>
      <c r="E450" s="36">
        <v>21</v>
      </c>
      <c r="F450" s="5">
        <v>95</v>
      </c>
      <c r="G450" s="5">
        <f t="shared" si="12"/>
        <v>1995</v>
      </c>
      <c r="H450" s="37">
        <v>0</v>
      </c>
      <c r="I450" s="5">
        <f t="shared" si="13"/>
        <v>1995</v>
      </c>
      <c r="J450" s="4" t="s">
        <v>64</v>
      </c>
      <c r="K450" s="4" t="s">
        <v>65</v>
      </c>
      <c r="L450" s="4"/>
    </row>
    <row r="451" spans="1:12" x14ac:dyDescent="0.2">
      <c r="A451" s="172">
        <v>66934</v>
      </c>
      <c r="B451" s="4" t="s">
        <v>479</v>
      </c>
      <c r="C451" s="4" t="s">
        <v>69</v>
      </c>
      <c r="D451" s="4" t="s">
        <v>63</v>
      </c>
      <c r="E451" s="36">
        <v>20</v>
      </c>
      <c r="F451" s="5">
        <v>85</v>
      </c>
      <c r="G451" s="5">
        <f t="shared" ref="G451:G514" si="14">IF($E451="","",$E451*$F451)</f>
        <v>1700</v>
      </c>
      <c r="H451" s="37">
        <v>0</v>
      </c>
      <c r="I451" s="5">
        <f t="shared" ref="I451:I514" si="15">IF($E451="","",$G451*(1-$H451/100))</f>
        <v>1700</v>
      </c>
      <c r="J451" s="4" t="s">
        <v>64</v>
      </c>
      <c r="K451" s="4" t="s">
        <v>65</v>
      </c>
      <c r="L451" s="4"/>
    </row>
    <row r="452" spans="1:12" x14ac:dyDescent="0.2">
      <c r="A452" s="172">
        <v>66934</v>
      </c>
      <c r="B452" s="4" t="s">
        <v>480</v>
      </c>
      <c r="C452" s="4" t="s">
        <v>90</v>
      </c>
      <c r="D452" s="4" t="s">
        <v>63</v>
      </c>
      <c r="E452" s="36">
        <v>15</v>
      </c>
      <c r="F452" s="5">
        <v>85</v>
      </c>
      <c r="G452" s="5">
        <f t="shared" si="14"/>
        <v>1275</v>
      </c>
      <c r="H452" s="37">
        <v>0</v>
      </c>
      <c r="I452" s="5">
        <f t="shared" si="15"/>
        <v>1275</v>
      </c>
      <c r="J452" s="4" t="s">
        <v>64</v>
      </c>
      <c r="K452" s="4" t="s">
        <v>65</v>
      </c>
      <c r="L452" s="4"/>
    </row>
    <row r="453" spans="1:12" x14ac:dyDescent="0.2">
      <c r="A453" s="172">
        <v>66934</v>
      </c>
      <c r="B453" s="4" t="s">
        <v>481</v>
      </c>
      <c r="C453" s="4" t="s">
        <v>88</v>
      </c>
      <c r="D453" s="4" t="s">
        <v>63</v>
      </c>
      <c r="E453" s="36">
        <v>5</v>
      </c>
      <c r="F453" s="5">
        <v>85</v>
      </c>
      <c r="G453" s="5">
        <f t="shared" si="14"/>
        <v>425</v>
      </c>
      <c r="H453" s="37">
        <v>0</v>
      </c>
      <c r="I453" s="5">
        <f t="shared" si="15"/>
        <v>425</v>
      </c>
      <c r="J453" s="4" t="s">
        <v>64</v>
      </c>
      <c r="K453" s="4" t="s">
        <v>65</v>
      </c>
      <c r="L453" s="4"/>
    </row>
    <row r="454" spans="1:12" x14ac:dyDescent="0.2">
      <c r="A454" s="172">
        <v>66934</v>
      </c>
      <c r="B454" s="4" t="s">
        <v>482</v>
      </c>
      <c r="C454" s="4" t="s">
        <v>71</v>
      </c>
      <c r="D454" s="4" t="s">
        <v>63</v>
      </c>
      <c r="E454" s="36">
        <v>70</v>
      </c>
      <c r="F454" s="5">
        <v>85</v>
      </c>
      <c r="G454" s="5">
        <f t="shared" si="14"/>
        <v>5950</v>
      </c>
      <c r="H454" s="37">
        <v>0</v>
      </c>
      <c r="I454" s="5">
        <f t="shared" si="15"/>
        <v>5950</v>
      </c>
      <c r="J454" s="4" t="s">
        <v>64</v>
      </c>
      <c r="K454" s="4" t="s">
        <v>65</v>
      </c>
      <c r="L454" s="4"/>
    </row>
    <row r="455" spans="1:12" x14ac:dyDescent="0.2">
      <c r="A455" s="172">
        <v>66934</v>
      </c>
      <c r="B455" s="4" t="s">
        <v>482</v>
      </c>
      <c r="C455" s="4" t="s">
        <v>71</v>
      </c>
      <c r="D455" s="4" t="s">
        <v>63</v>
      </c>
      <c r="E455" s="36">
        <v>30</v>
      </c>
      <c r="F455" s="5">
        <v>86</v>
      </c>
      <c r="G455" s="5">
        <f t="shared" si="14"/>
        <v>2580</v>
      </c>
      <c r="H455" s="37">
        <v>0</v>
      </c>
      <c r="I455" s="5">
        <f t="shared" si="15"/>
        <v>2580</v>
      </c>
      <c r="J455" s="4" t="s">
        <v>64</v>
      </c>
      <c r="K455" s="4" t="s">
        <v>65</v>
      </c>
      <c r="L455" s="4"/>
    </row>
    <row r="456" spans="1:12" x14ac:dyDescent="0.2">
      <c r="A456" s="172">
        <v>66934</v>
      </c>
      <c r="B456" s="4" t="s">
        <v>483</v>
      </c>
      <c r="C456" s="4" t="s">
        <v>82</v>
      </c>
      <c r="D456" s="4" t="s">
        <v>63</v>
      </c>
      <c r="E456" s="36">
        <v>8</v>
      </c>
      <c r="F456" s="5">
        <v>85</v>
      </c>
      <c r="G456" s="5">
        <f t="shared" si="14"/>
        <v>680</v>
      </c>
      <c r="H456" s="37">
        <v>0</v>
      </c>
      <c r="I456" s="5">
        <f t="shared" si="15"/>
        <v>680</v>
      </c>
      <c r="J456" s="4" t="s">
        <v>64</v>
      </c>
      <c r="K456" s="4" t="s">
        <v>65</v>
      </c>
      <c r="L456" s="4"/>
    </row>
    <row r="457" spans="1:12" x14ac:dyDescent="0.2">
      <c r="A457" s="172">
        <v>66934</v>
      </c>
      <c r="B457" s="4" t="s">
        <v>484</v>
      </c>
      <c r="C457" s="4" t="s">
        <v>94</v>
      </c>
      <c r="D457" s="4" t="s">
        <v>63</v>
      </c>
      <c r="E457" s="36">
        <v>32</v>
      </c>
      <c r="F457" s="5">
        <v>84</v>
      </c>
      <c r="G457" s="5">
        <f t="shared" si="14"/>
        <v>2688</v>
      </c>
      <c r="H457" s="37">
        <v>0</v>
      </c>
      <c r="I457" s="5">
        <f t="shared" si="15"/>
        <v>2688</v>
      </c>
      <c r="J457" s="4" t="s">
        <v>64</v>
      </c>
      <c r="K457" s="4" t="s">
        <v>65</v>
      </c>
      <c r="L457" s="4"/>
    </row>
    <row r="458" spans="1:12" x14ac:dyDescent="0.2">
      <c r="A458" s="172">
        <v>66934</v>
      </c>
      <c r="B458" s="4" t="s">
        <v>485</v>
      </c>
      <c r="C458" s="4" t="s">
        <v>100</v>
      </c>
      <c r="D458" s="4" t="s">
        <v>63</v>
      </c>
      <c r="E458" s="36">
        <v>5.5</v>
      </c>
      <c r="F458" s="5">
        <v>96.36</v>
      </c>
      <c r="G458" s="5">
        <f t="shared" si="14"/>
        <v>529.98</v>
      </c>
      <c r="H458" s="37">
        <v>0</v>
      </c>
      <c r="I458" s="5">
        <f t="shared" si="15"/>
        <v>529.98</v>
      </c>
      <c r="J458" s="4" t="s">
        <v>64</v>
      </c>
      <c r="K458" s="4" t="s">
        <v>65</v>
      </c>
      <c r="L458" s="4"/>
    </row>
    <row r="459" spans="1:12" x14ac:dyDescent="0.2">
      <c r="A459" s="172">
        <v>66934</v>
      </c>
      <c r="B459" s="4" t="s">
        <v>486</v>
      </c>
      <c r="C459" s="4" t="s">
        <v>487</v>
      </c>
      <c r="D459" s="4" t="s">
        <v>63</v>
      </c>
      <c r="E459" s="36">
        <v>0.5</v>
      </c>
      <c r="F459" s="5">
        <v>100</v>
      </c>
      <c r="G459" s="5">
        <f t="shared" si="14"/>
        <v>50</v>
      </c>
      <c r="H459" s="37">
        <v>0</v>
      </c>
      <c r="I459" s="5">
        <f t="shared" si="15"/>
        <v>50</v>
      </c>
      <c r="J459" s="4" t="s">
        <v>64</v>
      </c>
      <c r="K459" s="4" t="s">
        <v>65</v>
      </c>
      <c r="L459" s="4"/>
    </row>
    <row r="460" spans="1:12" x14ac:dyDescent="0.2">
      <c r="A460" s="172">
        <v>66935</v>
      </c>
      <c r="B460" s="4" t="s">
        <v>488</v>
      </c>
      <c r="C460" s="4" t="s">
        <v>62</v>
      </c>
      <c r="D460" s="4" t="s">
        <v>63</v>
      </c>
      <c r="E460" s="36">
        <v>60</v>
      </c>
      <c r="F460" s="5">
        <v>85</v>
      </c>
      <c r="G460" s="5">
        <f t="shared" si="14"/>
        <v>5100</v>
      </c>
      <c r="H460" s="37">
        <v>0</v>
      </c>
      <c r="I460" s="5">
        <f t="shared" si="15"/>
        <v>5100</v>
      </c>
      <c r="J460" s="4" t="s">
        <v>64</v>
      </c>
      <c r="K460" s="4" t="s">
        <v>65</v>
      </c>
      <c r="L460" s="4"/>
    </row>
    <row r="461" spans="1:12" x14ac:dyDescent="0.2">
      <c r="A461" s="172">
        <v>66935</v>
      </c>
      <c r="B461" s="4" t="s">
        <v>488</v>
      </c>
      <c r="C461" s="4" t="s">
        <v>62</v>
      </c>
      <c r="D461" s="4" t="s">
        <v>72</v>
      </c>
      <c r="E461" s="36">
        <v>1</v>
      </c>
      <c r="F461" s="5">
        <v>80</v>
      </c>
      <c r="G461" s="5">
        <f t="shared" si="14"/>
        <v>80</v>
      </c>
      <c r="H461" s="37">
        <v>0</v>
      </c>
      <c r="I461" s="5">
        <f t="shared" si="15"/>
        <v>80</v>
      </c>
      <c r="J461" s="4" t="s">
        <v>64</v>
      </c>
      <c r="K461" s="4" t="s">
        <v>65</v>
      </c>
      <c r="L461" s="4"/>
    </row>
    <row r="462" spans="1:12" x14ac:dyDescent="0.2">
      <c r="A462" s="172">
        <v>66935</v>
      </c>
      <c r="B462" s="4" t="s">
        <v>489</v>
      </c>
      <c r="C462" s="4" t="s">
        <v>67</v>
      </c>
      <c r="D462" s="4" t="s">
        <v>63</v>
      </c>
      <c r="E462" s="36">
        <v>35</v>
      </c>
      <c r="F462" s="5">
        <v>85</v>
      </c>
      <c r="G462" s="5">
        <f t="shared" si="14"/>
        <v>2975</v>
      </c>
      <c r="H462" s="37">
        <v>0</v>
      </c>
      <c r="I462" s="5">
        <f t="shared" si="15"/>
        <v>2975</v>
      </c>
      <c r="J462" s="4" t="s">
        <v>64</v>
      </c>
      <c r="K462" s="4" t="s">
        <v>65</v>
      </c>
      <c r="L462" s="4"/>
    </row>
    <row r="463" spans="1:12" x14ac:dyDescent="0.2">
      <c r="A463" s="172">
        <v>66935</v>
      </c>
      <c r="B463" s="4" t="s">
        <v>490</v>
      </c>
      <c r="C463" s="4" t="s">
        <v>82</v>
      </c>
      <c r="D463" s="4" t="s">
        <v>63</v>
      </c>
      <c r="E463" s="36">
        <v>8</v>
      </c>
      <c r="F463" s="5">
        <v>85</v>
      </c>
      <c r="G463" s="5">
        <f t="shared" si="14"/>
        <v>680</v>
      </c>
      <c r="H463" s="37">
        <v>0</v>
      </c>
      <c r="I463" s="5">
        <f t="shared" si="15"/>
        <v>680</v>
      </c>
      <c r="J463" s="4" t="s">
        <v>64</v>
      </c>
      <c r="K463" s="4" t="s">
        <v>65</v>
      </c>
      <c r="L463" s="4"/>
    </row>
    <row r="464" spans="1:12" x14ac:dyDescent="0.2">
      <c r="A464" s="172">
        <v>66935</v>
      </c>
      <c r="B464" s="4" t="s">
        <v>491</v>
      </c>
      <c r="C464" s="4" t="s">
        <v>69</v>
      </c>
      <c r="D464" s="4" t="s">
        <v>63</v>
      </c>
      <c r="E464" s="36">
        <v>25</v>
      </c>
      <c r="F464" s="5">
        <v>85</v>
      </c>
      <c r="G464" s="5">
        <f t="shared" si="14"/>
        <v>2125</v>
      </c>
      <c r="H464" s="37">
        <v>0</v>
      </c>
      <c r="I464" s="5">
        <f t="shared" si="15"/>
        <v>2125</v>
      </c>
      <c r="J464" s="4" t="s">
        <v>64</v>
      </c>
      <c r="K464" s="4" t="s">
        <v>65</v>
      </c>
      <c r="L464" s="4"/>
    </row>
    <row r="465" spans="1:12" x14ac:dyDescent="0.2">
      <c r="A465" s="172">
        <v>66935</v>
      </c>
      <c r="B465" s="4" t="s">
        <v>492</v>
      </c>
      <c r="C465" s="4" t="s">
        <v>71</v>
      </c>
      <c r="D465" s="4" t="s">
        <v>63</v>
      </c>
      <c r="E465" s="36">
        <v>40</v>
      </c>
      <c r="F465" s="5">
        <v>86</v>
      </c>
      <c r="G465" s="5">
        <f t="shared" si="14"/>
        <v>3440</v>
      </c>
      <c r="H465" s="37">
        <v>0</v>
      </c>
      <c r="I465" s="5">
        <f t="shared" si="15"/>
        <v>3440</v>
      </c>
      <c r="J465" s="4" t="s">
        <v>64</v>
      </c>
      <c r="K465" s="4" t="s">
        <v>65</v>
      </c>
      <c r="L465" s="4"/>
    </row>
    <row r="466" spans="1:12" x14ac:dyDescent="0.2">
      <c r="A466" s="172">
        <v>66935</v>
      </c>
      <c r="B466" s="4" t="s">
        <v>492</v>
      </c>
      <c r="C466" s="4" t="s">
        <v>71</v>
      </c>
      <c r="D466" s="4" t="s">
        <v>63</v>
      </c>
      <c r="E466" s="36">
        <v>80</v>
      </c>
      <c r="F466" s="5">
        <v>85</v>
      </c>
      <c r="G466" s="5">
        <f t="shared" si="14"/>
        <v>6800</v>
      </c>
      <c r="H466" s="37">
        <v>0</v>
      </c>
      <c r="I466" s="5">
        <f t="shared" si="15"/>
        <v>6800</v>
      </c>
      <c r="J466" s="4" t="s">
        <v>64</v>
      </c>
      <c r="K466" s="4" t="s">
        <v>65</v>
      </c>
      <c r="L466" s="4"/>
    </row>
    <row r="467" spans="1:12" x14ac:dyDescent="0.2">
      <c r="A467" s="172">
        <v>66935</v>
      </c>
      <c r="B467" s="4" t="s">
        <v>492</v>
      </c>
      <c r="C467" s="4" t="s">
        <v>71</v>
      </c>
      <c r="D467" s="4" t="s">
        <v>164</v>
      </c>
      <c r="E467" s="36">
        <v>2</v>
      </c>
      <c r="F467" s="5">
        <v>800</v>
      </c>
      <c r="G467" s="5">
        <f t="shared" si="14"/>
        <v>1600</v>
      </c>
      <c r="H467" s="37">
        <v>0</v>
      </c>
      <c r="I467" s="5">
        <f t="shared" si="15"/>
        <v>1600</v>
      </c>
      <c r="J467" s="4" t="s">
        <v>64</v>
      </c>
      <c r="K467" s="4" t="s">
        <v>65</v>
      </c>
      <c r="L467" s="4"/>
    </row>
    <row r="468" spans="1:12" x14ac:dyDescent="0.2">
      <c r="A468" s="172">
        <v>66935</v>
      </c>
      <c r="B468" s="4" t="s">
        <v>493</v>
      </c>
      <c r="C468" s="4" t="s">
        <v>88</v>
      </c>
      <c r="D468" s="4" t="s">
        <v>63</v>
      </c>
      <c r="E468" s="36">
        <v>5</v>
      </c>
      <c r="F468" s="5">
        <v>85</v>
      </c>
      <c r="G468" s="5">
        <f t="shared" si="14"/>
        <v>425</v>
      </c>
      <c r="H468" s="37">
        <v>0</v>
      </c>
      <c r="I468" s="5">
        <f t="shared" si="15"/>
        <v>425</v>
      </c>
      <c r="J468" s="4" t="s">
        <v>64</v>
      </c>
      <c r="K468" s="4" t="s">
        <v>65</v>
      </c>
      <c r="L468" s="4"/>
    </row>
    <row r="469" spans="1:12" x14ac:dyDescent="0.2">
      <c r="A469" s="172">
        <v>66935</v>
      </c>
      <c r="B469" s="4" t="s">
        <v>494</v>
      </c>
      <c r="C469" s="4" t="s">
        <v>90</v>
      </c>
      <c r="D469" s="4" t="s">
        <v>63</v>
      </c>
      <c r="E469" s="36">
        <v>15</v>
      </c>
      <c r="F469" s="5">
        <v>85</v>
      </c>
      <c r="G469" s="5">
        <f t="shared" si="14"/>
        <v>1275</v>
      </c>
      <c r="H469" s="37">
        <v>0</v>
      </c>
      <c r="I469" s="5">
        <f t="shared" si="15"/>
        <v>1275</v>
      </c>
      <c r="J469" s="4" t="s">
        <v>64</v>
      </c>
      <c r="K469" s="4" t="s">
        <v>65</v>
      </c>
      <c r="L469" s="4"/>
    </row>
    <row r="470" spans="1:12" x14ac:dyDescent="0.2">
      <c r="A470" s="172">
        <v>66935</v>
      </c>
      <c r="B470" s="4" t="s">
        <v>495</v>
      </c>
      <c r="C470" s="4" t="s">
        <v>86</v>
      </c>
      <c r="D470" s="4" t="s">
        <v>63</v>
      </c>
      <c r="E470" s="36">
        <v>20</v>
      </c>
      <c r="F470" s="5">
        <v>86</v>
      </c>
      <c r="G470" s="5">
        <f t="shared" si="14"/>
        <v>1720</v>
      </c>
      <c r="H470" s="37">
        <v>0</v>
      </c>
      <c r="I470" s="5">
        <f t="shared" si="15"/>
        <v>1720</v>
      </c>
      <c r="J470" s="4" t="s">
        <v>64</v>
      </c>
      <c r="K470" s="4" t="s">
        <v>65</v>
      </c>
      <c r="L470" s="4"/>
    </row>
    <row r="471" spans="1:12" x14ac:dyDescent="0.2">
      <c r="A471" s="172">
        <v>66935</v>
      </c>
      <c r="B471" s="4" t="s">
        <v>496</v>
      </c>
      <c r="C471" s="4" t="s">
        <v>80</v>
      </c>
      <c r="D471" s="4" t="s">
        <v>63</v>
      </c>
      <c r="E471" s="36">
        <v>12</v>
      </c>
      <c r="F471" s="5">
        <v>85</v>
      </c>
      <c r="G471" s="5">
        <f t="shared" si="14"/>
        <v>1020</v>
      </c>
      <c r="H471" s="37">
        <v>0</v>
      </c>
      <c r="I471" s="5">
        <f t="shared" si="15"/>
        <v>1020</v>
      </c>
      <c r="J471" s="4" t="s">
        <v>64</v>
      </c>
      <c r="K471" s="4" t="s">
        <v>65</v>
      </c>
      <c r="L471" s="4"/>
    </row>
    <row r="472" spans="1:12" x14ac:dyDescent="0.2">
      <c r="A472" s="172">
        <v>66935</v>
      </c>
      <c r="B472" s="4" t="s">
        <v>497</v>
      </c>
      <c r="C472" s="4" t="s">
        <v>78</v>
      </c>
      <c r="D472" s="4" t="s">
        <v>63</v>
      </c>
      <c r="E472" s="36">
        <v>8</v>
      </c>
      <c r="F472" s="5">
        <v>85</v>
      </c>
      <c r="G472" s="5">
        <f t="shared" si="14"/>
        <v>680</v>
      </c>
      <c r="H472" s="37">
        <v>0</v>
      </c>
      <c r="I472" s="5">
        <f t="shared" si="15"/>
        <v>680</v>
      </c>
      <c r="J472" s="4" t="s">
        <v>64</v>
      </c>
      <c r="K472" s="4" t="s">
        <v>65</v>
      </c>
      <c r="L472" s="4"/>
    </row>
    <row r="473" spans="1:12" x14ac:dyDescent="0.2">
      <c r="A473" s="172">
        <v>66935</v>
      </c>
      <c r="B473" s="4" t="s">
        <v>498</v>
      </c>
      <c r="C473" s="4" t="s">
        <v>92</v>
      </c>
      <c r="D473" s="4" t="s">
        <v>63</v>
      </c>
      <c r="E473" s="36">
        <v>30</v>
      </c>
      <c r="F473" s="5">
        <v>95</v>
      </c>
      <c r="G473" s="5">
        <f t="shared" si="14"/>
        <v>2850</v>
      </c>
      <c r="H473" s="37">
        <v>0</v>
      </c>
      <c r="I473" s="5">
        <f t="shared" si="15"/>
        <v>2850</v>
      </c>
      <c r="J473" s="4" t="s">
        <v>64</v>
      </c>
      <c r="K473" s="4" t="s">
        <v>65</v>
      </c>
      <c r="L473" s="4"/>
    </row>
    <row r="474" spans="1:12" x14ac:dyDescent="0.2">
      <c r="A474" s="172">
        <v>66935</v>
      </c>
      <c r="B474" s="4" t="s">
        <v>498</v>
      </c>
      <c r="C474" s="4" t="s">
        <v>92</v>
      </c>
      <c r="D474" s="4" t="s">
        <v>95</v>
      </c>
      <c r="E474" s="36">
        <v>2</v>
      </c>
      <c r="F474" s="5">
        <v>1100</v>
      </c>
      <c r="G474" s="5">
        <f t="shared" si="14"/>
        <v>2200</v>
      </c>
      <c r="H474" s="37">
        <v>0</v>
      </c>
      <c r="I474" s="5">
        <f t="shared" si="15"/>
        <v>2200</v>
      </c>
      <c r="J474" s="4" t="s">
        <v>64</v>
      </c>
      <c r="K474" s="4" t="s">
        <v>65</v>
      </c>
      <c r="L474" s="4"/>
    </row>
    <row r="475" spans="1:12" x14ac:dyDescent="0.2">
      <c r="A475" s="172">
        <v>66935</v>
      </c>
      <c r="B475" s="4" t="s">
        <v>498</v>
      </c>
      <c r="C475" s="4" t="s">
        <v>92</v>
      </c>
      <c r="D475" s="4" t="s">
        <v>164</v>
      </c>
      <c r="E475" s="36">
        <v>0.5</v>
      </c>
      <c r="F475" s="5">
        <v>800</v>
      </c>
      <c r="G475" s="5">
        <f t="shared" si="14"/>
        <v>400</v>
      </c>
      <c r="H475" s="37">
        <v>0</v>
      </c>
      <c r="I475" s="5">
        <f t="shared" si="15"/>
        <v>400</v>
      </c>
      <c r="J475" s="4" t="s">
        <v>64</v>
      </c>
      <c r="K475" s="4" t="s">
        <v>65</v>
      </c>
      <c r="L475" s="4"/>
    </row>
    <row r="476" spans="1:12" x14ac:dyDescent="0.2">
      <c r="A476" s="172">
        <v>66935</v>
      </c>
      <c r="B476" s="4" t="s">
        <v>499</v>
      </c>
      <c r="C476" s="4" t="s">
        <v>98</v>
      </c>
      <c r="D476" s="4" t="s">
        <v>63</v>
      </c>
      <c r="E476" s="36">
        <v>6</v>
      </c>
      <c r="F476" s="5">
        <v>85</v>
      </c>
      <c r="G476" s="5">
        <f t="shared" si="14"/>
        <v>510</v>
      </c>
      <c r="H476" s="37">
        <v>0</v>
      </c>
      <c r="I476" s="5">
        <f t="shared" si="15"/>
        <v>510</v>
      </c>
      <c r="J476" s="4" t="s">
        <v>64</v>
      </c>
      <c r="K476" s="4" t="s">
        <v>65</v>
      </c>
      <c r="L476" s="4"/>
    </row>
    <row r="477" spans="1:12" x14ac:dyDescent="0.2">
      <c r="A477" s="172">
        <v>66935</v>
      </c>
      <c r="B477" s="4" t="s">
        <v>500</v>
      </c>
      <c r="C477" s="4" t="s">
        <v>94</v>
      </c>
      <c r="D477" s="4" t="s">
        <v>63</v>
      </c>
      <c r="E477" s="36">
        <v>27</v>
      </c>
      <c r="F477" s="5">
        <v>84</v>
      </c>
      <c r="G477" s="5">
        <f t="shared" si="14"/>
        <v>2268</v>
      </c>
      <c r="H477" s="37">
        <v>0</v>
      </c>
      <c r="I477" s="5">
        <f t="shared" si="15"/>
        <v>2268</v>
      </c>
      <c r="J477" s="4" t="s">
        <v>64</v>
      </c>
      <c r="K477" s="4" t="s">
        <v>65</v>
      </c>
      <c r="L477" s="4"/>
    </row>
    <row r="478" spans="1:12" x14ac:dyDescent="0.2">
      <c r="A478" s="172">
        <v>66935</v>
      </c>
      <c r="B478" s="4" t="s">
        <v>501</v>
      </c>
      <c r="C478" s="4" t="s">
        <v>100</v>
      </c>
      <c r="D478" s="4" t="s">
        <v>63</v>
      </c>
      <c r="E478" s="36">
        <v>5.5</v>
      </c>
      <c r="F478" s="5">
        <v>100</v>
      </c>
      <c r="G478" s="5">
        <f t="shared" si="14"/>
        <v>550</v>
      </c>
      <c r="H478" s="37">
        <v>0</v>
      </c>
      <c r="I478" s="5">
        <f t="shared" si="15"/>
        <v>550</v>
      </c>
      <c r="J478" s="4" t="s">
        <v>64</v>
      </c>
      <c r="K478" s="4" t="s">
        <v>65</v>
      </c>
      <c r="L478" s="4"/>
    </row>
    <row r="479" spans="1:12" x14ac:dyDescent="0.2">
      <c r="A479" s="172">
        <v>66935</v>
      </c>
      <c r="B479" s="4" t="s">
        <v>501</v>
      </c>
      <c r="C479" s="4" t="s">
        <v>100</v>
      </c>
      <c r="D479" s="4" t="s">
        <v>96</v>
      </c>
      <c r="E479" s="36">
        <v>1</v>
      </c>
      <c r="F479" s="5">
        <v>800</v>
      </c>
      <c r="G479" s="5">
        <f t="shared" si="14"/>
        <v>800</v>
      </c>
      <c r="H479" s="37">
        <v>0</v>
      </c>
      <c r="I479" s="5">
        <f t="shared" si="15"/>
        <v>800</v>
      </c>
      <c r="J479" s="4" t="s">
        <v>64</v>
      </c>
      <c r="K479" s="4" t="s">
        <v>65</v>
      </c>
      <c r="L479" s="4"/>
    </row>
    <row r="480" spans="1:12" x14ac:dyDescent="0.2">
      <c r="A480" s="172">
        <v>66935</v>
      </c>
      <c r="B480" s="4" t="s">
        <v>502</v>
      </c>
      <c r="C480" s="4" t="s">
        <v>487</v>
      </c>
      <c r="D480" s="4" t="s">
        <v>63</v>
      </c>
      <c r="E480" s="36">
        <v>1</v>
      </c>
      <c r="F480" s="5">
        <v>100</v>
      </c>
      <c r="G480" s="5">
        <f t="shared" si="14"/>
        <v>100</v>
      </c>
      <c r="H480" s="37">
        <v>0</v>
      </c>
      <c r="I480" s="5">
        <f t="shared" si="15"/>
        <v>100</v>
      </c>
      <c r="J480" s="4" t="s">
        <v>64</v>
      </c>
      <c r="K480" s="4" t="s">
        <v>65</v>
      </c>
      <c r="L480" s="4"/>
    </row>
    <row r="481" spans="1:12" x14ac:dyDescent="0.2">
      <c r="A481" s="172">
        <v>66935</v>
      </c>
      <c r="B481" s="4" t="s">
        <v>503</v>
      </c>
      <c r="C481" s="4" t="s">
        <v>214</v>
      </c>
      <c r="D481" s="4" t="s">
        <v>63</v>
      </c>
      <c r="E481" s="36">
        <v>4</v>
      </c>
      <c r="F481" s="5">
        <v>100</v>
      </c>
      <c r="G481" s="5">
        <f t="shared" si="14"/>
        <v>400</v>
      </c>
      <c r="H481" s="37">
        <v>0</v>
      </c>
      <c r="I481" s="5">
        <f t="shared" si="15"/>
        <v>400</v>
      </c>
      <c r="J481" s="4" t="s">
        <v>64</v>
      </c>
      <c r="K481" s="4" t="s">
        <v>65</v>
      </c>
      <c r="L481" s="4"/>
    </row>
    <row r="482" spans="1:12" x14ac:dyDescent="0.2">
      <c r="A482" s="172">
        <v>66936</v>
      </c>
      <c r="B482" s="4" t="s">
        <v>504</v>
      </c>
      <c r="C482" s="4" t="s">
        <v>62</v>
      </c>
      <c r="D482" s="4" t="s">
        <v>63</v>
      </c>
      <c r="E482" s="36">
        <v>60</v>
      </c>
      <c r="F482" s="5">
        <v>85</v>
      </c>
      <c r="G482" s="5">
        <f t="shared" si="14"/>
        <v>5100</v>
      </c>
      <c r="H482" s="37">
        <v>0</v>
      </c>
      <c r="I482" s="5">
        <f t="shared" si="15"/>
        <v>5100</v>
      </c>
      <c r="J482" s="4" t="s">
        <v>64</v>
      </c>
      <c r="K482" s="4" t="s">
        <v>65</v>
      </c>
      <c r="L482" s="4"/>
    </row>
    <row r="483" spans="1:12" x14ac:dyDescent="0.2">
      <c r="A483" s="172">
        <v>66936</v>
      </c>
      <c r="B483" s="4" t="s">
        <v>504</v>
      </c>
      <c r="C483" s="4" t="s">
        <v>62</v>
      </c>
      <c r="D483" s="4" t="s">
        <v>72</v>
      </c>
      <c r="E483" s="36">
        <v>1</v>
      </c>
      <c r="F483" s="5">
        <v>80</v>
      </c>
      <c r="G483" s="5">
        <f t="shared" si="14"/>
        <v>80</v>
      </c>
      <c r="H483" s="37">
        <v>0</v>
      </c>
      <c r="I483" s="5">
        <f t="shared" si="15"/>
        <v>80</v>
      </c>
      <c r="J483" s="4" t="s">
        <v>64</v>
      </c>
      <c r="K483" s="4" t="s">
        <v>65</v>
      </c>
      <c r="L483" s="4"/>
    </row>
    <row r="484" spans="1:12" x14ac:dyDescent="0.2">
      <c r="A484" s="172">
        <v>66936</v>
      </c>
      <c r="B484" s="4" t="s">
        <v>505</v>
      </c>
      <c r="C484" s="4" t="s">
        <v>67</v>
      </c>
      <c r="D484" s="4" t="s">
        <v>63</v>
      </c>
      <c r="E484" s="36">
        <v>30</v>
      </c>
      <c r="F484" s="5">
        <v>85</v>
      </c>
      <c r="G484" s="5">
        <f t="shared" si="14"/>
        <v>2550</v>
      </c>
      <c r="H484" s="37">
        <v>0</v>
      </c>
      <c r="I484" s="5">
        <f t="shared" si="15"/>
        <v>2550</v>
      </c>
      <c r="J484" s="4" t="s">
        <v>64</v>
      </c>
      <c r="K484" s="4" t="s">
        <v>65</v>
      </c>
      <c r="L484" s="4"/>
    </row>
    <row r="485" spans="1:12" x14ac:dyDescent="0.2">
      <c r="A485" s="172">
        <v>66936</v>
      </c>
      <c r="B485" s="4" t="s">
        <v>506</v>
      </c>
      <c r="C485" s="4" t="s">
        <v>71</v>
      </c>
      <c r="D485" s="4" t="s">
        <v>63</v>
      </c>
      <c r="E485" s="36">
        <v>40</v>
      </c>
      <c r="F485" s="5">
        <v>86</v>
      </c>
      <c r="G485" s="5">
        <f t="shared" si="14"/>
        <v>3440</v>
      </c>
      <c r="H485" s="37">
        <v>0</v>
      </c>
      <c r="I485" s="5">
        <f t="shared" si="15"/>
        <v>3440</v>
      </c>
      <c r="J485" s="4" t="s">
        <v>64</v>
      </c>
      <c r="K485" s="4" t="s">
        <v>65</v>
      </c>
      <c r="L485" s="4"/>
    </row>
    <row r="486" spans="1:12" x14ac:dyDescent="0.2">
      <c r="A486" s="172">
        <v>66936</v>
      </c>
      <c r="B486" s="4" t="s">
        <v>506</v>
      </c>
      <c r="C486" s="4" t="s">
        <v>71</v>
      </c>
      <c r="D486" s="4" t="s">
        <v>63</v>
      </c>
      <c r="E486" s="36">
        <v>60</v>
      </c>
      <c r="F486" s="5">
        <v>85</v>
      </c>
      <c r="G486" s="5">
        <f t="shared" si="14"/>
        <v>5100</v>
      </c>
      <c r="H486" s="37">
        <v>0</v>
      </c>
      <c r="I486" s="5">
        <f t="shared" si="15"/>
        <v>5100</v>
      </c>
      <c r="J486" s="4" t="s">
        <v>64</v>
      </c>
      <c r="K486" s="4" t="s">
        <v>65</v>
      </c>
      <c r="L486" s="4"/>
    </row>
    <row r="487" spans="1:12" x14ac:dyDescent="0.2">
      <c r="A487" s="172">
        <v>66936</v>
      </c>
      <c r="B487" s="4" t="s">
        <v>506</v>
      </c>
      <c r="C487" s="4" t="s">
        <v>71</v>
      </c>
      <c r="D487" s="4" t="s">
        <v>63</v>
      </c>
      <c r="E487" s="36">
        <v>2</v>
      </c>
      <c r="F487" s="5">
        <v>1100</v>
      </c>
      <c r="G487" s="5">
        <f t="shared" si="14"/>
        <v>2200</v>
      </c>
      <c r="H487" s="37">
        <v>0</v>
      </c>
      <c r="I487" s="5">
        <f t="shared" si="15"/>
        <v>2200</v>
      </c>
      <c r="J487" s="4" t="s">
        <v>64</v>
      </c>
      <c r="K487" s="4" t="s">
        <v>65</v>
      </c>
      <c r="L487" s="4"/>
    </row>
    <row r="488" spans="1:12" x14ac:dyDescent="0.2">
      <c r="A488" s="172">
        <v>66936</v>
      </c>
      <c r="B488" s="4" t="s">
        <v>507</v>
      </c>
      <c r="C488" s="4" t="s">
        <v>86</v>
      </c>
      <c r="D488" s="4" t="s">
        <v>63</v>
      </c>
      <c r="E488" s="36">
        <v>20</v>
      </c>
      <c r="F488" s="5">
        <v>86</v>
      </c>
      <c r="G488" s="5">
        <f t="shared" si="14"/>
        <v>1720</v>
      </c>
      <c r="H488" s="37">
        <v>0</v>
      </c>
      <c r="I488" s="5">
        <f t="shared" si="15"/>
        <v>1720</v>
      </c>
      <c r="J488" s="4" t="s">
        <v>64</v>
      </c>
      <c r="K488" s="4" t="s">
        <v>65</v>
      </c>
      <c r="L488" s="4"/>
    </row>
    <row r="489" spans="1:12" x14ac:dyDescent="0.2">
      <c r="A489" s="172">
        <v>66936</v>
      </c>
      <c r="B489" s="4" t="s">
        <v>508</v>
      </c>
      <c r="C489" s="4" t="s">
        <v>84</v>
      </c>
      <c r="D489" s="4" t="s">
        <v>63</v>
      </c>
      <c r="E489" s="36">
        <v>3</v>
      </c>
      <c r="F489" s="5">
        <v>86</v>
      </c>
      <c r="G489" s="5">
        <f t="shared" si="14"/>
        <v>258</v>
      </c>
      <c r="H489" s="37">
        <v>0</v>
      </c>
      <c r="I489" s="5">
        <f t="shared" si="15"/>
        <v>258</v>
      </c>
      <c r="J489" s="4" t="s">
        <v>64</v>
      </c>
      <c r="K489" s="4" t="s">
        <v>65</v>
      </c>
      <c r="L489" s="4"/>
    </row>
    <row r="490" spans="1:12" x14ac:dyDescent="0.2">
      <c r="A490" s="172">
        <v>66936</v>
      </c>
      <c r="B490" s="4" t="s">
        <v>509</v>
      </c>
      <c r="C490" s="4" t="s">
        <v>76</v>
      </c>
      <c r="D490" s="4" t="s">
        <v>63</v>
      </c>
      <c r="E490" s="36">
        <v>10</v>
      </c>
      <c r="F490" s="5">
        <v>85</v>
      </c>
      <c r="G490" s="5">
        <f t="shared" si="14"/>
        <v>850</v>
      </c>
      <c r="H490" s="37">
        <v>0</v>
      </c>
      <c r="I490" s="5">
        <f t="shared" si="15"/>
        <v>850</v>
      </c>
      <c r="J490" s="4" t="s">
        <v>64</v>
      </c>
      <c r="K490" s="4" t="s">
        <v>65</v>
      </c>
      <c r="L490" s="4"/>
    </row>
    <row r="491" spans="1:12" x14ac:dyDescent="0.2">
      <c r="A491" s="172">
        <v>66936</v>
      </c>
      <c r="B491" s="4" t="s">
        <v>510</v>
      </c>
      <c r="C491" s="4" t="s">
        <v>80</v>
      </c>
      <c r="D491" s="4" t="s">
        <v>63</v>
      </c>
      <c r="E491" s="36">
        <v>12</v>
      </c>
      <c r="F491" s="5">
        <v>85</v>
      </c>
      <c r="G491" s="5">
        <f t="shared" si="14"/>
        <v>1020</v>
      </c>
      <c r="H491" s="37">
        <v>0</v>
      </c>
      <c r="I491" s="5">
        <f t="shared" si="15"/>
        <v>1020</v>
      </c>
      <c r="J491" s="4" t="s">
        <v>64</v>
      </c>
      <c r="K491" s="4" t="s">
        <v>65</v>
      </c>
      <c r="L491" s="4"/>
    </row>
    <row r="492" spans="1:12" x14ac:dyDescent="0.2">
      <c r="A492" s="172">
        <v>66936</v>
      </c>
      <c r="B492" s="4" t="s">
        <v>511</v>
      </c>
      <c r="C492" s="4" t="s">
        <v>82</v>
      </c>
      <c r="D492" s="4" t="s">
        <v>63</v>
      </c>
      <c r="E492" s="36">
        <v>8</v>
      </c>
      <c r="F492" s="5">
        <v>85</v>
      </c>
      <c r="G492" s="5">
        <f t="shared" si="14"/>
        <v>680</v>
      </c>
      <c r="H492" s="37">
        <v>0</v>
      </c>
      <c r="I492" s="5">
        <f t="shared" si="15"/>
        <v>680</v>
      </c>
      <c r="J492" s="4" t="s">
        <v>64</v>
      </c>
      <c r="K492" s="4" t="s">
        <v>65</v>
      </c>
      <c r="L492" s="4"/>
    </row>
    <row r="493" spans="1:12" x14ac:dyDescent="0.2">
      <c r="A493" s="172">
        <v>66936</v>
      </c>
      <c r="B493" s="4" t="s">
        <v>512</v>
      </c>
      <c r="C493" s="4" t="s">
        <v>69</v>
      </c>
      <c r="D493" s="4" t="s">
        <v>63</v>
      </c>
      <c r="E493" s="36">
        <v>25</v>
      </c>
      <c r="F493" s="5">
        <v>85</v>
      </c>
      <c r="G493" s="5">
        <f t="shared" si="14"/>
        <v>2125</v>
      </c>
      <c r="H493" s="37">
        <v>0</v>
      </c>
      <c r="I493" s="5">
        <f t="shared" si="15"/>
        <v>2125</v>
      </c>
      <c r="J493" s="4" t="s">
        <v>64</v>
      </c>
      <c r="K493" s="4" t="s">
        <v>65</v>
      </c>
      <c r="L493" s="4"/>
    </row>
    <row r="494" spans="1:12" x14ac:dyDescent="0.2">
      <c r="A494" s="172">
        <v>66936</v>
      </c>
      <c r="B494" s="4" t="s">
        <v>513</v>
      </c>
      <c r="C494" s="4" t="s">
        <v>88</v>
      </c>
      <c r="D494" s="4" t="s">
        <v>63</v>
      </c>
      <c r="E494" s="36">
        <v>5</v>
      </c>
      <c r="F494" s="5">
        <v>85</v>
      </c>
      <c r="G494" s="5">
        <f t="shared" si="14"/>
        <v>425</v>
      </c>
      <c r="H494" s="37">
        <v>0</v>
      </c>
      <c r="I494" s="5">
        <f t="shared" si="15"/>
        <v>425</v>
      </c>
      <c r="J494" s="4" t="s">
        <v>64</v>
      </c>
      <c r="K494" s="4" t="s">
        <v>65</v>
      </c>
      <c r="L494" s="4"/>
    </row>
    <row r="495" spans="1:12" x14ac:dyDescent="0.2">
      <c r="A495" s="172">
        <v>66936</v>
      </c>
      <c r="B495" s="4" t="s">
        <v>514</v>
      </c>
      <c r="C495" s="4" t="s">
        <v>90</v>
      </c>
      <c r="D495" s="4" t="s">
        <v>63</v>
      </c>
      <c r="E495" s="36">
        <v>15</v>
      </c>
      <c r="F495" s="5">
        <v>85</v>
      </c>
      <c r="G495" s="5">
        <f t="shared" si="14"/>
        <v>1275</v>
      </c>
      <c r="H495" s="37">
        <v>0</v>
      </c>
      <c r="I495" s="5">
        <f t="shared" si="15"/>
        <v>1275</v>
      </c>
      <c r="J495" s="4" t="s">
        <v>64</v>
      </c>
      <c r="K495" s="4" t="s">
        <v>65</v>
      </c>
      <c r="L495" s="4"/>
    </row>
    <row r="496" spans="1:12" x14ac:dyDescent="0.2">
      <c r="A496" s="172">
        <v>66936</v>
      </c>
      <c r="B496" s="4" t="s">
        <v>515</v>
      </c>
      <c r="C496" s="4" t="s">
        <v>92</v>
      </c>
      <c r="D496" s="4" t="s">
        <v>63</v>
      </c>
      <c r="E496" s="36">
        <v>30</v>
      </c>
      <c r="F496" s="5">
        <v>95</v>
      </c>
      <c r="G496" s="5">
        <f t="shared" si="14"/>
        <v>2850</v>
      </c>
      <c r="H496" s="37">
        <v>0</v>
      </c>
      <c r="I496" s="5">
        <f t="shared" si="15"/>
        <v>2850</v>
      </c>
      <c r="J496" s="4" t="s">
        <v>64</v>
      </c>
      <c r="K496" s="4" t="s">
        <v>65</v>
      </c>
      <c r="L496" s="4"/>
    </row>
    <row r="497" spans="1:12" x14ac:dyDescent="0.2">
      <c r="A497" s="172">
        <v>66936</v>
      </c>
      <c r="B497" s="4" t="s">
        <v>515</v>
      </c>
      <c r="C497" s="4" t="s">
        <v>92</v>
      </c>
      <c r="D497" s="4" t="s">
        <v>63</v>
      </c>
      <c r="E497" s="36">
        <v>12</v>
      </c>
      <c r="F497" s="5">
        <v>85</v>
      </c>
      <c r="G497" s="5">
        <f t="shared" si="14"/>
        <v>1020</v>
      </c>
      <c r="H497" s="37">
        <v>0</v>
      </c>
      <c r="I497" s="5">
        <f t="shared" si="15"/>
        <v>1020</v>
      </c>
      <c r="J497" s="4" t="s">
        <v>64</v>
      </c>
      <c r="K497" s="4" t="s">
        <v>65</v>
      </c>
      <c r="L497" s="4"/>
    </row>
    <row r="498" spans="1:12" x14ac:dyDescent="0.2">
      <c r="A498" s="172">
        <v>66936</v>
      </c>
      <c r="B498" s="4" t="s">
        <v>516</v>
      </c>
      <c r="C498" s="4" t="s">
        <v>94</v>
      </c>
      <c r="D498" s="4" t="s">
        <v>63</v>
      </c>
      <c r="E498" s="36">
        <v>30</v>
      </c>
      <c r="F498" s="5">
        <v>84</v>
      </c>
      <c r="G498" s="5">
        <f t="shared" si="14"/>
        <v>2520</v>
      </c>
      <c r="H498" s="37">
        <v>0</v>
      </c>
      <c r="I498" s="5">
        <f t="shared" si="15"/>
        <v>2520</v>
      </c>
      <c r="J498" s="4" t="s">
        <v>64</v>
      </c>
      <c r="K498" s="4" t="s">
        <v>65</v>
      </c>
      <c r="L498" s="4"/>
    </row>
    <row r="499" spans="1:12" x14ac:dyDescent="0.2">
      <c r="A499" s="172">
        <v>66936</v>
      </c>
      <c r="B499" s="4" t="s">
        <v>517</v>
      </c>
      <c r="C499" s="4" t="s">
        <v>98</v>
      </c>
      <c r="D499" s="4" t="s">
        <v>63</v>
      </c>
      <c r="E499" s="36">
        <v>6</v>
      </c>
      <c r="F499" s="5">
        <v>85</v>
      </c>
      <c r="G499" s="5">
        <f t="shared" si="14"/>
        <v>510</v>
      </c>
      <c r="H499" s="37">
        <v>0</v>
      </c>
      <c r="I499" s="5">
        <f t="shared" si="15"/>
        <v>510</v>
      </c>
      <c r="J499" s="4" t="s">
        <v>64</v>
      </c>
      <c r="K499" s="4" t="s">
        <v>65</v>
      </c>
      <c r="L499" s="4"/>
    </row>
    <row r="500" spans="1:12" x14ac:dyDescent="0.2">
      <c r="A500" s="172">
        <v>66936</v>
      </c>
      <c r="B500" s="4" t="s">
        <v>518</v>
      </c>
      <c r="C500" s="4" t="s">
        <v>74</v>
      </c>
      <c r="D500" s="4" t="s">
        <v>63</v>
      </c>
      <c r="E500" s="36">
        <v>18</v>
      </c>
      <c r="F500" s="5">
        <v>86</v>
      </c>
      <c r="G500" s="5">
        <f t="shared" si="14"/>
        <v>1548</v>
      </c>
      <c r="H500" s="37">
        <v>0</v>
      </c>
      <c r="I500" s="5">
        <f t="shared" si="15"/>
        <v>1548</v>
      </c>
      <c r="J500" s="4" t="s">
        <v>64</v>
      </c>
      <c r="K500" s="4" t="s">
        <v>65</v>
      </c>
      <c r="L500" s="4"/>
    </row>
    <row r="501" spans="1:12" x14ac:dyDescent="0.2">
      <c r="A501" s="172">
        <v>66936</v>
      </c>
      <c r="B501" s="4" t="s">
        <v>519</v>
      </c>
      <c r="C501" s="4" t="s">
        <v>100</v>
      </c>
      <c r="D501" s="4" t="s">
        <v>63</v>
      </c>
      <c r="E501" s="36">
        <v>6</v>
      </c>
      <c r="F501" s="5">
        <v>95</v>
      </c>
      <c r="G501" s="5">
        <f t="shared" si="14"/>
        <v>570</v>
      </c>
      <c r="H501" s="37">
        <v>0</v>
      </c>
      <c r="I501" s="5">
        <f t="shared" si="15"/>
        <v>570</v>
      </c>
      <c r="J501" s="4" t="s">
        <v>64</v>
      </c>
      <c r="K501" s="4" t="s">
        <v>65</v>
      </c>
      <c r="L501" s="4"/>
    </row>
    <row r="502" spans="1:12" x14ac:dyDescent="0.2">
      <c r="A502" s="172">
        <v>66936</v>
      </c>
      <c r="B502" s="4" t="s">
        <v>519</v>
      </c>
      <c r="C502" s="4" t="s">
        <v>100</v>
      </c>
      <c r="D502" s="4" t="s">
        <v>95</v>
      </c>
      <c r="E502" s="36">
        <v>2</v>
      </c>
      <c r="F502" s="5">
        <v>1100</v>
      </c>
      <c r="G502" s="5">
        <f t="shared" si="14"/>
        <v>2200</v>
      </c>
      <c r="H502" s="37">
        <v>0</v>
      </c>
      <c r="I502" s="5">
        <f t="shared" si="15"/>
        <v>2200</v>
      </c>
      <c r="J502" s="4" t="s">
        <v>64</v>
      </c>
      <c r="K502" s="4" t="s">
        <v>65</v>
      </c>
      <c r="L502" s="4"/>
    </row>
    <row r="503" spans="1:12" x14ac:dyDescent="0.2">
      <c r="A503" s="172">
        <v>66936</v>
      </c>
      <c r="B503" s="4" t="s">
        <v>519</v>
      </c>
      <c r="C503" s="4" t="s">
        <v>100</v>
      </c>
      <c r="D503" s="4" t="s">
        <v>164</v>
      </c>
      <c r="E503" s="36">
        <v>1</v>
      </c>
      <c r="F503" s="5">
        <v>800</v>
      </c>
      <c r="G503" s="5">
        <f t="shared" si="14"/>
        <v>800</v>
      </c>
      <c r="H503" s="37">
        <v>0</v>
      </c>
      <c r="I503" s="5">
        <f t="shared" si="15"/>
        <v>800</v>
      </c>
      <c r="J503" s="4" t="s">
        <v>64</v>
      </c>
      <c r="K503" s="4" t="s">
        <v>65</v>
      </c>
      <c r="L503" s="4"/>
    </row>
    <row r="504" spans="1:12" x14ac:dyDescent="0.2">
      <c r="A504" s="172">
        <v>66936</v>
      </c>
      <c r="B504" s="4" t="s">
        <v>520</v>
      </c>
      <c r="C504" s="4" t="s">
        <v>214</v>
      </c>
      <c r="D504" s="4" t="s">
        <v>63</v>
      </c>
      <c r="E504" s="36">
        <v>2</v>
      </c>
      <c r="F504" s="5">
        <v>100</v>
      </c>
      <c r="G504" s="5">
        <f t="shared" si="14"/>
        <v>200</v>
      </c>
      <c r="H504" s="37">
        <v>0</v>
      </c>
      <c r="I504" s="5">
        <f t="shared" si="15"/>
        <v>200</v>
      </c>
      <c r="J504" s="4" t="s">
        <v>64</v>
      </c>
      <c r="K504" s="4" t="s">
        <v>65</v>
      </c>
      <c r="L504" s="4"/>
    </row>
    <row r="505" spans="1:12" x14ac:dyDescent="0.2">
      <c r="A505" s="172">
        <v>66937</v>
      </c>
      <c r="B505" s="4" t="s">
        <v>521</v>
      </c>
      <c r="C505" s="4" t="s">
        <v>94</v>
      </c>
      <c r="D505" s="4" t="s">
        <v>63</v>
      </c>
      <c r="E505" s="36">
        <v>35</v>
      </c>
      <c r="F505" s="5">
        <v>84</v>
      </c>
      <c r="G505" s="5">
        <f t="shared" si="14"/>
        <v>2940</v>
      </c>
      <c r="H505" s="37">
        <v>0</v>
      </c>
      <c r="I505" s="5">
        <f t="shared" si="15"/>
        <v>2940</v>
      </c>
      <c r="J505" s="4" t="s">
        <v>64</v>
      </c>
      <c r="K505" s="4" t="s">
        <v>65</v>
      </c>
      <c r="L505" s="146"/>
    </row>
    <row r="506" spans="1:12" x14ac:dyDescent="0.2">
      <c r="A506" s="172">
        <v>66937</v>
      </c>
      <c r="B506" s="4" t="s">
        <v>522</v>
      </c>
      <c r="C506" s="4" t="s">
        <v>62</v>
      </c>
      <c r="D506" s="4" t="s">
        <v>63</v>
      </c>
      <c r="E506" s="36">
        <v>60</v>
      </c>
      <c r="F506" s="5">
        <v>85</v>
      </c>
      <c r="G506" s="5">
        <f t="shared" si="14"/>
        <v>5100</v>
      </c>
      <c r="H506" s="37">
        <v>0</v>
      </c>
      <c r="I506" s="5">
        <f t="shared" si="15"/>
        <v>5100</v>
      </c>
      <c r="J506" s="4" t="s">
        <v>64</v>
      </c>
      <c r="K506" s="4" t="s">
        <v>65</v>
      </c>
      <c r="L506" s="4"/>
    </row>
    <row r="507" spans="1:12" x14ac:dyDescent="0.2">
      <c r="A507" s="172">
        <v>66937</v>
      </c>
      <c r="B507" s="4" t="s">
        <v>522</v>
      </c>
      <c r="C507" s="4" t="s">
        <v>62</v>
      </c>
      <c r="D507" s="4" t="s">
        <v>63</v>
      </c>
      <c r="E507" s="36">
        <v>1</v>
      </c>
      <c r="F507" s="5">
        <v>80</v>
      </c>
      <c r="G507" s="5">
        <f t="shared" si="14"/>
        <v>80</v>
      </c>
      <c r="H507" s="37">
        <v>0</v>
      </c>
      <c r="I507" s="5">
        <f t="shared" si="15"/>
        <v>80</v>
      </c>
      <c r="J507" s="4" t="s">
        <v>64</v>
      </c>
      <c r="K507" s="4" t="s">
        <v>65</v>
      </c>
      <c r="L507" s="4"/>
    </row>
    <row r="508" spans="1:12" x14ac:dyDescent="0.2">
      <c r="A508" s="172">
        <v>66937</v>
      </c>
      <c r="B508" s="4" t="s">
        <v>523</v>
      </c>
      <c r="C508" s="4" t="s">
        <v>67</v>
      </c>
      <c r="D508" s="4" t="s">
        <v>63</v>
      </c>
      <c r="E508" s="36">
        <v>45</v>
      </c>
      <c r="F508" s="5">
        <v>85</v>
      </c>
      <c r="G508" s="5">
        <f t="shared" si="14"/>
        <v>3825</v>
      </c>
      <c r="H508" s="37">
        <v>0</v>
      </c>
      <c r="I508" s="5">
        <f t="shared" si="15"/>
        <v>3825</v>
      </c>
      <c r="J508" s="4" t="s">
        <v>64</v>
      </c>
      <c r="K508" s="4" t="s">
        <v>65</v>
      </c>
      <c r="L508" s="4"/>
    </row>
    <row r="509" spans="1:12" x14ac:dyDescent="0.2">
      <c r="A509" s="172">
        <v>66937</v>
      </c>
      <c r="B509" s="4" t="s">
        <v>524</v>
      </c>
      <c r="C509" s="4" t="s">
        <v>76</v>
      </c>
      <c r="D509" s="4" t="s">
        <v>63</v>
      </c>
      <c r="E509" s="36">
        <v>10</v>
      </c>
      <c r="F509" s="5">
        <v>85</v>
      </c>
      <c r="G509" s="5">
        <f t="shared" si="14"/>
        <v>850</v>
      </c>
      <c r="H509" s="37">
        <v>0</v>
      </c>
      <c r="I509" s="5">
        <f t="shared" si="15"/>
        <v>850</v>
      </c>
      <c r="J509" s="4" t="s">
        <v>64</v>
      </c>
      <c r="K509" s="4" t="s">
        <v>65</v>
      </c>
      <c r="L509" s="4"/>
    </row>
    <row r="510" spans="1:12" x14ac:dyDescent="0.2">
      <c r="A510" s="172">
        <v>66937</v>
      </c>
      <c r="B510" s="4" t="s">
        <v>525</v>
      </c>
      <c r="C510" s="4" t="s">
        <v>82</v>
      </c>
      <c r="D510" s="4" t="s">
        <v>63</v>
      </c>
      <c r="E510" s="36">
        <v>8</v>
      </c>
      <c r="F510" s="5">
        <v>85</v>
      </c>
      <c r="G510" s="5">
        <f t="shared" si="14"/>
        <v>680</v>
      </c>
      <c r="H510" s="37">
        <v>0</v>
      </c>
      <c r="I510" s="5">
        <f t="shared" si="15"/>
        <v>680</v>
      </c>
      <c r="J510" s="4" t="s">
        <v>64</v>
      </c>
      <c r="K510" s="4" t="s">
        <v>65</v>
      </c>
      <c r="L510" s="4"/>
    </row>
    <row r="511" spans="1:12" x14ac:dyDescent="0.2">
      <c r="A511" s="172">
        <v>66937</v>
      </c>
      <c r="B511" s="4" t="s">
        <v>526</v>
      </c>
      <c r="C511" s="4" t="s">
        <v>84</v>
      </c>
      <c r="D511" s="4" t="s">
        <v>63</v>
      </c>
      <c r="E511" s="36">
        <v>3</v>
      </c>
      <c r="F511" s="5">
        <v>86</v>
      </c>
      <c r="G511" s="5">
        <f t="shared" si="14"/>
        <v>258</v>
      </c>
      <c r="H511" s="37">
        <v>0</v>
      </c>
      <c r="I511" s="5">
        <f t="shared" si="15"/>
        <v>258</v>
      </c>
      <c r="J511" s="4" t="s">
        <v>64</v>
      </c>
      <c r="K511" s="4" t="s">
        <v>65</v>
      </c>
      <c r="L511" s="4"/>
    </row>
    <row r="512" spans="1:12" x14ac:dyDescent="0.2">
      <c r="A512" s="172">
        <v>66937</v>
      </c>
      <c r="B512" s="4" t="s">
        <v>527</v>
      </c>
      <c r="C512" s="4" t="s">
        <v>88</v>
      </c>
      <c r="D512" s="4" t="s">
        <v>63</v>
      </c>
      <c r="E512" s="36">
        <v>5</v>
      </c>
      <c r="F512" s="5">
        <v>85</v>
      </c>
      <c r="G512" s="5">
        <f t="shared" si="14"/>
        <v>425</v>
      </c>
      <c r="H512" s="37">
        <v>0</v>
      </c>
      <c r="I512" s="5">
        <f t="shared" si="15"/>
        <v>425</v>
      </c>
      <c r="J512" s="4" t="s">
        <v>64</v>
      </c>
      <c r="K512" s="4" t="s">
        <v>65</v>
      </c>
      <c r="L512" s="4"/>
    </row>
    <row r="513" spans="1:12" x14ac:dyDescent="0.2">
      <c r="A513" s="173">
        <v>66937</v>
      </c>
      <c r="B513" s="4" t="s">
        <v>528</v>
      </c>
      <c r="C513" s="142" t="s">
        <v>74</v>
      </c>
      <c r="D513" s="4" t="s">
        <v>63</v>
      </c>
      <c r="E513" s="143">
        <v>15</v>
      </c>
      <c r="F513" s="144">
        <v>86</v>
      </c>
      <c r="G513" s="5">
        <f t="shared" si="14"/>
        <v>1290</v>
      </c>
      <c r="H513" s="37">
        <v>0</v>
      </c>
      <c r="I513" s="5">
        <f t="shared" si="15"/>
        <v>1290</v>
      </c>
      <c r="J513" s="4" t="s">
        <v>64</v>
      </c>
      <c r="K513" s="4" t="s">
        <v>65</v>
      </c>
      <c r="L513" s="142"/>
    </row>
    <row r="514" spans="1:12" x14ac:dyDescent="0.2">
      <c r="A514" s="173">
        <v>66937</v>
      </c>
      <c r="B514" s="4" t="s">
        <v>529</v>
      </c>
      <c r="C514" s="142" t="s">
        <v>78</v>
      </c>
      <c r="D514" s="142" t="s">
        <v>63</v>
      </c>
      <c r="E514" s="143">
        <v>5</v>
      </c>
      <c r="F514" s="144">
        <v>85</v>
      </c>
      <c r="G514" s="5">
        <f t="shared" si="14"/>
        <v>425</v>
      </c>
      <c r="H514" s="37">
        <v>0</v>
      </c>
      <c r="I514" s="5">
        <f t="shared" si="15"/>
        <v>425</v>
      </c>
      <c r="J514" s="4" t="s">
        <v>64</v>
      </c>
      <c r="K514" s="4" t="s">
        <v>65</v>
      </c>
      <c r="L514" s="142"/>
    </row>
    <row r="515" spans="1:12" x14ac:dyDescent="0.2">
      <c r="A515" s="173">
        <v>66937</v>
      </c>
      <c r="B515" s="4" t="s">
        <v>530</v>
      </c>
      <c r="C515" s="142" t="s">
        <v>80</v>
      </c>
      <c r="D515" s="142" t="s">
        <v>63</v>
      </c>
      <c r="E515" s="143">
        <v>12</v>
      </c>
      <c r="F515" s="144">
        <v>85</v>
      </c>
      <c r="G515" s="5">
        <f t="shared" ref="G515:G578" si="16">IF($E515="","",$E515*$F515)</f>
        <v>1020</v>
      </c>
      <c r="H515" s="37">
        <v>0</v>
      </c>
      <c r="I515" s="5">
        <f t="shared" ref="I515:I578" si="17">IF($E515="","",$G515*(1-$H515/100))</f>
        <v>1020</v>
      </c>
      <c r="J515" s="4" t="s">
        <v>64</v>
      </c>
      <c r="K515" s="4" t="s">
        <v>65</v>
      </c>
      <c r="L515" s="142"/>
    </row>
    <row r="516" spans="1:12" x14ac:dyDescent="0.2">
      <c r="A516" s="173">
        <v>66937</v>
      </c>
      <c r="B516" s="4" t="s">
        <v>531</v>
      </c>
      <c r="C516" s="142" t="s">
        <v>86</v>
      </c>
      <c r="D516" s="142" t="s">
        <v>63</v>
      </c>
      <c r="E516" s="143">
        <v>30</v>
      </c>
      <c r="F516" s="144">
        <v>86</v>
      </c>
      <c r="G516" s="5">
        <f t="shared" si="16"/>
        <v>2580</v>
      </c>
      <c r="H516" s="37">
        <v>0</v>
      </c>
      <c r="I516" s="5">
        <f t="shared" si="17"/>
        <v>2580</v>
      </c>
      <c r="J516" s="4" t="s">
        <v>64</v>
      </c>
      <c r="K516" s="4" t="s">
        <v>65</v>
      </c>
      <c r="L516" s="142"/>
    </row>
    <row r="517" spans="1:12" x14ac:dyDescent="0.2">
      <c r="A517" s="173">
        <v>66937</v>
      </c>
      <c r="B517" s="4" t="s">
        <v>532</v>
      </c>
      <c r="C517" s="142" t="s">
        <v>69</v>
      </c>
      <c r="D517" s="142" t="s">
        <v>63</v>
      </c>
      <c r="E517" s="143">
        <v>15</v>
      </c>
      <c r="F517" s="144">
        <v>85</v>
      </c>
      <c r="G517" s="5">
        <f t="shared" si="16"/>
        <v>1275</v>
      </c>
      <c r="H517" s="37">
        <v>0</v>
      </c>
      <c r="I517" s="5">
        <f t="shared" si="17"/>
        <v>1275</v>
      </c>
      <c r="J517" s="4" t="s">
        <v>64</v>
      </c>
      <c r="K517" s="4" t="s">
        <v>65</v>
      </c>
      <c r="L517" s="142"/>
    </row>
    <row r="518" spans="1:12" x14ac:dyDescent="0.2">
      <c r="A518" s="173">
        <v>66937</v>
      </c>
      <c r="B518" s="4" t="s">
        <v>533</v>
      </c>
      <c r="C518" s="142" t="s">
        <v>90</v>
      </c>
      <c r="D518" s="142" t="s">
        <v>63</v>
      </c>
      <c r="E518" s="143">
        <v>15</v>
      </c>
      <c r="F518" s="144">
        <v>85</v>
      </c>
      <c r="G518" s="5">
        <f t="shared" si="16"/>
        <v>1275</v>
      </c>
      <c r="H518" s="37">
        <v>0</v>
      </c>
      <c r="I518" s="5">
        <f t="shared" si="17"/>
        <v>1275</v>
      </c>
      <c r="J518" s="4" t="s">
        <v>64</v>
      </c>
      <c r="K518" s="4" t="s">
        <v>65</v>
      </c>
      <c r="L518" s="142"/>
    </row>
    <row r="519" spans="1:12" x14ac:dyDescent="0.2">
      <c r="A519" s="173">
        <v>66937</v>
      </c>
      <c r="B519" s="4" t="s">
        <v>534</v>
      </c>
      <c r="C519" s="142" t="s">
        <v>71</v>
      </c>
      <c r="D519" s="142" t="s">
        <v>63</v>
      </c>
      <c r="E519" s="143">
        <v>20</v>
      </c>
      <c r="F519" s="144">
        <v>85</v>
      </c>
      <c r="G519" s="5">
        <f t="shared" si="16"/>
        <v>1700</v>
      </c>
      <c r="H519" s="37">
        <v>0</v>
      </c>
      <c r="I519" s="5">
        <f t="shared" si="17"/>
        <v>1700</v>
      </c>
      <c r="J519" s="4" t="s">
        <v>64</v>
      </c>
      <c r="K519" s="4" t="s">
        <v>65</v>
      </c>
      <c r="L519" s="142"/>
    </row>
    <row r="520" spans="1:12" x14ac:dyDescent="0.2">
      <c r="A520" s="173">
        <v>66937</v>
      </c>
      <c r="B520" s="4" t="s">
        <v>534</v>
      </c>
      <c r="C520" s="142" t="s">
        <v>71</v>
      </c>
      <c r="D520" s="142" t="s">
        <v>96</v>
      </c>
      <c r="E520" s="143">
        <v>4</v>
      </c>
      <c r="F520" s="144">
        <v>750</v>
      </c>
      <c r="G520" s="5">
        <f t="shared" si="16"/>
        <v>3000</v>
      </c>
      <c r="H520" s="37">
        <v>0</v>
      </c>
      <c r="I520" s="5">
        <f t="shared" si="17"/>
        <v>3000</v>
      </c>
      <c r="J520" s="4" t="s">
        <v>64</v>
      </c>
      <c r="K520" s="4" t="s">
        <v>65</v>
      </c>
      <c r="L520" s="142"/>
    </row>
    <row r="521" spans="1:12" x14ac:dyDescent="0.2">
      <c r="A521" s="173">
        <v>66937</v>
      </c>
      <c r="B521" s="4" t="s">
        <v>535</v>
      </c>
      <c r="C521" s="142" t="s">
        <v>119</v>
      </c>
      <c r="D521" s="142" t="s">
        <v>63</v>
      </c>
      <c r="E521" s="143">
        <v>35</v>
      </c>
      <c r="F521" s="144">
        <v>85</v>
      </c>
      <c r="G521" s="5">
        <f t="shared" si="16"/>
        <v>2975</v>
      </c>
      <c r="H521" s="37">
        <v>0</v>
      </c>
      <c r="I521" s="5">
        <f t="shared" si="17"/>
        <v>2975</v>
      </c>
      <c r="J521" s="4" t="s">
        <v>64</v>
      </c>
      <c r="K521" s="4" t="s">
        <v>65</v>
      </c>
      <c r="L521" s="142"/>
    </row>
    <row r="522" spans="1:12" x14ac:dyDescent="0.2">
      <c r="A522" s="173">
        <v>66937</v>
      </c>
      <c r="B522" s="4" t="s">
        <v>536</v>
      </c>
      <c r="C522" s="142" t="s">
        <v>121</v>
      </c>
      <c r="D522" s="142" t="s">
        <v>63</v>
      </c>
      <c r="E522" s="143">
        <v>30</v>
      </c>
      <c r="F522" s="144">
        <v>85</v>
      </c>
      <c r="G522" s="5">
        <f t="shared" si="16"/>
        <v>2550</v>
      </c>
      <c r="H522" s="37">
        <v>0</v>
      </c>
      <c r="I522" s="5">
        <f t="shared" si="17"/>
        <v>2550</v>
      </c>
      <c r="J522" s="4" t="s">
        <v>64</v>
      </c>
      <c r="K522" s="4" t="s">
        <v>65</v>
      </c>
      <c r="L522" s="142"/>
    </row>
    <row r="523" spans="1:12" x14ac:dyDescent="0.2">
      <c r="A523" s="173">
        <v>66937</v>
      </c>
      <c r="B523" s="4" t="s">
        <v>537</v>
      </c>
      <c r="C523" s="142" t="s">
        <v>92</v>
      </c>
      <c r="D523" s="142" t="s">
        <v>63</v>
      </c>
      <c r="E523" s="143">
        <v>25</v>
      </c>
      <c r="F523" s="144">
        <v>95</v>
      </c>
      <c r="G523" s="5">
        <f t="shared" si="16"/>
        <v>2375</v>
      </c>
      <c r="H523" s="37">
        <v>0</v>
      </c>
      <c r="I523" s="5">
        <f t="shared" si="17"/>
        <v>2375</v>
      </c>
      <c r="J523" s="4" t="s">
        <v>64</v>
      </c>
      <c r="K523" s="4" t="s">
        <v>65</v>
      </c>
      <c r="L523" s="142"/>
    </row>
    <row r="524" spans="1:12" x14ac:dyDescent="0.2">
      <c r="A524" s="173">
        <v>66937</v>
      </c>
      <c r="B524" s="4" t="s">
        <v>538</v>
      </c>
      <c r="C524" s="142" t="s">
        <v>98</v>
      </c>
      <c r="D524" s="142" t="s">
        <v>63</v>
      </c>
      <c r="E524" s="143">
        <v>6</v>
      </c>
      <c r="F524" s="144">
        <v>85</v>
      </c>
      <c r="G524" s="5">
        <f t="shared" si="16"/>
        <v>510</v>
      </c>
      <c r="H524" s="37">
        <v>0</v>
      </c>
      <c r="I524" s="5">
        <f t="shared" si="17"/>
        <v>510</v>
      </c>
      <c r="J524" s="4" t="s">
        <v>64</v>
      </c>
      <c r="K524" s="4" t="s">
        <v>65</v>
      </c>
      <c r="L524" s="142"/>
    </row>
    <row r="525" spans="1:12" x14ac:dyDescent="0.2">
      <c r="A525" s="173">
        <v>66937</v>
      </c>
      <c r="B525" s="4" t="s">
        <v>539</v>
      </c>
      <c r="C525" s="142" t="s">
        <v>100</v>
      </c>
      <c r="D525" s="142" t="s">
        <v>63</v>
      </c>
      <c r="E525" s="143">
        <v>5</v>
      </c>
      <c r="F525" s="144">
        <v>100</v>
      </c>
      <c r="G525" s="5">
        <f t="shared" si="16"/>
        <v>500</v>
      </c>
      <c r="H525" s="37">
        <v>0</v>
      </c>
      <c r="I525" s="5">
        <f t="shared" si="17"/>
        <v>500</v>
      </c>
      <c r="J525" s="4" t="s">
        <v>64</v>
      </c>
      <c r="K525" s="4" t="s">
        <v>65</v>
      </c>
      <c r="L525" s="142"/>
    </row>
    <row r="526" spans="1:12" x14ac:dyDescent="0.2">
      <c r="A526" s="173">
        <v>66937</v>
      </c>
      <c r="B526" s="4" t="s">
        <v>539</v>
      </c>
      <c r="C526" s="142" t="s">
        <v>100</v>
      </c>
      <c r="D526" s="142" t="s">
        <v>95</v>
      </c>
      <c r="E526" s="143">
        <v>1</v>
      </c>
      <c r="F526" s="144">
        <v>1100</v>
      </c>
      <c r="G526" s="5">
        <f t="shared" si="16"/>
        <v>1100</v>
      </c>
      <c r="H526" s="37">
        <v>0</v>
      </c>
      <c r="I526" s="5">
        <f t="shared" si="17"/>
        <v>1100</v>
      </c>
      <c r="J526" s="4" t="s">
        <v>64</v>
      </c>
      <c r="K526" s="4" t="s">
        <v>65</v>
      </c>
      <c r="L526" s="142"/>
    </row>
    <row r="527" spans="1:12" x14ac:dyDescent="0.2">
      <c r="A527" s="173">
        <v>66937</v>
      </c>
      <c r="B527" s="4" t="s">
        <v>540</v>
      </c>
      <c r="C527" s="142" t="s">
        <v>214</v>
      </c>
      <c r="D527" s="142" t="s">
        <v>63</v>
      </c>
      <c r="E527" s="143">
        <v>2</v>
      </c>
      <c r="F527" s="144">
        <v>100</v>
      </c>
      <c r="G527" s="5">
        <f t="shared" si="16"/>
        <v>200</v>
      </c>
      <c r="H527" s="37">
        <v>0</v>
      </c>
      <c r="I527" s="5">
        <f t="shared" si="17"/>
        <v>200</v>
      </c>
      <c r="J527" s="4" t="s">
        <v>64</v>
      </c>
      <c r="K527" s="4" t="s">
        <v>65</v>
      </c>
      <c r="L527" s="142"/>
    </row>
    <row r="528" spans="1:12" x14ac:dyDescent="0.2">
      <c r="A528" s="173">
        <v>66938</v>
      </c>
      <c r="B528" s="4" t="s">
        <v>541</v>
      </c>
      <c r="C528" s="142" t="s">
        <v>92</v>
      </c>
      <c r="D528" s="142" t="s">
        <v>63</v>
      </c>
      <c r="E528" s="143">
        <v>25</v>
      </c>
      <c r="F528" s="144">
        <v>95</v>
      </c>
      <c r="G528" s="5">
        <f t="shared" si="16"/>
        <v>2375</v>
      </c>
      <c r="H528" s="37">
        <v>0</v>
      </c>
      <c r="I528" s="5">
        <f t="shared" si="17"/>
        <v>2375</v>
      </c>
      <c r="J528" s="4" t="s">
        <v>64</v>
      </c>
      <c r="K528" s="4" t="s">
        <v>65</v>
      </c>
      <c r="L528" s="142"/>
    </row>
    <row r="529" spans="1:12" s="68" customFormat="1" x14ac:dyDescent="0.2">
      <c r="A529" s="173">
        <v>66938</v>
      </c>
      <c r="B529" s="4" t="s">
        <v>542</v>
      </c>
      <c r="C529" s="142" t="s">
        <v>487</v>
      </c>
      <c r="D529" s="142" t="s">
        <v>63</v>
      </c>
      <c r="E529" s="143">
        <v>1</v>
      </c>
      <c r="F529" s="144">
        <v>100</v>
      </c>
      <c r="G529" s="5">
        <f t="shared" si="16"/>
        <v>100</v>
      </c>
      <c r="H529" s="37">
        <v>0</v>
      </c>
      <c r="I529" s="5">
        <f t="shared" si="17"/>
        <v>100</v>
      </c>
      <c r="J529" s="4" t="s">
        <v>64</v>
      </c>
      <c r="K529" s="4" t="s">
        <v>65</v>
      </c>
      <c r="L529" s="142"/>
    </row>
    <row r="530" spans="1:12" x14ac:dyDescent="0.2">
      <c r="A530" s="173">
        <v>66938</v>
      </c>
      <c r="B530" s="4" t="s">
        <v>543</v>
      </c>
      <c r="C530" s="142" t="s">
        <v>94</v>
      </c>
      <c r="D530" s="142" t="s">
        <v>63</v>
      </c>
      <c r="E530" s="143">
        <v>32</v>
      </c>
      <c r="F530" s="144">
        <v>84</v>
      </c>
      <c r="G530" s="5">
        <f t="shared" si="16"/>
        <v>2688</v>
      </c>
      <c r="H530" s="37">
        <v>0</v>
      </c>
      <c r="I530" s="5">
        <f t="shared" si="17"/>
        <v>2688</v>
      </c>
      <c r="J530" s="4" t="s">
        <v>64</v>
      </c>
      <c r="K530" s="4" t="s">
        <v>65</v>
      </c>
      <c r="L530" s="142"/>
    </row>
    <row r="531" spans="1:12" x14ac:dyDescent="0.2">
      <c r="A531" s="173">
        <v>66938</v>
      </c>
      <c r="B531" s="4" t="s">
        <v>544</v>
      </c>
      <c r="C531" s="142" t="s">
        <v>98</v>
      </c>
      <c r="D531" s="142" t="s">
        <v>63</v>
      </c>
      <c r="E531" s="143">
        <v>6</v>
      </c>
      <c r="F531" s="144">
        <v>85</v>
      </c>
      <c r="G531" s="5">
        <f t="shared" si="16"/>
        <v>510</v>
      </c>
      <c r="H531" s="37">
        <v>0</v>
      </c>
      <c r="I531" s="5">
        <f t="shared" si="17"/>
        <v>510</v>
      </c>
      <c r="J531" s="4" t="s">
        <v>64</v>
      </c>
      <c r="K531" s="4" t="s">
        <v>65</v>
      </c>
      <c r="L531" s="142"/>
    </row>
    <row r="532" spans="1:12" x14ac:dyDescent="0.2">
      <c r="A532" s="173">
        <v>66938</v>
      </c>
      <c r="B532" s="4" t="s">
        <v>545</v>
      </c>
      <c r="C532" s="142" t="s">
        <v>67</v>
      </c>
      <c r="D532" s="142" t="s">
        <v>63</v>
      </c>
      <c r="E532" s="143">
        <v>50</v>
      </c>
      <c r="F532" s="144">
        <v>85</v>
      </c>
      <c r="G532" s="5">
        <f t="shared" si="16"/>
        <v>4250</v>
      </c>
      <c r="H532" s="37">
        <v>0</v>
      </c>
      <c r="I532" s="5">
        <f t="shared" si="17"/>
        <v>4250</v>
      </c>
      <c r="J532" s="4" t="s">
        <v>64</v>
      </c>
      <c r="K532" s="4" t="s">
        <v>65</v>
      </c>
      <c r="L532" s="142"/>
    </row>
    <row r="533" spans="1:12" x14ac:dyDescent="0.2">
      <c r="A533" s="173">
        <v>66938</v>
      </c>
      <c r="B533" s="4" t="s">
        <v>546</v>
      </c>
      <c r="C533" s="142" t="s">
        <v>62</v>
      </c>
      <c r="D533" s="142" t="s">
        <v>63</v>
      </c>
      <c r="E533" s="143">
        <v>60</v>
      </c>
      <c r="F533" s="144">
        <v>85</v>
      </c>
      <c r="G533" s="5">
        <f t="shared" si="16"/>
        <v>5100</v>
      </c>
      <c r="H533" s="37">
        <v>0</v>
      </c>
      <c r="I533" s="5">
        <f t="shared" si="17"/>
        <v>5100</v>
      </c>
      <c r="J533" s="4" t="s">
        <v>64</v>
      </c>
      <c r="K533" s="4" t="s">
        <v>65</v>
      </c>
      <c r="L533" s="142"/>
    </row>
    <row r="534" spans="1:12" x14ac:dyDescent="0.2">
      <c r="A534" s="173">
        <v>66938</v>
      </c>
      <c r="B534" s="4" t="s">
        <v>546</v>
      </c>
      <c r="C534" s="142" t="s">
        <v>62</v>
      </c>
      <c r="D534" s="142" t="s">
        <v>63</v>
      </c>
      <c r="E534" s="143">
        <v>1</v>
      </c>
      <c r="F534" s="144">
        <v>80</v>
      </c>
      <c r="G534" s="5">
        <f t="shared" si="16"/>
        <v>80</v>
      </c>
      <c r="H534" s="37">
        <v>0</v>
      </c>
      <c r="I534" s="5">
        <f t="shared" si="17"/>
        <v>80</v>
      </c>
      <c r="J534" s="4" t="s">
        <v>64</v>
      </c>
      <c r="K534" s="4" t="s">
        <v>65</v>
      </c>
      <c r="L534" s="142"/>
    </row>
    <row r="535" spans="1:12" x14ac:dyDescent="0.2">
      <c r="A535" s="173">
        <v>66938</v>
      </c>
      <c r="B535" s="4" t="s">
        <v>547</v>
      </c>
      <c r="C535" s="142" t="s">
        <v>84</v>
      </c>
      <c r="D535" s="142" t="s">
        <v>63</v>
      </c>
      <c r="E535" s="143">
        <v>3</v>
      </c>
      <c r="F535" s="144">
        <v>86</v>
      </c>
      <c r="G535" s="5">
        <f t="shared" si="16"/>
        <v>258</v>
      </c>
      <c r="H535" s="37">
        <v>0</v>
      </c>
      <c r="I535" s="5">
        <f t="shared" si="17"/>
        <v>258</v>
      </c>
      <c r="J535" s="4" t="s">
        <v>64</v>
      </c>
      <c r="K535" s="4" t="s">
        <v>65</v>
      </c>
      <c r="L535" s="142"/>
    </row>
    <row r="536" spans="1:12" x14ac:dyDescent="0.2">
      <c r="A536" s="173">
        <v>66938</v>
      </c>
      <c r="B536" s="4" t="s">
        <v>548</v>
      </c>
      <c r="C536" s="142" t="s">
        <v>86</v>
      </c>
      <c r="D536" s="142" t="s">
        <v>63</v>
      </c>
      <c r="E536" s="36">
        <v>20</v>
      </c>
      <c r="F536" s="5">
        <v>86</v>
      </c>
      <c r="G536" s="5">
        <f t="shared" si="16"/>
        <v>1720</v>
      </c>
      <c r="H536" s="37">
        <v>0</v>
      </c>
      <c r="I536" s="5">
        <f t="shared" si="17"/>
        <v>1720</v>
      </c>
      <c r="J536" s="4" t="s">
        <v>64</v>
      </c>
      <c r="K536" s="4" t="s">
        <v>65</v>
      </c>
      <c r="L536" s="142"/>
    </row>
    <row r="537" spans="1:12" x14ac:dyDescent="0.2">
      <c r="A537" s="173">
        <v>66938</v>
      </c>
      <c r="B537" s="4" t="s">
        <v>549</v>
      </c>
      <c r="C537" s="142" t="s">
        <v>74</v>
      </c>
      <c r="D537" s="4" t="s">
        <v>63</v>
      </c>
      <c r="E537" s="36">
        <v>15</v>
      </c>
      <c r="F537" s="5">
        <v>86</v>
      </c>
      <c r="G537" s="5">
        <f t="shared" si="16"/>
        <v>1290</v>
      </c>
      <c r="H537" s="37">
        <v>0</v>
      </c>
      <c r="I537" s="5">
        <f t="shared" si="17"/>
        <v>1290</v>
      </c>
      <c r="J537" s="4" t="s">
        <v>64</v>
      </c>
      <c r="K537" s="4" t="s">
        <v>65</v>
      </c>
      <c r="L537" s="142"/>
    </row>
    <row r="538" spans="1:12" x14ac:dyDescent="0.2">
      <c r="A538" s="173">
        <v>66938</v>
      </c>
      <c r="B538" s="4" t="s">
        <v>550</v>
      </c>
      <c r="C538" s="142" t="s">
        <v>67</v>
      </c>
      <c r="D538" s="4" t="s">
        <v>63</v>
      </c>
      <c r="E538" s="36">
        <v>50</v>
      </c>
      <c r="F538" s="5">
        <v>85</v>
      </c>
      <c r="G538" s="5">
        <f t="shared" si="16"/>
        <v>4250</v>
      </c>
      <c r="H538" s="37">
        <v>0</v>
      </c>
      <c r="I538" s="5">
        <f t="shared" si="17"/>
        <v>4250</v>
      </c>
      <c r="J538" s="4" t="s">
        <v>64</v>
      </c>
      <c r="K538" s="4" t="s">
        <v>65</v>
      </c>
      <c r="L538" s="142"/>
    </row>
    <row r="539" spans="1:12" x14ac:dyDescent="0.2">
      <c r="A539" s="173">
        <v>66938</v>
      </c>
      <c r="B539" s="4" t="s">
        <v>551</v>
      </c>
      <c r="C539" s="142" t="s">
        <v>76</v>
      </c>
      <c r="D539" s="4" t="s">
        <v>63</v>
      </c>
      <c r="E539" s="36">
        <v>10</v>
      </c>
      <c r="F539" s="5">
        <v>85</v>
      </c>
      <c r="G539" s="5">
        <f t="shared" si="16"/>
        <v>850</v>
      </c>
      <c r="H539" s="37">
        <v>0</v>
      </c>
      <c r="I539" s="5">
        <f t="shared" si="17"/>
        <v>850</v>
      </c>
      <c r="J539" s="4" t="s">
        <v>64</v>
      </c>
      <c r="K539" s="4" t="s">
        <v>65</v>
      </c>
      <c r="L539" s="142"/>
    </row>
    <row r="540" spans="1:12" x14ac:dyDescent="0.2">
      <c r="A540" s="173">
        <v>66938</v>
      </c>
      <c r="B540" s="4" t="s">
        <v>552</v>
      </c>
      <c r="C540" s="4" t="s">
        <v>78</v>
      </c>
      <c r="D540" s="4" t="s">
        <v>63</v>
      </c>
      <c r="E540" s="36">
        <v>5</v>
      </c>
      <c r="F540" s="5">
        <v>85</v>
      </c>
      <c r="G540" s="5">
        <f t="shared" si="16"/>
        <v>425</v>
      </c>
      <c r="H540" s="37">
        <v>0</v>
      </c>
      <c r="I540" s="5">
        <f t="shared" si="17"/>
        <v>425</v>
      </c>
      <c r="J540" s="4" t="s">
        <v>64</v>
      </c>
      <c r="K540" s="4" t="s">
        <v>65</v>
      </c>
      <c r="L540" s="4"/>
    </row>
    <row r="541" spans="1:12" x14ac:dyDescent="0.2">
      <c r="A541" s="173">
        <v>66938</v>
      </c>
      <c r="B541" s="4" t="s">
        <v>553</v>
      </c>
      <c r="C541" s="4" t="s">
        <v>80</v>
      </c>
      <c r="D541" s="4" t="s">
        <v>63</v>
      </c>
      <c r="E541" s="36">
        <v>12</v>
      </c>
      <c r="F541" s="5">
        <v>85</v>
      </c>
      <c r="G541" s="5">
        <f t="shared" si="16"/>
        <v>1020</v>
      </c>
      <c r="H541" s="37">
        <v>0</v>
      </c>
      <c r="I541" s="5">
        <f t="shared" si="17"/>
        <v>1020</v>
      </c>
      <c r="J541" s="4" t="s">
        <v>64</v>
      </c>
      <c r="K541" s="4" t="s">
        <v>65</v>
      </c>
      <c r="L541" s="4"/>
    </row>
    <row r="542" spans="1:12" x14ac:dyDescent="0.2">
      <c r="A542" s="173">
        <v>66938</v>
      </c>
      <c r="B542" s="4" t="s">
        <v>554</v>
      </c>
      <c r="C542" s="4" t="s">
        <v>82</v>
      </c>
      <c r="D542" s="4" t="s">
        <v>63</v>
      </c>
      <c r="E542" s="36">
        <v>8</v>
      </c>
      <c r="F542" s="5">
        <v>85</v>
      </c>
      <c r="G542" s="5">
        <f t="shared" si="16"/>
        <v>680</v>
      </c>
      <c r="H542" s="37">
        <v>0</v>
      </c>
      <c r="I542" s="5">
        <f t="shared" si="17"/>
        <v>680</v>
      </c>
      <c r="J542" s="4" t="s">
        <v>64</v>
      </c>
      <c r="K542" s="4" t="s">
        <v>65</v>
      </c>
      <c r="L542" s="4"/>
    </row>
    <row r="543" spans="1:12" x14ac:dyDescent="0.2">
      <c r="A543" s="173">
        <v>66938</v>
      </c>
      <c r="B543" s="4" t="s">
        <v>555</v>
      </c>
      <c r="C543" s="4" t="s">
        <v>69</v>
      </c>
      <c r="D543" s="4" t="s">
        <v>63</v>
      </c>
      <c r="E543" s="36">
        <v>20</v>
      </c>
      <c r="F543" s="5">
        <v>85</v>
      </c>
      <c r="G543" s="5">
        <f t="shared" si="16"/>
        <v>1700</v>
      </c>
      <c r="H543" s="37">
        <v>0</v>
      </c>
      <c r="I543" s="5">
        <f t="shared" si="17"/>
        <v>1700</v>
      </c>
      <c r="J543" s="4" t="s">
        <v>64</v>
      </c>
      <c r="K543" s="4" t="s">
        <v>65</v>
      </c>
      <c r="L543" s="4"/>
    </row>
    <row r="544" spans="1:12" x14ac:dyDescent="0.2">
      <c r="A544" s="173">
        <v>66938</v>
      </c>
      <c r="B544" s="4" t="s">
        <v>556</v>
      </c>
      <c r="C544" s="4" t="s">
        <v>71</v>
      </c>
      <c r="D544" s="4" t="s">
        <v>63</v>
      </c>
      <c r="E544" s="36">
        <v>40</v>
      </c>
      <c r="F544" s="5">
        <v>86</v>
      </c>
      <c r="G544" s="5">
        <f t="shared" si="16"/>
        <v>3440</v>
      </c>
      <c r="H544" s="37">
        <v>0</v>
      </c>
      <c r="I544" s="5">
        <f t="shared" si="17"/>
        <v>3440</v>
      </c>
      <c r="J544" s="4" t="s">
        <v>64</v>
      </c>
      <c r="K544" s="4" t="s">
        <v>65</v>
      </c>
      <c r="L544" s="4"/>
    </row>
    <row r="545" spans="1:12" x14ac:dyDescent="0.2">
      <c r="A545" s="173">
        <v>66938</v>
      </c>
      <c r="B545" s="4" t="s">
        <v>556</v>
      </c>
      <c r="C545" s="4" t="s">
        <v>71</v>
      </c>
      <c r="D545" s="4" t="s">
        <v>63</v>
      </c>
      <c r="E545" s="36">
        <v>55</v>
      </c>
      <c r="F545" s="5">
        <v>85</v>
      </c>
      <c r="G545" s="5">
        <f t="shared" si="16"/>
        <v>4675</v>
      </c>
      <c r="H545" s="37">
        <v>0</v>
      </c>
      <c r="I545" s="5">
        <f t="shared" si="17"/>
        <v>4675</v>
      </c>
      <c r="J545" s="4" t="s">
        <v>64</v>
      </c>
      <c r="K545" s="4" t="s">
        <v>65</v>
      </c>
      <c r="L545" s="4"/>
    </row>
    <row r="546" spans="1:12" x14ac:dyDescent="0.2">
      <c r="A546" s="173">
        <v>66938</v>
      </c>
      <c r="B546" s="4" t="s">
        <v>556</v>
      </c>
      <c r="C546" s="4" t="s">
        <v>71</v>
      </c>
      <c r="D546" s="4" t="s">
        <v>72</v>
      </c>
      <c r="E546" s="36">
        <v>1</v>
      </c>
      <c r="F546" s="5">
        <v>80</v>
      </c>
      <c r="G546" s="5">
        <f t="shared" si="16"/>
        <v>80</v>
      </c>
      <c r="H546" s="37">
        <v>0</v>
      </c>
      <c r="I546" s="5">
        <f t="shared" si="17"/>
        <v>80</v>
      </c>
      <c r="J546" s="4" t="s">
        <v>64</v>
      </c>
      <c r="K546" s="4" t="s">
        <v>65</v>
      </c>
      <c r="L546" s="4"/>
    </row>
    <row r="547" spans="1:12" x14ac:dyDescent="0.2">
      <c r="A547" s="173">
        <v>66938</v>
      </c>
      <c r="B547" s="4" t="s">
        <v>557</v>
      </c>
      <c r="C547" s="4" t="s">
        <v>90</v>
      </c>
      <c r="D547" s="4" t="s">
        <v>63</v>
      </c>
      <c r="E547" s="36">
        <v>15</v>
      </c>
      <c r="F547" s="5">
        <v>85</v>
      </c>
      <c r="G547" s="5">
        <f t="shared" si="16"/>
        <v>1275</v>
      </c>
      <c r="H547" s="37">
        <v>0</v>
      </c>
      <c r="I547" s="5">
        <f t="shared" si="17"/>
        <v>1275</v>
      </c>
      <c r="J547" s="4" t="s">
        <v>64</v>
      </c>
      <c r="K547" s="4" t="s">
        <v>65</v>
      </c>
      <c r="L547" s="4"/>
    </row>
    <row r="548" spans="1:12" x14ac:dyDescent="0.2">
      <c r="A548" s="173">
        <v>66938</v>
      </c>
      <c r="B548" s="4" t="s">
        <v>558</v>
      </c>
      <c r="C548" s="4" t="s">
        <v>88</v>
      </c>
      <c r="D548" s="4" t="s">
        <v>63</v>
      </c>
      <c r="E548" s="36">
        <v>5</v>
      </c>
      <c r="F548" s="5">
        <v>85</v>
      </c>
      <c r="G548" s="5">
        <f t="shared" si="16"/>
        <v>425</v>
      </c>
      <c r="H548" s="37">
        <v>0</v>
      </c>
      <c r="I548" s="5">
        <f t="shared" si="17"/>
        <v>425</v>
      </c>
      <c r="J548" s="4" t="s">
        <v>64</v>
      </c>
      <c r="K548" s="4" t="s">
        <v>65</v>
      </c>
      <c r="L548" s="4"/>
    </row>
    <row r="549" spans="1:12" x14ac:dyDescent="0.2">
      <c r="A549" s="173">
        <v>66939</v>
      </c>
      <c r="B549" s="4" t="s">
        <v>559</v>
      </c>
      <c r="C549" s="4" t="s">
        <v>94</v>
      </c>
      <c r="D549" s="4" t="s">
        <v>63</v>
      </c>
      <c r="E549" s="36">
        <v>32</v>
      </c>
      <c r="F549" s="5">
        <v>84</v>
      </c>
      <c r="G549" s="5">
        <f t="shared" si="16"/>
        <v>2688</v>
      </c>
      <c r="H549" s="37">
        <v>0</v>
      </c>
      <c r="I549" s="5">
        <f t="shared" si="17"/>
        <v>2688</v>
      </c>
      <c r="J549" s="4" t="s">
        <v>64</v>
      </c>
      <c r="K549" s="4" t="s">
        <v>65</v>
      </c>
      <c r="L549" s="4"/>
    </row>
    <row r="550" spans="1:12" x14ac:dyDescent="0.2">
      <c r="A550" s="173">
        <v>66939</v>
      </c>
      <c r="B550" s="4" t="s">
        <v>560</v>
      </c>
      <c r="C550" s="4" t="s">
        <v>98</v>
      </c>
      <c r="D550" s="4" t="s">
        <v>63</v>
      </c>
      <c r="E550" s="36">
        <v>6</v>
      </c>
      <c r="F550" s="5">
        <v>85</v>
      </c>
      <c r="G550" s="5">
        <f t="shared" si="16"/>
        <v>510</v>
      </c>
      <c r="H550" s="37">
        <v>0</v>
      </c>
      <c r="I550" s="5">
        <f t="shared" si="17"/>
        <v>510</v>
      </c>
      <c r="J550" s="4" t="s">
        <v>64</v>
      </c>
      <c r="K550" s="4" t="s">
        <v>65</v>
      </c>
      <c r="L550" s="4"/>
    </row>
    <row r="551" spans="1:12" x14ac:dyDescent="0.2">
      <c r="A551" s="173">
        <v>66939</v>
      </c>
      <c r="B551" s="4" t="s">
        <v>561</v>
      </c>
      <c r="C551" s="4" t="s">
        <v>62</v>
      </c>
      <c r="D551" s="4" t="s">
        <v>63</v>
      </c>
      <c r="E551" s="36">
        <v>60</v>
      </c>
      <c r="F551" s="5">
        <v>85</v>
      </c>
      <c r="G551" s="5">
        <f t="shared" si="16"/>
        <v>5100</v>
      </c>
      <c r="H551" s="37">
        <v>0</v>
      </c>
      <c r="I551" s="5">
        <f t="shared" si="17"/>
        <v>5100</v>
      </c>
      <c r="J551" s="4" t="s">
        <v>64</v>
      </c>
      <c r="K551" s="4" t="s">
        <v>65</v>
      </c>
      <c r="L551" s="4"/>
    </row>
    <row r="552" spans="1:12" x14ac:dyDescent="0.2">
      <c r="A552" s="173">
        <v>66939</v>
      </c>
      <c r="B552" s="4" t="s">
        <v>561</v>
      </c>
      <c r="C552" s="4" t="s">
        <v>62</v>
      </c>
      <c r="D552" s="4" t="s">
        <v>72</v>
      </c>
      <c r="E552" s="36">
        <v>1</v>
      </c>
      <c r="F552" s="5">
        <v>80</v>
      </c>
      <c r="G552" s="5">
        <f t="shared" si="16"/>
        <v>80</v>
      </c>
      <c r="H552" s="37">
        <v>0</v>
      </c>
      <c r="I552" s="5">
        <f t="shared" si="17"/>
        <v>80</v>
      </c>
      <c r="J552" s="4" t="s">
        <v>64</v>
      </c>
      <c r="K552" s="4" t="s">
        <v>65</v>
      </c>
      <c r="L552" s="4"/>
    </row>
    <row r="553" spans="1:12" x14ac:dyDescent="0.2">
      <c r="A553" s="173">
        <v>66939</v>
      </c>
      <c r="B553" s="4" t="s">
        <v>562</v>
      </c>
      <c r="C553" s="4" t="s">
        <v>563</v>
      </c>
      <c r="D553" s="4" t="s">
        <v>63</v>
      </c>
      <c r="E553" s="36">
        <v>40</v>
      </c>
      <c r="F553" s="5">
        <v>85</v>
      </c>
      <c r="G553" s="5">
        <f t="shared" si="16"/>
        <v>3400</v>
      </c>
      <c r="H553" s="37">
        <v>0</v>
      </c>
      <c r="I553" s="5">
        <f t="shared" si="17"/>
        <v>3400</v>
      </c>
      <c r="J553" s="4" t="s">
        <v>64</v>
      </c>
      <c r="K553" s="4" t="s">
        <v>65</v>
      </c>
      <c r="L553" s="4"/>
    </row>
    <row r="554" spans="1:12" x14ac:dyDescent="0.2">
      <c r="A554" s="173">
        <v>66939</v>
      </c>
      <c r="B554" s="4" t="s">
        <v>564</v>
      </c>
      <c r="C554" s="4" t="s">
        <v>67</v>
      </c>
      <c r="D554" s="4" t="s">
        <v>63</v>
      </c>
      <c r="E554" s="36">
        <v>60</v>
      </c>
      <c r="F554" s="5">
        <v>85</v>
      </c>
      <c r="G554" s="5">
        <f t="shared" si="16"/>
        <v>5100</v>
      </c>
      <c r="H554" s="37">
        <v>0</v>
      </c>
      <c r="I554" s="5">
        <f t="shared" si="17"/>
        <v>5100</v>
      </c>
      <c r="J554" s="4" t="s">
        <v>64</v>
      </c>
      <c r="K554" s="4" t="s">
        <v>65</v>
      </c>
      <c r="L554" s="4"/>
    </row>
    <row r="555" spans="1:12" x14ac:dyDescent="0.2">
      <c r="A555" s="173">
        <v>66939</v>
      </c>
      <c r="B555" s="4" t="s">
        <v>565</v>
      </c>
      <c r="C555" s="4" t="s">
        <v>69</v>
      </c>
      <c r="D555" s="4" t="s">
        <v>63</v>
      </c>
      <c r="E555" s="36">
        <v>20</v>
      </c>
      <c r="F555" s="5">
        <v>85</v>
      </c>
      <c r="G555" s="5">
        <f t="shared" si="16"/>
        <v>1700</v>
      </c>
      <c r="H555" s="37">
        <v>0</v>
      </c>
      <c r="I555" s="5">
        <f t="shared" si="17"/>
        <v>1700</v>
      </c>
      <c r="J555" s="4" t="s">
        <v>64</v>
      </c>
      <c r="K555" s="4" t="s">
        <v>65</v>
      </c>
      <c r="L555" s="4"/>
    </row>
    <row r="556" spans="1:12" x14ac:dyDescent="0.2">
      <c r="A556" s="173">
        <v>66939</v>
      </c>
      <c r="B556" s="4" t="s">
        <v>566</v>
      </c>
      <c r="C556" s="4" t="s">
        <v>71</v>
      </c>
      <c r="D556" s="4" t="s">
        <v>63</v>
      </c>
      <c r="E556" s="36">
        <v>46</v>
      </c>
      <c r="F556" s="5">
        <v>86</v>
      </c>
      <c r="G556" s="5">
        <f t="shared" si="16"/>
        <v>3956</v>
      </c>
      <c r="H556" s="37">
        <v>0</v>
      </c>
      <c r="I556" s="5">
        <f t="shared" si="17"/>
        <v>3956</v>
      </c>
      <c r="J556" s="4" t="s">
        <v>64</v>
      </c>
      <c r="K556" s="4" t="s">
        <v>65</v>
      </c>
      <c r="L556" s="4"/>
    </row>
    <row r="557" spans="1:12" x14ac:dyDescent="0.2">
      <c r="A557" s="173">
        <v>66939</v>
      </c>
      <c r="B557" s="4" t="s">
        <v>566</v>
      </c>
      <c r="C557" s="4" t="s">
        <v>71</v>
      </c>
      <c r="D557" s="4" t="s">
        <v>63</v>
      </c>
      <c r="E557" s="36">
        <v>36</v>
      </c>
      <c r="F557" s="5">
        <v>85</v>
      </c>
      <c r="G557" s="5">
        <f t="shared" si="16"/>
        <v>3060</v>
      </c>
      <c r="H557" s="37">
        <v>0</v>
      </c>
      <c r="I557" s="5">
        <f t="shared" si="17"/>
        <v>3060</v>
      </c>
      <c r="J557" s="4" t="s">
        <v>64</v>
      </c>
      <c r="K557" s="4" t="s">
        <v>65</v>
      </c>
      <c r="L557" s="4"/>
    </row>
    <row r="558" spans="1:12" x14ac:dyDescent="0.2">
      <c r="A558" s="173">
        <v>66939</v>
      </c>
      <c r="B558" s="4" t="s">
        <v>566</v>
      </c>
      <c r="C558" s="4" t="s">
        <v>71</v>
      </c>
      <c r="D558" s="4" t="s">
        <v>72</v>
      </c>
      <c r="E558" s="36">
        <v>1</v>
      </c>
      <c r="F558" s="5">
        <v>80</v>
      </c>
      <c r="G558" s="5">
        <f t="shared" si="16"/>
        <v>80</v>
      </c>
      <c r="H558" s="37">
        <v>0</v>
      </c>
      <c r="I558" s="5">
        <f t="shared" si="17"/>
        <v>80</v>
      </c>
      <c r="J558" s="4" t="s">
        <v>64</v>
      </c>
      <c r="K558" s="4" t="s">
        <v>65</v>
      </c>
      <c r="L558" s="4"/>
    </row>
    <row r="559" spans="1:12" x14ac:dyDescent="0.2">
      <c r="A559" s="172">
        <v>66939</v>
      </c>
      <c r="B559" s="4" t="s">
        <v>567</v>
      </c>
      <c r="C559" s="4" t="s">
        <v>88</v>
      </c>
      <c r="D559" s="4" t="s">
        <v>63</v>
      </c>
      <c r="E559" s="36">
        <v>5</v>
      </c>
      <c r="F559" s="5">
        <v>85</v>
      </c>
      <c r="G559" s="5">
        <f t="shared" si="16"/>
        <v>425</v>
      </c>
      <c r="H559" s="37">
        <v>0</v>
      </c>
      <c r="I559" s="5">
        <f t="shared" si="17"/>
        <v>425</v>
      </c>
      <c r="J559" s="4" t="s">
        <v>64</v>
      </c>
      <c r="K559" s="4" t="s">
        <v>65</v>
      </c>
      <c r="L559" s="4"/>
    </row>
    <row r="560" spans="1:12" x14ac:dyDescent="0.2">
      <c r="A560" s="172">
        <v>66939</v>
      </c>
      <c r="B560" s="4" t="s">
        <v>568</v>
      </c>
      <c r="C560" s="4" t="s">
        <v>90</v>
      </c>
      <c r="D560" s="4" t="s">
        <v>63</v>
      </c>
      <c r="E560" s="36">
        <v>15</v>
      </c>
      <c r="F560" s="5">
        <v>85</v>
      </c>
      <c r="G560" s="5">
        <f t="shared" si="16"/>
        <v>1275</v>
      </c>
      <c r="H560" s="37">
        <v>0</v>
      </c>
      <c r="I560" s="5">
        <f t="shared" si="17"/>
        <v>1275</v>
      </c>
      <c r="J560" s="4" t="s">
        <v>64</v>
      </c>
      <c r="K560" s="4" t="s">
        <v>65</v>
      </c>
      <c r="L560" s="4"/>
    </row>
    <row r="561" spans="1:12" x14ac:dyDescent="0.2">
      <c r="A561" s="172">
        <v>66939</v>
      </c>
      <c r="B561" s="4" t="s">
        <v>569</v>
      </c>
      <c r="C561" s="4" t="s">
        <v>86</v>
      </c>
      <c r="D561" s="4" t="s">
        <v>63</v>
      </c>
      <c r="E561" s="36">
        <v>10</v>
      </c>
      <c r="F561" s="5">
        <v>86</v>
      </c>
      <c r="G561" s="5">
        <f t="shared" si="16"/>
        <v>860</v>
      </c>
      <c r="H561" s="37">
        <v>0</v>
      </c>
      <c r="I561" s="5">
        <f t="shared" si="17"/>
        <v>860</v>
      </c>
      <c r="J561" s="4" t="s">
        <v>64</v>
      </c>
      <c r="K561" s="4" t="s">
        <v>65</v>
      </c>
      <c r="L561" s="4"/>
    </row>
    <row r="562" spans="1:12" x14ac:dyDescent="0.2">
      <c r="A562" s="172">
        <v>66939</v>
      </c>
      <c r="B562" s="4" t="s">
        <v>570</v>
      </c>
      <c r="C562" s="4" t="s">
        <v>84</v>
      </c>
      <c r="D562" s="4" t="s">
        <v>63</v>
      </c>
      <c r="E562" s="36">
        <v>3</v>
      </c>
      <c r="F562" s="5">
        <v>86</v>
      </c>
      <c r="G562" s="5">
        <f t="shared" si="16"/>
        <v>258</v>
      </c>
      <c r="H562" s="37">
        <v>0</v>
      </c>
      <c r="I562" s="5">
        <f t="shared" si="17"/>
        <v>258</v>
      </c>
      <c r="J562" s="4" t="s">
        <v>64</v>
      </c>
      <c r="K562" s="4" t="s">
        <v>65</v>
      </c>
      <c r="L562" s="4"/>
    </row>
    <row r="563" spans="1:12" x14ac:dyDescent="0.2">
      <c r="A563" s="172">
        <v>66939</v>
      </c>
      <c r="B563" s="4" t="s">
        <v>571</v>
      </c>
      <c r="C563" s="4" t="s">
        <v>82</v>
      </c>
      <c r="D563" s="4" t="s">
        <v>63</v>
      </c>
      <c r="E563" s="36">
        <v>8</v>
      </c>
      <c r="F563" s="5">
        <v>85</v>
      </c>
      <c r="G563" s="5">
        <f t="shared" si="16"/>
        <v>680</v>
      </c>
      <c r="H563" s="37">
        <v>0</v>
      </c>
      <c r="I563" s="5">
        <f t="shared" si="17"/>
        <v>680</v>
      </c>
      <c r="J563" s="4" t="s">
        <v>64</v>
      </c>
      <c r="K563" s="4" t="s">
        <v>65</v>
      </c>
      <c r="L563" s="4"/>
    </row>
    <row r="564" spans="1:12" x14ac:dyDescent="0.2">
      <c r="A564" s="172">
        <v>66939</v>
      </c>
      <c r="B564" s="4" t="s">
        <v>572</v>
      </c>
      <c r="C564" s="4" t="s">
        <v>80</v>
      </c>
      <c r="D564" s="4" t="s">
        <v>63</v>
      </c>
      <c r="E564" s="36">
        <v>12</v>
      </c>
      <c r="F564" s="5">
        <v>85</v>
      </c>
      <c r="G564" s="5">
        <f t="shared" si="16"/>
        <v>1020</v>
      </c>
      <c r="H564" s="37">
        <v>0</v>
      </c>
      <c r="I564" s="5">
        <f t="shared" si="17"/>
        <v>1020</v>
      </c>
      <c r="J564" s="4" t="s">
        <v>64</v>
      </c>
      <c r="K564" s="4" t="s">
        <v>65</v>
      </c>
      <c r="L564" s="4"/>
    </row>
    <row r="565" spans="1:12" x14ac:dyDescent="0.2">
      <c r="A565" s="172">
        <v>66939</v>
      </c>
      <c r="B565" s="4" t="s">
        <v>573</v>
      </c>
      <c r="C565" s="4" t="s">
        <v>76</v>
      </c>
      <c r="D565" s="4" t="s">
        <v>63</v>
      </c>
      <c r="E565" s="36">
        <v>10</v>
      </c>
      <c r="F565" s="5">
        <v>85</v>
      </c>
      <c r="G565" s="5">
        <f t="shared" si="16"/>
        <v>850</v>
      </c>
      <c r="H565" s="37">
        <v>0</v>
      </c>
      <c r="I565" s="5">
        <f t="shared" si="17"/>
        <v>850</v>
      </c>
      <c r="J565" s="4" t="s">
        <v>64</v>
      </c>
      <c r="K565" s="4" t="s">
        <v>65</v>
      </c>
      <c r="L565" s="4"/>
    </row>
    <row r="566" spans="1:12" x14ac:dyDescent="0.2">
      <c r="A566" s="172">
        <v>66939</v>
      </c>
      <c r="B566" s="4" t="s">
        <v>574</v>
      </c>
      <c r="C566" s="142" t="s">
        <v>74</v>
      </c>
      <c r="D566" s="4" t="s">
        <v>63</v>
      </c>
      <c r="E566" s="143">
        <v>10</v>
      </c>
      <c r="F566" s="144">
        <v>85</v>
      </c>
      <c r="G566" s="144">
        <f t="shared" si="16"/>
        <v>850</v>
      </c>
      <c r="H566" s="37">
        <v>0</v>
      </c>
      <c r="I566" s="5">
        <f t="shared" si="17"/>
        <v>850</v>
      </c>
      <c r="J566" s="4" t="s">
        <v>64</v>
      </c>
      <c r="K566" s="4" t="s">
        <v>65</v>
      </c>
      <c r="L566" s="142"/>
    </row>
    <row r="567" spans="1:12" x14ac:dyDescent="0.2">
      <c r="A567" s="172">
        <v>66939</v>
      </c>
      <c r="B567" s="4" t="s">
        <v>574</v>
      </c>
      <c r="C567" s="142" t="s">
        <v>74</v>
      </c>
      <c r="D567" s="4" t="s">
        <v>96</v>
      </c>
      <c r="E567" s="143">
        <v>1</v>
      </c>
      <c r="F567" s="144">
        <v>775</v>
      </c>
      <c r="G567" s="144">
        <f t="shared" si="16"/>
        <v>775</v>
      </c>
      <c r="H567" s="37">
        <v>0</v>
      </c>
      <c r="I567" s="5">
        <f t="shared" si="17"/>
        <v>775</v>
      </c>
      <c r="J567" s="4" t="s">
        <v>64</v>
      </c>
      <c r="K567" s="4" t="s">
        <v>65</v>
      </c>
      <c r="L567" s="142"/>
    </row>
    <row r="568" spans="1:12" x14ac:dyDescent="0.2">
      <c r="A568" s="172">
        <v>66939</v>
      </c>
      <c r="B568" s="4" t="s">
        <v>575</v>
      </c>
      <c r="C568" s="142" t="s">
        <v>92</v>
      </c>
      <c r="D568" s="4" t="s">
        <v>63</v>
      </c>
      <c r="E568" s="143">
        <v>20</v>
      </c>
      <c r="F568" s="144">
        <v>95</v>
      </c>
      <c r="G568" s="144">
        <f t="shared" si="16"/>
        <v>1900</v>
      </c>
      <c r="H568" s="37">
        <v>0</v>
      </c>
      <c r="I568" s="5">
        <f t="shared" si="17"/>
        <v>1900</v>
      </c>
      <c r="J568" s="4" t="s">
        <v>64</v>
      </c>
      <c r="K568" s="4" t="s">
        <v>65</v>
      </c>
      <c r="L568" s="142"/>
    </row>
    <row r="569" spans="1:12" x14ac:dyDescent="0.2">
      <c r="A569" s="172">
        <v>66939</v>
      </c>
      <c r="B569" s="4" t="s">
        <v>575</v>
      </c>
      <c r="C569" s="142" t="s">
        <v>92</v>
      </c>
      <c r="D569" s="4" t="s">
        <v>63</v>
      </c>
      <c r="E569" s="143">
        <v>7</v>
      </c>
      <c r="F569" s="144">
        <v>85</v>
      </c>
      <c r="G569" s="144">
        <f t="shared" si="16"/>
        <v>595</v>
      </c>
      <c r="H569" s="37">
        <v>0</v>
      </c>
      <c r="I569" s="5">
        <f t="shared" si="17"/>
        <v>595</v>
      </c>
      <c r="J569" s="4" t="s">
        <v>64</v>
      </c>
      <c r="K569" s="4" t="s">
        <v>65</v>
      </c>
      <c r="L569" s="142"/>
    </row>
    <row r="570" spans="1:12" x14ac:dyDescent="0.2">
      <c r="A570" s="172">
        <v>66940</v>
      </c>
      <c r="B570" s="4" t="s">
        <v>576</v>
      </c>
      <c r="C570" s="142" t="s">
        <v>62</v>
      </c>
      <c r="D570" s="4" t="s">
        <v>63</v>
      </c>
      <c r="E570" s="143">
        <v>60</v>
      </c>
      <c r="F570" s="144">
        <v>85</v>
      </c>
      <c r="G570" s="144">
        <f t="shared" si="16"/>
        <v>5100</v>
      </c>
      <c r="H570" s="37">
        <v>0</v>
      </c>
      <c r="I570" s="5">
        <f t="shared" si="17"/>
        <v>5100</v>
      </c>
      <c r="J570" s="4" t="s">
        <v>64</v>
      </c>
      <c r="K570" s="146" t="s">
        <v>65</v>
      </c>
      <c r="L570" s="145"/>
    </row>
    <row r="571" spans="1:12" x14ac:dyDescent="0.2">
      <c r="A571" s="172">
        <v>66940</v>
      </c>
      <c r="B571" s="4" t="s">
        <v>576</v>
      </c>
      <c r="C571" s="142" t="s">
        <v>62</v>
      </c>
      <c r="D571" s="4" t="s">
        <v>72</v>
      </c>
      <c r="E571" s="143">
        <v>1</v>
      </c>
      <c r="F571" s="144">
        <v>80</v>
      </c>
      <c r="G571" s="144">
        <f t="shared" si="16"/>
        <v>80</v>
      </c>
      <c r="H571" s="37">
        <v>0</v>
      </c>
      <c r="I571" s="5">
        <f t="shared" si="17"/>
        <v>80</v>
      </c>
      <c r="J571" s="4" t="s">
        <v>64</v>
      </c>
      <c r="K571" s="146" t="s">
        <v>65</v>
      </c>
      <c r="L571" s="145"/>
    </row>
    <row r="572" spans="1:12" x14ac:dyDescent="0.2">
      <c r="A572" s="172">
        <v>66940</v>
      </c>
      <c r="B572" s="4" t="s">
        <v>577</v>
      </c>
      <c r="C572" s="142" t="s">
        <v>67</v>
      </c>
      <c r="D572" s="4" t="s">
        <v>63</v>
      </c>
      <c r="E572" s="143">
        <v>50</v>
      </c>
      <c r="F572" s="144">
        <v>85</v>
      </c>
      <c r="G572" s="144">
        <f t="shared" si="16"/>
        <v>4250</v>
      </c>
      <c r="H572" s="37">
        <v>0</v>
      </c>
      <c r="I572" s="5">
        <f t="shared" si="17"/>
        <v>4250</v>
      </c>
      <c r="J572" s="4" t="s">
        <v>64</v>
      </c>
      <c r="K572" s="146" t="s">
        <v>65</v>
      </c>
      <c r="L572" s="145"/>
    </row>
    <row r="573" spans="1:12" x14ac:dyDescent="0.2">
      <c r="A573" s="172">
        <v>66940</v>
      </c>
      <c r="B573" s="4" t="s">
        <v>578</v>
      </c>
      <c r="C573" s="142" t="s">
        <v>82</v>
      </c>
      <c r="D573" s="4" t="s">
        <v>63</v>
      </c>
      <c r="E573" s="143">
        <v>8</v>
      </c>
      <c r="F573" s="144">
        <v>85</v>
      </c>
      <c r="G573" s="144">
        <f t="shared" si="16"/>
        <v>680</v>
      </c>
      <c r="H573" s="37">
        <v>0</v>
      </c>
      <c r="I573" s="5">
        <f t="shared" si="17"/>
        <v>680</v>
      </c>
      <c r="J573" s="4" t="s">
        <v>64</v>
      </c>
      <c r="K573" s="146" t="s">
        <v>65</v>
      </c>
      <c r="L573" s="145"/>
    </row>
    <row r="574" spans="1:12" x14ac:dyDescent="0.2">
      <c r="A574" s="172">
        <v>66940</v>
      </c>
      <c r="B574" s="4" t="s">
        <v>579</v>
      </c>
      <c r="C574" s="142" t="s">
        <v>84</v>
      </c>
      <c r="D574" s="4" t="s">
        <v>63</v>
      </c>
      <c r="E574" s="143">
        <v>3</v>
      </c>
      <c r="F574" s="144">
        <v>86</v>
      </c>
      <c r="G574" s="144">
        <f t="shared" si="16"/>
        <v>258</v>
      </c>
      <c r="H574" s="37">
        <v>0</v>
      </c>
      <c r="I574" s="5">
        <f t="shared" si="17"/>
        <v>258</v>
      </c>
      <c r="J574" s="4" t="s">
        <v>64</v>
      </c>
      <c r="K574" s="146" t="s">
        <v>65</v>
      </c>
      <c r="L574" s="145"/>
    </row>
    <row r="575" spans="1:12" x14ac:dyDescent="0.2">
      <c r="A575" s="172">
        <v>66940</v>
      </c>
      <c r="B575" s="4" t="s">
        <v>580</v>
      </c>
      <c r="C575" s="142" t="s">
        <v>86</v>
      </c>
      <c r="D575" s="4" t="s">
        <v>63</v>
      </c>
      <c r="E575" s="143">
        <v>30</v>
      </c>
      <c r="F575" s="144">
        <v>86</v>
      </c>
      <c r="G575" s="144">
        <f t="shared" si="16"/>
        <v>2580</v>
      </c>
      <c r="H575" s="37">
        <v>0</v>
      </c>
      <c r="I575" s="5">
        <f t="shared" si="17"/>
        <v>2580</v>
      </c>
      <c r="J575" s="4" t="s">
        <v>64</v>
      </c>
      <c r="K575" s="146" t="s">
        <v>65</v>
      </c>
      <c r="L575" s="145"/>
    </row>
    <row r="576" spans="1:12" x14ac:dyDescent="0.2">
      <c r="A576" s="172">
        <v>66940</v>
      </c>
      <c r="B576" s="4" t="s">
        <v>581</v>
      </c>
      <c r="C576" s="142" t="s">
        <v>71</v>
      </c>
      <c r="D576" s="4" t="s">
        <v>63</v>
      </c>
      <c r="E576" s="143">
        <v>40</v>
      </c>
      <c r="F576" s="144">
        <v>86</v>
      </c>
      <c r="G576" s="144">
        <f t="shared" si="16"/>
        <v>3440</v>
      </c>
      <c r="H576" s="37">
        <v>0</v>
      </c>
      <c r="I576" s="5">
        <f t="shared" si="17"/>
        <v>3440</v>
      </c>
      <c r="J576" s="4" t="s">
        <v>64</v>
      </c>
      <c r="K576" s="146" t="s">
        <v>65</v>
      </c>
      <c r="L576" s="145"/>
    </row>
    <row r="577" spans="1:12" x14ac:dyDescent="0.2">
      <c r="A577" s="172">
        <v>66940</v>
      </c>
      <c r="B577" s="4" t="s">
        <v>581</v>
      </c>
      <c r="C577" s="142" t="s">
        <v>71</v>
      </c>
      <c r="D577" s="142" t="s">
        <v>63</v>
      </c>
      <c r="E577" s="143">
        <v>30</v>
      </c>
      <c r="F577" s="144">
        <v>85</v>
      </c>
      <c r="G577" s="144">
        <f t="shared" si="16"/>
        <v>2550</v>
      </c>
      <c r="H577" s="37">
        <v>0</v>
      </c>
      <c r="I577" s="5">
        <f t="shared" si="17"/>
        <v>2550</v>
      </c>
      <c r="J577" s="4" t="s">
        <v>64</v>
      </c>
      <c r="K577" s="146" t="s">
        <v>65</v>
      </c>
      <c r="L577" s="145"/>
    </row>
    <row r="578" spans="1:12" x14ac:dyDescent="0.2">
      <c r="A578" s="172">
        <v>66940</v>
      </c>
      <c r="B578" s="4" t="s">
        <v>581</v>
      </c>
      <c r="C578" s="142" t="s">
        <v>71</v>
      </c>
      <c r="D578" s="142" t="s">
        <v>72</v>
      </c>
      <c r="E578" s="143">
        <v>1</v>
      </c>
      <c r="F578" s="144">
        <v>80</v>
      </c>
      <c r="G578" s="144">
        <f t="shared" si="16"/>
        <v>80</v>
      </c>
      <c r="H578" s="37">
        <v>0</v>
      </c>
      <c r="I578" s="5">
        <f t="shared" si="17"/>
        <v>80</v>
      </c>
      <c r="J578" s="4" t="s">
        <v>64</v>
      </c>
      <c r="K578" s="146" t="s">
        <v>65</v>
      </c>
      <c r="L578" s="145"/>
    </row>
    <row r="579" spans="1:12" x14ac:dyDescent="0.2">
      <c r="A579" s="172">
        <v>66940</v>
      </c>
      <c r="B579" s="4" t="s">
        <v>582</v>
      </c>
      <c r="C579" s="142" t="s">
        <v>74</v>
      </c>
      <c r="D579" s="142" t="s">
        <v>63</v>
      </c>
      <c r="E579" s="143">
        <v>15</v>
      </c>
      <c r="F579" s="144">
        <v>86</v>
      </c>
      <c r="G579" s="144">
        <f t="shared" ref="G579:G642" si="18">IF($E579="","",$E579*$F579)</f>
        <v>1290</v>
      </c>
      <c r="H579" s="37">
        <v>0</v>
      </c>
      <c r="I579" s="5">
        <f t="shared" ref="I579:I642" si="19">IF($E579="","",$G579*(1-$H579/100))</f>
        <v>1290</v>
      </c>
      <c r="J579" s="4" t="s">
        <v>64</v>
      </c>
      <c r="K579" s="146" t="s">
        <v>65</v>
      </c>
      <c r="L579" s="145"/>
    </row>
    <row r="580" spans="1:12" x14ac:dyDescent="0.2">
      <c r="A580" s="172">
        <v>66940</v>
      </c>
      <c r="B580" s="4" t="s">
        <v>583</v>
      </c>
      <c r="C580" s="142" t="s">
        <v>76</v>
      </c>
      <c r="D580" s="142" t="s">
        <v>63</v>
      </c>
      <c r="E580" s="143">
        <v>10</v>
      </c>
      <c r="F580" s="144">
        <v>85</v>
      </c>
      <c r="G580" s="144">
        <f t="shared" si="18"/>
        <v>850</v>
      </c>
      <c r="H580" s="37">
        <v>0</v>
      </c>
      <c r="I580" s="5">
        <f t="shared" si="19"/>
        <v>850</v>
      </c>
      <c r="J580" s="4" t="s">
        <v>64</v>
      </c>
      <c r="K580" s="146" t="s">
        <v>65</v>
      </c>
      <c r="L580" s="145"/>
    </row>
    <row r="581" spans="1:12" x14ac:dyDescent="0.2">
      <c r="A581" s="172">
        <v>66940</v>
      </c>
      <c r="B581" s="4" t="s">
        <v>584</v>
      </c>
      <c r="C581" s="142" t="s">
        <v>78</v>
      </c>
      <c r="D581" s="142" t="s">
        <v>63</v>
      </c>
      <c r="E581" s="143">
        <v>5</v>
      </c>
      <c r="F581" s="144">
        <v>85</v>
      </c>
      <c r="G581" s="144">
        <f t="shared" si="18"/>
        <v>425</v>
      </c>
      <c r="H581" s="37">
        <v>0</v>
      </c>
      <c r="I581" s="5">
        <f t="shared" si="19"/>
        <v>425</v>
      </c>
      <c r="J581" s="4" t="s">
        <v>64</v>
      </c>
      <c r="K581" s="146" t="s">
        <v>65</v>
      </c>
      <c r="L581" s="145"/>
    </row>
    <row r="582" spans="1:12" x14ac:dyDescent="0.2">
      <c r="A582" s="172">
        <v>66940</v>
      </c>
      <c r="B582" s="4" t="s">
        <v>585</v>
      </c>
      <c r="C582" s="142" t="s">
        <v>80</v>
      </c>
      <c r="D582" s="142" t="s">
        <v>63</v>
      </c>
      <c r="E582" s="143">
        <v>12</v>
      </c>
      <c r="F582" s="144">
        <v>85</v>
      </c>
      <c r="G582" s="144">
        <f t="shared" si="18"/>
        <v>1020</v>
      </c>
      <c r="H582" s="37">
        <v>0</v>
      </c>
      <c r="I582" s="5">
        <f t="shared" si="19"/>
        <v>1020</v>
      </c>
      <c r="J582" s="4" t="s">
        <v>64</v>
      </c>
      <c r="K582" s="146" t="s">
        <v>65</v>
      </c>
      <c r="L582" s="145"/>
    </row>
    <row r="583" spans="1:12" x14ac:dyDescent="0.2">
      <c r="A583" s="172">
        <v>66940</v>
      </c>
      <c r="B583" s="4" t="s">
        <v>586</v>
      </c>
      <c r="C583" s="142" t="s">
        <v>69</v>
      </c>
      <c r="D583" s="142" t="s">
        <v>63</v>
      </c>
      <c r="E583" s="143">
        <v>25</v>
      </c>
      <c r="F583" s="144">
        <v>85</v>
      </c>
      <c r="G583" s="144">
        <f t="shared" si="18"/>
        <v>2125</v>
      </c>
      <c r="H583" s="37">
        <v>0</v>
      </c>
      <c r="I583" s="5">
        <f t="shared" si="19"/>
        <v>2125</v>
      </c>
      <c r="J583" s="4" t="s">
        <v>64</v>
      </c>
      <c r="K583" s="146" t="s">
        <v>65</v>
      </c>
      <c r="L583" s="145"/>
    </row>
    <row r="584" spans="1:12" x14ac:dyDescent="0.2">
      <c r="A584" s="172">
        <v>66940</v>
      </c>
      <c r="B584" s="4" t="s">
        <v>587</v>
      </c>
      <c r="C584" s="142" t="s">
        <v>88</v>
      </c>
      <c r="D584" s="142" t="s">
        <v>63</v>
      </c>
      <c r="E584" s="143">
        <v>5</v>
      </c>
      <c r="F584" s="144">
        <v>85</v>
      </c>
      <c r="G584" s="144">
        <f t="shared" si="18"/>
        <v>425</v>
      </c>
      <c r="H584" s="37">
        <v>0</v>
      </c>
      <c r="I584" s="5">
        <f t="shared" si="19"/>
        <v>425</v>
      </c>
      <c r="J584" s="4" t="s">
        <v>64</v>
      </c>
      <c r="K584" s="146" t="s">
        <v>65</v>
      </c>
      <c r="L584" s="145"/>
    </row>
    <row r="585" spans="1:12" x14ac:dyDescent="0.2">
      <c r="A585" s="172">
        <v>66940</v>
      </c>
      <c r="B585" s="4" t="s">
        <v>588</v>
      </c>
      <c r="C585" s="142" t="s">
        <v>90</v>
      </c>
      <c r="D585" s="142" t="s">
        <v>63</v>
      </c>
      <c r="E585" s="143">
        <v>20</v>
      </c>
      <c r="F585" s="144">
        <v>85</v>
      </c>
      <c r="G585" s="144">
        <f t="shared" si="18"/>
        <v>1700</v>
      </c>
      <c r="H585" s="37">
        <v>0</v>
      </c>
      <c r="I585" s="5">
        <f t="shared" si="19"/>
        <v>1700</v>
      </c>
      <c r="J585" s="4" t="s">
        <v>64</v>
      </c>
      <c r="K585" s="146" t="s">
        <v>65</v>
      </c>
      <c r="L585" s="145"/>
    </row>
    <row r="586" spans="1:12" x14ac:dyDescent="0.2">
      <c r="A586" s="172">
        <v>66940</v>
      </c>
      <c r="B586" s="4" t="s">
        <v>589</v>
      </c>
      <c r="C586" s="142" t="s">
        <v>92</v>
      </c>
      <c r="D586" s="142" t="s">
        <v>63</v>
      </c>
      <c r="E586" s="143">
        <v>40</v>
      </c>
      <c r="F586" s="144">
        <v>95</v>
      </c>
      <c r="G586" s="144">
        <f t="shared" si="18"/>
        <v>3800</v>
      </c>
      <c r="H586" s="37">
        <v>0</v>
      </c>
      <c r="I586" s="5">
        <f t="shared" si="19"/>
        <v>3800</v>
      </c>
      <c r="J586" s="4" t="s">
        <v>64</v>
      </c>
      <c r="K586" s="146" t="s">
        <v>65</v>
      </c>
      <c r="L586" s="145"/>
    </row>
    <row r="587" spans="1:12" x14ac:dyDescent="0.2">
      <c r="A587" s="172">
        <v>66940</v>
      </c>
      <c r="B587" s="4" t="s">
        <v>589</v>
      </c>
      <c r="C587" s="142" t="s">
        <v>92</v>
      </c>
      <c r="D587" s="142" t="s">
        <v>63</v>
      </c>
      <c r="E587" s="143">
        <v>12</v>
      </c>
      <c r="F587" s="144">
        <v>85</v>
      </c>
      <c r="G587" s="144">
        <f t="shared" si="18"/>
        <v>1020</v>
      </c>
      <c r="H587" s="37">
        <v>0</v>
      </c>
      <c r="I587" s="5">
        <f t="shared" si="19"/>
        <v>1020</v>
      </c>
      <c r="J587" s="4" t="s">
        <v>64</v>
      </c>
      <c r="K587" s="146" t="s">
        <v>65</v>
      </c>
      <c r="L587" s="145"/>
    </row>
    <row r="588" spans="1:12" x14ac:dyDescent="0.2">
      <c r="A588" s="172">
        <v>66940</v>
      </c>
      <c r="B588" s="4" t="s">
        <v>590</v>
      </c>
      <c r="C588" s="142" t="s">
        <v>94</v>
      </c>
      <c r="D588" s="142" t="s">
        <v>63</v>
      </c>
      <c r="E588" s="143">
        <v>35</v>
      </c>
      <c r="F588" s="144">
        <v>84</v>
      </c>
      <c r="G588" s="144">
        <f t="shared" si="18"/>
        <v>2940</v>
      </c>
      <c r="H588" s="37">
        <v>0</v>
      </c>
      <c r="I588" s="5">
        <f t="shared" si="19"/>
        <v>2940</v>
      </c>
      <c r="J588" s="4" t="s">
        <v>64</v>
      </c>
      <c r="K588" s="146" t="s">
        <v>65</v>
      </c>
      <c r="L588" s="145"/>
    </row>
    <row r="589" spans="1:12" x14ac:dyDescent="0.2">
      <c r="A589" s="172">
        <v>66940</v>
      </c>
      <c r="B589" s="4" t="s">
        <v>591</v>
      </c>
      <c r="C589" s="142" t="s">
        <v>98</v>
      </c>
      <c r="D589" s="142" t="s">
        <v>63</v>
      </c>
      <c r="E589" s="143">
        <v>6</v>
      </c>
      <c r="F589" s="144">
        <v>85</v>
      </c>
      <c r="G589" s="144">
        <f t="shared" si="18"/>
        <v>510</v>
      </c>
      <c r="H589" s="37">
        <v>0</v>
      </c>
      <c r="I589" s="5">
        <f t="shared" si="19"/>
        <v>510</v>
      </c>
      <c r="J589" s="4" t="s">
        <v>64</v>
      </c>
      <c r="K589" s="146" t="s">
        <v>65</v>
      </c>
      <c r="L589" s="145"/>
    </row>
    <row r="590" spans="1:12" s="68" customFormat="1" x14ac:dyDescent="0.2">
      <c r="A590" s="172">
        <v>66940</v>
      </c>
      <c r="B590" s="4" t="s">
        <v>592</v>
      </c>
      <c r="C590" s="142" t="s">
        <v>487</v>
      </c>
      <c r="D590" s="142" t="s">
        <v>63</v>
      </c>
      <c r="E590" s="143">
        <v>1</v>
      </c>
      <c r="F590" s="144">
        <v>100</v>
      </c>
      <c r="G590" s="144">
        <f t="shared" si="18"/>
        <v>100</v>
      </c>
      <c r="H590" s="37">
        <v>0</v>
      </c>
      <c r="I590" s="5">
        <f t="shared" si="19"/>
        <v>100</v>
      </c>
      <c r="J590" s="4" t="s">
        <v>64</v>
      </c>
      <c r="K590" s="146" t="s">
        <v>65</v>
      </c>
      <c r="L590" s="145"/>
    </row>
    <row r="591" spans="1:12" s="68" customFormat="1" x14ac:dyDescent="0.2">
      <c r="A591" s="159" t="s">
        <v>593</v>
      </c>
      <c r="B591" s="4" t="s">
        <v>594</v>
      </c>
      <c r="C591" s="142" t="s">
        <v>214</v>
      </c>
      <c r="D591" s="142" t="s">
        <v>63</v>
      </c>
      <c r="E591" s="143">
        <v>4</v>
      </c>
      <c r="F591" s="144">
        <v>100</v>
      </c>
      <c r="G591" s="144">
        <f t="shared" si="18"/>
        <v>400</v>
      </c>
      <c r="H591" s="37">
        <v>0</v>
      </c>
      <c r="I591" s="5">
        <f t="shared" si="19"/>
        <v>400</v>
      </c>
      <c r="J591" s="4" t="s">
        <v>64</v>
      </c>
      <c r="K591" s="146" t="s">
        <v>65</v>
      </c>
      <c r="L591" s="145"/>
    </row>
    <row r="592" spans="1:12" s="68" customFormat="1" x14ac:dyDescent="0.2">
      <c r="A592" s="159" t="s">
        <v>593</v>
      </c>
      <c r="B592" s="4" t="s">
        <v>595</v>
      </c>
      <c r="C592" s="142" t="s">
        <v>62</v>
      </c>
      <c r="D592" s="142" t="s">
        <v>63</v>
      </c>
      <c r="E592" s="143">
        <v>55</v>
      </c>
      <c r="F592" s="144">
        <v>85</v>
      </c>
      <c r="G592" s="144">
        <f t="shared" si="18"/>
        <v>4675</v>
      </c>
      <c r="H592" s="37">
        <v>0</v>
      </c>
      <c r="I592" s="5">
        <f t="shared" si="19"/>
        <v>4675</v>
      </c>
      <c r="J592" s="4" t="s">
        <v>64</v>
      </c>
      <c r="K592" s="146" t="s">
        <v>65</v>
      </c>
      <c r="L592" s="145"/>
    </row>
    <row r="593" spans="1:12" s="68" customFormat="1" x14ac:dyDescent="0.2">
      <c r="A593" s="159" t="s">
        <v>593</v>
      </c>
      <c r="B593" s="4" t="s">
        <v>595</v>
      </c>
      <c r="C593" s="142" t="s">
        <v>62</v>
      </c>
      <c r="D593" s="142" t="s">
        <v>72</v>
      </c>
      <c r="E593" s="143">
        <v>1</v>
      </c>
      <c r="F593" s="144">
        <v>80</v>
      </c>
      <c r="G593" s="144">
        <f t="shared" si="18"/>
        <v>80</v>
      </c>
      <c r="H593" s="37">
        <v>0</v>
      </c>
      <c r="I593" s="5">
        <f t="shared" si="19"/>
        <v>80</v>
      </c>
      <c r="J593" s="4" t="s">
        <v>64</v>
      </c>
      <c r="K593" s="146" t="s">
        <v>65</v>
      </c>
      <c r="L593" s="145"/>
    </row>
    <row r="594" spans="1:12" s="68" customFormat="1" x14ac:dyDescent="0.2">
      <c r="A594" s="159" t="s">
        <v>593</v>
      </c>
      <c r="B594" s="4" t="s">
        <v>596</v>
      </c>
      <c r="C594" s="142" t="s">
        <v>86</v>
      </c>
      <c r="D594" s="142" t="s">
        <v>63</v>
      </c>
      <c r="E594" s="143">
        <v>44</v>
      </c>
      <c r="F594" s="144">
        <v>86</v>
      </c>
      <c r="G594" s="144">
        <f t="shared" si="18"/>
        <v>3784</v>
      </c>
      <c r="H594" s="37">
        <v>0</v>
      </c>
      <c r="I594" s="5">
        <f t="shared" si="19"/>
        <v>3784</v>
      </c>
      <c r="J594" s="4" t="s">
        <v>64</v>
      </c>
      <c r="K594" s="146" t="s">
        <v>65</v>
      </c>
      <c r="L594" s="145"/>
    </row>
    <row r="595" spans="1:12" s="68" customFormat="1" x14ac:dyDescent="0.2">
      <c r="A595" s="159" t="s">
        <v>593</v>
      </c>
      <c r="B595" s="4" t="s">
        <v>596</v>
      </c>
      <c r="C595" s="142" t="s">
        <v>86</v>
      </c>
      <c r="D595" s="4" t="s">
        <v>96</v>
      </c>
      <c r="E595" s="36">
        <v>1</v>
      </c>
      <c r="F595" s="5">
        <v>800</v>
      </c>
      <c r="G595" s="144">
        <f t="shared" si="18"/>
        <v>800</v>
      </c>
      <c r="H595" s="37">
        <v>0</v>
      </c>
      <c r="I595" s="5">
        <f t="shared" si="19"/>
        <v>800</v>
      </c>
      <c r="J595" s="4" t="s">
        <v>64</v>
      </c>
      <c r="K595" s="146" t="s">
        <v>65</v>
      </c>
      <c r="L595" s="146"/>
    </row>
    <row r="596" spans="1:12" s="68" customFormat="1" x14ac:dyDescent="0.2">
      <c r="A596" s="159" t="s">
        <v>593</v>
      </c>
      <c r="B596" s="4" t="s">
        <v>597</v>
      </c>
      <c r="C596" s="142" t="s">
        <v>84</v>
      </c>
      <c r="D596" s="142" t="s">
        <v>63</v>
      </c>
      <c r="E596" s="143">
        <v>3</v>
      </c>
      <c r="F596" s="144">
        <v>86</v>
      </c>
      <c r="G596" s="144">
        <f t="shared" si="18"/>
        <v>258</v>
      </c>
      <c r="H596" s="37">
        <v>0</v>
      </c>
      <c r="I596" s="5">
        <f t="shared" si="19"/>
        <v>258</v>
      </c>
      <c r="J596" s="4" t="s">
        <v>64</v>
      </c>
      <c r="K596" s="146" t="s">
        <v>65</v>
      </c>
      <c r="L596" s="145"/>
    </row>
    <row r="597" spans="1:12" s="68" customFormat="1" x14ac:dyDescent="0.2">
      <c r="A597" s="159" t="s">
        <v>593</v>
      </c>
      <c r="B597" s="4" t="s">
        <v>598</v>
      </c>
      <c r="C597" s="142" t="s">
        <v>74</v>
      </c>
      <c r="D597" s="142" t="s">
        <v>63</v>
      </c>
      <c r="E597" s="143">
        <v>18</v>
      </c>
      <c r="F597" s="144">
        <v>86</v>
      </c>
      <c r="G597" s="144">
        <f t="shared" si="18"/>
        <v>1548</v>
      </c>
      <c r="H597" s="37">
        <v>0</v>
      </c>
      <c r="I597" s="5">
        <f t="shared" si="19"/>
        <v>1548</v>
      </c>
      <c r="J597" s="4" t="s">
        <v>64</v>
      </c>
      <c r="K597" s="146" t="s">
        <v>65</v>
      </c>
      <c r="L597" s="145"/>
    </row>
    <row r="598" spans="1:12" s="68" customFormat="1" x14ac:dyDescent="0.2">
      <c r="A598" s="159" t="s">
        <v>593</v>
      </c>
      <c r="B598" s="4" t="s">
        <v>598</v>
      </c>
      <c r="C598" s="142" t="s">
        <v>74</v>
      </c>
      <c r="D598" s="142" t="s">
        <v>96</v>
      </c>
      <c r="E598" s="143">
        <v>7</v>
      </c>
      <c r="F598" s="144">
        <v>775</v>
      </c>
      <c r="G598" s="144">
        <f t="shared" si="18"/>
        <v>5425</v>
      </c>
      <c r="H598" s="37">
        <v>0</v>
      </c>
      <c r="I598" s="5">
        <f t="shared" si="19"/>
        <v>5425</v>
      </c>
      <c r="J598" s="4" t="s">
        <v>64</v>
      </c>
      <c r="K598" s="146" t="s">
        <v>65</v>
      </c>
      <c r="L598" s="145"/>
    </row>
    <row r="599" spans="1:12" s="68" customFormat="1" x14ac:dyDescent="0.2">
      <c r="A599" s="159" t="s">
        <v>593</v>
      </c>
      <c r="B599" s="4" t="s">
        <v>599</v>
      </c>
      <c r="C599" s="142" t="s">
        <v>67</v>
      </c>
      <c r="D599" s="142" t="s">
        <v>63</v>
      </c>
      <c r="E599" s="143">
        <v>50</v>
      </c>
      <c r="F599" s="144">
        <v>85</v>
      </c>
      <c r="G599" s="144">
        <f t="shared" si="18"/>
        <v>4250</v>
      </c>
      <c r="H599" s="37">
        <v>0</v>
      </c>
      <c r="I599" s="5">
        <f t="shared" si="19"/>
        <v>4250</v>
      </c>
      <c r="J599" s="4" t="s">
        <v>64</v>
      </c>
      <c r="K599" s="146" t="s">
        <v>65</v>
      </c>
      <c r="L599" s="145"/>
    </row>
    <row r="600" spans="1:12" s="68" customFormat="1" x14ac:dyDescent="0.2">
      <c r="A600" s="159" t="s">
        <v>593</v>
      </c>
      <c r="B600" s="4" t="s">
        <v>600</v>
      </c>
      <c r="C600" s="142" t="s">
        <v>69</v>
      </c>
      <c r="D600" s="142" t="s">
        <v>63</v>
      </c>
      <c r="E600" s="143">
        <v>25</v>
      </c>
      <c r="F600" s="144">
        <v>85</v>
      </c>
      <c r="G600" s="144">
        <f t="shared" si="18"/>
        <v>2125</v>
      </c>
      <c r="H600" s="37">
        <v>0</v>
      </c>
      <c r="I600" s="5">
        <f t="shared" si="19"/>
        <v>2125</v>
      </c>
      <c r="J600" s="4" t="s">
        <v>64</v>
      </c>
      <c r="K600" s="146" t="s">
        <v>65</v>
      </c>
      <c r="L600" s="145"/>
    </row>
    <row r="601" spans="1:12" s="68" customFormat="1" x14ac:dyDescent="0.2">
      <c r="A601" s="159" t="s">
        <v>593</v>
      </c>
      <c r="B601" s="4" t="s">
        <v>601</v>
      </c>
      <c r="C601" s="142" t="s">
        <v>71</v>
      </c>
      <c r="D601" s="142" t="s">
        <v>63</v>
      </c>
      <c r="E601" s="143">
        <v>40</v>
      </c>
      <c r="F601" s="144">
        <v>86</v>
      </c>
      <c r="G601" s="144">
        <f t="shared" si="18"/>
        <v>3440</v>
      </c>
      <c r="H601" s="37">
        <v>0</v>
      </c>
      <c r="I601" s="5">
        <f t="shared" si="19"/>
        <v>3440</v>
      </c>
      <c r="J601" s="4" t="s">
        <v>64</v>
      </c>
      <c r="K601" s="146" t="s">
        <v>65</v>
      </c>
      <c r="L601" s="145"/>
    </row>
    <row r="602" spans="1:12" s="68" customFormat="1" x14ac:dyDescent="0.2">
      <c r="A602" s="159" t="s">
        <v>593</v>
      </c>
      <c r="B602" s="4" t="s">
        <v>601</v>
      </c>
      <c r="C602" s="142" t="s">
        <v>71</v>
      </c>
      <c r="D602" s="142" t="s">
        <v>63</v>
      </c>
      <c r="E602" s="143">
        <v>50</v>
      </c>
      <c r="F602" s="144">
        <v>85</v>
      </c>
      <c r="G602" s="144">
        <f t="shared" si="18"/>
        <v>4250</v>
      </c>
      <c r="H602" s="37">
        <v>0</v>
      </c>
      <c r="I602" s="5">
        <f t="shared" si="19"/>
        <v>4250</v>
      </c>
      <c r="J602" s="4" t="s">
        <v>64</v>
      </c>
      <c r="K602" s="146" t="s">
        <v>65</v>
      </c>
      <c r="L602" s="145"/>
    </row>
    <row r="603" spans="1:12" s="68" customFormat="1" x14ac:dyDescent="0.2">
      <c r="A603" s="159" t="s">
        <v>593</v>
      </c>
      <c r="B603" s="4" t="s">
        <v>601</v>
      </c>
      <c r="C603" s="142" t="s">
        <v>71</v>
      </c>
      <c r="D603" s="142" t="s">
        <v>95</v>
      </c>
      <c r="E603" s="143">
        <v>3</v>
      </c>
      <c r="F603" s="144">
        <v>1100</v>
      </c>
      <c r="G603" s="144">
        <f t="shared" si="18"/>
        <v>3300</v>
      </c>
      <c r="H603" s="37">
        <v>0</v>
      </c>
      <c r="I603" s="5">
        <f t="shared" si="19"/>
        <v>3300</v>
      </c>
      <c r="J603" s="4" t="s">
        <v>64</v>
      </c>
      <c r="K603" s="146" t="s">
        <v>65</v>
      </c>
      <c r="L603" s="145"/>
    </row>
    <row r="604" spans="1:12" s="68" customFormat="1" x14ac:dyDescent="0.2">
      <c r="A604" s="159" t="s">
        <v>593</v>
      </c>
      <c r="B604" s="4" t="s">
        <v>601</v>
      </c>
      <c r="C604" s="142" t="s">
        <v>71</v>
      </c>
      <c r="D604" s="142" t="s">
        <v>96</v>
      </c>
      <c r="E604" s="143">
        <v>1</v>
      </c>
      <c r="F604" s="144">
        <v>800</v>
      </c>
      <c r="G604" s="144">
        <f t="shared" si="18"/>
        <v>800</v>
      </c>
      <c r="H604" s="37">
        <v>0</v>
      </c>
      <c r="I604" s="5">
        <f t="shared" si="19"/>
        <v>800</v>
      </c>
      <c r="J604" s="4" t="s">
        <v>64</v>
      </c>
      <c r="K604" s="146" t="s">
        <v>65</v>
      </c>
      <c r="L604" s="145"/>
    </row>
    <row r="605" spans="1:12" s="68" customFormat="1" x14ac:dyDescent="0.2">
      <c r="A605" s="159" t="s">
        <v>593</v>
      </c>
      <c r="B605" s="4" t="s">
        <v>601</v>
      </c>
      <c r="C605" s="142" t="s">
        <v>71</v>
      </c>
      <c r="D605" s="142" t="s">
        <v>72</v>
      </c>
      <c r="E605" s="143">
        <v>1</v>
      </c>
      <c r="F605" s="144">
        <v>80</v>
      </c>
      <c r="G605" s="144">
        <f t="shared" si="18"/>
        <v>80</v>
      </c>
      <c r="H605" s="37">
        <v>0</v>
      </c>
      <c r="I605" s="5">
        <f t="shared" si="19"/>
        <v>80</v>
      </c>
      <c r="J605" s="4" t="s">
        <v>64</v>
      </c>
      <c r="K605" s="146" t="s">
        <v>65</v>
      </c>
      <c r="L605" s="145"/>
    </row>
    <row r="606" spans="1:12" s="68" customFormat="1" x14ac:dyDescent="0.2">
      <c r="A606" s="159" t="s">
        <v>593</v>
      </c>
      <c r="B606" s="4" t="s">
        <v>602</v>
      </c>
      <c r="C606" s="142" t="s">
        <v>90</v>
      </c>
      <c r="D606" s="142" t="s">
        <v>63</v>
      </c>
      <c r="E606" s="143">
        <v>15</v>
      </c>
      <c r="F606" s="144">
        <v>85</v>
      </c>
      <c r="G606" s="144">
        <f t="shared" si="18"/>
        <v>1275</v>
      </c>
      <c r="H606" s="37">
        <v>0</v>
      </c>
      <c r="I606" s="5">
        <f t="shared" si="19"/>
        <v>1275</v>
      </c>
      <c r="J606" s="4" t="s">
        <v>64</v>
      </c>
      <c r="K606" s="146" t="s">
        <v>65</v>
      </c>
      <c r="L606" s="145"/>
    </row>
    <row r="607" spans="1:12" s="68" customFormat="1" x14ac:dyDescent="0.2">
      <c r="A607" s="159" t="s">
        <v>593</v>
      </c>
      <c r="B607" s="4" t="s">
        <v>603</v>
      </c>
      <c r="C607" s="142" t="s">
        <v>82</v>
      </c>
      <c r="D607" s="142" t="s">
        <v>63</v>
      </c>
      <c r="E607" s="143">
        <v>8</v>
      </c>
      <c r="F607" s="144">
        <v>85</v>
      </c>
      <c r="G607" s="144">
        <f t="shared" si="18"/>
        <v>680</v>
      </c>
      <c r="H607" s="37">
        <v>0</v>
      </c>
      <c r="I607" s="5">
        <f t="shared" si="19"/>
        <v>680</v>
      </c>
      <c r="J607" s="4" t="s">
        <v>64</v>
      </c>
      <c r="K607" s="146" t="s">
        <v>65</v>
      </c>
      <c r="L607" s="145"/>
    </row>
    <row r="608" spans="1:12" s="68" customFormat="1" x14ac:dyDescent="0.2">
      <c r="A608" s="159" t="s">
        <v>593</v>
      </c>
      <c r="B608" s="4" t="s">
        <v>604</v>
      </c>
      <c r="C608" s="4" t="s">
        <v>80</v>
      </c>
      <c r="D608" s="142" t="s">
        <v>63</v>
      </c>
      <c r="E608" s="36">
        <v>12</v>
      </c>
      <c r="F608" s="5">
        <v>85</v>
      </c>
      <c r="G608" s="144">
        <f t="shared" si="18"/>
        <v>1020</v>
      </c>
      <c r="H608" s="37">
        <v>0</v>
      </c>
      <c r="I608" s="5">
        <f t="shared" si="19"/>
        <v>1020</v>
      </c>
      <c r="J608" s="4" t="s">
        <v>64</v>
      </c>
      <c r="K608" s="146" t="s">
        <v>65</v>
      </c>
      <c r="L608" s="146"/>
    </row>
    <row r="609" spans="1:12" s="68" customFormat="1" x14ac:dyDescent="0.2">
      <c r="A609" s="159" t="s">
        <v>593</v>
      </c>
      <c r="B609" s="4" t="s">
        <v>605</v>
      </c>
      <c r="C609" s="142" t="s">
        <v>92</v>
      </c>
      <c r="D609" s="142" t="s">
        <v>63</v>
      </c>
      <c r="E609" s="143">
        <v>25</v>
      </c>
      <c r="F609" s="144">
        <v>95</v>
      </c>
      <c r="G609" s="144">
        <f t="shared" si="18"/>
        <v>2375</v>
      </c>
      <c r="H609" s="37">
        <v>0</v>
      </c>
      <c r="I609" s="5">
        <f t="shared" si="19"/>
        <v>2375</v>
      </c>
      <c r="J609" s="4" t="s">
        <v>64</v>
      </c>
      <c r="K609" s="146" t="s">
        <v>65</v>
      </c>
      <c r="L609" s="145"/>
    </row>
    <row r="610" spans="1:12" s="68" customFormat="1" x14ac:dyDescent="0.2">
      <c r="A610" s="159" t="s">
        <v>593</v>
      </c>
      <c r="B610" s="4" t="s">
        <v>605</v>
      </c>
      <c r="C610" s="142" t="s">
        <v>92</v>
      </c>
      <c r="D610" s="142" t="s">
        <v>63</v>
      </c>
      <c r="E610" s="143">
        <v>12</v>
      </c>
      <c r="F610" s="144">
        <v>85</v>
      </c>
      <c r="G610" s="144">
        <f t="shared" si="18"/>
        <v>1020</v>
      </c>
      <c r="H610" s="37">
        <v>0</v>
      </c>
      <c r="I610" s="5">
        <f t="shared" si="19"/>
        <v>1020</v>
      </c>
      <c r="J610" s="4" t="s">
        <v>64</v>
      </c>
      <c r="K610" s="146" t="s">
        <v>65</v>
      </c>
      <c r="L610" s="145"/>
    </row>
    <row r="611" spans="1:12" s="68" customFormat="1" x14ac:dyDescent="0.2">
      <c r="A611" s="159" t="s">
        <v>593</v>
      </c>
      <c r="B611" s="4" t="s">
        <v>606</v>
      </c>
      <c r="C611" s="142" t="s">
        <v>88</v>
      </c>
      <c r="D611" s="142" t="s">
        <v>63</v>
      </c>
      <c r="E611" s="143">
        <v>5</v>
      </c>
      <c r="F611" s="144">
        <v>85</v>
      </c>
      <c r="G611" s="144">
        <f t="shared" si="18"/>
        <v>425</v>
      </c>
      <c r="H611" s="37">
        <v>0</v>
      </c>
      <c r="I611" s="5">
        <f t="shared" si="19"/>
        <v>425</v>
      </c>
      <c r="J611" s="4" t="s">
        <v>64</v>
      </c>
      <c r="K611" s="146" t="s">
        <v>65</v>
      </c>
      <c r="L611" s="145"/>
    </row>
    <row r="612" spans="1:12" s="68" customFormat="1" x14ac:dyDescent="0.2">
      <c r="A612" s="159" t="s">
        <v>593</v>
      </c>
      <c r="B612" s="4" t="s">
        <v>607</v>
      </c>
      <c r="C612" s="142" t="s">
        <v>94</v>
      </c>
      <c r="D612" s="142" t="s">
        <v>63</v>
      </c>
      <c r="E612" s="143">
        <v>35</v>
      </c>
      <c r="F612" s="144">
        <v>84</v>
      </c>
      <c r="G612" s="144">
        <f t="shared" si="18"/>
        <v>2940</v>
      </c>
      <c r="H612" s="37">
        <v>0</v>
      </c>
      <c r="I612" s="5">
        <f t="shared" si="19"/>
        <v>2940</v>
      </c>
      <c r="J612" s="4" t="s">
        <v>64</v>
      </c>
      <c r="K612" s="146" t="s">
        <v>65</v>
      </c>
      <c r="L612" s="145"/>
    </row>
    <row r="613" spans="1:12" s="68" customFormat="1" x14ac:dyDescent="0.2">
      <c r="A613" s="159" t="s">
        <v>593</v>
      </c>
      <c r="B613" s="4" t="s">
        <v>608</v>
      </c>
      <c r="C613" s="142" t="s">
        <v>98</v>
      </c>
      <c r="D613" s="142" t="s">
        <v>63</v>
      </c>
      <c r="E613" s="143">
        <v>6</v>
      </c>
      <c r="F613" s="144">
        <v>85</v>
      </c>
      <c r="G613" s="144">
        <f t="shared" si="18"/>
        <v>510</v>
      </c>
      <c r="H613" s="37">
        <v>0</v>
      </c>
      <c r="I613" s="5">
        <f t="shared" si="19"/>
        <v>510</v>
      </c>
      <c r="J613" s="4" t="s">
        <v>64</v>
      </c>
      <c r="K613" s="146" t="s">
        <v>65</v>
      </c>
      <c r="L613" s="145"/>
    </row>
    <row r="614" spans="1:12" s="68" customFormat="1" x14ac:dyDescent="0.2">
      <c r="A614" s="159" t="s">
        <v>593</v>
      </c>
      <c r="B614" s="4" t="s">
        <v>609</v>
      </c>
      <c r="C614" s="142" t="s">
        <v>100</v>
      </c>
      <c r="D614" s="142" t="s">
        <v>63</v>
      </c>
      <c r="E614" s="143">
        <v>3.5</v>
      </c>
      <c r="F614" s="144">
        <v>100</v>
      </c>
      <c r="G614" s="144">
        <f t="shared" si="18"/>
        <v>350</v>
      </c>
      <c r="H614" s="37">
        <v>0</v>
      </c>
      <c r="I614" s="5">
        <f t="shared" si="19"/>
        <v>350</v>
      </c>
      <c r="J614" s="4" t="s">
        <v>64</v>
      </c>
      <c r="K614" s="146" t="s">
        <v>65</v>
      </c>
      <c r="L614" s="145"/>
    </row>
    <row r="615" spans="1:12" s="68" customFormat="1" x14ac:dyDescent="0.2">
      <c r="A615" s="159" t="s">
        <v>610</v>
      </c>
      <c r="B615" s="4" t="s">
        <v>611</v>
      </c>
      <c r="C615" s="142" t="s">
        <v>62</v>
      </c>
      <c r="D615" s="142" t="s">
        <v>63</v>
      </c>
      <c r="E615" s="143">
        <v>60</v>
      </c>
      <c r="F615" s="144">
        <v>85</v>
      </c>
      <c r="G615" s="144">
        <f t="shared" si="18"/>
        <v>5100</v>
      </c>
      <c r="H615" s="37">
        <v>0</v>
      </c>
      <c r="I615" s="5">
        <f t="shared" si="19"/>
        <v>5100</v>
      </c>
      <c r="J615" s="4" t="s">
        <v>64</v>
      </c>
      <c r="K615" s="146" t="s">
        <v>65</v>
      </c>
      <c r="L615" s="145"/>
    </row>
    <row r="616" spans="1:12" s="68" customFormat="1" x14ac:dyDescent="0.2">
      <c r="A616" s="159" t="s">
        <v>610</v>
      </c>
      <c r="B616" s="4" t="s">
        <v>611</v>
      </c>
      <c r="C616" s="142" t="s">
        <v>62</v>
      </c>
      <c r="D616" s="142" t="s">
        <v>72</v>
      </c>
      <c r="E616" s="143">
        <v>1</v>
      </c>
      <c r="F616" s="144">
        <v>80</v>
      </c>
      <c r="G616" s="144">
        <f t="shared" si="18"/>
        <v>80</v>
      </c>
      <c r="H616" s="37">
        <v>0</v>
      </c>
      <c r="I616" s="5">
        <f t="shared" si="19"/>
        <v>80</v>
      </c>
      <c r="J616" s="4" t="s">
        <v>64</v>
      </c>
      <c r="K616" s="146" t="s">
        <v>65</v>
      </c>
      <c r="L616" s="145"/>
    </row>
    <row r="617" spans="1:12" s="68" customFormat="1" x14ac:dyDescent="0.2">
      <c r="A617" s="159" t="s">
        <v>610</v>
      </c>
      <c r="B617" s="4" t="s">
        <v>612</v>
      </c>
      <c r="C617" s="142" t="s">
        <v>67</v>
      </c>
      <c r="D617" s="142" t="s">
        <v>63</v>
      </c>
      <c r="E617" s="143">
        <v>45</v>
      </c>
      <c r="F617" s="144">
        <v>85</v>
      </c>
      <c r="G617" s="144">
        <f t="shared" si="18"/>
        <v>3825</v>
      </c>
      <c r="H617" s="37">
        <v>0</v>
      </c>
      <c r="I617" s="5">
        <f t="shared" si="19"/>
        <v>3825</v>
      </c>
      <c r="J617" s="4" t="s">
        <v>64</v>
      </c>
      <c r="K617" s="146" t="s">
        <v>65</v>
      </c>
      <c r="L617" s="145"/>
    </row>
    <row r="618" spans="1:12" s="68" customFormat="1" x14ac:dyDescent="0.2">
      <c r="A618" s="159" t="s">
        <v>610</v>
      </c>
      <c r="B618" s="4" t="s">
        <v>613</v>
      </c>
      <c r="C618" s="142" t="s">
        <v>86</v>
      </c>
      <c r="D618" s="142" t="s">
        <v>63</v>
      </c>
      <c r="E618" s="143">
        <v>25</v>
      </c>
      <c r="F618" s="144">
        <v>86</v>
      </c>
      <c r="G618" s="144">
        <f t="shared" si="18"/>
        <v>2150</v>
      </c>
      <c r="H618" s="37">
        <v>0</v>
      </c>
      <c r="I618" s="5">
        <f t="shared" si="19"/>
        <v>2150</v>
      </c>
      <c r="J618" s="4" t="s">
        <v>64</v>
      </c>
      <c r="K618" s="146" t="s">
        <v>65</v>
      </c>
      <c r="L618" s="145"/>
    </row>
    <row r="619" spans="1:12" s="68" customFormat="1" x14ac:dyDescent="0.2">
      <c r="A619" s="159" t="s">
        <v>610</v>
      </c>
      <c r="B619" s="4" t="s">
        <v>614</v>
      </c>
      <c r="C619" s="142" t="s">
        <v>84</v>
      </c>
      <c r="D619" s="142" t="s">
        <v>63</v>
      </c>
      <c r="E619" s="143">
        <v>3</v>
      </c>
      <c r="F619" s="144">
        <v>86</v>
      </c>
      <c r="G619" s="144">
        <f t="shared" si="18"/>
        <v>258</v>
      </c>
      <c r="H619" s="37">
        <v>0</v>
      </c>
      <c r="I619" s="5">
        <f t="shared" si="19"/>
        <v>258</v>
      </c>
      <c r="J619" s="4" t="s">
        <v>64</v>
      </c>
      <c r="K619" s="146" t="s">
        <v>65</v>
      </c>
      <c r="L619" s="145"/>
    </row>
    <row r="620" spans="1:12" s="68" customFormat="1" x14ac:dyDescent="0.2">
      <c r="A620" s="159" t="s">
        <v>610</v>
      </c>
      <c r="B620" s="4" t="s">
        <v>615</v>
      </c>
      <c r="C620" s="142" t="s">
        <v>82</v>
      </c>
      <c r="D620" s="142" t="s">
        <v>63</v>
      </c>
      <c r="E620" s="143">
        <v>8</v>
      </c>
      <c r="F620" s="144">
        <v>85</v>
      </c>
      <c r="G620" s="144">
        <f t="shared" si="18"/>
        <v>680</v>
      </c>
      <c r="H620" s="37">
        <v>0</v>
      </c>
      <c r="I620" s="5">
        <f t="shared" si="19"/>
        <v>680</v>
      </c>
      <c r="J620" s="4" t="s">
        <v>64</v>
      </c>
      <c r="K620" s="146" t="s">
        <v>65</v>
      </c>
      <c r="L620" s="145"/>
    </row>
    <row r="621" spans="1:12" s="68" customFormat="1" x14ac:dyDescent="0.2">
      <c r="A621" s="159" t="s">
        <v>610</v>
      </c>
      <c r="B621" s="4" t="s">
        <v>616</v>
      </c>
      <c r="C621" s="4" t="s">
        <v>76</v>
      </c>
      <c r="D621" s="142" t="s">
        <v>63</v>
      </c>
      <c r="E621" s="36">
        <v>10</v>
      </c>
      <c r="F621" s="5">
        <v>85</v>
      </c>
      <c r="G621" s="144">
        <f t="shared" si="18"/>
        <v>850</v>
      </c>
      <c r="H621" s="37">
        <v>0</v>
      </c>
      <c r="I621" s="5">
        <f t="shared" si="19"/>
        <v>850</v>
      </c>
      <c r="J621" s="4" t="s">
        <v>64</v>
      </c>
      <c r="K621" s="146" t="s">
        <v>65</v>
      </c>
      <c r="L621" s="146"/>
    </row>
    <row r="622" spans="1:12" s="68" customFormat="1" x14ac:dyDescent="0.2">
      <c r="A622" s="159" t="s">
        <v>610</v>
      </c>
      <c r="B622" s="4" t="s">
        <v>617</v>
      </c>
      <c r="C622" s="142" t="s">
        <v>80</v>
      </c>
      <c r="D622" s="142" t="s">
        <v>63</v>
      </c>
      <c r="E622" s="143">
        <v>15</v>
      </c>
      <c r="F622" s="144">
        <v>85</v>
      </c>
      <c r="G622" s="144">
        <f t="shared" si="18"/>
        <v>1275</v>
      </c>
      <c r="H622" s="37">
        <v>0</v>
      </c>
      <c r="I622" s="5">
        <f t="shared" si="19"/>
        <v>1275</v>
      </c>
      <c r="J622" s="4" t="s">
        <v>64</v>
      </c>
      <c r="K622" s="146" t="s">
        <v>65</v>
      </c>
      <c r="L622" s="145"/>
    </row>
    <row r="623" spans="1:12" s="68" customFormat="1" x14ac:dyDescent="0.2">
      <c r="A623" s="159" t="s">
        <v>610</v>
      </c>
      <c r="B623" s="4" t="s">
        <v>618</v>
      </c>
      <c r="C623" s="142" t="s">
        <v>78</v>
      </c>
      <c r="D623" s="142" t="s">
        <v>63</v>
      </c>
      <c r="E623" s="143">
        <v>7</v>
      </c>
      <c r="F623" s="144">
        <v>85</v>
      </c>
      <c r="G623" s="144">
        <f t="shared" si="18"/>
        <v>595</v>
      </c>
      <c r="H623" s="37">
        <v>0</v>
      </c>
      <c r="I623" s="5">
        <f t="shared" si="19"/>
        <v>595</v>
      </c>
      <c r="J623" s="4" t="s">
        <v>64</v>
      </c>
      <c r="K623" s="146" t="s">
        <v>65</v>
      </c>
      <c r="L623" s="145"/>
    </row>
    <row r="624" spans="1:12" s="68" customFormat="1" x14ac:dyDescent="0.2">
      <c r="A624" s="159" t="s">
        <v>610</v>
      </c>
      <c r="B624" s="4" t="s">
        <v>619</v>
      </c>
      <c r="C624" s="142" t="s">
        <v>74</v>
      </c>
      <c r="D624" s="142" t="s">
        <v>63</v>
      </c>
      <c r="E624" s="143">
        <v>15</v>
      </c>
      <c r="F624" s="144">
        <v>86</v>
      </c>
      <c r="G624" s="144">
        <f t="shared" si="18"/>
        <v>1290</v>
      </c>
      <c r="H624" s="37">
        <v>0</v>
      </c>
      <c r="I624" s="5">
        <f t="shared" si="19"/>
        <v>1290</v>
      </c>
      <c r="J624" s="4" t="s">
        <v>64</v>
      </c>
      <c r="K624" s="146" t="s">
        <v>65</v>
      </c>
      <c r="L624" s="145"/>
    </row>
    <row r="625" spans="1:12" s="68" customFormat="1" x14ac:dyDescent="0.2">
      <c r="A625" s="159" t="s">
        <v>610</v>
      </c>
      <c r="B625" s="4" t="s">
        <v>619</v>
      </c>
      <c r="C625" s="142" t="s">
        <v>74</v>
      </c>
      <c r="D625" s="142" t="s">
        <v>96</v>
      </c>
      <c r="E625" s="143">
        <v>1</v>
      </c>
      <c r="F625" s="144">
        <v>775</v>
      </c>
      <c r="G625" s="144">
        <f t="shared" si="18"/>
        <v>775</v>
      </c>
      <c r="H625" s="37">
        <v>0</v>
      </c>
      <c r="I625" s="5">
        <f t="shared" si="19"/>
        <v>775</v>
      </c>
      <c r="J625" s="4" t="s">
        <v>64</v>
      </c>
      <c r="K625" s="146" t="s">
        <v>65</v>
      </c>
      <c r="L625" s="145"/>
    </row>
    <row r="626" spans="1:12" s="68" customFormat="1" x14ac:dyDescent="0.2">
      <c r="A626" s="159" t="s">
        <v>610</v>
      </c>
      <c r="B626" s="4" t="s">
        <v>620</v>
      </c>
      <c r="C626" s="142" t="s">
        <v>69</v>
      </c>
      <c r="D626" s="142" t="s">
        <v>63</v>
      </c>
      <c r="E626" s="143">
        <v>35</v>
      </c>
      <c r="F626" s="144">
        <v>85</v>
      </c>
      <c r="G626" s="144">
        <f t="shared" si="18"/>
        <v>2975</v>
      </c>
      <c r="H626" s="37">
        <v>0</v>
      </c>
      <c r="I626" s="5">
        <f t="shared" si="19"/>
        <v>2975</v>
      </c>
      <c r="J626" s="4" t="s">
        <v>64</v>
      </c>
      <c r="K626" s="146" t="s">
        <v>65</v>
      </c>
      <c r="L626" s="145"/>
    </row>
    <row r="627" spans="1:12" s="68" customFormat="1" x14ac:dyDescent="0.2">
      <c r="A627" s="159" t="s">
        <v>610</v>
      </c>
      <c r="B627" s="4" t="s">
        <v>621</v>
      </c>
      <c r="C627" s="142" t="s">
        <v>90</v>
      </c>
      <c r="D627" s="142" t="s">
        <v>63</v>
      </c>
      <c r="E627" s="143">
        <v>15</v>
      </c>
      <c r="F627" s="144">
        <v>85</v>
      </c>
      <c r="G627" s="144">
        <f t="shared" si="18"/>
        <v>1275</v>
      </c>
      <c r="H627" s="37">
        <v>0</v>
      </c>
      <c r="I627" s="5">
        <f t="shared" si="19"/>
        <v>1275</v>
      </c>
      <c r="J627" s="4" t="s">
        <v>64</v>
      </c>
      <c r="K627" s="146" t="s">
        <v>65</v>
      </c>
      <c r="L627" s="145"/>
    </row>
    <row r="628" spans="1:12" s="68" customFormat="1" x14ac:dyDescent="0.2">
      <c r="A628" s="159" t="s">
        <v>610</v>
      </c>
      <c r="B628" s="4" t="s">
        <v>622</v>
      </c>
      <c r="C628" s="142" t="s">
        <v>88</v>
      </c>
      <c r="D628" s="142" t="s">
        <v>63</v>
      </c>
      <c r="E628" s="143">
        <v>5</v>
      </c>
      <c r="F628" s="144">
        <v>85</v>
      </c>
      <c r="G628" s="144">
        <f t="shared" si="18"/>
        <v>425</v>
      </c>
      <c r="H628" s="37">
        <v>0</v>
      </c>
      <c r="I628" s="5">
        <f t="shared" si="19"/>
        <v>425</v>
      </c>
      <c r="J628" s="4" t="s">
        <v>64</v>
      </c>
      <c r="K628" s="146" t="s">
        <v>65</v>
      </c>
      <c r="L628" s="145"/>
    </row>
    <row r="629" spans="1:12" s="68" customFormat="1" x14ac:dyDescent="0.2">
      <c r="A629" s="159" t="s">
        <v>610</v>
      </c>
      <c r="B629" s="4" t="s">
        <v>623</v>
      </c>
      <c r="C629" s="142" t="s">
        <v>71</v>
      </c>
      <c r="D629" s="142" t="s">
        <v>63</v>
      </c>
      <c r="E629" s="143">
        <v>40</v>
      </c>
      <c r="F629" s="144">
        <v>86</v>
      </c>
      <c r="G629" s="144">
        <f t="shared" si="18"/>
        <v>3440</v>
      </c>
      <c r="H629" s="37">
        <v>0</v>
      </c>
      <c r="I629" s="5">
        <f t="shared" si="19"/>
        <v>3440</v>
      </c>
      <c r="J629" s="4" t="s">
        <v>64</v>
      </c>
      <c r="K629" s="146" t="s">
        <v>65</v>
      </c>
      <c r="L629" s="145"/>
    </row>
    <row r="630" spans="1:12" s="68" customFormat="1" x14ac:dyDescent="0.2">
      <c r="A630" s="159" t="s">
        <v>610</v>
      </c>
      <c r="B630" s="4" t="s">
        <v>623</v>
      </c>
      <c r="C630" s="142" t="s">
        <v>71</v>
      </c>
      <c r="D630" s="142" t="s">
        <v>63</v>
      </c>
      <c r="E630" s="143">
        <v>60</v>
      </c>
      <c r="F630" s="144">
        <v>85</v>
      </c>
      <c r="G630" s="144">
        <f t="shared" si="18"/>
        <v>5100</v>
      </c>
      <c r="H630" s="37">
        <v>0</v>
      </c>
      <c r="I630" s="5">
        <f t="shared" si="19"/>
        <v>5100</v>
      </c>
      <c r="J630" s="4" t="s">
        <v>64</v>
      </c>
      <c r="K630" s="146" t="s">
        <v>65</v>
      </c>
      <c r="L630" s="145"/>
    </row>
    <row r="631" spans="1:12" s="68" customFormat="1" x14ac:dyDescent="0.2">
      <c r="A631" s="159" t="s">
        <v>610</v>
      </c>
      <c r="B631" s="4" t="s">
        <v>623</v>
      </c>
      <c r="C631" s="142" t="s">
        <v>71</v>
      </c>
      <c r="D631" s="142" t="s">
        <v>72</v>
      </c>
      <c r="E631" s="143">
        <v>1</v>
      </c>
      <c r="F631" s="144">
        <v>80</v>
      </c>
      <c r="G631" s="144">
        <f t="shared" si="18"/>
        <v>80</v>
      </c>
      <c r="H631" s="37">
        <v>0</v>
      </c>
      <c r="I631" s="5">
        <f t="shared" si="19"/>
        <v>80</v>
      </c>
      <c r="J631" s="4" t="s">
        <v>64</v>
      </c>
      <c r="K631" s="146" t="s">
        <v>65</v>
      </c>
      <c r="L631" s="145"/>
    </row>
    <row r="632" spans="1:12" s="68" customFormat="1" x14ac:dyDescent="0.2">
      <c r="A632" s="159" t="s">
        <v>610</v>
      </c>
      <c r="B632" s="4" t="s">
        <v>623</v>
      </c>
      <c r="C632" s="142" t="s">
        <v>71</v>
      </c>
      <c r="D632" s="142" t="s">
        <v>96</v>
      </c>
      <c r="E632" s="143">
        <v>2</v>
      </c>
      <c r="F632" s="144">
        <v>750</v>
      </c>
      <c r="G632" s="144">
        <f t="shared" si="18"/>
        <v>1500</v>
      </c>
      <c r="H632" s="37">
        <v>0</v>
      </c>
      <c r="I632" s="5">
        <f t="shared" si="19"/>
        <v>1500</v>
      </c>
      <c r="J632" s="4" t="s">
        <v>64</v>
      </c>
      <c r="K632" s="146" t="s">
        <v>65</v>
      </c>
      <c r="L632" s="145"/>
    </row>
    <row r="633" spans="1:12" s="68" customFormat="1" x14ac:dyDescent="0.2">
      <c r="A633" s="159" t="s">
        <v>610</v>
      </c>
      <c r="B633" s="4" t="s">
        <v>624</v>
      </c>
      <c r="C633" s="142" t="s">
        <v>214</v>
      </c>
      <c r="D633" s="142" t="s">
        <v>63</v>
      </c>
      <c r="E633" s="143">
        <v>2</v>
      </c>
      <c r="F633" s="144">
        <v>100</v>
      </c>
      <c r="G633" s="144">
        <f t="shared" si="18"/>
        <v>200</v>
      </c>
      <c r="H633" s="37">
        <v>0</v>
      </c>
      <c r="I633" s="5">
        <f t="shared" si="19"/>
        <v>200</v>
      </c>
      <c r="J633" s="4" t="s">
        <v>64</v>
      </c>
      <c r="K633" s="146" t="s">
        <v>65</v>
      </c>
      <c r="L633" s="145"/>
    </row>
    <row r="634" spans="1:12" s="68" customFormat="1" x14ac:dyDescent="0.2">
      <c r="A634" s="159" t="s">
        <v>610</v>
      </c>
      <c r="B634" s="4" t="s">
        <v>625</v>
      </c>
      <c r="C634" s="4" t="s">
        <v>94</v>
      </c>
      <c r="D634" s="142" t="s">
        <v>63</v>
      </c>
      <c r="E634" s="36">
        <v>32</v>
      </c>
      <c r="F634" s="5">
        <v>84</v>
      </c>
      <c r="G634" s="144">
        <f t="shared" si="18"/>
        <v>2688</v>
      </c>
      <c r="H634" s="37">
        <v>0</v>
      </c>
      <c r="I634" s="5">
        <f t="shared" si="19"/>
        <v>2688</v>
      </c>
      <c r="J634" s="4" t="s">
        <v>64</v>
      </c>
      <c r="K634" s="146" t="s">
        <v>65</v>
      </c>
      <c r="L634" s="146"/>
    </row>
    <row r="635" spans="1:12" s="68" customFormat="1" x14ac:dyDescent="0.2">
      <c r="A635" s="159" t="s">
        <v>610</v>
      </c>
      <c r="B635" s="4" t="s">
        <v>626</v>
      </c>
      <c r="C635" s="142" t="s">
        <v>98</v>
      </c>
      <c r="D635" s="142" t="s">
        <v>63</v>
      </c>
      <c r="E635" s="143">
        <v>6</v>
      </c>
      <c r="F635" s="144">
        <v>85</v>
      </c>
      <c r="G635" s="144">
        <f t="shared" si="18"/>
        <v>510</v>
      </c>
      <c r="H635" s="37">
        <v>0</v>
      </c>
      <c r="I635" s="5">
        <f t="shared" si="19"/>
        <v>510</v>
      </c>
      <c r="J635" s="4" t="s">
        <v>64</v>
      </c>
      <c r="K635" s="146" t="s">
        <v>65</v>
      </c>
      <c r="L635" s="145"/>
    </row>
    <row r="636" spans="1:12" s="68" customFormat="1" x14ac:dyDescent="0.2">
      <c r="A636" s="159" t="s">
        <v>610</v>
      </c>
      <c r="B636" s="4" t="s">
        <v>627</v>
      </c>
      <c r="C636" s="142" t="s">
        <v>628</v>
      </c>
      <c r="D636" s="142" t="s">
        <v>96</v>
      </c>
      <c r="E636" s="143">
        <v>1</v>
      </c>
      <c r="F636" s="144">
        <v>800</v>
      </c>
      <c r="G636" s="144">
        <f t="shared" si="18"/>
        <v>800</v>
      </c>
      <c r="H636" s="37">
        <v>0</v>
      </c>
      <c r="I636" s="5">
        <f t="shared" si="19"/>
        <v>800</v>
      </c>
      <c r="J636" s="4" t="s">
        <v>64</v>
      </c>
      <c r="K636" s="146" t="s">
        <v>65</v>
      </c>
      <c r="L636" s="145"/>
    </row>
    <row r="637" spans="1:12" s="68" customFormat="1" x14ac:dyDescent="0.2">
      <c r="A637" s="159" t="s">
        <v>610</v>
      </c>
      <c r="B637" s="4" t="s">
        <v>629</v>
      </c>
      <c r="C637" s="142" t="s">
        <v>92</v>
      </c>
      <c r="D637" s="142" t="s">
        <v>63</v>
      </c>
      <c r="E637" s="143">
        <v>30</v>
      </c>
      <c r="F637" s="144">
        <v>95</v>
      </c>
      <c r="G637" s="144">
        <f t="shared" si="18"/>
        <v>2850</v>
      </c>
      <c r="H637" s="37">
        <v>0</v>
      </c>
      <c r="I637" s="5">
        <f t="shared" si="19"/>
        <v>2850</v>
      </c>
      <c r="J637" s="4" t="s">
        <v>64</v>
      </c>
      <c r="K637" s="146" t="s">
        <v>65</v>
      </c>
      <c r="L637" s="145"/>
    </row>
    <row r="638" spans="1:12" s="68" customFormat="1" x14ac:dyDescent="0.2">
      <c r="A638" s="159" t="s">
        <v>610</v>
      </c>
      <c r="B638" s="4" t="s">
        <v>629</v>
      </c>
      <c r="C638" s="142" t="s">
        <v>92</v>
      </c>
      <c r="D638" s="142" t="s">
        <v>164</v>
      </c>
      <c r="E638" s="143">
        <v>2</v>
      </c>
      <c r="F638" s="144">
        <v>800</v>
      </c>
      <c r="G638" s="144">
        <f t="shared" si="18"/>
        <v>1600</v>
      </c>
      <c r="H638" s="37">
        <v>0</v>
      </c>
      <c r="I638" s="5">
        <f t="shared" si="19"/>
        <v>1600</v>
      </c>
      <c r="J638" s="4" t="s">
        <v>64</v>
      </c>
      <c r="K638" s="146" t="s">
        <v>65</v>
      </c>
      <c r="L638" s="145"/>
    </row>
    <row r="639" spans="1:12" s="68" customFormat="1" x14ac:dyDescent="0.2">
      <c r="A639" s="159" t="s">
        <v>610</v>
      </c>
      <c r="B639" s="4" t="s">
        <v>630</v>
      </c>
      <c r="C639" s="142" t="s">
        <v>102</v>
      </c>
      <c r="D639" s="142" t="s">
        <v>63</v>
      </c>
      <c r="E639" s="143">
        <v>5</v>
      </c>
      <c r="F639" s="144">
        <v>86</v>
      </c>
      <c r="G639" s="144">
        <f t="shared" si="18"/>
        <v>430</v>
      </c>
      <c r="H639" s="37">
        <v>0</v>
      </c>
      <c r="I639" s="5">
        <f t="shared" si="19"/>
        <v>430</v>
      </c>
      <c r="J639" s="4" t="s">
        <v>64</v>
      </c>
      <c r="K639" s="146" t="s">
        <v>65</v>
      </c>
      <c r="L639" s="145"/>
    </row>
    <row r="640" spans="1:12" s="68" customFormat="1" x14ac:dyDescent="0.2">
      <c r="A640" s="159" t="s">
        <v>610</v>
      </c>
      <c r="B640" s="4" t="s">
        <v>631</v>
      </c>
      <c r="C640" s="142" t="s">
        <v>487</v>
      </c>
      <c r="D640" s="142" t="s">
        <v>63</v>
      </c>
      <c r="E640" s="143">
        <v>1</v>
      </c>
      <c r="F640" s="144">
        <v>100</v>
      </c>
      <c r="G640" s="144">
        <f t="shared" si="18"/>
        <v>100</v>
      </c>
      <c r="H640" s="37">
        <v>0</v>
      </c>
      <c r="I640" s="5">
        <f t="shared" si="19"/>
        <v>100</v>
      </c>
      <c r="J640" s="4" t="s">
        <v>64</v>
      </c>
      <c r="K640" s="146" t="s">
        <v>65</v>
      </c>
      <c r="L640" s="145"/>
    </row>
    <row r="641" spans="1:12" s="68" customFormat="1" x14ac:dyDescent="0.2">
      <c r="A641" s="159" t="s">
        <v>610</v>
      </c>
      <c r="B641" s="4" t="s">
        <v>632</v>
      </c>
      <c r="C641" s="142" t="s">
        <v>100</v>
      </c>
      <c r="D641" s="142" t="s">
        <v>63</v>
      </c>
      <c r="E641" s="143">
        <v>6</v>
      </c>
      <c r="F641" s="144">
        <v>100</v>
      </c>
      <c r="G641" s="144">
        <f t="shared" si="18"/>
        <v>600</v>
      </c>
      <c r="H641" s="37">
        <v>0</v>
      </c>
      <c r="I641" s="5">
        <f t="shared" si="19"/>
        <v>600</v>
      </c>
      <c r="J641" s="4" t="s">
        <v>64</v>
      </c>
      <c r="K641" s="146" t="s">
        <v>65</v>
      </c>
      <c r="L641" s="145"/>
    </row>
    <row r="642" spans="1:12" s="68" customFormat="1" x14ac:dyDescent="0.2">
      <c r="A642" s="159" t="s">
        <v>633</v>
      </c>
      <c r="B642" s="4" t="s">
        <v>634</v>
      </c>
      <c r="C642" s="142" t="s">
        <v>62</v>
      </c>
      <c r="D642" s="142" t="s">
        <v>63</v>
      </c>
      <c r="E642" s="143">
        <v>60</v>
      </c>
      <c r="F642" s="144">
        <v>85</v>
      </c>
      <c r="G642" s="144">
        <f t="shared" si="18"/>
        <v>5100</v>
      </c>
      <c r="H642" s="37">
        <v>0</v>
      </c>
      <c r="I642" s="5">
        <f t="shared" si="19"/>
        <v>5100</v>
      </c>
      <c r="J642" s="4" t="s">
        <v>64</v>
      </c>
      <c r="K642" s="146" t="s">
        <v>65</v>
      </c>
      <c r="L642" s="145"/>
    </row>
    <row r="643" spans="1:12" s="68" customFormat="1" x14ac:dyDescent="0.2">
      <c r="A643" s="159" t="s">
        <v>633</v>
      </c>
      <c r="B643" s="4" t="s">
        <v>634</v>
      </c>
      <c r="C643" s="142" t="s">
        <v>62</v>
      </c>
      <c r="D643" s="142" t="s">
        <v>72</v>
      </c>
      <c r="E643" s="143">
        <v>1</v>
      </c>
      <c r="F643" s="144">
        <v>80</v>
      </c>
      <c r="G643" s="144">
        <f t="shared" ref="G643:G706" si="20">IF($E643="","",$E643*$F643)</f>
        <v>80</v>
      </c>
      <c r="H643" s="37">
        <v>0</v>
      </c>
      <c r="I643" s="5">
        <f t="shared" ref="I643:I706" si="21">IF($E643="","",$G643*(1-$H643/100))</f>
        <v>80</v>
      </c>
      <c r="J643" s="4" t="s">
        <v>64</v>
      </c>
      <c r="K643" s="146" t="s">
        <v>65</v>
      </c>
      <c r="L643" s="145"/>
    </row>
    <row r="644" spans="1:12" s="68" customFormat="1" x14ac:dyDescent="0.2">
      <c r="A644" s="159" t="s">
        <v>633</v>
      </c>
      <c r="B644" s="4" t="s">
        <v>635</v>
      </c>
      <c r="C644" s="142" t="s">
        <v>67</v>
      </c>
      <c r="D644" s="142" t="s">
        <v>63</v>
      </c>
      <c r="E644" s="143">
        <v>20</v>
      </c>
      <c r="F644" s="144">
        <v>85</v>
      </c>
      <c r="G644" s="144">
        <f t="shared" si="20"/>
        <v>1700</v>
      </c>
      <c r="H644" s="37">
        <v>0</v>
      </c>
      <c r="I644" s="5">
        <f t="shared" si="21"/>
        <v>1700</v>
      </c>
      <c r="J644" s="4" t="s">
        <v>64</v>
      </c>
      <c r="K644" s="146" t="s">
        <v>65</v>
      </c>
      <c r="L644" s="145"/>
    </row>
    <row r="645" spans="1:12" s="68" customFormat="1" x14ac:dyDescent="0.2">
      <c r="A645" s="159" t="s">
        <v>633</v>
      </c>
      <c r="B645" s="4" t="s">
        <v>636</v>
      </c>
      <c r="C645" s="142" t="s">
        <v>90</v>
      </c>
      <c r="D645" s="142" t="s">
        <v>63</v>
      </c>
      <c r="E645" s="143">
        <v>15</v>
      </c>
      <c r="F645" s="144">
        <v>85</v>
      </c>
      <c r="G645" s="144">
        <f t="shared" si="20"/>
        <v>1275</v>
      </c>
      <c r="H645" s="37">
        <v>0</v>
      </c>
      <c r="I645" s="5">
        <f t="shared" si="21"/>
        <v>1275</v>
      </c>
      <c r="J645" s="4" t="s">
        <v>64</v>
      </c>
      <c r="K645" s="146" t="s">
        <v>65</v>
      </c>
      <c r="L645" s="145"/>
    </row>
    <row r="646" spans="1:12" s="68" customFormat="1" x14ac:dyDescent="0.2">
      <c r="A646" s="159" t="s">
        <v>633</v>
      </c>
      <c r="B646" s="4" t="s">
        <v>637</v>
      </c>
      <c r="C646" s="142" t="s">
        <v>88</v>
      </c>
      <c r="D646" s="142" t="s">
        <v>63</v>
      </c>
      <c r="E646" s="143">
        <v>5</v>
      </c>
      <c r="F646" s="144">
        <v>85</v>
      </c>
      <c r="G646" s="144">
        <f t="shared" si="20"/>
        <v>425</v>
      </c>
      <c r="H646" s="37">
        <v>0</v>
      </c>
      <c r="I646" s="5">
        <f t="shared" si="21"/>
        <v>425</v>
      </c>
      <c r="J646" s="4" t="s">
        <v>64</v>
      </c>
      <c r="K646" s="146" t="s">
        <v>65</v>
      </c>
      <c r="L646" s="145"/>
    </row>
    <row r="647" spans="1:12" s="68" customFormat="1" x14ac:dyDescent="0.2">
      <c r="A647" s="159" t="s">
        <v>633</v>
      </c>
      <c r="B647" s="4" t="s">
        <v>638</v>
      </c>
      <c r="C647" s="4" t="s">
        <v>71</v>
      </c>
      <c r="D647" s="142" t="s">
        <v>63</v>
      </c>
      <c r="E647" s="36">
        <v>40</v>
      </c>
      <c r="F647" s="5">
        <v>86</v>
      </c>
      <c r="G647" s="144">
        <f t="shared" si="20"/>
        <v>3440</v>
      </c>
      <c r="H647" s="37">
        <v>0</v>
      </c>
      <c r="I647" s="5">
        <f t="shared" si="21"/>
        <v>3440</v>
      </c>
      <c r="J647" s="4" t="s">
        <v>64</v>
      </c>
      <c r="K647" s="146" t="s">
        <v>65</v>
      </c>
      <c r="L647" s="146"/>
    </row>
    <row r="648" spans="1:12" s="68" customFormat="1" x14ac:dyDescent="0.2">
      <c r="A648" s="159" t="s">
        <v>633</v>
      </c>
      <c r="B648" s="4" t="s">
        <v>638</v>
      </c>
      <c r="C648" s="4" t="s">
        <v>71</v>
      </c>
      <c r="D648" s="142" t="s">
        <v>63</v>
      </c>
      <c r="E648" s="143">
        <v>50</v>
      </c>
      <c r="F648" s="144">
        <v>85</v>
      </c>
      <c r="G648" s="144">
        <f t="shared" si="20"/>
        <v>4250</v>
      </c>
      <c r="H648" s="37">
        <v>0</v>
      </c>
      <c r="I648" s="5">
        <f t="shared" si="21"/>
        <v>4250</v>
      </c>
      <c r="J648" s="4" t="s">
        <v>64</v>
      </c>
      <c r="K648" s="146" t="s">
        <v>65</v>
      </c>
      <c r="L648" s="145"/>
    </row>
    <row r="649" spans="1:12" s="68" customFormat="1" x14ac:dyDescent="0.2">
      <c r="A649" s="159" t="s">
        <v>633</v>
      </c>
      <c r="B649" s="4" t="s">
        <v>638</v>
      </c>
      <c r="C649" s="4" t="s">
        <v>71</v>
      </c>
      <c r="D649" s="142" t="s">
        <v>72</v>
      </c>
      <c r="E649" s="143">
        <v>1</v>
      </c>
      <c r="F649" s="144">
        <v>80</v>
      </c>
      <c r="G649" s="144">
        <f t="shared" si="20"/>
        <v>80</v>
      </c>
      <c r="H649" s="37">
        <v>0</v>
      </c>
      <c r="I649" s="5">
        <f t="shared" si="21"/>
        <v>80</v>
      </c>
      <c r="J649" s="4" t="s">
        <v>64</v>
      </c>
      <c r="K649" s="146" t="s">
        <v>65</v>
      </c>
      <c r="L649" s="145"/>
    </row>
    <row r="650" spans="1:12" s="68" customFormat="1" x14ac:dyDescent="0.2">
      <c r="A650" s="159" t="s">
        <v>633</v>
      </c>
      <c r="B650" s="4" t="s">
        <v>639</v>
      </c>
      <c r="C650" s="142" t="s">
        <v>69</v>
      </c>
      <c r="D650" s="142" t="s">
        <v>63</v>
      </c>
      <c r="E650" s="143">
        <v>20</v>
      </c>
      <c r="F650" s="144">
        <v>85</v>
      </c>
      <c r="G650" s="144">
        <f t="shared" si="20"/>
        <v>1700</v>
      </c>
      <c r="H650" s="37">
        <v>0</v>
      </c>
      <c r="I650" s="5">
        <f t="shared" si="21"/>
        <v>1700</v>
      </c>
      <c r="J650" s="4" t="s">
        <v>64</v>
      </c>
      <c r="K650" s="146" t="s">
        <v>65</v>
      </c>
      <c r="L650" s="145"/>
    </row>
    <row r="651" spans="1:12" s="68" customFormat="1" x14ac:dyDescent="0.2">
      <c r="A651" s="159" t="s">
        <v>633</v>
      </c>
      <c r="B651" s="4" t="s">
        <v>640</v>
      </c>
      <c r="C651" s="142" t="s">
        <v>86</v>
      </c>
      <c r="D651" s="142" t="s">
        <v>63</v>
      </c>
      <c r="E651" s="143">
        <v>25</v>
      </c>
      <c r="F651" s="144">
        <v>86</v>
      </c>
      <c r="G651" s="144">
        <f t="shared" si="20"/>
        <v>2150</v>
      </c>
      <c r="H651" s="37">
        <v>0</v>
      </c>
      <c r="I651" s="5">
        <f t="shared" si="21"/>
        <v>2150</v>
      </c>
      <c r="J651" s="4" t="s">
        <v>64</v>
      </c>
      <c r="K651" s="146" t="s">
        <v>65</v>
      </c>
      <c r="L651" s="145"/>
    </row>
    <row r="652" spans="1:12" s="68" customFormat="1" x14ac:dyDescent="0.2">
      <c r="A652" s="159" t="s">
        <v>633</v>
      </c>
      <c r="B652" s="4" t="s">
        <v>641</v>
      </c>
      <c r="C652" s="142" t="s">
        <v>84</v>
      </c>
      <c r="D652" s="142" t="s">
        <v>63</v>
      </c>
      <c r="E652" s="143">
        <v>3</v>
      </c>
      <c r="F652" s="144">
        <v>86</v>
      </c>
      <c r="G652" s="144">
        <f t="shared" si="20"/>
        <v>258</v>
      </c>
      <c r="H652" s="37">
        <v>0</v>
      </c>
      <c r="I652" s="5">
        <f t="shared" si="21"/>
        <v>258</v>
      </c>
      <c r="J652" s="4" t="s">
        <v>64</v>
      </c>
      <c r="K652" s="146" t="s">
        <v>65</v>
      </c>
      <c r="L652" s="145"/>
    </row>
    <row r="653" spans="1:12" s="68" customFormat="1" x14ac:dyDescent="0.2">
      <c r="A653" s="159" t="s">
        <v>633</v>
      </c>
      <c r="B653" s="4" t="s">
        <v>642</v>
      </c>
      <c r="C653" s="142" t="s">
        <v>82</v>
      </c>
      <c r="D653" s="142" t="s">
        <v>63</v>
      </c>
      <c r="E653" s="143">
        <v>8</v>
      </c>
      <c r="F653" s="144">
        <v>85</v>
      </c>
      <c r="G653" s="144">
        <f t="shared" si="20"/>
        <v>680</v>
      </c>
      <c r="H653" s="37">
        <v>0</v>
      </c>
      <c r="I653" s="5">
        <f t="shared" si="21"/>
        <v>680</v>
      </c>
      <c r="J653" s="4" t="s">
        <v>64</v>
      </c>
      <c r="K653" s="146" t="s">
        <v>65</v>
      </c>
      <c r="L653" s="145"/>
    </row>
    <row r="654" spans="1:12" s="68" customFormat="1" x14ac:dyDescent="0.2">
      <c r="A654" s="159" t="s">
        <v>633</v>
      </c>
      <c r="B654" s="4" t="s">
        <v>643</v>
      </c>
      <c r="C654" s="142" t="s">
        <v>76</v>
      </c>
      <c r="D654" s="142" t="s">
        <v>63</v>
      </c>
      <c r="E654" s="143">
        <v>10</v>
      </c>
      <c r="F654" s="144">
        <v>85</v>
      </c>
      <c r="G654" s="144">
        <f t="shared" si="20"/>
        <v>850</v>
      </c>
      <c r="H654" s="37">
        <v>0</v>
      </c>
      <c r="I654" s="5">
        <f t="shared" si="21"/>
        <v>850</v>
      </c>
      <c r="J654" s="4" t="s">
        <v>64</v>
      </c>
      <c r="K654" s="146" t="s">
        <v>65</v>
      </c>
      <c r="L654" s="145"/>
    </row>
    <row r="655" spans="1:12" s="68" customFormat="1" x14ac:dyDescent="0.2">
      <c r="A655" s="159" t="s">
        <v>633</v>
      </c>
      <c r="B655" s="4" t="s">
        <v>644</v>
      </c>
      <c r="C655" s="142" t="s">
        <v>80</v>
      </c>
      <c r="D655" s="142" t="s">
        <v>63</v>
      </c>
      <c r="E655" s="143">
        <v>16</v>
      </c>
      <c r="F655" s="144">
        <v>85</v>
      </c>
      <c r="G655" s="144">
        <f t="shared" si="20"/>
        <v>1360</v>
      </c>
      <c r="H655" s="37">
        <v>0</v>
      </c>
      <c r="I655" s="5">
        <f t="shared" si="21"/>
        <v>1360</v>
      </c>
      <c r="J655" s="4" t="s">
        <v>64</v>
      </c>
      <c r="K655" s="146" t="s">
        <v>65</v>
      </c>
      <c r="L655" s="145"/>
    </row>
    <row r="656" spans="1:12" s="68" customFormat="1" x14ac:dyDescent="0.2">
      <c r="A656" s="159" t="s">
        <v>633</v>
      </c>
      <c r="B656" s="4" t="s">
        <v>645</v>
      </c>
      <c r="C656" s="142" t="s">
        <v>78</v>
      </c>
      <c r="D656" s="142" t="s">
        <v>63</v>
      </c>
      <c r="E656" s="143">
        <v>5</v>
      </c>
      <c r="F656" s="144">
        <v>85</v>
      </c>
      <c r="G656" s="144">
        <f t="shared" si="20"/>
        <v>425</v>
      </c>
      <c r="H656" s="37">
        <v>0</v>
      </c>
      <c r="I656" s="5">
        <f t="shared" si="21"/>
        <v>425</v>
      </c>
      <c r="J656" s="4" t="s">
        <v>64</v>
      </c>
      <c r="K656" s="146" t="s">
        <v>65</v>
      </c>
      <c r="L656" s="145"/>
    </row>
    <row r="657" spans="1:12" s="68" customFormat="1" x14ac:dyDescent="0.2">
      <c r="A657" s="159" t="s">
        <v>633</v>
      </c>
      <c r="B657" s="4" t="s">
        <v>646</v>
      </c>
      <c r="C657" s="142" t="s">
        <v>74</v>
      </c>
      <c r="D657" s="142" t="s">
        <v>63</v>
      </c>
      <c r="E657" s="143">
        <v>15</v>
      </c>
      <c r="F657" s="144">
        <v>86</v>
      </c>
      <c r="G657" s="144">
        <f t="shared" si="20"/>
        <v>1290</v>
      </c>
      <c r="H657" s="37">
        <v>0</v>
      </c>
      <c r="I657" s="5">
        <f t="shared" si="21"/>
        <v>1290</v>
      </c>
      <c r="J657" s="4" t="s">
        <v>64</v>
      </c>
      <c r="K657" s="146" t="s">
        <v>65</v>
      </c>
      <c r="L657" s="145"/>
    </row>
    <row r="658" spans="1:12" s="68" customFormat="1" x14ac:dyDescent="0.2">
      <c r="A658" s="159" t="s">
        <v>633</v>
      </c>
      <c r="B658" s="4" t="s">
        <v>646</v>
      </c>
      <c r="C658" s="142" t="s">
        <v>74</v>
      </c>
      <c r="D658" s="142" t="s">
        <v>96</v>
      </c>
      <c r="E658" s="143">
        <v>1.5</v>
      </c>
      <c r="F658" s="144">
        <v>775</v>
      </c>
      <c r="G658" s="144">
        <f t="shared" si="20"/>
        <v>1162.5</v>
      </c>
      <c r="H658" s="37">
        <v>0</v>
      </c>
      <c r="I658" s="5">
        <f t="shared" si="21"/>
        <v>1162.5</v>
      </c>
      <c r="J658" s="4" t="s">
        <v>64</v>
      </c>
      <c r="K658" s="146" t="s">
        <v>65</v>
      </c>
      <c r="L658" s="145"/>
    </row>
    <row r="659" spans="1:12" s="68" customFormat="1" x14ac:dyDescent="0.2">
      <c r="A659" s="159" t="s">
        <v>633</v>
      </c>
      <c r="B659" s="4" t="s">
        <v>647</v>
      </c>
      <c r="C659" s="142" t="s">
        <v>92</v>
      </c>
      <c r="D659" s="142" t="s">
        <v>63</v>
      </c>
      <c r="E659" s="143">
        <v>25</v>
      </c>
      <c r="F659" s="144">
        <v>95</v>
      </c>
      <c r="G659" s="144">
        <f t="shared" si="20"/>
        <v>2375</v>
      </c>
      <c r="H659" s="37">
        <v>0</v>
      </c>
      <c r="I659" s="5">
        <f t="shared" si="21"/>
        <v>2375</v>
      </c>
      <c r="J659" s="4" t="s">
        <v>64</v>
      </c>
      <c r="K659" s="146" t="s">
        <v>65</v>
      </c>
      <c r="L659" s="145"/>
    </row>
    <row r="660" spans="1:12" s="68" customFormat="1" x14ac:dyDescent="0.2">
      <c r="A660" s="159" t="s">
        <v>633</v>
      </c>
      <c r="B660" s="4" t="s">
        <v>647</v>
      </c>
      <c r="C660" s="142" t="s">
        <v>92</v>
      </c>
      <c r="D660" s="4" t="s">
        <v>63</v>
      </c>
      <c r="E660" s="36">
        <v>12</v>
      </c>
      <c r="F660" s="5">
        <v>85</v>
      </c>
      <c r="G660" s="144">
        <f t="shared" si="20"/>
        <v>1020</v>
      </c>
      <c r="H660" s="37">
        <v>0</v>
      </c>
      <c r="I660" s="5">
        <f t="shared" si="21"/>
        <v>1020</v>
      </c>
      <c r="J660" s="4" t="s">
        <v>64</v>
      </c>
      <c r="K660" s="146" t="s">
        <v>65</v>
      </c>
      <c r="L660" s="146"/>
    </row>
    <row r="661" spans="1:12" s="68" customFormat="1" x14ac:dyDescent="0.2">
      <c r="A661" s="159" t="s">
        <v>633</v>
      </c>
      <c r="B661" s="4" t="s">
        <v>648</v>
      </c>
      <c r="C661" s="142" t="s">
        <v>94</v>
      </c>
      <c r="D661" s="4" t="s">
        <v>63</v>
      </c>
      <c r="E661" s="143">
        <v>34</v>
      </c>
      <c r="F661" s="144">
        <v>84</v>
      </c>
      <c r="G661" s="144">
        <f t="shared" si="20"/>
        <v>2856</v>
      </c>
      <c r="H661" s="37">
        <v>0</v>
      </c>
      <c r="I661" s="5">
        <f t="shared" si="21"/>
        <v>2856</v>
      </c>
      <c r="J661" s="4" t="s">
        <v>64</v>
      </c>
      <c r="K661" s="146" t="s">
        <v>65</v>
      </c>
      <c r="L661" s="145"/>
    </row>
    <row r="662" spans="1:12" s="68" customFormat="1" x14ac:dyDescent="0.2">
      <c r="A662" s="159" t="s">
        <v>633</v>
      </c>
      <c r="B662" s="4" t="s">
        <v>649</v>
      </c>
      <c r="C662" s="142" t="s">
        <v>98</v>
      </c>
      <c r="D662" s="4" t="s">
        <v>63</v>
      </c>
      <c r="E662" s="143">
        <v>6</v>
      </c>
      <c r="F662" s="144">
        <v>85</v>
      </c>
      <c r="G662" s="144">
        <f t="shared" si="20"/>
        <v>510</v>
      </c>
      <c r="H662" s="37">
        <v>0</v>
      </c>
      <c r="I662" s="5">
        <f t="shared" si="21"/>
        <v>510</v>
      </c>
      <c r="J662" s="4" t="s">
        <v>64</v>
      </c>
      <c r="K662" s="146" t="s">
        <v>65</v>
      </c>
      <c r="L662" s="145"/>
    </row>
    <row r="663" spans="1:12" s="68" customFormat="1" x14ac:dyDescent="0.2">
      <c r="A663" s="159" t="s">
        <v>633</v>
      </c>
      <c r="B663" s="4" t="s">
        <v>650</v>
      </c>
      <c r="C663" s="142" t="s">
        <v>487</v>
      </c>
      <c r="D663" s="4" t="s">
        <v>63</v>
      </c>
      <c r="E663" s="143">
        <v>2</v>
      </c>
      <c r="F663" s="144">
        <v>100</v>
      </c>
      <c r="G663" s="144">
        <f t="shared" si="20"/>
        <v>200</v>
      </c>
      <c r="H663" s="37">
        <v>0</v>
      </c>
      <c r="I663" s="5">
        <f t="shared" si="21"/>
        <v>200</v>
      </c>
      <c r="J663" s="4" t="s">
        <v>64</v>
      </c>
      <c r="K663" s="146" t="s">
        <v>65</v>
      </c>
      <c r="L663" s="145"/>
    </row>
    <row r="664" spans="1:12" s="68" customFormat="1" x14ac:dyDescent="0.2">
      <c r="A664" s="159" t="s">
        <v>633</v>
      </c>
      <c r="B664" s="4" t="s">
        <v>651</v>
      </c>
      <c r="C664" s="142" t="s">
        <v>100</v>
      </c>
      <c r="D664" s="142" t="s">
        <v>63</v>
      </c>
      <c r="E664" s="143">
        <v>5.75</v>
      </c>
      <c r="F664" s="144">
        <v>100</v>
      </c>
      <c r="G664" s="144">
        <f t="shared" si="20"/>
        <v>575</v>
      </c>
      <c r="H664" s="37">
        <v>0</v>
      </c>
      <c r="I664" s="5">
        <f t="shared" si="21"/>
        <v>575</v>
      </c>
      <c r="J664" s="4" t="s">
        <v>64</v>
      </c>
      <c r="K664" s="146" t="s">
        <v>65</v>
      </c>
      <c r="L664" s="145"/>
    </row>
    <row r="665" spans="1:12" s="68" customFormat="1" x14ac:dyDescent="0.2">
      <c r="A665" s="159" t="s">
        <v>633</v>
      </c>
      <c r="B665" s="4" t="s">
        <v>651</v>
      </c>
      <c r="C665" s="142" t="s">
        <v>100</v>
      </c>
      <c r="D665" s="142" t="s">
        <v>63</v>
      </c>
      <c r="E665" s="143">
        <v>1</v>
      </c>
      <c r="F665" s="144">
        <v>1100</v>
      </c>
      <c r="G665" s="144">
        <f t="shared" si="20"/>
        <v>1100</v>
      </c>
      <c r="H665" s="37">
        <v>0</v>
      </c>
      <c r="I665" s="5">
        <f t="shared" si="21"/>
        <v>1100</v>
      </c>
      <c r="J665" s="4" t="s">
        <v>64</v>
      </c>
      <c r="K665" s="146" t="s">
        <v>65</v>
      </c>
      <c r="L665" s="145"/>
    </row>
    <row r="666" spans="1:12" s="68" customFormat="1" x14ac:dyDescent="0.2">
      <c r="A666" s="159" t="s">
        <v>652</v>
      </c>
      <c r="B666" s="4" t="s">
        <v>653</v>
      </c>
      <c r="C666" s="142" t="s">
        <v>62</v>
      </c>
      <c r="D666" s="142" t="s">
        <v>63</v>
      </c>
      <c r="E666" s="143">
        <v>60</v>
      </c>
      <c r="F666" s="144">
        <v>85</v>
      </c>
      <c r="G666" s="144">
        <f t="shared" si="20"/>
        <v>5100</v>
      </c>
      <c r="H666" s="37">
        <v>0</v>
      </c>
      <c r="I666" s="5">
        <f t="shared" si="21"/>
        <v>5100</v>
      </c>
      <c r="J666" s="4" t="s">
        <v>64</v>
      </c>
      <c r="K666" s="146" t="s">
        <v>65</v>
      </c>
      <c r="L666" s="145"/>
    </row>
    <row r="667" spans="1:12" s="68" customFormat="1" x14ac:dyDescent="0.2">
      <c r="A667" s="159" t="s">
        <v>652</v>
      </c>
      <c r="B667" s="4" t="s">
        <v>653</v>
      </c>
      <c r="C667" s="142" t="s">
        <v>62</v>
      </c>
      <c r="D667" s="142" t="s">
        <v>72</v>
      </c>
      <c r="E667" s="143">
        <v>1</v>
      </c>
      <c r="F667" s="144">
        <v>80</v>
      </c>
      <c r="G667" s="144">
        <f t="shared" si="20"/>
        <v>80</v>
      </c>
      <c r="H667" s="37">
        <v>0</v>
      </c>
      <c r="I667" s="5">
        <f t="shared" si="21"/>
        <v>80</v>
      </c>
      <c r="J667" s="4" t="s">
        <v>64</v>
      </c>
      <c r="K667" s="146" t="s">
        <v>65</v>
      </c>
      <c r="L667" s="145"/>
    </row>
    <row r="668" spans="1:12" s="68" customFormat="1" x14ac:dyDescent="0.2">
      <c r="A668" s="159" t="s">
        <v>652</v>
      </c>
      <c r="B668" s="4" t="s">
        <v>653</v>
      </c>
      <c r="C668" s="142" t="s">
        <v>62</v>
      </c>
      <c r="D668" s="142" t="s">
        <v>96</v>
      </c>
      <c r="E668" s="143">
        <v>5</v>
      </c>
      <c r="F668" s="144">
        <v>800</v>
      </c>
      <c r="G668" s="144">
        <f t="shared" si="20"/>
        <v>4000</v>
      </c>
      <c r="H668" s="37">
        <v>0</v>
      </c>
      <c r="I668" s="5">
        <f t="shared" si="21"/>
        <v>4000</v>
      </c>
      <c r="J668" s="4" t="s">
        <v>64</v>
      </c>
      <c r="K668" s="146" t="s">
        <v>65</v>
      </c>
      <c r="L668" s="145"/>
    </row>
    <row r="669" spans="1:12" s="68" customFormat="1" x14ac:dyDescent="0.2">
      <c r="A669" s="159" t="s">
        <v>652</v>
      </c>
      <c r="B669" s="4" t="s">
        <v>654</v>
      </c>
      <c r="C669" s="142" t="s">
        <v>67</v>
      </c>
      <c r="D669" s="142" t="s">
        <v>63</v>
      </c>
      <c r="E669" s="143">
        <v>60</v>
      </c>
      <c r="F669" s="144">
        <v>85</v>
      </c>
      <c r="G669" s="144">
        <f t="shared" si="20"/>
        <v>5100</v>
      </c>
      <c r="H669" s="37">
        <v>0</v>
      </c>
      <c r="I669" s="5">
        <f t="shared" si="21"/>
        <v>5100</v>
      </c>
      <c r="J669" s="4" t="s">
        <v>64</v>
      </c>
      <c r="K669" s="146" t="s">
        <v>65</v>
      </c>
      <c r="L669" s="145"/>
    </row>
    <row r="670" spans="1:12" s="68" customFormat="1" x14ac:dyDescent="0.2">
      <c r="A670" s="159" t="s">
        <v>652</v>
      </c>
      <c r="B670" s="4" t="s">
        <v>655</v>
      </c>
      <c r="C670" s="142" t="s">
        <v>90</v>
      </c>
      <c r="D670" s="142" t="s">
        <v>63</v>
      </c>
      <c r="E670" s="143">
        <v>15</v>
      </c>
      <c r="F670" s="144">
        <v>85</v>
      </c>
      <c r="G670" s="144">
        <f t="shared" si="20"/>
        <v>1275</v>
      </c>
      <c r="H670" s="37">
        <v>0</v>
      </c>
      <c r="I670" s="5">
        <f t="shared" si="21"/>
        <v>1275</v>
      </c>
      <c r="J670" s="4" t="s">
        <v>64</v>
      </c>
      <c r="K670" s="146" t="s">
        <v>65</v>
      </c>
      <c r="L670" s="145"/>
    </row>
    <row r="671" spans="1:12" s="68" customFormat="1" x14ac:dyDescent="0.2">
      <c r="A671" s="159" t="s">
        <v>652</v>
      </c>
      <c r="B671" s="4" t="s">
        <v>656</v>
      </c>
      <c r="C671" s="142" t="s">
        <v>88</v>
      </c>
      <c r="D671" s="142" t="s">
        <v>63</v>
      </c>
      <c r="E671" s="143">
        <v>5</v>
      </c>
      <c r="F671" s="144">
        <v>85</v>
      </c>
      <c r="G671" s="144">
        <f t="shared" si="20"/>
        <v>425</v>
      </c>
      <c r="H671" s="37">
        <v>0</v>
      </c>
      <c r="I671" s="5">
        <f t="shared" si="21"/>
        <v>425</v>
      </c>
      <c r="J671" s="4" t="s">
        <v>64</v>
      </c>
      <c r="K671" s="146" t="s">
        <v>65</v>
      </c>
      <c r="L671" s="145"/>
    </row>
    <row r="672" spans="1:12" s="68" customFormat="1" x14ac:dyDescent="0.2">
      <c r="A672" s="159" t="s">
        <v>652</v>
      </c>
      <c r="B672" s="4" t="s">
        <v>657</v>
      </c>
      <c r="C672" s="142" t="s">
        <v>71</v>
      </c>
      <c r="D672" s="142" t="s">
        <v>63</v>
      </c>
      <c r="E672" s="143">
        <v>40</v>
      </c>
      <c r="F672" s="144">
        <v>86</v>
      </c>
      <c r="G672" s="144">
        <f t="shared" si="20"/>
        <v>3440</v>
      </c>
      <c r="H672" s="37">
        <v>0</v>
      </c>
      <c r="I672" s="5">
        <f t="shared" si="21"/>
        <v>3440</v>
      </c>
      <c r="J672" s="4" t="s">
        <v>64</v>
      </c>
      <c r="K672" s="146" t="s">
        <v>65</v>
      </c>
      <c r="L672" s="145"/>
    </row>
    <row r="673" spans="1:12" s="68" customFormat="1" x14ac:dyDescent="0.2">
      <c r="A673" s="159" t="s">
        <v>652</v>
      </c>
      <c r="B673" s="4" t="s">
        <v>657</v>
      </c>
      <c r="C673" s="142" t="s">
        <v>71</v>
      </c>
      <c r="D673" s="142" t="s">
        <v>63</v>
      </c>
      <c r="E673" s="36">
        <v>60</v>
      </c>
      <c r="F673" s="5">
        <v>85</v>
      </c>
      <c r="G673" s="144">
        <f t="shared" si="20"/>
        <v>5100</v>
      </c>
      <c r="H673" s="37">
        <v>0</v>
      </c>
      <c r="I673" s="5">
        <f t="shared" si="21"/>
        <v>5100</v>
      </c>
      <c r="J673" s="4" t="s">
        <v>64</v>
      </c>
      <c r="K673" s="146" t="s">
        <v>65</v>
      </c>
      <c r="L673" s="146"/>
    </row>
    <row r="674" spans="1:12" s="68" customFormat="1" x14ac:dyDescent="0.2">
      <c r="A674" s="159" t="s">
        <v>652</v>
      </c>
      <c r="B674" s="4" t="s">
        <v>657</v>
      </c>
      <c r="C674" s="142" t="s">
        <v>71</v>
      </c>
      <c r="D674" s="142" t="s">
        <v>72</v>
      </c>
      <c r="E674" s="143">
        <v>1</v>
      </c>
      <c r="F674" s="144">
        <v>80</v>
      </c>
      <c r="G674" s="144">
        <f t="shared" si="20"/>
        <v>80</v>
      </c>
      <c r="H674" s="37">
        <v>0</v>
      </c>
      <c r="I674" s="5">
        <f t="shared" si="21"/>
        <v>80</v>
      </c>
      <c r="J674" s="4" t="s">
        <v>64</v>
      </c>
      <c r="K674" s="146" t="s">
        <v>65</v>
      </c>
      <c r="L674" s="145"/>
    </row>
    <row r="675" spans="1:12" s="68" customFormat="1" x14ac:dyDescent="0.2">
      <c r="A675" s="159" t="s">
        <v>652</v>
      </c>
      <c r="B675" s="4" t="s">
        <v>658</v>
      </c>
      <c r="C675" s="142" t="s">
        <v>69</v>
      </c>
      <c r="D675" s="142" t="s">
        <v>63</v>
      </c>
      <c r="E675" s="143">
        <v>25</v>
      </c>
      <c r="F675" s="144">
        <v>85</v>
      </c>
      <c r="G675" s="144">
        <f t="shared" si="20"/>
        <v>2125</v>
      </c>
      <c r="H675" s="37">
        <v>0</v>
      </c>
      <c r="I675" s="5">
        <f t="shared" si="21"/>
        <v>2125</v>
      </c>
      <c r="J675" s="4" t="s">
        <v>64</v>
      </c>
      <c r="K675" s="146" t="s">
        <v>65</v>
      </c>
      <c r="L675" s="145"/>
    </row>
    <row r="676" spans="1:12" s="68" customFormat="1" x14ac:dyDescent="0.2">
      <c r="A676" s="159" t="s">
        <v>652</v>
      </c>
      <c r="B676" s="4" t="s">
        <v>659</v>
      </c>
      <c r="C676" s="142" t="s">
        <v>86</v>
      </c>
      <c r="D676" s="142" t="s">
        <v>63</v>
      </c>
      <c r="E676" s="143">
        <v>30</v>
      </c>
      <c r="F676" s="144">
        <v>86</v>
      </c>
      <c r="G676" s="144">
        <f t="shared" si="20"/>
        <v>2580</v>
      </c>
      <c r="H676" s="37">
        <v>0</v>
      </c>
      <c r="I676" s="5">
        <f t="shared" si="21"/>
        <v>2580</v>
      </c>
      <c r="J676" s="4" t="s">
        <v>64</v>
      </c>
      <c r="K676" s="146" t="s">
        <v>65</v>
      </c>
      <c r="L676" s="145"/>
    </row>
    <row r="677" spans="1:12" s="68" customFormat="1" x14ac:dyDescent="0.2">
      <c r="A677" s="159" t="s">
        <v>652</v>
      </c>
      <c r="B677" s="4" t="s">
        <v>660</v>
      </c>
      <c r="C677" s="142" t="s">
        <v>84</v>
      </c>
      <c r="D677" s="142" t="s">
        <v>63</v>
      </c>
      <c r="E677" s="143">
        <v>3</v>
      </c>
      <c r="F677" s="144">
        <v>86</v>
      </c>
      <c r="G677" s="144">
        <f t="shared" si="20"/>
        <v>258</v>
      </c>
      <c r="H677" s="37">
        <v>0</v>
      </c>
      <c r="I677" s="5">
        <f t="shared" si="21"/>
        <v>258</v>
      </c>
      <c r="J677" s="4" t="s">
        <v>64</v>
      </c>
      <c r="K677" s="146" t="s">
        <v>65</v>
      </c>
      <c r="L677" s="145"/>
    </row>
    <row r="678" spans="1:12" s="68" customFormat="1" x14ac:dyDescent="0.2">
      <c r="A678" s="159" t="s">
        <v>652</v>
      </c>
      <c r="B678" s="4" t="s">
        <v>661</v>
      </c>
      <c r="C678" s="142" t="s">
        <v>82</v>
      </c>
      <c r="D678" s="142" t="s">
        <v>63</v>
      </c>
      <c r="E678" s="143">
        <v>8</v>
      </c>
      <c r="F678" s="144">
        <v>85</v>
      </c>
      <c r="G678" s="144">
        <f t="shared" si="20"/>
        <v>680</v>
      </c>
      <c r="H678" s="37">
        <v>0</v>
      </c>
      <c r="I678" s="5">
        <f t="shared" si="21"/>
        <v>680</v>
      </c>
      <c r="J678" s="4" t="s">
        <v>64</v>
      </c>
      <c r="K678" s="146" t="s">
        <v>65</v>
      </c>
      <c r="L678" s="145"/>
    </row>
    <row r="679" spans="1:12" s="68" customFormat="1" x14ac:dyDescent="0.2">
      <c r="A679" s="159" t="s">
        <v>652</v>
      </c>
      <c r="B679" s="4" t="s">
        <v>662</v>
      </c>
      <c r="C679" s="142" t="s">
        <v>80</v>
      </c>
      <c r="D679" s="142" t="s">
        <v>63</v>
      </c>
      <c r="E679" s="143">
        <v>12</v>
      </c>
      <c r="F679" s="144">
        <v>85</v>
      </c>
      <c r="G679" s="144">
        <f t="shared" si="20"/>
        <v>1020</v>
      </c>
      <c r="H679" s="37">
        <v>0</v>
      </c>
      <c r="I679" s="5">
        <f t="shared" si="21"/>
        <v>1020</v>
      </c>
      <c r="J679" s="4" t="s">
        <v>64</v>
      </c>
      <c r="K679" s="146" t="s">
        <v>65</v>
      </c>
      <c r="L679" s="145"/>
    </row>
    <row r="680" spans="1:12" s="68" customFormat="1" x14ac:dyDescent="0.2">
      <c r="A680" s="159" t="s">
        <v>652</v>
      </c>
      <c r="B680" s="4" t="s">
        <v>663</v>
      </c>
      <c r="C680" s="142" t="s">
        <v>74</v>
      </c>
      <c r="D680" s="142" t="s">
        <v>63</v>
      </c>
      <c r="E680" s="143">
        <v>15</v>
      </c>
      <c r="F680" s="144">
        <v>86</v>
      </c>
      <c r="G680" s="144">
        <f t="shared" si="20"/>
        <v>1290</v>
      </c>
      <c r="H680" s="37">
        <v>0</v>
      </c>
      <c r="I680" s="5">
        <f t="shared" si="21"/>
        <v>1290</v>
      </c>
      <c r="J680" s="4" t="s">
        <v>64</v>
      </c>
      <c r="K680" s="146" t="s">
        <v>65</v>
      </c>
      <c r="L680" s="145"/>
    </row>
    <row r="681" spans="1:12" s="68" customFormat="1" x14ac:dyDescent="0.2">
      <c r="A681" s="159" t="s">
        <v>652</v>
      </c>
      <c r="B681" s="4" t="s">
        <v>664</v>
      </c>
      <c r="C681" s="142" t="s">
        <v>119</v>
      </c>
      <c r="D681" s="142" t="s">
        <v>63</v>
      </c>
      <c r="E681" s="143">
        <v>35</v>
      </c>
      <c r="F681" s="144">
        <v>85</v>
      </c>
      <c r="G681" s="144">
        <f t="shared" si="20"/>
        <v>2975</v>
      </c>
      <c r="H681" s="37">
        <v>0</v>
      </c>
      <c r="I681" s="5">
        <f t="shared" si="21"/>
        <v>2975</v>
      </c>
      <c r="J681" s="4" t="s">
        <v>64</v>
      </c>
      <c r="K681" s="146" t="s">
        <v>65</v>
      </c>
      <c r="L681" s="145"/>
    </row>
    <row r="682" spans="1:12" s="68" customFormat="1" x14ac:dyDescent="0.2">
      <c r="A682" s="159" t="s">
        <v>652</v>
      </c>
      <c r="B682" s="4" t="s">
        <v>665</v>
      </c>
      <c r="C682" s="142" t="s">
        <v>121</v>
      </c>
      <c r="D682" s="142" t="s">
        <v>63</v>
      </c>
      <c r="E682" s="143">
        <v>30</v>
      </c>
      <c r="F682" s="144">
        <v>85</v>
      </c>
      <c r="G682" s="144">
        <f t="shared" si="20"/>
        <v>2550</v>
      </c>
      <c r="H682" s="37">
        <v>0</v>
      </c>
      <c r="I682" s="5">
        <f t="shared" si="21"/>
        <v>2550</v>
      </c>
      <c r="J682" s="4" t="s">
        <v>64</v>
      </c>
      <c r="K682" s="146" t="s">
        <v>65</v>
      </c>
      <c r="L682" s="145"/>
    </row>
    <row r="683" spans="1:12" s="68" customFormat="1" x14ac:dyDescent="0.2">
      <c r="A683" s="159" t="s">
        <v>652</v>
      </c>
      <c r="B683" s="4" t="s">
        <v>666</v>
      </c>
      <c r="C683" s="142" t="s">
        <v>92</v>
      </c>
      <c r="D683" s="142" t="s">
        <v>63</v>
      </c>
      <c r="E683" s="143">
        <v>25</v>
      </c>
      <c r="F683" s="144">
        <v>95</v>
      </c>
      <c r="G683" s="144">
        <f t="shared" si="20"/>
        <v>2375</v>
      </c>
      <c r="H683" s="37">
        <v>0</v>
      </c>
      <c r="I683" s="5">
        <f t="shared" si="21"/>
        <v>2375</v>
      </c>
      <c r="J683" s="4" t="s">
        <v>64</v>
      </c>
      <c r="K683" s="146" t="s">
        <v>65</v>
      </c>
      <c r="L683" s="145"/>
    </row>
    <row r="684" spans="1:12" s="68" customFormat="1" x14ac:dyDescent="0.2">
      <c r="A684" s="159" t="s">
        <v>652</v>
      </c>
      <c r="B684" s="4" t="s">
        <v>667</v>
      </c>
      <c r="C684" s="142" t="s">
        <v>94</v>
      </c>
      <c r="D684" s="142" t="s">
        <v>63</v>
      </c>
      <c r="E684" s="143">
        <v>33</v>
      </c>
      <c r="F684" s="144">
        <v>84</v>
      </c>
      <c r="G684" s="144">
        <f t="shared" si="20"/>
        <v>2772</v>
      </c>
      <c r="H684" s="37">
        <v>0</v>
      </c>
      <c r="I684" s="5">
        <f t="shared" si="21"/>
        <v>2772</v>
      </c>
      <c r="J684" s="4" t="s">
        <v>64</v>
      </c>
      <c r="K684" s="146" t="s">
        <v>65</v>
      </c>
      <c r="L684" s="145"/>
    </row>
    <row r="685" spans="1:12" s="68" customFormat="1" x14ac:dyDescent="0.2">
      <c r="A685" s="159" t="s">
        <v>652</v>
      </c>
      <c r="B685" s="4" t="s">
        <v>668</v>
      </c>
      <c r="C685" s="142" t="s">
        <v>98</v>
      </c>
      <c r="D685" s="142" t="s">
        <v>63</v>
      </c>
      <c r="E685" s="143">
        <v>6</v>
      </c>
      <c r="F685" s="144">
        <v>85</v>
      </c>
      <c r="G685" s="144">
        <f t="shared" si="20"/>
        <v>510</v>
      </c>
      <c r="H685" s="37">
        <v>0</v>
      </c>
      <c r="I685" s="5">
        <f t="shared" si="21"/>
        <v>510</v>
      </c>
      <c r="J685" s="4" t="s">
        <v>64</v>
      </c>
      <c r="K685" s="146" t="s">
        <v>65</v>
      </c>
      <c r="L685" s="145"/>
    </row>
    <row r="686" spans="1:12" s="68" customFormat="1" x14ac:dyDescent="0.2">
      <c r="A686" s="159" t="s">
        <v>652</v>
      </c>
      <c r="B686" s="4" t="s">
        <v>669</v>
      </c>
      <c r="C686" s="4" t="s">
        <v>214</v>
      </c>
      <c r="D686" s="142" t="s">
        <v>63</v>
      </c>
      <c r="E686" s="36">
        <v>2</v>
      </c>
      <c r="F686" s="5">
        <v>100</v>
      </c>
      <c r="G686" s="144">
        <f t="shared" si="20"/>
        <v>200</v>
      </c>
      <c r="H686" s="37">
        <v>0</v>
      </c>
      <c r="I686" s="5">
        <f t="shared" si="21"/>
        <v>200</v>
      </c>
      <c r="J686" s="4" t="s">
        <v>64</v>
      </c>
      <c r="K686" s="146" t="s">
        <v>65</v>
      </c>
      <c r="L686" s="146"/>
    </row>
    <row r="687" spans="1:12" s="68" customFormat="1" x14ac:dyDescent="0.2">
      <c r="A687" s="159" t="s">
        <v>652</v>
      </c>
      <c r="B687" s="4" t="s">
        <v>621</v>
      </c>
      <c r="C687" s="142" t="s">
        <v>100</v>
      </c>
      <c r="D687" s="142" t="s">
        <v>63</v>
      </c>
      <c r="E687" s="143">
        <v>5</v>
      </c>
      <c r="F687" s="144">
        <v>100</v>
      </c>
      <c r="G687" s="144">
        <f t="shared" si="20"/>
        <v>500</v>
      </c>
      <c r="H687" s="37">
        <v>0</v>
      </c>
      <c r="I687" s="5">
        <f t="shared" si="21"/>
        <v>500</v>
      </c>
      <c r="J687" s="4" t="s">
        <v>64</v>
      </c>
      <c r="K687" s="146" t="s">
        <v>65</v>
      </c>
      <c r="L687" s="145"/>
    </row>
    <row r="688" spans="1:12" s="68" customFormat="1" x14ac:dyDescent="0.2">
      <c r="A688" s="159" t="s">
        <v>652</v>
      </c>
      <c r="B688" s="4" t="s">
        <v>621</v>
      </c>
      <c r="C688" s="142" t="s">
        <v>100</v>
      </c>
      <c r="D688" s="142" t="s">
        <v>96</v>
      </c>
      <c r="E688" s="143">
        <v>2</v>
      </c>
      <c r="F688" s="144">
        <v>800</v>
      </c>
      <c r="G688" s="144">
        <f t="shared" si="20"/>
        <v>1600</v>
      </c>
      <c r="H688" s="37">
        <v>0</v>
      </c>
      <c r="I688" s="5">
        <f t="shared" si="21"/>
        <v>1600</v>
      </c>
      <c r="J688" s="4" t="s">
        <v>64</v>
      </c>
      <c r="K688" s="146" t="s">
        <v>65</v>
      </c>
      <c r="L688" s="145"/>
    </row>
    <row r="689" spans="1:12" s="68" customFormat="1" x14ac:dyDescent="0.2">
      <c r="A689" s="159" t="s">
        <v>670</v>
      </c>
      <c r="B689" s="4" t="s">
        <v>671</v>
      </c>
      <c r="C689" s="142" t="s">
        <v>62</v>
      </c>
      <c r="D689" s="142" t="s">
        <v>63</v>
      </c>
      <c r="E689" s="143">
        <v>60</v>
      </c>
      <c r="F689" s="144">
        <v>85</v>
      </c>
      <c r="G689" s="144">
        <f t="shared" si="20"/>
        <v>5100</v>
      </c>
      <c r="H689" s="37">
        <v>0</v>
      </c>
      <c r="I689" s="5">
        <f t="shared" si="21"/>
        <v>5100</v>
      </c>
      <c r="J689" s="4" t="s">
        <v>64</v>
      </c>
      <c r="K689" s="146" t="s">
        <v>65</v>
      </c>
      <c r="L689" s="145"/>
    </row>
    <row r="690" spans="1:12" s="68" customFormat="1" x14ac:dyDescent="0.2">
      <c r="A690" s="159" t="s">
        <v>670</v>
      </c>
      <c r="B690" s="4" t="s">
        <v>671</v>
      </c>
      <c r="C690" s="142" t="s">
        <v>62</v>
      </c>
      <c r="D690" s="142" t="s">
        <v>72</v>
      </c>
      <c r="E690" s="143">
        <v>1</v>
      </c>
      <c r="F690" s="144">
        <v>80</v>
      </c>
      <c r="G690" s="144">
        <f t="shared" si="20"/>
        <v>80</v>
      </c>
      <c r="H690" s="37">
        <v>0</v>
      </c>
      <c r="I690" s="5">
        <f t="shared" si="21"/>
        <v>80</v>
      </c>
      <c r="J690" s="4" t="s">
        <v>64</v>
      </c>
      <c r="K690" s="146" t="s">
        <v>65</v>
      </c>
      <c r="L690" s="145"/>
    </row>
    <row r="691" spans="1:12" s="68" customFormat="1" x14ac:dyDescent="0.2">
      <c r="A691" s="159" t="s">
        <v>670</v>
      </c>
      <c r="B691" s="4" t="s">
        <v>672</v>
      </c>
      <c r="C691" s="142" t="s">
        <v>67</v>
      </c>
      <c r="D691" s="142" t="s">
        <v>63</v>
      </c>
      <c r="E691" s="143">
        <v>60</v>
      </c>
      <c r="F691" s="144">
        <v>85</v>
      </c>
      <c r="G691" s="144">
        <f t="shared" si="20"/>
        <v>5100</v>
      </c>
      <c r="H691" s="37">
        <v>0</v>
      </c>
      <c r="I691" s="5">
        <f t="shared" si="21"/>
        <v>5100</v>
      </c>
      <c r="J691" s="4" t="s">
        <v>64</v>
      </c>
      <c r="K691" s="146" t="s">
        <v>65</v>
      </c>
      <c r="L691" s="145"/>
    </row>
    <row r="692" spans="1:12" s="68" customFormat="1" x14ac:dyDescent="0.2">
      <c r="A692" s="159" t="s">
        <v>670</v>
      </c>
      <c r="B692" s="4" t="s">
        <v>673</v>
      </c>
      <c r="C692" s="142" t="s">
        <v>90</v>
      </c>
      <c r="D692" s="142" t="s">
        <v>63</v>
      </c>
      <c r="E692" s="143">
        <v>15</v>
      </c>
      <c r="F692" s="144">
        <v>85</v>
      </c>
      <c r="G692" s="144">
        <f t="shared" si="20"/>
        <v>1275</v>
      </c>
      <c r="H692" s="37">
        <v>0</v>
      </c>
      <c r="I692" s="5">
        <f t="shared" si="21"/>
        <v>1275</v>
      </c>
      <c r="J692" s="4" t="s">
        <v>64</v>
      </c>
      <c r="K692" s="146" t="s">
        <v>65</v>
      </c>
      <c r="L692" s="145"/>
    </row>
    <row r="693" spans="1:12" s="68" customFormat="1" x14ac:dyDescent="0.2">
      <c r="A693" s="159" t="s">
        <v>670</v>
      </c>
      <c r="B693" s="4" t="s">
        <v>674</v>
      </c>
      <c r="C693" s="142" t="s">
        <v>71</v>
      </c>
      <c r="D693" s="142" t="s">
        <v>63</v>
      </c>
      <c r="E693" s="143">
        <v>40</v>
      </c>
      <c r="F693" s="144">
        <v>86</v>
      </c>
      <c r="G693" s="144">
        <f t="shared" si="20"/>
        <v>3440</v>
      </c>
      <c r="H693" s="37">
        <v>0</v>
      </c>
      <c r="I693" s="5">
        <f t="shared" si="21"/>
        <v>3440</v>
      </c>
      <c r="J693" s="4" t="s">
        <v>64</v>
      </c>
      <c r="K693" s="146" t="s">
        <v>65</v>
      </c>
      <c r="L693" s="145"/>
    </row>
    <row r="694" spans="1:12" s="68" customFormat="1" x14ac:dyDescent="0.2">
      <c r="A694" s="159" t="s">
        <v>670</v>
      </c>
      <c r="B694" s="4" t="s">
        <v>674</v>
      </c>
      <c r="C694" s="142" t="s">
        <v>71</v>
      </c>
      <c r="D694" s="142" t="s">
        <v>63</v>
      </c>
      <c r="E694" s="143">
        <v>40</v>
      </c>
      <c r="F694" s="144">
        <v>85</v>
      </c>
      <c r="G694" s="144">
        <f t="shared" si="20"/>
        <v>3400</v>
      </c>
      <c r="H694" s="37">
        <v>0</v>
      </c>
      <c r="I694" s="5">
        <f t="shared" si="21"/>
        <v>3400</v>
      </c>
      <c r="J694" s="4" t="s">
        <v>64</v>
      </c>
      <c r="K694" s="146" t="s">
        <v>65</v>
      </c>
      <c r="L694" s="145"/>
    </row>
    <row r="695" spans="1:12" s="68" customFormat="1" x14ac:dyDescent="0.2">
      <c r="A695" s="159" t="s">
        <v>670</v>
      </c>
      <c r="B695" s="4" t="s">
        <v>674</v>
      </c>
      <c r="C695" s="142" t="s">
        <v>71</v>
      </c>
      <c r="D695" s="142" t="s">
        <v>72</v>
      </c>
      <c r="E695" s="143">
        <v>1</v>
      </c>
      <c r="F695" s="144">
        <v>80</v>
      </c>
      <c r="G695" s="144">
        <f t="shared" si="20"/>
        <v>80</v>
      </c>
      <c r="H695" s="37">
        <v>0</v>
      </c>
      <c r="I695" s="5">
        <f t="shared" si="21"/>
        <v>80</v>
      </c>
      <c r="J695" s="4" t="s">
        <v>64</v>
      </c>
      <c r="K695" s="146" t="s">
        <v>65</v>
      </c>
      <c r="L695" s="145"/>
    </row>
    <row r="696" spans="1:12" s="68" customFormat="1" x14ac:dyDescent="0.2">
      <c r="A696" s="159" t="s">
        <v>670</v>
      </c>
      <c r="B696" s="4" t="s">
        <v>675</v>
      </c>
      <c r="C696" s="142" t="s">
        <v>88</v>
      </c>
      <c r="D696" s="142" t="s">
        <v>63</v>
      </c>
      <c r="E696" s="143">
        <v>5</v>
      </c>
      <c r="F696" s="144">
        <v>85</v>
      </c>
      <c r="G696" s="144">
        <f t="shared" si="20"/>
        <v>425</v>
      </c>
      <c r="H696" s="37">
        <v>0</v>
      </c>
      <c r="I696" s="5">
        <f t="shared" si="21"/>
        <v>425</v>
      </c>
      <c r="J696" s="4" t="s">
        <v>64</v>
      </c>
      <c r="K696" s="146" t="s">
        <v>65</v>
      </c>
      <c r="L696" s="145"/>
    </row>
    <row r="697" spans="1:12" s="68" customFormat="1" x14ac:dyDescent="0.2">
      <c r="A697" s="159" t="s">
        <v>670</v>
      </c>
      <c r="B697" s="4" t="s">
        <v>676</v>
      </c>
      <c r="C697" s="142" t="s">
        <v>69</v>
      </c>
      <c r="D697" s="142" t="s">
        <v>63</v>
      </c>
      <c r="E697" s="143">
        <v>20</v>
      </c>
      <c r="F697" s="144">
        <v>85</v>
      </c>
      <c r="G697" s="144">
        <f t="shared" si="20"/>
        <v>1700</v>
      </c>
      <c r="H697" s="37">
        <v>0</v>
      </c>
      <c r="I697" s="5">
        <f t="shared" si="21"/>
        <v>1700</v>
      </c>
      <c r="J697" s="4" t="s">
        <v>64</v>
      </c>
      <c r="K697" s="146" t="s">
        <v>65</v>
      </c>
      <c r="L697" s="145"/>
    </row>
    <row r="698" spans="1:12" s="68" customFormat="1" x14ac:dyDescent="0.2">
      <c r="A698" s="159" t="s">
        <v>670</v>
      </c>
      <c r="B698" s="4" t="s">
        <v>677</v>
      </c>
      <c r="C698" s="142" t="s">
        <v>86</v>
      </c>
      <c r="D698" s="142" t="s">
        <v>63</v>
      </c>
      <c r="E698" s="143">
        <v>30</v>
      </c>
      <c r="F698" s="144">
        <v>86</v>
      </c>
      <c r="G698" s="144">
        <f t="shared" si="20"/>
        <v>2580</v>
      </c>
      <c r="H698" s="37">
        <v>0</v>
      </c>
      <c r="I698" s="5">
        <f t="shared" si="21"/>
        <v>2580</v>
      </c>
      <c r="J698" s="4" t="s">
        <v>64</v>
      </c>
      <c r="K698" s="146" t="s">
        <v>65</v>
      </c>
      <c r="L698" s="145"/>
    </row>
    <row r="699" spans="1:12" s="68" customFormat="1" x14ac:dyDescent="0.2">
      <c r="A699" s="159" t="s">
        <v>670</v>
      </c>
      <c r="B699" s="4" t="s">
        <v>677</v>
      </c>
      <c r="C699" s="142" t="s">
        <v>86</v>
      </c>
      <c r="D699" s="4" t="s">
        <v>96</v>
      </c>
      <c r="E699" s="36">
        <v>5</v>
      </c>
      <c r="F699" s="5">
        <v>800</v>
      </c>
      <c r="G699" s="144">
        <f t="shared" si="20"/>
        <v>4000</v>
      </c>
      <c r="H699" s="37">
        <v>0</v>
      </c>
      <c r="I699" s="5">
        <f t="shared" si="21"/>
        <v>4000</v>
      </c>
      <c r="J699" s="4" t="s">
        <v>64</v>
      </c>
      <c r="K699" s="146" t="s">
        <v>65</v>
      </c>
      <c r="L699" s="146"/>
    </row>
    <row r="700" spans="1:12" s="68" customFormat="1" x14ac:dyDescent="0.2">
      <c r="A700" s="159" t="s">
        <v>670</v>
      </c>
      <c r="B700" s="4" t="s">
        <v>678</v>
      </c>
      <c r="C700" s="142" t="s">
        <v>84</v>
      </c>
      <c r="D700" s="142" t="s">
        <v>63</v>
      </c>
      <c r="E700" s="143">
        <v>3.5</v>
      </c>
      <c r="F700" s="144">
        <v>86</v>
      </c>
      <c r="G700" s="144">
        <f t="shared" si="20"/>
        <v>301</v>
      </c>
      <c r="H700" s="37">
        <v>0</v>
      </c>
      <c r="I700" s="5">
        <f t="shared" si="21"/>
        <v>301</v>
      </c>
      <c r="J700" s="4" t="s">
        <v>64</v>
      </c>
      <c r="K700" s="146" t="s">
        <v>65</v>
      </c>
      <c r="L700" s="145"/>
    </row>
    <row r="701" spans="1:12" s="68" customFormat="1" x14ac:dyDescent="0.2">
      <c r="A701" s="159" t="s">
        <v>670</v>
      </c>
      <c r="B701" s="4" t="s">
        <v>679</v>
      </c>
      <c r="C701" s="142" t="s">
        <v>82</v>
      </c>
      <c r="D701" s="142" t="s">
        <v>63</v>
      </c>
      <c r="E701" s="143">
        <v>8</v>
      </c>
      <c r="F701" s="144">
        <v>85</v>
      </c>
      <c r="G701" s="144">
        <f t="shared" si="20"/>
        <v>680</v>
      </c>
      <c r="H701" s="37">
        <v>0</v>
      </c>
      <c r="I701" s="5">
        <f t="shared" si="21"/>
        <v>680</v>
      </c>
      <c r="J701" s="4" t="s">
        <v>64</v>
      </c>
      <c r="K701" s="146" t="s">
        <v>65</v>
      </c>
      <c r="L701" s="145"/>
    </row>
    <row r="702" spans="1:12" s="68" customFormat="1" x14ac:dyDescent="0.2">
      <c r="A702" s="159" t="s">
        <v>670</v>
      </c>
      <c r="B702" s="4" t="s">
        <v>680</v>
      </c>
      <c r="C702" s="142" t="s">
        <v>76</v>
      </c>
      <c r="D702" s="142" t="s">
        <v>63</v>
      </c>
      <c r="E702" s="143">
        <v>10</v>
      </c>
      <c r="F702" s="144">
        <v>85</v>
      </c>
      <c r="G702" s="144">
        <f t="shared" si="20"/>
        <v>850</v>
      </c>
      <c r="H702" s="37">
        <v>0</v>
      </c>
      <c r="I702" s="5">
        <f t="shared" si="21"/>
        <v>850</v>
      </c>
      <c r="J702" s="4" t="s">
        <v>64</v>
      </c>
      <c r="K702" s="146" t="s">
        <v>65</v>
      </c>
      <c r="L702" s="145"/>
    </row>
    <row r="703" spans="1:12" s="68" customFormat="1" x14ac:dyDescent="0.2">
      <c r="A703" s="159" t="s">
        <v>670</v>
      </c>
      <c r="B703" s="4" t="s">
        <v>681</v>
      </c>
      <c r="C703" s="142" t="s">
        <v>80</v>
      </c>
      <c r="D703" s="142" t="s">
        <v>63</v>
      </c>
      <c r="E703" s="143">
        <v>12</v>
      </c>
      <c r="F703" s="144">
        <v>85</v>
      </c>
      <c r="G703" s="144">
        <f t="shared" si="20"/>
        <v>1020</v>
      </c>
      <c r="H703" s="37">
        <v>0</v>
      </c>
      <c r="I703" s="5">
        <f t="shared" si="21"/>
        <v>1020</v>
      </c>
      <c r="J703" s="4" t="s">
        <v>64</v>
      </c>
      <c r="K703" s="146" t="s">
        <v>65</v>
      </c>
      <c r="L703" s="145"/>
    </row>
    <row r="704" spans="1:12" s="68" customFormat="1" x14ac:dyDescent="0.2">
      <c r="A704" s="159" t="s">
        <v>670</v>
      </c>
      <c r="B704" s="4" t="s">
        <v>682</v>
      </c>
      <c r="C704" s="142" t="s">
        <v>78</v>
      </c>
      <c r="D704" s="142" t="s">
        <v>63</v>
      </c>
      <c r="E704" s="143">
        <v>5</v>
      </c>
      <c r="F704" s="144">
        <v>85</v>
      </c>
      <c r="G704" s="144">
        <f t="shared" si="20"/>
        <v>425</v>
      </c>
      <c r="H704" s="37">
        <v>0</v>
      </c>
      <c r="I704" s="5">
        <f t="shared" si="21"/>
        <v>425</v>
      </c>
      <c r="J704" s="4" t="s">
        <v>64</v>
      </c>
      <c r="K704" s="146" t="s">
        <v>65</v>
      </c>
      <c r="L704" s="145"/>
    </row>
    <row r="705" spans="1:12" s="68" customFormat="1" x14ac:dyDescent="0.2">
      <c r="A705" s="159" t="s">
        <v>670</v>
      </c>
      <c r="B705" s="4" t="s">
        <v>683</v>
      </c>
      <c r="C705" s="142" t="s">
        <v>74</v>
      </c>
      <c r="D705" s="142" t="s">
        <v>63</v>
      </c>
      <c r="E705" s="143">
        <v>15</v>
      </c>
      <c r="F705" s="144">
        <v>86</v>
      </c>
      <c r="G705" s="144">
        <f t="shared" si="20"/>
        <v>1290</v>
      </c>
      <c r="H705" s="37">
        <v>0</v>
      </c>
      <c r="I705" s="5">
        <f t="shared" si="21"/>
        <v>1290</v>
      </c>
      <c r="J705" s="4" t="s">
        <v>64</v>
      </c>
      <c r="K705" s="146" t="s">
        <v>65</v>
      </c>
      <c r="L705" s="145"/>
    </row>
    <row r="706" spans="1:12" s="68" customFormat="1" x14ac:dyDescent="0.2">
      <c r="A706" s="159" t="s">
        <v>670</v>
      </c>
      <c r="B706" s="4" t="s">
        <v>684</v>
      </c>
      <c r="C706" s="142" t="s">
        <v>685</v>
      </c>
      <c r="D706" s="142" t="s">
        <v>63</v>
      </c>
      <c r="E706" s="143">
        <v>10</v>
      </c>
      <c r="F706" s="144">
        <v>85</v>
      </c>
      <c r="G706" s="144">
        <f t="shared" si="20"/>
        <v>850</v>
      </c>
      <c r="H706" s="37">
        <v>0</v>
      </c>
      <c r="I706" s="5">
        <f t="shared" si="21"/>
        <v>850</v>
      </c>
      <c r="J706" s="4" t="s">
        <v>64</v>
      </c>
      <c r="K706" s="146" t="s">
        <v>65</v>
      </c>
      <c r="L706" s="145"/>
    </row>
    <row r="707" spans="1:12" s="68" customFormat="1" x14ac:dyDescent="0.2">
      <c r="A707" s="159" t="s">
        <v>670</v>
      </c>
      <c r="B707" s="4" t="s">
        <v>686</v>
      </c>
      <c r="C707" s="142" t="s">
        <v>92</v>
      </c>
      <c r="D707" s="142" t="s">
        <v>63</v>
      </c>
      <c r="E707" s="143">
        <v>25</v>
      </c>
      <c r="F707" s="144">
        <v>95</v>
      </c>
      <c r="G707" s="144">
        <f t="shared" ref="G707:G770" si="22">IF($E707="","",$E707*$F707)</f>
        <v>2375</v>
      </c>
      <c r="H707" s="37">
        <v>0</v>
      </c>
      <c r="I707" s="5">
        <f t="shared" ref="I707:I770" si="23">IF($E707="","",$G707*(1-$H707/100))</f>
        <v>2375</v>
      </c>
      <c r="J707" s="4" t="s">
        <v>64</v>
      </c>
      <c r="K707" s="146" t="s">
        <v>65</v>
      </c>
      <c r="L707" s="145"/>
    </row>
    <row r="708" spans="1:12" s="68" customFormat="1" x14ac:dyDescent="0.2">
      <c r="A708" s="159" t="s">
        <v>670</v>
      </c>
      <c r="B708" s="4" t="s">
        <v>686</v>
      </c>
      <c r="C708" s="142" t="s">
        <v>92</v>
      </c>
      <c r="D708" s="142" t="s">
        <v>63</v>
      </c>
      <c r="E708" s="143">
        <v>12</v>
      </c>
      <c r="F708" s="144">
        <v>85</v>
      </c>
      <c r="G708" s="144">
        <f t="shared" si="22"/>
        <v>1020</v>
      </c>
      <c r="H708" s="37">
        <v>0</v>
      </c>
      <c r="I708" s="5">
        <f t="shared" si="23"/>
        <v>1020</v>
      </c>
      <c r="J708" s="4" t="s">
        <v>64</v>
      </c>
      <c r="K708" s="146" t="s">
        <v>65</v>
      </c>
      <c r="L708" s="145"/>
    </row>
    <row r="709" spans="1:12" s="68" customFormat="1" x14ac:dyDescent="0.2">
      <c r="A709" s="159" t="s">
        <v>670</v>
      </c>
      <c r="B709" s="4" t="s">
        <v>687</v>
      </c>
      <c r="C709" s="142" t="s">
        <v>94</v>
      </c>
      <c r="D709" s="142" t="s">
        <v>63</v>
      </c>
      <c r="E709" s="143">
        <v>40</v>
      </c>
      <c r="F709" s="144">
        <v>84</v>
      </c>
      <c r="G709" s="144">
        <f t="shared" si="22"/>
        <v>3360</v>
      </c>
      <c r="H709" s="37">
        <v>0</v>
      </c>
      <c r="I709" s="5">
        <f t="shared" si="23"/>
        <v>3360</v>
      </c>
      <c r="J709" s="4" t="s">
        <v>64</v>
      </c>
      <c r="K709" s="146" t="s">
        <v>65</v>
      </c>
      <c r="L709" s="145"/>
    </row>
    <row r="710" spans="1:12" s="68" customFormat="1" x14ac:dyDescent="0.2">
      <c r="A710" s="159" t="s">
        <v>670</v>
      </c>
      <c r="B710" s="4" t="s">
        <v>688</v>
      </c>
      <c r="C710" s="142" t="s">
        <v>98</v>
      </c>
      <c r="D710" s="142" t="s">
        <v>63</v>
      </c>
      <c r="E710" s="143">
        <v>6</v>
      </c>
      <c r="F710" s="144">
        <v>85</v>
      </c>
      <c r="G710" s="144">
        <f t="shared" si="22"/>
        <v>510</v>
      </c>
      <c r="H710" s="37">
        <v>0</v>
      </c>
      <c r="I710" s="5">
        <f t="shared" si="23"/>
        <v>510</v>
      </c>
      <c r="J710" s="4" t="s">
        <v>64</v>
      </c>
      <c r="K710" s="146" t="s">
        <v>65</v>
      </c>
      <c r="L710" s="145"/>
    </row>
    <row r="711" spans="1:12" s="68" customFormat="1" x14ac:dyDescent="0.2">
      <c r="A711" s="159" t="s">
        <v>670</v>
      </c>
      <c r="B711" s="4" t="s">
        <v>689</v>
      </c>
      <c r="C711" s="142" t="s">
        <v>214</v>
      </c>
      <c r="D711" s="142" t="s">
        <v>63</v>
      </c>
      <c r="E711" s="143">
        <v>2</v>
      </c>
      <c r="F711" s="144">
        <v>100</v>
      </c>
      <c r="G711" s="144">
        <f t="shared" si="22"/>
        <v>200</v>
      </c>
      <c r="H711" s="37">
        <v>0</v>
      </c>
      <c r="I711" s="5">
        <f t="shared" si="23"/>
        <v>200</v>
      </c>
      <c r="J711" s="4" t="s">
        <v>64</v>
      </c>
      <c r="K711" s="146" t="s">
        <v>65</v>
      </c>
      <c r="L711" s="145"/>
    </row>
    <row r="712" spans="1:12" s="68" customFormat="1" x14ac:dyDescent="0.2">
      <c r="A712" s="159" t="s">
        <v>670</v>
      </c>
      <c r="B712" s="4" t="s">
        <v>690</v>
      </c>
      <c r="C712" s="4" t="s">
        <v>102</v>
      </c>
      <c r="D712" s="142" t="s">
        <v>63</v>
      </c>
      <c r="E712" s="36">
        <v>10</v>
      </c>
      <c r="F712" s="5">
        <v>86</v>
      </c>
      <c r="G712" s="144">
        <f t="shared" si="22"/>
        <v>860</v>
      </c>
      <c r="H712" s="37">
        <v>0</v>
      </c>
      <c r="I712" s="5">
        <f t="shared" si="23"/>
        <v>860</v>
      </c>
      <c r="J712" s="4" t="s">
        <v>64</v>
      </c>
      <c r="K712" s="146" t="s">
        <v>65</v>
      </c>
      <c r="L712" s="146"/>
    </row>
    <row r="713" spans="1:12" x14ac:dyDescent="0.2">
      <c r="A713" s="159" t="s">
        <v>670</v>
      </c>
      <c r="B713" s="4" t="s">
        <v>691</v>
      </c>
      <c r="C713" s="142" t="s">
        <v>487</v>
      </c>
      <c r="D713" s="142" t="s">
        <v>63</v>
      </c>
      <c r="E713" s="143">
        <v>2</v>
      </c>
      <c r="F713" s="144">
        <v>100</v>
      </c>
      <c r="G713" s="144">
        <f t="shared" si="22"/>
        <v>200</v>
      </c>
      <c r="H713" s="37">
        <v>0</v>
      </c>
      <c r="I713" s="5">
        <f t="shared" si="23"/>
        <v>200</v>
      </c>
      <c r="J713" s="4" t="s">
        <v>64</v>
      </c>
      <c r="K713" s="4" t="s">
        <v>65</v>
      </c>
      <c r="L713" s="142"/>
    </row>
    <row r="714" spans="1:12" x14ac:dyDescent="0.2">
      <c r="A714" s="159" t="s">
        <v>670</v>
      </c>
      <c r="B714" s="4" t="s">
        <v>692</v>
      </c>
      <c r="C714" s="142" t="s">
        <v>214</v>
      </c>
      <c r="D714" s="142" t="s">
        <v>63</v>
      </c>
      <c r="E714" s="143">
        <v>2</v>
      </c>
      <c r="F714" s="144">
        <v>100</v>
      </c>
      <c r="G714" s="144">
        <f t="shared" si="22"/>
        <v>200</v>
      </c>
      <c r="H714" s="37">
        <v>0</v>
      </c>
      <c r="I714" s="5">
        <f t="shared" si="23"/>
        <v>200</v>
      </c>
      <c r="J714" s="4" t="s">
        <v>64</v>
      </c>
      <c r="K714" s="4" t="s">
        <v>65</v>
      </c>
      <c r="L714" s="142"/>
    </row>
    <row r="715" spans="1:12" x14ac:dyDescent="0.2">
      <c r="A715" s="159" t="s">
        <v>670</v>
      </c>
      <c r="B715" s="4" t="s">
        <v>693</v>
      </c>
      <c r="C715" s="142" t="s">
        <v>694</v>
      </c>
      <c r="D715" s="142" t="s">
        <v>63</v>
      </c>
      <c r="E715" s="143">
        <v>1</v>
      </c>
      <c r="F715" s="144">
        <v>85</v>
      </c>
      <c r="G715" s="144">
        <f t="shared" si="22"/>
        <v>85</v>
      </c>
      <c r="H715" s="37">
        <v>0</v>
      </c>
      <c r="I715" s="5">
        <f t="shared" si="23"/>
        <v>85</v>
      </c>
      <c r="J715" s="4" t="s">
        <v>64</v>
      </c>
      <c r="K715" s="4" t="s">
        <v>65</v>
      </c>
      <c r="L715" s="142"/>
    </row>
    <row r="716" spans="1:12" x14ac:dyDescent="0.2">
      <c r="A716" s="159" t="s">
        <v>670</v>
      </c>
      <c r="B716" s="4" t="s">
        <v>693</v>
      </c>
      <c r="C716" s="142" t="s">
        <v>694</v>
      </c>
      <c r="D716" s="142" t="s">
        <v>268</v>
      </c>
      <c r="E716" s="143">
        <v>6</v>
      </c>
      <c r="F716" s="144">
        <v>1100</v>
      </c>
      <c r="G716" s="144">
        <f t="shared" si="22"/>
        <v>6600</v>
      </c>
      <c r="H716" s="37">
        <v>0</v>
      </c>
      <c r="I716" s="5">
        <f t="shared" si="23"/>
        <v>6600</v>
      </c>
      <c r="J716" s="4" t="s">
        <v>64</v>
      </c>
      <c r="K716" s="4" t="s">
        <v>65</v>
      </c>
      <c r="L716" s="142"/>
    </row>
    <row r="717" spans="1:12" x14ac:dyDescent="0.2">
      <c r="A717" s="159" t="s">
        <v>670</v>
      </c>
      <c r="B717" s="4" t="s">
        <v>693</v>
      </c>
      <c r="C717" s="142" t="s">
        <v>694</v>
      </c>
      <c r="D717" s="142" t="s">
        <v>96</v>
      </c>
      <c r="E717" s="143">
        <v>5</v>
      </c>
      <c r="F717" s="144">
        <v>800</v>
      </c>
      <c r="G717" s="144">
        <f t="shared" si="22"/>
        <v>4000</v>
      </c>
      <c r="H717" s="37">
        <v>0</v>
      </c>
      <c r="I717" s="5">
        <f t="shared" si="23"/>
        <v>4000</v>
      </c>
      <c r="J717" s="4" t="s">
        <v>64</v>
      </c>
      <c r="K717" s="4" t="s">
        <v>65</v>
      </c>
      <c r="L717" s="142"/>
    </row>
    <row r="718" spans="1:12" x14ac:dyDescent="0.2">
      <c r="A718" s="159" t="s">
        <v>670</v>
      </c>
      <c r="B718" s="4" t="s">
        <v>693</v>
      </c>
      <c r="C718" s="142" t="s">
        <v>100</v>
      </c>
      <c r="D718" s="142" t="s">
        <v>63</v>
      </c>
      <c r="E718" s="143">
        <v>2</v>
      </c>
      <c r="F718" s="144">
        <v>100</v>
      </c>
      <c r="G718" s="144">
        <f t="shared" si="22"/>
        <v>200</v>
      </c>
      <c r="H718" s="37">
        <v>0</v>
      </c>
      <c r="I718" s="5">
        <f t="shared" si="23"/>
        <v>200</v>
      </c>
      <c r="J718" s="4" t="s">
        <v>64</v>
      </c>
      <c r="K718" s="4" t="s">
        <v>65</v>
      </c>
      <c r="L718" s="142"/>
    </row>
    <row r="719" spans="1:12" s="68" customFormat="1" x14ac:dyDescent="0.2">
      <c r="A719" s="159" t="s">
        <v>695</v>
      </c>
      <c r="B719" s="4" t="s">
        <v>696</v>
      </c>
      <c r="C719" s="142" t="s">
        <v>62</v>
      </c>
      <c r="D719" s="142" t="s">
        <v>63</v>
      </c>
      <c r="E719" s="143">
        <v>100</v>
      </c>
      <c r="F719" s="144">
        <v>85</v>
      </c>
      <c r="G719" s="144">
        <f t="shared" si="22"/>
        <v>8500</v>
      </c>
      <c r="H719" s="37">
        <v>0</v>
      </c>
      <c r="I719" s="5">
        <f t="shared" si="23"/>
        <v>8500</v>
      </c>
      <c r="J719" s="4" t="s">
        <v>64</v>
      </c>
      <c r="K719" s="4" t="s">
        <v>65</v>
      </c>
      <c r="L719" s="145"/>
    </row>
    <row r="720" spans="1:12" s="68" customFormat="1" x14ac:dyDescent="0.2">
      <c r="A720" s="159" t="s">
        <v>695</v>
      </c>
      <c r="B720" s="4" t="s">
        <v>696</v>
      </c>
      <c r="C720" s="142" t="s">
        <v>62</v>
      </c>
      <c r="D720" s="142" t="s">
        <v>72</v>
      </c>
      <c r="E720" s="143">
        <v>1</v>
      </c>
      <c r="F720" s="144">
        <v>80</v>
      </c>
      <c r="G720" s="144">
        <f t="shared" si="22"/>
        <v>80</v>
      </c>
      <c r="H720" s="37">
        <v>0</v>
      </c>
      <c r="I720" s="5">
        <f t="shared" si="23"/>
        <v>80</v>
      </c>
      <c r="J720" s="4" t="s">
        <v>64</v>
      </c>
      <c r="K720" s="4" t="s">
        <v>65</v>
      </c>
      <c r="L720" s="145"/>
    </row>
    <row r="721" spans="1:12" x14ac:dyDescent="0.2">
      <c r="A721" s="159" t="s">
        <v>695</v>
      </c>
      <c r="B721" s="4" t="s">
        <v>697</v>
      </c>
      <c r="C721" s="142" t="s">
        <v>67</v>
      </c>
      <c r="D721" s="142" t="s">
        <v>63</v>
      </c>
      <c r="E721" s="143">
        <v>100</v>
      </c>
      <c r="F721" s="144">
        <v>85</v>
      </c>
      <c r="G721" s="144">
        <f t="shared" si="22"/>
        <v>8500</v>
      </c>
      <c r="H721" s="37">
        <v>0</v>
      </c>
      <c r="I721" s="5">
        <f t="shared" si="23"/>
        <v>8500</v>
      </c>
      <c r="J721" s="4" t="s">
        <v>64</v>
      </c>
      <c r="K721" s="4" t="s">
        <v>65</v>
      </c>
      <c r="L721" s="142"/>
    </row>
    <row r="722" spans="1:12" x14ac:dyDescent="0.2">
      <c r="A722" s="159" t="s">
        <v>695</v>
      </c>
      <c r="B722" s="4" t="s">
        <v>698</v>
      </c>
      <c r="C722" s="142" t="s">
        <v>90</v>
      </c>
      <c r="D722" s="142" t="s">
        <v>63</v>
      </c>
      <c r="E722" s="143">
        <v>40</v>
      </c>
      <c r="F722" s="144">
        <v>85</v>
      </c>
      <c r="G722" s="144">
        <f t="shared" si="22"/>
        <v>3400</v>
      </c>
      <c r="H722" s="37">
        <v>0</v>
      </c>
      <c r="I722" s="5">
        <f t="shared" si="23"/>
        <v>3400</v>
      </c>
      <c r="J722" s="4" t="s">
        <v>64</v>
      </c>
      <c r="K722" s="4" t="s">
        <v>65</v>
      </c>
      <c r="L722" s="142"/>
    </row>
    <row r="723" spans="1:12" x14ac:dyDescent="0.2">
      <c r="A723" s="159" t="s">
        <v>695</v>
      </c>
      <c r="B723" s="4" t="s">
        <v>699</v>
      </c>
      <c r="C723" s="142" t="s">
        <v>71</v>
      </c>
      <c r="D723" s="142" t="s">
        <v>63</v>
      </c>
      <c r="E723" s="143">
        <v>40</v>
      </c>
      <c r="F723" s="144">
        <v>86</v>
      </c>
      <c r="G723" s="144">
        <f t="shared" si="22"/>
        <v>3440</v>
      </c>
      <c r="H723" s="37">
        <v>0</v>
      </c>
      <c r="I723" s="5">
        <f t="shared" si="23"/>
        <v>3440</v>
      </c>
      <c r="J723" s="4" t="s">
        <v>64</v>
      </c>
      <c r="K723" s="4" t="s">
        <v>65</v>
      </c>
      <c r="L723" s="142"/>
    </row>
    <row r="724" spans="1:12" x14ac:dyDescent="0.2">
      <c r="A724" s="159" t="s">
        <v>695</v>
      </c>
      <c r="B724" s="4" t="s">
        <v>699</v>
      </c>
      <c r="C724" s="142" t="s">
        <v>71</v>
      </c>
      <c r="D724" s="142" t="s">
        <v>63</v>
      </c>
      <c r="E724" s="143">
        <v>140</v>
      </c>
      <c r="F724" s="144">
        <v>85</v>
      </c>
      <c r="G724" s="144">
        <f t="shared" si="22"/>
        <v>11900</v>
      </c>
      <c r="H724" s="37">
        <v>0</v>
      </c>
      <c r="I724" s="5">
        <f t="shared" si="23"/>
        <v>11900</v>
      </c>
      <c r="J724" s="4" t="s">
        <v>64</v>
      </c>
      <c r="K724" s="4" t="s">
        <v>65</v>
      </c>
      <c r="L724" s="142"/>
    </row>
    <row r="725" spans="1:12" x14ac:dyDescent="0.2">
      <c r="A725" s="159" t="s">
        <v>695</v>
      </c>
      <c r="B725" s="4" t="s">
        <v>700</v>
      </c>
      <c r="C725" s="4" t="s">
        <v>88</v>
      </c>
      <c r="D725" s="4" t="s">
        <v>63</v>
      </c>
      <c r="E725" s="36">
        <v>5</v>
      </c>
      <c r="F725" s="5">
        <v>85</v>
      </c>
      <c r="G725" s="144">
        <f t="shared" si="22"/>
        <v>425</v>
      </c>
      <c r="H725" s="37">
        <v>0</v>
      </c>
      <c r="I725" s="5">
        <f t="shared" si="23"/>
        <v>425</v>
      </c>
      <c r="J725" s="4" t="s">
        <v>64</v>
      </c>
      <c r="K725" s="4" t="s">
        <v>65</v>
      </c>
      <c r="L725" s="4"/>
    </row>
    <row r="726" spans="1:12" x14ac:dyDescent="0.2">
      <c r="A726" s="159" t="s">
        <v>695</v>
      </c>
      <c r="B726" s="4" t="s">
        <v>701</v>
      </c>
      <c r="C726" s="142" t="s">
        <v>69</v>
      </c>
      <c r="D726" s="4" t="s">
        <v>63</v>
      </c>
      <c r="E726" s="143">
        <v>40</v>
      </c>
      <c r="F726" s="144">
        <v>85</v>
      </c>
      <c r="G726" s="144">
        <f t="shared" si="22"/>
        <v>3400</v>
      </c>
      <c r="H726" s="37">
        <v>0</v>
      </c>
      <c r="I726" s="5">
        <f t="shared" si="23"/>
        <v>3400</v>
      </c>
      <c r="J726" s="4" t="s">
        <v>64</v>
      </c>
      <c r="K726" s="4" t="s">
        <v>65</v>
      </c>
      <c r="L726" s="142"/>
    </row>
    <row r="727" spans="1:12" x14ac:dyDescent="0.2">
      <c r="A727" s="159" t="s">
        <v>695</v>
      </c>
      <c r="B727" s="4" t="s">
        <v>702</v>
      </c>
      <c r="C727" s="142" t="s">
        <v>86</v>
      </c>
      <c r="D727" s="4" t="s">
        <v>63</v>
      </c>
      <c r="E727" s="143">
        <v>40</v>
      </c>
      <c r="F727" s="144">
        <v>86</v>
      </c>
      <c r="G727" s="144">
        <f t="shared" si="22"/>
        <v>3440</v>
      </c>
      <c r="H727" s="37">
        <v>0</v>
      </c>
      <c r="I727" s="5">
        <f t="shared" si="23"/>
        <v>3440</v>
      </c>
      <c r="J727" s="4" t="s">
        <v>64</v>
      </c>
      <c r="K727" s="4" t="s">
        <v>65</v>
      </c>
      <c r="L727" s="142"/>
    </row>
    <row r="728" spans="1:12" x14ac:dyDescent="0.2">
      <c r="A728" s="159" t="s">
        <v>695</v>
      </c>
      <c r="B728" s="4" t="s">
        <v>703</v>
      </c>
      <c r="C728" s="142" t="s">
        <v>84</v>
      </c>
      <c r="D728" s="4" t="s">
        <v>63</v>
      </c>
      <c r="E728" s="143">
        <v>3.5</v>
      </c>
      <c r="F728" s="144">
        <v>86</v>
      </c>
      <c r="G728" s="144">
        <f t="shared" si="22"/>
        <v>301</v>
      </c>
      <c r="H728" s="37">
        <v>0</v>
      </c>
      <c r="I728" s="5">
        <f t="shared" si="23"/>
        <v>301</v>
      </c>
      <c r="J728" s="4" t="s">
        <v>64</v>
      </c>
      <c r="K728" s="4" t="s">
        <v>65</v>
      </c>
      <c r="L728" s="142"/>
    </row>
    <row r="729" spans="1:12" x14ac:dyDescent="0.2">
      <c r="A729" s="159" t="s">
        <v>695</v>
      </c>
      <c r="B729" s="4" t="s">
        <v>704</v>
      </c>
      <c r="C729" s="142" t="s">
        <v>82</v>
      </c>
      <c r="D729" s="4" t="s">
        <v>63</v>
      </c>
      <c r="E729" s="143">
        <v>10</v>
      </c>
      <c r="F729" s="144">
        <v>85</v>
      </c>
      <c r="G729" s="144">
        <f t="shared" si="22"/>
        <v>850</v>
      </c>
      <c r="H729" s="37">
        <v>0</v>
      </c>
      <c r="I729" s="5">
        <f t="shared" si="23"/>
        <v>850</v>
      </c>
      <c r="J729" s="4" t="s">
        <v>64</v>
      </c>
      <c r="K729" s="4" t="s">
        <v>65</v>
      </c>
      <c r="L729" s="142"/>
    </row>
    <row r="730" spans="1:12" x14ac:dyDescent="0.2">
      <c r="A730" s="159" t="s">
        <v>695</v>
      </c>
      <c r="B730" s="4" t="s">
        <v>705</v>
      </c>
      <c r="C730" s="142" t="s">
        <v>80</v>
      </c>
      <c r="D730" s="4" t="s">
        <v>63</v>
      </c>
      <c r="E730" s="143">
        <v>16</v>
      </c>
      <c r="F730" s="144">
        <v>85</v>
      </c>
      <c r="G730" s="144">
        <f t="shared" si="22"/>
        <v>1360</v>
      </c>
      <c r="H730" s="37">
        <v>0</v>
      </c>
      <c r="I730" s="5">
        <f t="shared" si="23"/>
        <v>1360</v>
      </c>
      <c r="J730" s="4" t="s">
        <v>64</v>
      </c>
      <c r="K730" s="4" t="s">
        <v>65</v>
      </c>
      <c r="L730" s="142"/>
    </row>
    <row r="731" spans="1:12" x14ac:dyDescent="0.2">
      <c r="A731" s="159" t="s">
        <v>695</v>
      </c>
      <c r="B731" s="4" t="s">
        <v>706</v>
      </c>
      <c r="C731" s="142" t="s">
        <v>76</v>
      </c>
      <c r="D731" s="4" t="s">
        <v>63</v>
      </c>
      <c r="E731" s="143">
        <v>10</v>
      </c>
      <c r="F731" s="144">
        <v>85</v>
      </c>
      <c r="G731" s="144">
        <f t="shared" si="22"/>
        <v>850</v>
      </c>
      <c r="H731" s="37">
        <v>0</v>
      </c>
      <c r="I731" s="5">
        <f t="shared" si="23"/>
        <v>850</v>
      </c>
      <c r="J731" s="4" t="s">
        <v>64</v>
      </c>
      <c r="K731" s="4" t="s">
        <v>65</v>
      </c>
      <c r="L731" s="142"/>
    </row>
    <row r="732" spans="1:12" s="68" customFormat="1" x14ac:dyDescent="0.2">
      <c r="A732" s="159" t="s">
        <v>695</v>
      </c>
      <c r="B732" s="4" t="s">
        <v>707</v>
      </c>
      <c r="C732" s="142" t="s">
        <v>74</v>
      </c>
      <c r="D732" s="4" t="s">
        <v>63</v>
      </c>
      <c r="E732" s="143">
        <v>15</v>
      </c>
      <c r="F732" s="144">
        <v>86</v>
      </c>
      <c r="G732" s="144">
        <f t="shared" si="22"/>
        <v>1290</v>
      </c>
      <c r="H732" s="37">
        <v>0</v>
      </c>
      <c r="I732" s="5">
        <f t="shared" si="23"/>
        <v>1290</v>
      </c>
      <c r="J732" s="4" t="s">
        <v>64</v>
      </c>
      <c r="K732" s="4" t="s">
        <v>65</v>
      </c>
      <c r="L732" s="145"/>
    </row>
    <row r="733" spans="1:12" s="68" customFormat="1" x14ac:dyDescent="0.2">
      <c r="A733" s="159" t="s">
        <v>695</v>
      </c>
      <c r="B733" s="4" t="s">
        <v>708</v>
      </c>
      <c r="C733" s="142" t="s">
        <v>119</v>
      </c>
      <c r="D733" s="4" t="s">
        <v>63</v>
      </c>
      <c r="E733" s="143">
        <v>35</v>
      </c>
      <c r="F733" s="144">
        <v>85</v>
      </c>
      <c r="G733" s="144">
        <f t="shared" si="22"/>
        <v>2975</v>
      </c>
      <c r="H733" s="37">
        <v>0</v>
      </c>
      <c r="I733" s="5">
        <f t="shared" si="23"/>
        <v>2975</v>
      </c>
      <c r="J733" s="4" t="s">
        <v>64</v>
      </c>
      <c r="K733" s="4" t="s">
        <v>65</v>
      </c>
      <c r="L733" s="145"/>
    </row>
    <row r="734" spans="1:12" x14ac:dyDescent="0.2">
      <c r="A734" s="159" t="s">
        <v>695</v>
      </c>
      <c r="B734" s="4" t="s">
        <v>709</v>
      </c>
      <c r="C734" s="142" t="s">
        <v>121</v>
      </c>
      <c r="D734" s="4" t="s">
        <v>63</v>
      </c>
      <c r="E734" s="143">
        <v>30</v>
      </c>
      <c r="F734" s="144">
        <v>85</v>
      </c>
      <c r="G734" s="144">
        <f t="shared" si="22"/>
        <v>2550</v>
      </c>
      <c r="H734" s="37">
        <v>0</v>
      </c>
      <c r="I734" s="5">
        <f t="shared" si="23"/>
        <v>2550</v>
      </c>
      <c r="J734" s="4" t="s">
        <v>64</v>
      </c>
      <c r="K734" s="4" t="s">
        <v>65</v>
      </c>
      <c r="L734" s="142"/>
    </row>
    <row r="735" spans="1:12" x14ac:dyDescent="0.2">
      <c r="A735" s="159" t="s">
        <v>695</v>
      </c>
      <c r="B735" s="4" t="s">
        <v>710</v>
      </c>
      <c r="C735" s="142" t="s">
        <v>92</v>
      </c>
      <c r="D735" s="4" t="s">
        <v>63</v>
      </c>
      <c r="E735" s="143">
        <v>50</v>
      </c>
      <c r="F735" s="144">
        <v>95</v>
      </c>
      <c r="G735" s="144">
        <f t="shared" si="22"/>
        <v>4750</v>
      </c>
      <c r="H735" s="37">
        <v>0</v>
      </c>
      <c r="I735" s="5">
        <f t="shared" si="23"/>
        <v>4750</v>
      </c>
      <c r="J735" s="4" t="s">
        <v>64</v>
      </c>
      <c r="K735" s="4" t="s">
        <v>65</v>
      </c>
      <c r="L735" s="142"/>
    </row>
    <row r="736" spans="1:12" x14ac:dyDescent="0.2">
      <c r="A736" s="159" t="s">
        <v>695</v>
      </c>
      <c r="B736" s="4" t="s">
        <v>710</v>
      </c>
      <c r="C736" s="142" t="s">
        <v>92</v>
      </c>
      <c r="D736" s="142" t="s">
        <v>63</v>
      </c>
      <c r="E736" s="143">
        <v>10</v>
      </c>
      <c r="F736" s="144">
        <v>85</v>
      </c>
      <c r="G736" s="144">
        <f t="shared" si="22"/>
        <v>850</v>
      </c>
      <c r="H736" s="37">
        <v>0</v>
      </c>
      <c r="I736" s="5">
        <f t="shared" si="23"/>
        <v>850</v>
      </c>
      <c r="J736" s="4" t="s">
        <v>64</v>
      </c>
      <c r="K736" s="4" t="s">
        <v>65</v>
      </c>
      <c r="L736" s="142"/>
    </row>
    <row r="737" spans="1:12" x14ac:dyDescent="0.2">
      <c r="A737" s="159" t="s">
        <v>695</v>
      </c>
      <c r="B737" s="4" t="s">
        <v>711</v>
      </c>
      <c r="C737" s="190" t="s">
        <v>94</v>
      </c>
      <c r="D737" s="190" t="s">
        <v>63</v>
      </c>
      <c r="E737" s="191">
        <v>58</v>
      </c>
      <c r="F737" s="192">
        <v>84</v>
      </c>
      <c r="G737" s="192">
        <f t="shared" si="22"/>
        <v>4872</v>
      </c>
      <c r="H737" s="37">
        <v>0</v>
      </c>
      <c r="I737" s="5">
        <f t="shared" si="23"/>
        <v>4872</v>
      </c>
      <c r="J737" s="4" t="s">
        <v>64</v>
      </c>
      <c r="K737" s="4" t="s">
        <v>65</v>
      </c>
      <c r="L737" s="190"/>
    </row>
    <row r="738" spans="1:12" x14ac:dyDescent="0.2">
      <c r="A738" s="159" t="s">
        <v>695</v>
      </c>
      <c r="B738" s="4" t="s">
        <v>712</v>
      </c>
      <c r="C738" s="190" t="s">
        <v>98</v>
      </c>
      <c r="D738" s="190" t="s">
        <v>63</v>
      </c>
      <c r="E738" s="191">
        <v>6</v>
      </c>
      <c r="F738" s="192">
        <v>85</v>
      </c>
      <c r="G738" s="192">
        <f t="shared" si="22"/>
        <v>510</v>
      </c>
      <c r="H738" s="37">
        <v>0</v>
      </c>
      <c r="I738" s="5">
        <f t="shared" si="23"/>
        <v>510</v>
      </c>
      <c r="J738" s="4" t="s">
        <v>64</v>
      </c>
      <c r="K738" s="4" t="s">
        <v>65</v>
      </c>
      <c r="L738" s="190"/>
    </row>
    <row r="739" spans="1:12" x14ac:dyDescent="0.2">
      <c r="A739" s="159" t="s">
        <v>695</v>
      </c>
      <c r="B739" s="4" t="s">
        <v>713</v>
      </c>
      <c r="C739" s="190" t="s">
        <v>487</v>
      </c>
      <c r="D739" s="190" t="s">
        <v>63</v>
      </c>
      <c r="E739" s="191">
        <v>3</v>
      </c>
      <c r="F739" s="192">
        <v>100</v>
      </c>
      <c r="G739" s="192">
        <f t="shared" si="22"/>
        <v>300</v>
      </c>
      <c r="H739" s="37">
        <v>0</v>
      </c>
      <c r="I739" s="5">
        <f t="shared" si="23"/>
        <v>300</v>
      </c>
      <c r="J739" s="4" t="s">
        <v>64</v>
      </c>
      <c r="K739" s="4" t="s">
        <v>65</v>
      </c>
      <c r="L739" s="190"/>
    </row>
    <row r="740" spans="1:12" x14ac:dyDescent="0.2">
      <c r="A740" s="159" t="s">
        <v>695</v>
      </c>
      <c r="B740" s="4" t="s">
        <v>714</v>
      </c>
      <c r="C740" s="190" t="s">
        <v>214</v>
      </c>
      <c r="D740" s="190" t="s">
        <v>63</v>
      </c>
      <c r="E740" s="191">
        <v>6</v>
      </c>
      <c r="F740" s="192">
        <v>100</v>
      </c>
      <c r="G740" s="192">
        <f t="shared" si="22"/>
        <v>600</v>
      </c>
      <c r="H740" s="37">
        <v>0</v>
      </c>
      <c r="I740" s="5">
        <f t="shared" si="23"/>
        <v>600</v>
      </c>
      <c r="J740" s="4" t="s">
        <v>64</v>
      </c>
      <c r="K740" s="4" t="s">
        <v>65</v>
      </c>
      <c r="L740" s="190"/>
    </row>
    <row r="741" spans="1:12" x14ac:dyDescent="0.2">
      <c r="A741" s="159" t="s">
        <v>695</v>
      </c>
      <c r="B741" s="4" t="s">
        <v>715</v>
      </c>
      <c r="C741" s="190" t="s">
        <v>100</v>
      </c>
      <c r="D741" s="190" t="s">
        <v>63</v>
      </c>
      <c r="E741" s="191">
        <f>40+2+0.5+17.5+1.5</f>
        <v>61.5</v>
      </c>
      <c r="F741" s="192">
        <v>93.5</v>
      </c>
      <c r="G741" s="192">
        <f t="shared" si="22"/>
        <v>5750.25</v>
      </c>
      <c r="H741" s="37">
        <v>0</v>
      </c>
      <c r="I741" s="5">
        <f t="shared" si="23"/>
        <v>5750.25</v>
      </c>
      <c r="J741" s="4" t="s">
        <v>64</v>
      </c>
      <c r="K741" s="4" t="s">
        <v>65</v>
      </c>
      <c r="L741" s="190"/>
    </row>
    <row r="742" spans="1:12" x14ac:dyDescent="0.2">
      <c r="A742" s="159" t="s">
        <v>695</v>
      </c>
      <c r="B742" s="4" t="s">
        <v>716</v>
      </c>
      <c r="C742" s="190" t="s">
        <v>100</v>
      </c>
      <c r="D742" s="190" t="s">
        <v>63</v>
      </c>
      <c r="E742" s="191">
        <v>12</v>
      </c>
      <c r="F742" s="192">
        <v>90</v>
      </c>
      <c r="G742" s="192">
        <f t="shared" si="22"/>
        <v>1080</v>
      </c>
      <c r="H742" s="37">
        <v>0</v>
      </c>
      <c r="I742" s="5">
        <f t="shared" si="23"/>
        <v>1080</v>
      </c>
      <c r="J742" s="4" t="s">
        <v>64</v>
      </c>
      <c r="K742" s="4" t="s">
        <v>65</v>
      </c>
      <c r="L742" s="190"/>
    </row>
    <row r="743" spans="1:12" x14ac:dyDescent="0.2">
      <c r="A743" s="159" t="s">
        <v>695</v>
      </c>
      <c r="B743" s="4" t="s">
        <v>716</v>
      </c>
      <c r="C743" s="190" t="s">
        <v>100</v>
      </c>
      <c r="D743" s="190" t="s">
        <v>268</v>
      </c>
      <c r="E743" s="191">
        <v>0.5</v>
      </c>
      <c r="F743" s="192">
        <v>1100</v>
      </c>
      <c r="G743" s="192">
        <f t="shared" si="22"/>
        <v>550</v>
      </c>
      <c r="H743" s="37">
        <v>0</v>
      </c>
      <c r="I743" s="5">
        <f t="shared" si="23"/>
        <v>550</v>
      </c>
      <c r="J743" s="4" t="s">
        <v>64</v>
      </c>
      <c r="K743" s="4" t="s">
        <v>65</v>
      </c>
      <c r="L743" s="190"/>
    </row>
    <row r="744" spans="1:12" x14ac:dyDescent="0.2">
      <c r="A744" s="189" t="s">
        <v>717</v>
      </c>
      <c r="B744" s="4" t="s">
        <v>718</v>
      </c>
      <c r="C744" s="190" t="s">
        <v>62</v>
      </c>
      <c r="D744" s="190" t="s">
        <v>63</v>
      </c>
      <c r="E744" s="191">
        <v>60</v>
      </c>
      <c r="F744" s="192">
        <v>85</v>
      </c>
      <c r="G744" s="192">
        <f t="shared" si="22"/>
        <v>5100</v>
      </c>
      <c r="H744" s="37">
        <v>0</v>
      </c>
      <c r="I744" s="5">
        <f t="shared" si="23"/>
        <v>5100</v>
      </c>
      <c r="J744" s="4" t="s">
        <v>64</v>
      </c>
      <c r="K744" s="4" t="s">
        <v>65</v>
      </c>
      <c r="L744" s="190"/>
    </row>
    <row r="745" spans="1:12" x14ac:dyDescent="0.2">
      <c r="A745" s="189" t="s">
        <v>717</v>
      </c>
      <c r="B745" s="4" t="s">
        <v>718</v>
      </c>
      <c r="C745" s="190" t="s">
        <v>62</v>
      </c>
      <c r="D745" s="190" t="s">
        <v>72</v>
      </c>
      <c r="E745" s="191">
        <v>1</v>
      </c>
      <c r="F745" s="192">
        <v>80</v>
      </c>
      <c r="G745" s="192">
        <f t="shared" si="22"/>
        <v>80</v>
      </c>
      <c r="H745" s="37">
        <v>0</v>
      </c>
      <c r="I745" s="5">
        <f t="shared" si="23"/>
        <v>80</v>
      </c>
      <c r="J745" s="4" t="s">
        <v>64</v>
      </c>
      <c r="K745" s="4" t="s">
        <v>65</v>
      </c>
      <c r="L745" s="190"/>
    </row>
    <row r="746" spans="1:12" x14ac:dyDescent="0.2">
      <c r="A746" s="189" t="s">
        <v>717</v>
      </c>
      <c r="B746" s="4" t="s">
        <v>719</v>
      </c>
      <c r="C746" s="190" t="s">
        <v>67</v>
      </c>
      <c r="D746" s="190" t="s">
        <v>63</v>
      </c>
      <c r="E746" s="191">
        <v>30</v>
      </c>
      <c r="F746" s="192">
        <v>85</v>
      </c>
      <c r="G746" s="192">
        <f t="shared" si="22"/>
        <v>2550</v>
      </c>
      <c r="H746" s="37">
        <v>0</v>
      </c>
      <c r="I746" s="5">
        <f t="shared" si="23"/>
        <v>2550</v>
      </c>
      <c r="J746" s="4" t="s">
        <v>64</v>
      </c>
      <c r="K746" s="4" t="s">
        <v>65</v>
      </c>
      <c r="L746" s="190"/>
    </row>
    <row r="747" spans="1:12" x14ac:dyDescent="0.2">
      <c r="A747" s="189" t="s">
        <v>717</v>
      </c>
      <c r="B747" s="4" t="s">
        <v>720</v>
      </c>
      <c r="C747" s="190" t="s">
        <v>71</v>
      </c>
      <c r="D747" s="190" t="s">
        <v>63</v>
      </c>
      <c r="E747" s="191">
        <v>80</v>
      </c>
      <c r="F747" s="192">
        <v>85</v>
      </c>
      <c r="G747" s="192">
        <f t="shared" si="22"/>
        <v>6800</v>
      </c>
      <c r="H747" s="37">
        <v>0</v>
      </c>
      <c r="I747" s="5">
        <f t="shared" si="23"/>
        <v>6800</v>
      </c>
      <c r="J747" s="4" t="s">
        <v>64</v>
      </c>
      <c r="K747" s="4" t="s">
        <v>65</v>
      </c>
      <c r="L747" s="190"/>
    </row>
    <row r="748" spans="1:12" x14ac:dyDescent="0.2">
      <c r="A748" s="189" t="s">
        <v>717</v>
      </c>
      <c r="B748" s="4" t="s">
        <v>721</v>
      </c>
      <c r="C748" s="190" t="s">
        <v>84</v>
      </c>
      <c r="D748" s="190" t="s">
        <v>63</v>
      </c>
      <c r="E748" s="191">
        <v>3.5</v>
      </c>
      <c r="F748" s="192">
        <v>86</v>
      </c>
      <c r="G748" s="192">
        <f t="shared" si="22"/>
        <v>301</v>
      </c>
      <c r="H748" s="37">
        <v>0</v>
      </c>
      <c r="I748" s="5">
        <f t="shared" si="23"/>
        <v>301</v>
      </c>
      <c r="J748" s="4" t="s">
        <v>64</v>
      </c>
      <c r="K748" s="4" t="s">
        <v>65</v>
      </c>
      <c r="L748" s="190"/>
    </row>
    <row r="749" spans="1:12" x14ac:dyDescent="0.2">
      <c r="A749" s="189" t="s">
        <v>717</v>
      </c>
      <c r="B749" s="4" t="s">
        <v>722</v>
      </c>
      <c r="C749" s="190" t="s">
        <v>82</v>
      </c>
      <c r="D749" s="190" t="s">
        <v>63</v>
      </c>
      <c r="E749" s="191">
        <v>8</v>
      </c>
      <c r="F749" s="192">
        <v>85</v>
      </c>
      <c r="G749" s="192">
        <f t="shared" si="22"/>
        <v>680</v>
      </c>
      <c r="H749" s="37">
        <v>0</v>
      </c>
      <c r="I749" s="5">
        <f t="shared" si="23"/>
        <v>680</v>
      </c>
      <c r="J749" s="4" t="s">
        <v>64</v>
      </c>
      <c r="K749" s="4" t="s">
        <v>65</v>
      </c>
      <c r="L749" s="190"/>
    </row>
    <row r="750" spans="1:12" x14ac:dyDescent="0.2">
      <c r="A750" s="189" t="s">
        <v>717</v>
      </c>
      <c r="B750" s="4" t="s">
        <v>723</v>
      </c>
      <c r="C750" s="190" t="s">
        <v>78</v>
      </c>
      <c r="D750" s="190" t="s">
        <v>63</v>
      </c>
      <c r="E750" s="191">
        <v>5</v>
      </c>
      <c r="F750" s="192">
        <v>85</v>
      </c>
      <c r="G750" s="192">
        <f t="shared" si="22"/>
        <v>425</v>
      </c>
      <c r="H750" s="37">
        <v>0</v>
      </c>
      <c r="I750" s="5">
        <f t="shared" si="23"/>
        <v>425</v>
      </c>
      <c r="J750" s="4" t="s">
        <v>64</v>
      </c>
      <c r="K750" s="4" t="s">
        <v>65</v>
      </c>
      <c r="L750" s="190"/>
    </row>
    <row r="751" spans="1:12" x14ac:dyDescent="0.2">
      <c r="A751" s="189" t="s">
        <v>717</v>
      </c>
      <c r="B751" s="4" t="s">
        <v>724</v>
      </c>
      <c r="C751" s="190" t="s">
        <v>88</v>
      </c>
      <c r="D751" s="190" t="s">
        <v>63</v>
      </c>
      <c r="E751" s="191">
        <v>5</v>
      </c>
      <c r="F751" s="192">
        <v>85</v>
      </c>
      <c r="G751" s="192">
        <f t="shared" si="22"/>
        <v>425</v>
      </c>
      <c r="H751" s="37">
        <v>0</v>
      </c>
      <c r="I751" s="5">
        <f t="shared" si="23"/>
        <v>425</v>
      </c>
      <c r="J751" s="4" t="s">
        <v>64</v>
      </c>
      <c r="K751" s="4" t="s">
        <v>65</v>
      </c>
      <c r="L751" s="190"/>
    </row>
    <row r="752" spans="1:12" x14ac:dyDescent="0.2">
      <c r="A752" s="189" t="s">
        <v>717</v>
      </c>
      <c r="B752" s="4" t="s">
        <v>725</v>
      </c>
      <c r="C752" s="190" t="s">
        <v>92</v>
      </c>
      <c r="D752" s="190" t="s">
        <v>63</v>
      </c>
      <c r="E752" s="191">
        <v>30</v>
      </c>
      <c r="F752" s="192">
        <v>95</v>
      </c>
      <c r="G752" s="192">
        <f t="shared" si="22"/>
        <v>2850</v>
      </c>
      <c r="H752" s="37">
        <v>0</v>
      </c>
      <c r="I752" s="5">
        <f t="shared" si="23"/>
        <v>2850</v>
      </c>
      <c r="J752" s="4" t="s">
        <v>64</v>
      </c>
      <c r="K752" s="4" t="s">
        <v>65</v>
      </c>
      <c r="L752" s="190"/>
    </row>
    <row r="753" spans="1:12" x14ac:dyDescent="0.2">
      <c r="A753" s="189" t="s">
        <v>717</v>
      </c>
      <c r="B753" s="4"/>
      <c r="C753" s="190" t="s">
        <v>100</v>
      </c>
      <c r="D753" s="190" t="s">
        <v>63</v>
      </c>
      <c r="E753" s="191">
        <v>7</v>
      </c>
      <c r="F753" s="192">
        <v>92.86</v>
      </c>
      <c r="G753" s="192">
        <f t="shared" si="22"/>
        <v>650.02</v>
      </c>
      <c r="H753" s="37">
        <v>0</v>
      </c>
      <c r="I753" s="5">
        <f t="shared" si="23"/>
        <v>650.02</v>
      </c>
      <c r="J753" s="4" t="s">
        <v>64</v>
      </c>
      <c r="K753" s="4" t="s">
        <v>65</v>
      </c>
      <c r="L753" s="190"/>
    </row>
    <row r="754" spans="1:12" x14ac:dyDescent="0.2">
      <c r="A754" s="189" t="s">
        <v>717</v>
      </c>
      <c r="B754" s="4"/>
      <c r="C754" s="190" t="s">
        <v>100</v>
      </c>
      <c r="D754" s="190" t="s">
        <v>726</v>
      </c>
      <c r="E754" s="191">
        <v>1</v>
      </c>
      <c r="F754" s="192">
        <v>1100</v>
      </c>
      <c r="G754" s="192">
        <f t="shared" si="22"/>
        <v>1100</v>
      </c>
      <c r="H754" s="37">
        <v>0</v>
      </c>
      <c r="I754" s="5">
        <f t="shared" si="23"/>
        <v>1100</v>
      </c>
      <c r="J754" s="4" t="s">
        <v>64</v>
      </c>
      <c r="K754" s="4" t="s">
        <v>65</v>
      </c>
      <c r="L754" s="190"/>
    </row>
    <row r="755" spans="1:12" x14ac:dyDescent="0.2">
      <c r="A755" s="189"/>
      <c r="B755" s="4" t="s">
        <v>727</v>
      </c>
      <c r="C755" s="190"/>
      <c r="D755" s="190"/>
      <c r="E755" s="191"/>
      <c r="F755" s="192"/>
      <c r="G755" s="192" t="str">
        <f t="shared" si="22"/>
        <v/>
      </c>
      <c r="H755" s="37">
        <v>0</v>
      </c>
      <c r="I755" s="5" t="str">
        <f t="shared" si="23"/>
        <v/>
      </c>
      <c r="J755" s="4" t="s">
        <v>64</v>
      </c>
      <c r="K755" s="4" t="s">
        <v>65</v>
      </c>
      <c r="L755" s="190"/>
    </row>
    <row r="756" spans="1:12" x14ac:dyDescent="0.2">
      <c r="A756" s="189"/>
      <c r="B756" s="4" t="s">
        <v>728</v>
      </c>
      <c r="C756" s="190"/>
      <c r="D756" s="190"/>
      <c r="E756" s="191"/>
      <c r="F756" s="192"/>
      <c r="G756" s="192" t="str">
        <f t="shared" si="22"/>
        <v/>
      </c>
      <c r="H756" s="37">
        <v>0</v>
      </c>
      <c r="I756" s="5" t="str">
        <f t="shared" si="23"/>
        <v/>
      </c>
      <c r="J756" s="4" t="s">
        <v>64</v>
      </c>
      <c r="K756" s="4" t="s">
        <v>65</v>
      </c>
      <c r="L756" s="190"/>
    </row>
    <row r="757" spans="1:12" x14ac:dyDescent="0.2">
      <c r="A757" s="189"/>
      <c r="B757" s="4" t="s">
        <v>729</v>
      </c>
      <c r="C757" s="190"/>
      <c r="D757" s="190"/>
      <c r="E757" s="191"/>
      <c r="F757" s="192"/>
      <c r="G757" s="192" t="str">
        <f t="shared" si="22"/>
        <v/>
      </c>
      <c r="H757" s="37">
        <v>0</v>
      </c>
      <c r="I757" s="5" t="str">
        <f t="shared" si="23"/>
        <v/>
      </c>
      <c r="J757" s="4" t="s">
        <v>64</v>
      </c>
      <c r="K757" s="4" t="s">
        <v>65</v>
      </c>
      <c r="L757" s="190"/>
    </row>
    <row r="758" spans="1:12" x14ac:dyDescent="0.2">
      <c r="A758" s="189"/>
      <c r="B758" s="4" t="s">
        <v>730</v>
      </c>
      <c r="C758" s="190"/>
      <c r="D758" s="190"/>
      <c r="E758" s="191"/>
      <c r="F758" s="192"/>
      <c r="G758" s="192" t="str">
        <f t="shared" si="22"/>
        <v/>
      </c>
      <c r="H758" s="37">
        <v>0</v>
      </c>
      <c r="I758" s="5" t="str">
        <f t="shared" si="23"/>
        <v/>
      </c>
      <c r="J758" s="4" t="s">
        <v>64</v>
      </c>
      <c r="K758" s="4" t="s">
        <v>65</v>
      </c>
      <c r="L758" s="190"/>
    </row>
    <row r="759" spans="1:12" x14ac:dyDescent="0.2">
      <c r="A759" s="189"/>
      <c r="B759" s="4" t="s">
        <v>731</v>
      </c>
      <c r="C759" s="190"/>
      <c r="D759" s="190"/>
      <c r="E759" s="191"/>
      <c r="F759" s="192"/>
      <c r="G759" s="192" t="str">
        <f t="shared" si="22"/>
        <v/>
      </c>
      <c r="H759" s="37">
        <v>0</v>
      </c>
      <c r="I759" s="5" t="str">
        <f t="shared" si="23"/>
        <v/>
      </c>
      <c r="J759" s="4" t="s">
        <v>64</v>
      </c>
      <c r="K759" s="4" t="s">
        <v>65</v>
      </c>
      <c r="L759" s="190"/>
    </row>
    <row r="760" spans="1:12" x14ac:dyDescent="0.2">
      <c r="A760" s="189"/>
      <c r="B760" s="4" t="s">
        <v>732</v>
      </c>
      <c r="C760" s="190"/>
      <c r="D760" s="190"/>
      <c r="E760" s="191"/>
      <c r="F760" s="192"/>
      <c r="G760" s="192" t="str">
        <f t="shared" si="22"/>
        <v/>
      </c>
      <c r="H760" s="37">
        <v>0</v>
      </c>
      <c r="I760" s="5" t="str">
        <f t="shared" si="23"/>
        <v/>
      </c>
      <c r="J760" s="4" t="s">
        <v>64</v>
      </c>
      <c r="K760" s="4" t="s">
        <v>65</v>
      </c>
      <c r="L760" s="190"/>
    </row>
    <row r="761" spans="1:12" x14ac:dyDescent="0.2">
      <c r="A761" s="189"/>
      <c r="B761" s="4" t="s">
        <v>733</v>
      </c>
      <c r="C761" s="190"/>
      <c r="D761" s="190"/>
      <c r="E761" s="191"/>
      <c r="F761" s="192"/>
      <c r="G761" s="192" t="str">
        <f t="shared" si="22"/>
        <v/>
      </c>
      <c r="H761" s="37">
        <v>0</v>
      </c>
      <c r="I761" s="5" t="str">
        <f t="shared" si="23"/>
        <v/>
      </c>
      <c r="J761" s="4" t="s">
        <v>64</v>
      </c>
      <c r="K761" s="4" t="s">
        <v>65</v>
      </c>
      <c r="L761" s="190"/>
    </row>
    <row r="762" spans="1:12" x14ac:dyDescent="0.2">
      <c r="A762" s="189"/>
      <c r="B762" s="4" t="s">
        <v>734</v>
      </c>
      <c r="C762" s="190"/>
      <c r="D762" s="190"/>
      <c r="E762" s="191"/>
      <c r="F762" s="192"/>
      <c r="G762" s="192" t="str">
        <f t="shared" si="22"/>
        <v/>
      </c>
      <c r="H762" s="37">
        <v>0</v>
      </c>
      <c r="I762" s="5" t="str">
        <f t="shared" si="23"/>
        <v/>
      </c>
      <c r="J762" s="4" t="s">
        <v>64</v>
      </c>
      <c r="K762" s="4" t="s">
        <v>65</v>
      </c>
      <c r="L762" s="190"/>
    </row>
    <row r="763" spans="1:12" x14ac:dyDescent="0.2">
      <c r="A763" s="189"/>
      <c r="B763" s="4" t="s">
        <v>735</v>
      </c>
      <c r="C763" s="190"/>
      <c r="D763" s="190"/>
      <c r="E763" s="191"/>
      <c r="F763" s="192"/>
      <c r="G763" s="192" t="str">
        <f t="shared" si="22"/>
        <v/>
      </c>
      <c r="H763" s="37">
        <v>0</v>
      </c>
      <c r="I763" s="5" t="str">
        <f t="shared" si="23"/>
        <v/>
      </c>
      <c r="J763" s="4" t="s">
        <v>64</v>
      </c>
      <c r="K763" s="4" t="s">
        <v>65</v>
      </c>
      <c r="L763" s="190"/>
    </row>
    <row r="764" spans="1:12" x14ac:dyDescent="0.2">
      <c r="A764" s="189"/>
      <c r="B764" s="4" t="s">
        <v>736</v>
      </c>
      <c r="C764" s="190"/>
      <c r="D764" s="190"/>
      <c r="E764" s="191"/>
      <c r="F764" s="192"/>
      <c r="G764" s="192" t="str">
        <f t="shared" si="22"/>
        <v/>
      </c>
      <c r="H764" s="37">
        <v>0</v>
      </c>
      <c r="I764" s="5" t="str">
        <f t="shared" si="23"/>
        <v/>
      </c>
      <c r="J764" s="4" t="s">
        <v>64</v>
      </c>
      <c r="K764" s="4" t="s">
        <v>65</v>
      </c>
      <c r="L764" s="190"/>
    </row>
    <row r="765" spans="1:12" x14ac:dyDescent="0.2">
      <c r="A765" s="189"/>
      <c r="B765" s="4" t="s">
        <v>737</v>
      </c>
      <c r="C765" s="190"/>
      <c r="D765" s="190"/>
      <c r="E765" s="191"/>
      <c r="F765" s="192"/>
      <c r="G765" s="192" t="str">
        <f t="shared" si="22"/>
        <v/>
      </c>
      <c r="H765" s="37">
        <v>0</v>
      </c>
      <c r="I765" s="5" t="str">
        <f t="shared" si="23"/>
        <v/>
      </c>
      <c r="J765" s="4" t="s">
        <v>64</v>
      </c>
      <c r="K765" s="4" t="s">
        <v>65</v>
      </c>
      <c r="L765" s="190"/>
    </row>
    <row r="766" spans="1:12" x14ac:dyDescent="0.2">
      <c r="A766" s="189"/>
      <c r="B766" s="4" t="s">
        <v>738</v>
      </c>
      <c r="C766" s="190"/>
      <c r="D766" s="190"/>
      <c r="E766" s="191"/>
      <c r="F766" s="192"/>
      <c r="G766" s="192" t="str">
        <f t="shared" si="22"/>
        <v/>
      </c>
      <c r="H766" s="37">
        <v>0</v>
      </c>
      <c r="I766" s="5" t="str">
        <f t="shared" si="23"/>
        <v/>
      </c>
      <c r="J766" s="4" t="s">
        <v>64</v>
      </c>
      <c r="K766" s="4" t="s">
        <v>65</v>
      </c>
      <c r="L766" s="190"/>
    </row>
    <row r="767" spans="1:12" x14ac:dyDescent="0.2">
      <c r="A767" s="189"/>
      <c r="B767" s="4" t="s">
        <v>739</v>
      </c>
      <c r="C767" s="190"/>
      <c r="D767" s="190"/>
      <c r="E767" s="191"/>
      <c r="F767" s="192"/>
      <c r="G767" s="192" t="str">
        <f t="shared" si="22"/>
        <v/>
      </c>
      <c r="H767" s="37">
        <v>0</v>
      </c>
      <c r="I767" s="5" t="str">
        <f t="shared" si="23"/>
        <v/>
      </c>
      <c r="J767" s="4" t="s">
        <v>64</v>
      </c>
      <c r="K767" s="4" t="s">
        <v>65</v>
      </c>
      <c r="L767" s="190"/>
    </row>
    <row r="768" spans="1:12" x14ac:dyDescent="0.2">
      <c r="A768" s="189"/>
      <c r="B768" s="190"/>
      <c r="C768" s="190"/>
      <c r="D768" s="190"/>
      <c r="E768" s="191"/>
      <c r="F768" s="192"/>
      <c r="G768" s="192" t="str">
        <f t="shared" si="22"/>
        <v/>
      </c>
      <c r="H768" s="37">
        <v>0</v>
      </c>
      <c r="I768" s="5" t="str">
        <f t="shared" si="23"/>
        <v/>
      </c>
      <c r="J768" s="4" t="s">
        <v>64</v>
      </c>
      <c r="K768" s="4" t="s">
        <v>65</v>
      </c>
      <c r="L768" s="190"/>
    </row>
    <row r="769" spans="1:12" x14ac:dyDescent="0.2">
      <c r="A769" s="189"/>
      <c r="B769" s="190"/>
      <c r="C769" s="190"/>
      <c r="D769" s="190"/>
      <c r="E769" s="191"/>
      <c r="F769" s="192"/>
      <c r="G769" s="192" t="str">
        <f t="shared" si="22"/>
        <v/>
      </c>
      <c r="H769" s="37">
        <v>0</v>
      </c>
      <c r="I769" s="5" t="str">
        <f t="shared" si="23"/>
        <v/>
      </c>
      <c r="J769" s="4" t="s">
        <v>64</v>
      </c>
      <c r="K769" s="4" t="s">
        <v>65</v>
      </c>
      <c r="L769" s="190"/>
    </row>
    <row r="770" spans="1:12" x14ac:dyDescent="0.2">
      <c r="A770" s="189"/>
      <c r="B770" s="190"/>
      <c r="C770" s="190"/>
      <c r="D770" s="190"/>
      <c r="E770" s="191"/>
      <c r="F770" s="192"/>
      <c r="G770" s="192" t="str">
        <f t="shared" si="22"/>
        <v/>
      </c>
      <c r="H770" s="37">
        <v>0</v>
      </c>
      <c r="I770" s="5" t="str">
        <f t="shared" si="23"/>
        <v/>
      </c>
      <c r="J770" s="4" t="s">
        <v>64</v>
      </c>
      <c r="K770" s="4" t="s">
        <v>65</v>
      </c>
      <c r="L770" s="190"/>
    </row>
    <row r="771" spans="1:12" x14ac:dyDescent="0.2">
      <c r="A771" s="189"/>
      <c r="B771" s="190"/>
      <c r="C771" s="190"/>
      <c r="D771" s="190"/>
      <c r="E771" s="191"/>
      <c r="F771" s="192"/>
      <c r="G771" s="192" t="str">
        <f t="shared" ref="G771:G787" si="24">IF($E771="","",$E771*$F771)</f>
        <v/>
      </c>
      <c r="H771" s="37">
        <v>0</v>
      </c>
      <c r="I771" s="5" t="str">
        <f t="shared" ref="I771:I833" si="25">IF($E771="","",$G771*(1-$H771/100))</f>
        <v/>
      </c>
      <c r="J771" s="4" t="s">
        <v>64</v>
      </c>
      <c r="K771" s="4" t="s">
        <v>65</v>
      </c>
      <c r="L771" s="190"/>
    </row>
    <row r="772" spans="1:12" x14ac:dyDescent="0.2">
      <c r="A772" s="189"/>
      <c r="B772" s="190"/>
      <c r="C772" s="190"/>
      <c r="D772" s="190"/>
      <c r="E772" s="191"/>
      <c r="F772" s="192"/>
      <c r="G772" s="192" t="str">
        <f t="shared" si="24"/>
        <v/>
      </c>
      <c r="H772" s="37">
        <v>0</v>
      </c>
      <c r="I772" s="5" t="str">
        <f t="shared" si="25"/>
        <v/>
      </c>
      <c r="J772" s="4" t="s">
        <v>64</v>
      </c>
      <c r="K772" s="4" t="s">
        <v>65</v>
      </c>
      <c r="L772" s="190"/>
    </row>
    <row r="773" spans="1:12" x14ac:dyDescent="0.2">
      <c r="A773" s="189"/>
      <c r="B773" s="190"/>
      <c r="C773" s="190"/>
      <c r="D773" s="190"/>
      <c r="E773" s="191"/>
      <c r="F773" s="192"/>
      <c r="G773" s="192" t="str">
        <f t="shared" si="24"/>
        <v/>
      </c>
      <c r="H773" s="37">
        <v>0</v>
      </c>
      <c r="I773" s="5" t="str">
        <f t="shared" si="25"/>
        <v/>
      </c>
      <c r="J773" s="4" t="s">
        <v>64</v>
      </c>
      <c r="K773" s="4" t="s">
        <v>65</v>
      </c>
      <c r="L773" s="190"/>
    </row>
    <row r="774" spans="1:12" x14ac:dyDescent="0.2">
      <c r="A774" s="189"/>
      <c r="B774" s="190"/>
      <c r="C774" s="190"/>
      <c r="D774" s="190"/>
      <c r="E774" s="191"/>
      <c r="F774" s="192"/>
      <c r="G774" s="192" t="str">
        <f t="shared" si="24"/>
        <v/>
      </c>
      <c r="H774" s="37">
        <v>0</v>
      </c>
      <c r="I774" s="5" t="str">
        <f t="shared" si="25"/>
        <v/>
      </c>
      <c r="J774" s="4" t="s">
        <v>64</v>
      </c>
      <c r="K774" s="4" t="s">
        <v>65</v>
      </c>
      <c r="L774" s="190"/>
    </row>
    <row r="775" spans="1:12" x14ac:dyDescent="0.2">
      <c r="A775" s="189"/>
      <c r="B775" s="190"/>
      <c r="C775" s="190"/>
      <c r="D775" s="190"/>
      <c r="E775" s="191"/>
      <c r="F775" s="192"/>
      <c r="G775" s="192" t="str">
        <f t="shared" si="24"/>
        <v/>
      </c>
      <c r="H775" s="37">
        <v>0</v>
      </c>
      <c r="I775" s="5" t="str">
        <f t="shared" si="25"/>
        <v/>
      </c>
      <c r="J775" s="4" t="s">
        <v>64</v>
      </c>
      <c r="K775" s="4" t="s">
        <v>65</v>
      </c>
      <c r="L775" s="190"/>
    </row>
    <row r="776" spans="1:12" x14ac:dyDescent="0.2">
      <c r="A776" s="189"/>
      <c r="B776" s="190"/>
      <c r="C776" s="190"/>
      <c r="D776" s="190"/>
      <c r="E776" s="191"/>
      <c r="F776" s="192"/>
      <c r="G776" s="192" t="str">
        <f t="shared" si="24"/>
        <v/>
      </c>
      <c r="H776" s="37">
        <v>0</v>
      </c>
      <c r="I776" s="5" t="str">
        <f t="shared" si="25"/>
        <v/>
      </c>
      <c r="J776" s="4" t="s">
        <v>64</v>
      </c>
      <c r="K776" s="4" t="s">
        <v>65</v>
      </c>
      <c r="L776" s="190"/>
    </row>
    <row r="777" spans="1:12" x14ac:dyDescent="0.2">
      <c r="A777" s="189"/>
      <c r="B777" s="190"/>
      <c r="C777" s="190"/>
      <c r="D777" s="190"/>
      <c r="E777" s="191"/>
      <c r="F777" s="192"/>
      <c r="G777" s="192" t="str">
        <f t="shared" si="24"/>
        <v/>
      </c>
      <c r="H777" s="37">
        <v>0</v>
      </c>
      <c r="I777" s="5" t="str">
        <f t="shared" si="25"/>
        <v/>
      </c>
      <c r="J777" s="4" t="s">
        <v>64</v>
      </c>
      <c r="K777" s="4" t="s">
        <v>65</v>
      </c>
      <c r="L777" s="190"/>
    </row>
    <row r="778" spans="1:12" x14ac:dyDescent="0.2">
      <c r="A778" s="189"/>
      <c r="B778" s="190"/>
      <c r="C778" s="190"/>
      <c r="D778" s="190"/>
      <c r="E778" s="191"/>
      <c r="F778" s="192"/>
      <c r="G778" s="192" t="str">
        <f t="shared" si="24"/>
        <v/>
      </c>
      <c r="H778" s="37">
        <v>0</v>
      </c>
      <c r="I778" s="5" t="str">
        <f t="shared" si="25"/>
        <v/>
      </c>
      <c r="J778" s="4" t="s">
        <v>64</v>
      </c>
      <c r="K778" s="4" t="s">
        <v>65</v>
      </c>
      <c r="L778" s="190"/>
    </row>
    <row r="779" spans="1:12" x14ac:dyDescent="0.2">
      <c r="A779" s="189"/>
      <c r="B779" s="190"/>
      <c r="C779" s="190"/>
      <c r="D779" s="190"/>
      <c r="E779" s="191"/>
      <c r="F779" s="192"/>
      <c r="G779" s="192" t="str">
        <f t="shared" si="24"/>
        <v/>
      </c>
      <c r="H779" s="37">
        <v>0</v>
      </c>
      <c r="I779" s="5" t="str">
        <f t="shared" si="25"/>
        <v/>
      </c>
      <c r="J779" s="4" t="s">
        <v>64</v>
      </c>
      <c r="K779" s="4" t="s">
        <v>65</v>
      </c>
      <c r="L779" s="190"/>
    </row>
    <row r="780" spans="1:12" x14ac:dyDescent="0.2">
      <c r="A780" s="189"/>
      <c r="B780" s="190"/>
      <c r="C780" s="190"/>
      <c r="D780" s="190"/>
      <c r="E780" s="191"/>
      <c r="F780" s="192"/>
      <c r="G780" s="192" t="str">
        <f t="shared" si="24"/>
        <v/>
      </c>
      <c r="H780" s="37">
        <v>0</v>
      </c>
      <c r="I780" s="5" t="str">
        <f t="shared" si="25"/>
        <v/>
      </c>
      <c r="J780" s="4" t="s">
        <v>64</v>
      </c>
      <c r="K780" s="4" t="s">
        <v>65</v>
      </c>
      <c r="L780" s="190"/>
    </row>
    <row r="781" spans="1:12" x14ac:dyDescent="0.2">
      <c r="A781" s="189"/>
      <c r="B781" s="190"/>
      <c r="C781" s="190"/>
      <c r="D781" s="190"/>
      <c r="E781" s="191"/>
      <c r="F781" s="192"/>
      <c r="G781" s="192" t="str">
        <f t="shared" si="24"/>
        <v/>
      </c>
      <c r="H781" s="37">
        <v>0</v>
      </c>
      <c r="I781" s="5" t="str">
        <f t="shared" si="25"/>
        <v/>
      </c>
      <c r="J781" s="4" t="s">
        <v>64</v>
      </c>
      <c r="K781" s="4" t="s">
        <v>65</v>
      </c>
      <c r="L781" s="190"/>
    </row>
    <row r="782" spans="1:12" x14ac:dyDescent="0.2">
      <c r="A782" s="189"/>
      <c r="B782" s="190"/>
      <c r="C782" s="190"/>
      <c r="D782" s="190"/>
      <c r="E782" s="191"/>
      <c r="F782" s="192"/>
      <c r="G782" s="192" t="str">
        <f t="shared" si="24"/>
        <v/>
      </c>
      <c r="H782" s="37">
        <v>0</v>
      </c>
      <c r="I782" s="5" t="str">
        <f t="shared" si="25"/>
        <v/>
      </c>
      <c r="J782" s="4" t="s">
        <v>64</v>
      </c>
      <c r="K782" s="4" t="s">
        <v>65</v>
      </c>
      <c r="L782" s="190"/>
    </row>
    <row r="783" spans="1:12" x14ac:dyDescent="0.2">
      <c r="A783" s="189"/>
      <c r="B783" s="190"/>
      <c r="C783" s="190"/>
      <c r="D783" s="190"/>
      <c r="E783" s="191"/>
      <c r="F783" s="192"/>
      <c r="G783" s="192" t="str">
        <f t="shared" si="24"/>
        <v/>
      </c>
      <c r="H783" s="37">
        <v>0</v>
      </c>
      <c r="I783" s="5" t="str">
        <f t="shared" si="25"/>
        <v/>
      </c>
      <c r="J783" s="4" t="s">
        <v>64</v>
      </c>
      <c r="K783" s="4" t="s">
        <v>65</v>
      </c>
      <c r="L783" s="190"/>
    </row>
    <row r="784" spans="1:12" x14ac:dyDescent="0.2">
      <c r="A784" s="189"/>
      <c r="B784" s="190"/>
      <c r="C784" s="190"/>
      <c r="D784" s="190"/>
      <c r="E784" s="191"/>
      <c r="F784" s="192"/>
      <c r="G784" s="192" t="str">
        <f t="shared" si="24"/>
        <v/>
      </c>
      <c r="H784" s="37">
        <v>0</v>
      </c>
      <c r="I784" s="5" t="str">
        <f t="shared" si="25"/>
        <v/>
      </c>
      <c r="J784" s="4" t="s">
        <v>64</v>
      </c>
      <c r="K784" s="4" t="s">
        <v>65</v>
      </c>
      <c r="L784" s="190"/>
    </row>
    <row r="785" spans="1:12" x14ac:dyDescent="0.2">
      <c r="A785" s="189"/>
      <c r="B785" s="190"/>
      <c r="C785" s="190"/>
      <c r="D785" s="190"/>
      <c r="E785" s="191"/>
      <c r="F785" s="192"/>
      <c r="G785" s="192" t="str">
        <f t="shared" si="24"/>
        <v/>
      </c>
      <c r="H785" s="37">
        <v>0</v>
      </c>
      <c r="I785" s="5" t="str">
        <f t="shared" si="25"/>
        <v/>
      </c>
      <c r="J785" s="4" t="s">
        <v>64</v>
      </c>
      <c r="K785" s="4" t="s">
        <v>65</v>
      </c>
      <c r="L785" s="190"/>
    </row>
    <row r="786" spans="1:12" x14ac:dyDescent="0.2">
      <c r="A786" s="189"/>
      <c r="B786" s="190"/>
      <c r="C786" s="190"/>
      <c r="D786" s="190"/>
      <c r="E786" s="191"/>
      <c r="F786" s="192"/>
      <c r="G786" s="192" t="str">
        <f t="shared" si="24"/>
        <v/>
      </c>
      <c r="H786" s="37">
        <v>0</v>
      </c>
      <c r="I786" s="5" t="str">
        <f t="shared" si="25"/>
        <v/>
      </c>
      <c r="J786" s="4" t="s">
        <v>64</v>
      </c>
      <c r="K786" s="4" t="s">
        <v>65</v>
      </c>
      <c r="L786" s="190"/>
    </row>
    <row r="787" spans="1:12" x14ac:dyDescent="0.2">
      <c r="A787" s="189"/>
      <c r="B787" s="190"/>
      <c r="C787" s="190"/>
      <c r="D787" s="190"/>
      <c r="E787" s="191"/>
      <c r="F787" s="192"/>
      <c r="G787" s="192" t="str">
        <f t="shared" si="24"/>
        <v/>
      </c>
      <c r="H787" s="37">
        <v>0</v>
      </c>
      <c r="I787" s="5" t="str">
        <f t="shared" si="25"/>
        <v/>
      </c>
      <c r="J787" s="4" t="s">
        <v>64</v>
      </c>
      <c r="K787" s="4" t="s">
        <v>65</v>
      </c>
      <c r="L787" s="190"/>
    </row>
    <row r="788" spans="1:12" x14ac:dyDescent="0.2">
      <c r="A788" s="189"/>
      <c r="B788" s="190"/>
      <c r="C788" s="190"/>
      <c r="D788" s="190"/>
      <c r="E788" s="191"/>
      <c r="F788" s="192"/>
      <c r="G788" s="192"/>
      <c r="H788" s="37">
        <v>0</v>
      </c>
      <c r="I788" s="5" t="str">
        <f t="shared" si="25"/>
        <v/>
      </c>
      <c r="J788" s="4" t="s">
        <v>64</v>
      </c>
      <c r="K788" s="4" t="s">
        <v>65</v>
      </c>
      <c r="L788" s="190"/>
    </row>
    <row r="789" spans="1:12" x14ac:dyDescent="0.2">
      <c r="A789" s="189"/>
      <c r="B789" s="190"/>
      <c r="C789" s="190"/>
      <c r="D789" s="190"/>
      <c r="E789" s="191"/>
      <c r="F789" s="192"/>
      <c r="G789" s="192"/>
      <c r="H789" s="37">
        <v>0</v>
      </c>
      <c r="I789" s="5" t="str">
        <f t="shared" si="25"/>
        <v/>
      </c>
      <c r="J789" s="4" t="s">
        <v>64</v>
      </c>
      <c r="K789" s="4" t="s">
        <v>65</v>
      </c>
      <c r="L789" s="190"/>
    </row>
    <row r="790" spans="1:12" x14ac:dyDescent="0.2">
      <c r="A790" s="189"/>
      <c r="B790" s="190"/>
      <c r="C790" s="190"/>
      <c r="D790" s="190"/>
      <c r="E790" s="191"/>
      <c r="F790" s="192"/>
      <c r="G790" s="192"/>
      <c r="H790" s="37">
        <v>0</v>
      </c>
      <c r="I790" s="5" t="str">
        <f t="shared" si="25"/>
        <v/>
      </c>
      <c r="J790" s="4" t="s">
        <v>64</v>
      </c>
      <c r="K790" s="4" t="s">
        <v>65</v>
      </c>
      <c r="L790" s="190"/>
    </row>
    <row r="791" spans="1:12" x14ac:dyDescent="0.2">
      <c r="A791" s="189"/>
      <c r="B791" s="190"/>
      <c r="C791" s="190"/>
      <c r="D791" s="190"/>
      <c r="E791" s="191"/>
      <c r="F791" s="192"/>
      <c r="G791" s="192"/>
      <c r="H791" s="37">
        <v>0</v>
      </c>
      <c r="I791" s="5" t="str">
        <f t="shared" si="25"/>
        <v/>
      </c>
      <c r="J791" s="4" t="s">
        <v>64</v>
      </c>
      <c r="K791" s="4" t="s">
        <v>65</v>
      </c>
      <c r="L791" s="190"/>
    </row>
    <row r="792" spans="1:12" x14ac:dyDescent="0.2">
      <c r="A792" s="189"/>
      <c r="B792" s="190"/>
      <c r="C792" s="190"/>
      <c r="D792" s="190"/>
      <c r="E792" s="191"/>
      <c r="F792" s="192"/>
      <c r="G792" s="192"/>
      <c r="H792" s="37">
        <v>0</v>
      </c>
      <c r="I792" s="5" t="str">
        <f t="shared" si="25"/>
        <v/>
      </c>
      <c r="J792" s="4" t="s">
        <v>64</v>
      </c>
      <c r="K792" s="4" t="s">
        <v>65</v>
      </c>
      <c r="L792" s="190"/>
    </row>
    <row r="793" spans="1:12" x14ac:dyDescent="0.2">
      <c r="A793" s="189"/>
      <c r="B793" s="190"/>
      <c r="C793" s="190"/>
      <c r="D793" s="190"/>
      <c r="E793" s="191"/>
      <c r="F793" s="192"/>
      <c r="G793" s="192"/>
      <c r="H793" s="37">
        <v>0</v>
      </c>
      <c r="I793" s="5" t="str">
        <f t="shared" si="25"/>
        <v/>
      </c>
      <c r="J793" s="4" t="s">
        <v>64</v>
      </c>
      <c r="K793" s="4" t="s">
        <v>65</v>
      </c>
      <c r="L793" s="190"/>
    </row>
    <row r="794" spans="1:12" x14ac:dyDescent="0.2">
      <c r="A794" s="189"/>
      <c r="B794" s="190"/>
      <c r="C794" s="190"/>
      <c r="D794" s="190"/>
      <c r="E794" s="191"/>
      <c r="F794" s="192"/>
      <c r="G794" s="192"/>
      <c r="H794" s="37">
        <v>0</v>
      </c>
      <c r="I794" s="5" t="str">
        <f t="shared" si="25"/>
        <v/>
      </c>
      <c r="J794" s="4" t="s">
        <v>64</v>
      </c>
      <c r="K794" s="4" t="s">
        <v>65</v>
      </c>
      <c r="L794" s="190"/>
    </row>
    <row r="795" spans="1:12" x14ac:dyDescent="0.2">
      <c r="A795" s="189"/>
      <c r="B795" s="190"/>
      <c r="C795" s="190"/>
      <c r="D795" s="190"/>
      <c r="E795" s="191"/>
      <c r="F795" s="192"/>
      <c r="G795" s="192"/>
      <c r="H795" s="37">
        <v>0</v>
      </c>
      <c r="I795" s="5" t="str">
        <f t="shared" si="25"/>
        <v/>
      </c>
      <c r="J795" s="4" t="s">
        <v>64</v>
      </c>
      <c r="K795" s="4" t="s">
        <v>65</v>
      </c>
      <c r="L795" s="190"/>
    </row>
    <row r="796" spans="1:12" x14ac:dyDescent="0.2">
      <c r="A796" s="189"/>
      <c r="B796" s="190"/>
      <c r="C796" s="190"/>
      <c r="D796" s="190"/>
      <c r="E796" s="191"/>
      <c r="F796" s="192"/>
      <c r="G796" s="192"/>
      <c r="H796" s="37">
        <v>0</v>
      </c>
      <c r="I796" s="5" t="str">
        <f t="shared" si="25"/>
        <v/>
      </c>
      <c r="J796" s="4" t="s">
        <v>64</v>
      </c>
      <c r="K796" s="4" t="s">
        <v>65</v>
      </c>
      <c r="L796" s="190"/>
    </row>
    <row r="797" spans="1:12" x14ac:dyDescent="0.2">
      <c r="A797" s="189"/>
      <c r="B797" s="190"/>
      <c r="C797" s="190"/>
      <c r="D797" s="190"/>
      <c r="E797" s="191"/>
      <c r="F797" s="192"/>
      <c r="G797" s="192"/>
      <c r="H797" s="37">
        <v>0</v>
      </c>
      <c r="I797" s="5" t="str">
        <f t="shared" si="25"/>
        <v/>
      </c>
      <c r="J797" s="4" t="s">
        <v>64</v>
      </c>
      <c r="K797" s="4" t="s">
        <v>65</v>
      </c>
      <c r="L797" s="190"/>
    </row>
    <row r="798" spans="1:12" x14ac:dyDescent="0.2">
      <c r="A798" s="189"/>
      <c r="B798" s="190"/>
      <c r="C798" s="190"/>
      <c r="D798" s="190"/>
      <c r="E798" s="191"/>
      <c r="F798" s="192"/>
      <c r="G798" s="192"/>
      <c r="H798" s="37">
        <v>0</v>
      </c>
      <c r="I798" s="5" t="str">
        <f t="shared" si="25"/>
        <v/>
      </c>
      <c r="J798" s="4" t="s">
        <v>64</v>
      </c>
      <c r="K798" s="4" t="s">
        <v>65</v>
      </c>
      <c r="L798" s="190"/>
    </row>
    <row r="799" spans="1:12" x14ac:dyDescent="0.2">
      <c r="A799" s="189"/>
      <c r="B799" s="190"/>
      <c r="C799" s="190"/>
      <c r="D799" s="190"/>
      <c r="E799" s="191"/>
      <c r="F799" s="192"/>
      <c r="G799" s="192"/>
      <c r="H799" s="37">
        <v>0</v>
      </c>
      <c r="I799" s="5" t="str">
        <f t="shared" si="25"/>
        <v/>
      </c>
      <c r="J799" s="4" t="s">
        <v>64</v>
      </c>
      <c r="K799" s="4" t="s">
        <v>65</v>
      </c>
      <c r="L799" s="190"/>
    </row>
    <row r="800" spans="1:12" x14ac:dyDescent="0.2">
      <c r="A800" s="189"/>
      <c r="B800" s="190"/>
      <c r="C800" s="190"/>
      <c r="D800" s="190"/>
      <c r="E800" s="191"/>
      <c r="F800" s="192"/>
      <c r="G800" s="192"/>
      <c r="H800" s="37">
        <v>0</v>
      </c>
      <c r="I800" s="5" t="str">
        <f t="shared" si="25"/>
        <v/>
      </c>
      <c r="J800" s="4" t="s">
        <v>64</v>
      </c>
      <c r="K800" s="4" t="s">
        <v>65</v>
      </c>
      <c r="L800" s="190"/>
    </row>
    <row r="801" spans="1:12" x14ac:dyDescent="0.2">
      <c r="A801" s="189"/>
      <c r="B801" s="190"/>
      <c r="C801" s="190"/>
      <c r="D801" s="190"/>
      <c r="E801" s="191"/>
      <c r="F801" s="192"/>
      <c r="G801" s="192"/>
      <c r="H801" s="37">
        <v>0</v>
      </c>
      <c r="I801" s="5" t="str">
        <f t="shared" si="25"/>
        <v/>
      </c>
      <c r="J801" s="4" t="s">
        <v>64</v>
      </c>
      <c r="K801" s="4" t="s">
        <v>65</v>
      </c>
      <c r="L801" s="190"/>
    </row>
    <row r="802" spans="1:12" x14ac:dyDescent="0.2">
      <c r="A802" s="189"/>
      <c r="B802" s="190"/>
      <c r="C802" s="190"/>
      <c r="D802" s="190"/>
      <c r="E802" s="191"/>
      <c r="F802" s="192"/>
      <c r="G802" s="192"/>
      <c r="H802" s="37">
        <v>0</v>
      </c>
      <c r="I802" s="5" t="str">
        <f t="shared" si="25"/>
        <v/>
      </c>
      <c r="J802" s="4" t="s">
        <v>64</v>
      </c>
      <c r="K802" s="4" t="s">
        <v>65</v>
      </c>
      <c r="L802" s="190"/>
    </row>
    <row r="803" spans="1:12" x14ac:dyDescent="0.2">
      <c r="A803" s="189"/>
      <c r="B803" s="190"/>
      <c r="C803" s="190"/>
      <c r="D803" s="190"/>
      <c r="E803" s="191"/>
      <c r="F803" s="192"/>
      <c r="G803" s="192"/>
      <c r="H803" s="37">
        <v>0</v>
      </c>
      <c r="I803" s="5" t="str">
        <f t="shared" si="25"/>
        <v/>
      </c>
      <c r="J803" s="4" t="s">
        <v>64</v>
      </c>
      <c r="K803" s="4" t="s">
        <v>65</v>
      </c>
      <c r="L803" s="190"/>
    </row>
    <row r="804" spans="1:12" x14ac:dyDescent="0.2">
      <c r="A804" s="189"/>
      <c r="B804" s="190"/>
      <c r="C804" s="190"/>
      <c r="D804" s="190"/>
      <c r="E804" s="191"/>
      <c r="F804" s="192"/>
      <c r="G804" s="192"/>
      <c r="H804" s="37">
        <v>0</v>
      </c>
      <c r="I804" s="5" t="str">
        <f t="shared" si="25"/>
        <v/>
      </c>
      <c r="J804" s="4" t="s">
        <v>64</v>
      </c>
      <c r="K804" s="4" t="s">
        <v>65</v>
      </c>
      <c r="L804" s="190"/>
    </row>
    <row r="805" spans="1:12" x14ac:dyDescent="0.2">
      <c r="A805" s="189"/>
      <c r="B805" s="190"/>
      <c r="C805" s="190"/>
      <c r="D805" s="190"/>
      <c r="E805" s="191"/>
      <c r="F805" s="192"/>
      <c r="G805" s="192"/>
      <c r="H805" s="37">
        <v>0</v>
      </c>
      <c r="I805" s="5" t="str">
        <f t="shared" si="25"/>
        <v/>
      </c>
      <c r="J805" s="4" t="s">
        <v>64</v>
      </c>
      <c r="K805" s="4" t="s">
        <v>65</v>
      </c>
      <c r="L805" s="190"/>
    </row>
    <row r="806" spans="1:12" x14ac:dyDescent="0.2">
      <c r="A806" s="189"/>
      <c r="B806" s="190"/>
      <c r="C806" s="190"/>
      <c r="D806" s="190"/>
      <c r="E806" s="191"/>
      <c r="F806" s="192"/>
      <c r="G806" s="192"/>
      <c r="H806" s="37">
        <v>0</v>
      </c>
      <c r="I806" s="5" t="str">
        <f t="shared" si="25"/>
        <v/>
      </c>
      <c r="J806" s="4" t="s">
        <v>64</v>
      </c>
      <c r="K806" s="4" t="s">
        <v>65</v>
      </c>
      <c r="L806" s="190"/>
    </row>
    <row r="807" spans="1:12" x14ac:dyDescent="0.2">
      <c r="A807" s="189"/>
      <c r="B807" s="190"/>
      <c r="C807" s="190"/>
      <c r="D807" s="190"/>
      <c r="E807" s="191"/>
      <c r="F807" s="192"/>
      <c r="G807" s="192"/>
      <c r="H807" s="37">
        <v>0</v>
      </c>
      <c r="I807" s="5" t="str">
        <f t="shared" si="25"/>
        <v/>
      </c>
      <c r="J807" s="4" t="s">
        <v>64</v>
      </c>
      <c r="K807" s="4" t="s">
        <v>65</v>
      </c>
      <c r="L807" s="190"/>
    </row>
    <row r="808" spans="1:12" x14ac:dyDescent="0.2">
      <c r="A808" s="189"/>
      <c r="B808" s="190"/>
      <c r="C808" s="190"/>
      <c r="D808" s="190"/>
      <c r="E808" s="191"/>
      <c r="F808" s="192"/>
      <c r="G808" s="192"/>
      <c r="H808" s="37">
        <v>0</v>
      </c>
      <c r="I808" s="5" t="str">
        <f t="shared" si="25"/>
        <v/>
      </c>
      <c r="J808" s="4" t="s">
        <v>64</v>
      </c>
      <c r="K808" s="4" t="s">
        <v>65</v>
      </c>
      <c r="L808" s="190"/>
    </row>
    <row r="809" spans="1:12" x14ac:dyDescent="0.2">
      <c r="A809" s="189"/>
      <c r="B809" s="190"/>
      <c r="C809" s="190"/>
      <c r="D809" s="190"/>
      <c r="E809" s="191"/>
      <c r="F809" s="192"/>
      <c r="G809" s="192"/>
      <c r="H809" s="37">
        <v>0</v>
      </c>
      <c r="I809" s="5" t="str">
        <f t="shared" si="25"/>
        <v/>
      </c>
      <c r="J809" s="4" t="s">
        <v>64</v>
      </c>
      <c r="K809" s="4" t="s">
        <v>65</v>
      </c>
      <c r="L809" s="190"/>
    </row>
    <row r="810" spans="1:12" x14ac:dyDescent="0.2">
      <c r="A810" s="189"/>
      <c r="B810" s="190"/>
      <c r="C810" s="190"/>
      <c r="D810" s="190"/>
      <c r="E810" s="191"/>
      <c r="F810" s="192"/>
      <c r="G810" s="192"/>
      <c r="H810" s="37">
        <v>0</v>
      </c>
      <c r="I810" s="5" t="str">
        <f t="shared" si="25"/>
        <v/>
      </c>
      <c r="J810" s="4" t="s">
        <v>64</v>
      </c>
      <c r="K810" s="4" t="s">
        <v>65</v>
      </c>
      <c r="L810" s="190"/>
    </row>
    <row r="811" spans="1:12" x14ac:dyDescent="0.2">
      <c r="A811" s="189"/>
      <c r="B811" s="190"/>
      <c r="C811" s="190"/>
      <c r="D811" s="190"/>
      <c r="E811" s="191"/>
      <c r="F811" s="192"/>
      <c r="G811" s="192"/>
      <c r="H811" s="37">
        <v>0</v>
      </c>
      <c r="I811" s="5" t="str">
        <f t="shared" si="25"/>
        <v/>
      </c>
      <c r="J811" s="4" t="s">
        <v>64</v>
      </c>
      <c r="K811" s="4" t="s">
        <v>65</v>
      </c>
      <c r="L811" s="190"/>
    </row>
    <row r="812" spans="1:12" x14ac:dyDescent="0.2">
      <c r="A812" s="189"/>
      <c r="B812" s="190"/>
      <c r="C812" s="190"/>
      <c r="D812" s="190"/>
      <c r="E812" s="191"/>
      <c r="F812" s="192"/>
      <c r="G812" s="192"/>
      <c r="H812" s="37">
        <v>0</v>
      </c>
      <c r="I812" s="5" t="str">
        <f t="shared" si="25"/>
        <v/>
      </c>
      <c r="J812" s="4" t="s">
        <v>64</v>
      </c>
      <c r="K812" s="4" t="s">
        <v>65</v>
      </c>
      <c r="L812" s="190"/>
    </row>
    <row r="813" spans="1:12" x14ac:dyDescent="0.2">
      <c r="A813" s="189"/>
      <c r="B813" s="190"/>
      <c r="C813" s="190"/>
      <c r="D813" s="190"/>
      <c r="E813" s="191"/>
      <c r="F813" s="192"/>
      <c r="G813" s="192"/>
      <c r="H813" s="37">
        <v>0</v>
      </c>
      <c r="I813" s="5" t="str">
        <f t="shared" si="25"/>
        <v/>
      </c>
      <c r="J813" s="4" t="s">
        <v>64</v>
      </c>
      <c r="K813" s="4" t="s">
        <v>65</v>
      </c>
      <c r="L813" s="190"/>
    </row>
    <row r="814" spans="1:12" x14ac:dyDescent="0.2">
      <c r="A814" s="189"/>
      <c r="B814" s="190"/>
      <c r="C814" s="190"/>
      <c r="D814" s="190"/>
      <c r="E814" s="191"/>
      <c r="F814" s="192"/>
      <c r="G814" s="192"/>
      <c r="H814" s="37">
        <v>0</v>
      </c>
      <c r="I814" s="5" t="str">
        <f t="shared" si="25"/>
        <v/>
      </c>
      <c r="J814" s="4" t="s">
        <v>64</v>
      </c>
      <c r="K814" s="4" t="s">
        <v>65</v>
      </c>
      <c r="L814" s="190"/>
    </row>
    <row r="815" spans="1:12" x14ac:dyDescent="0.2">
      <c r="A815" s="189"/>
      <c r="B815" s="190"/>
      <c r="C815" s="190"/>
      <c r="D815" s="190"/>
      <c r="E815" s="191"/>
      <c r="F815" s="192"/>
      <c r="G815" s="192"/>
      <c r="H815" s="37">
        <v>0</v>
      </c>
      <c r="I815" s="5" t="str">
        <f t="shared" si="25"/>
        <v/>
      </c>
      <c r="J815" s="4" t="s">
        <v>64</v>
      </c>
      <c r="K815" s="4" t="s">
        <v>65</v>
      </c>
      <c r="L815" s="190"/>
    </row>
    <row r="816" spans="1:12" x14ac:dyDescent="0.2">
      <c r="A816" s="189"/>
      <c r="B816" s="190"/>
      <c r="C816" s="190"/>
      <c r="D816" s="190"/>
      <c r="E816" s="191"/>
      <c r="F816" s="192"/>
      <c r="G816" s="192"/>
      <c r="H816" s="37">
        <v>0</v>
      </c>
      <c r="I816" s="5" t="str">
        <f t="shared" si="25"/>
        <v/>
      </c>
      <c r="J816" s="4" t="s">
        <v>64</v>
      </c>
      <c r="K816" s="4" t="s">
        <v>65</v>
      </c>
      <c r="L816" s="190"/>
    </row>
    <row r="817" spans="1:12" x14ac:dyDescent="0.2">
      <c r="A817" s="189"/>
      <c r="B817" s="190"/>
      <c r="C817" s="190"/>
      <c r="D817" s="190"/>
      <c r="E817" s="191"/>
      <c r="F817" s="192"/>
      <c r="G817" s="192"/>
      <c r="H817" s="37">
        <v>0</v>
      </c>
      <c r="I817" s="5" t="str">
        <f t="shared" si="25"/>
        <v/>
      </c>
      <c r="J817" s="4" t="s">
        <v>64</v>
      </c>
      <c r="K817" s="4" t="s">
        <v>65</v>
      </c>
      <c r="L817" s="190"/>
    </row>
    <row r="818" spans="1:12" x14ac:dyDescent="0.2">
      <c r="A818" s="189"/>
      <c r="B818" s="190"/>
      <c r="C818" s="190"/>
      <c r="D818" s="190"/>
      <c r="E818" s="191"/>
      <c r="F818" s="192"/>
      <c r="G818" s="192"/>
      <c r="H818" s="37">
        <v>0</v>
      </c>
      <c r="I818" s="5" t="str">
        <f t="shared" si="25"/>
        <v/>
      </c>
      <c r="J818" s="4" t="s">
        <v>64</v>
      </c>
      <c r="K818" s="4" t="s">
        <v>65</v>
      </c>
      <c r="L818" s="190"/>
    </row>
    <row r="819" spans="1:12" x14ac:dyDescent="0.2">
      <c r="A819" s="189"/>
      <c r="B819" s="190"/>
      <c r="C819" s="190"/>
      <c r="D819" s="190"/>
      <c r="E819" s="191"/>
      <c r="F819" s="192"/>
      <c r="G819" s="192"/>
      <c r="H819" s="37">
        <v>0</v>
      </c>
      <c r="I819" s="5" t="str">
        <f t="shared" si="25"/>
        <v/>
      </c>
      <c r="J819" s="4" t="s">
        <v>64</v>
      </c>
      <c r="K819" s="4" t="s">
        <v>65</v>
      </c>
      <c r="L819" s="190"/>
    </row>
    <row r="820" spans="1:12" x14ac:dyDescent="0.2">
      <c r="A820" s="189"/>
      <c r="B820" s="190"/>
      <c r="C820" s="190"/>
      <c r="D820" s="190"/>
      <c r="E820" s="191"/>
      <c r="F820" s="192"/>
      <c r="G820" s="192"/>
      <c r="H820" s="37">
        <v>0</v>
      </c>
      <c r="I820" s="5" t="str">
        <f t="shared" si="25"/>
        <v/>
      </c>
      <c r="J820" s="4" t="s">
        <v>64</v>
      </c>
      <c r="K820" s="4" t="s">
        <v>65</v>
      </c>
      <c r="L820" s="190"/>
    </row>
    <row r="821" spans="1:12" x14ac:dyDescent="0.2">
      <c r="A821" s="189"/>
      <c r="B821" s="190"/>
      <c r="C821" s="190"/>
      <c r="D821" s="190"/>
      <c r="E821" s="191"/>
      <c r="F821" s="192"/>
      <c r="G821" s="192"/>
      <c r="H821" s="37">
        <v>0</v>
      </c>
      <c r="I821" s="5" t="str">
        <f t="shared" si="25"/>
        <v/>
      </c>
      <c r="J821" s="4" t="s">
        <v>64</v>
      </c>
      <c r="K821" s="4" t="s">
        <v>65</v>
      </c>
      <c r="L821" s="190"/>
    </row>
    <row r="822" spans="1:12" x14ac:dyDescent="0.2">
      <c r="A822" s="189"/>
      <c r="B822" s="190"/>
      <c r="C822" s="190"/>
      <c r="D822" s="190"/>
      <c r="E822" s="191"/>
      <c r="F822" s="192"/>
      <c r="G822" s="192"/>
      <c r="H822" s="37">
        <v>0</v>
      </c>
      <c r="I822" s="5" t="str">
        <f t="shared" si="25"/>
        <v/>
      </c>
      <c r="J822" s="4" t="s">
        <v>64</v>
      </c>
      <c r="K822" s="4" t="s">
        <v>65</v>
      </c>
      <c r="L822" s="190"/>
    </row>
    <row r="823" spans="1:12" x14ac:dyDescent="0.2">
      <c r="A823" s="189"/>
      <c r="B823" s="190"/>
      <c r="C823" s="190"/>
      <c r="D823" s="190"/>
      <c r="E823" s="191"/>
      <c r="F823" s="192"/>
      <c r="G823" s="192"/>
      <c r="H823" s="37">
        <v>0</v>
      </c>
      <c r="I823" s="5" t="str">
        <f t="shared" si="25"/>
        <v/>
      </c>
      <c r="J823" s="4" t="s">
        <v>64</v>
      </c>
      <c r="K823" s="4" t="s">
        <v>65</v>
      </c>
      <c r="L823" s="190"/>
    </row>
    <row r="824" spans="1:12" x14ac:dyDescent="0.2">
      <c r="A824" s="189"/>
      <c r="B824" s="190"/>
      <c r="C824" s="190"/>
      <c r="D824" s="190"/>
      <c r="E824" s="191"/>
      <c r="F824" s="192"/>
      <c r="G824" s="192"/>
      <c r="H824" s="37">
        <v>0</v>
      </c>
      <c r="I824" s="5" t="str">
        <f t="shared" si="25"/>
        <v/>
      </c>
      <c r="J824" s="4" t="s">
        <v>64</v>
      </c>
      <c r="K824" s="4" t="s">
        <v>65</v>
      </c>
      <c r="L824" s="190"/>
    </row>
    <row r="825" spans="1:12" x14ac:dyDescent="0.2">
      <c r="A825" s="189"/>
      <c r="B825" s="190"/>
      <c r="C825" s="190"/>
      <c r="D825" s="190"/>
      <c r="E825" s="191"/>
      <c r="F825" s="192"/>
      <c r="G825" s="192"/>
      <c r="H825" s="37">
        <v>0</v>
      </c>
      <c r="I825" s="5" t="str">
        <f t="shared" si="25"/>
        <v/>
      </c>
      <c r="J825" s="4" t="s">
        <v>64</v>
      </c>
      <c r="K825" s="4" t="s">
        <v>65</v>
      </c>
      <c r="L825" s="190"/>
    </row>
    <row r="826" spans="1:12" x14ac:dyDescent="0.2">
      <c r="A826" s="189"/>
      <c r="B826" s="190"/>
      <c r="C826" s="190"/>
      <c r="D826" s="190"/>
      <c r="E826" s="191"/>
      <c r="F826" s="192"/>
      <c r="G826" s="192"/>
      <c r="H826" s="37">
        <v>0</v>
      </c>
      <c r="I826" s="5" t="str">
        <f t="shared" si="25"/>
        <v/>
      </c>
      <c r="J826" s="4" t="s">
        <v>64</v>
      </c>
      <c r="K826" s="4" t="s">
        <v>65</v>
      </c>
      <c r="L826" s="190"/>
    </row>
    <row r="827" spans="1:12" x14ac:dyDescent="0.2">
      <c r="A827" s="189"/>
      <c r="B827" s="190"/>
      <c r="C827" s="190"/>
      <c r="D827" s="190"/>
      <c r="E827" s="191"/>
      <c r="F827" s="192"/>
      <c r="G827" s="192"/>
      <c r="H827" s="37">
        <v>0</v>
      </c>
      <c r="I827" s="5" t="str">
        <f t="shared" si="25"/>
        <v/>
      </c>
      <c r="J827" s="4" t="s">
        <v>64</v>
      </c>
      <c r="K827" s="4" t="s">
        <v>65</v>
      </c>
      <c r="L827" s="190"/>
    </row>
    <row r="828" spans="1:12" x14ac:dyDescent="0.2">
      <c r="A828" s="189"/>
      <c r="B828" s="190"/>
      <c r="C828" s="190"/>
      <c r="D828" s="190"/>
      <c r="E828" s="191"/>
      <c r="F828" s="192"/>
      <c r="G828" s="192"/>
      <c r="H828" s="37">
        <v>0</v>
      </c>
      <c r="I828" s="5" t="str">
        <f t="shared" si="25"/>
        <v/>
      </c>
      <c r="J828" s="4" t="s">
        <v>64</v>
      </c>
      <c r="K828" s="4" t="s">
        <v>65</v>
      </c>
      <c r="L828" s="190"/>
    </row>
    <row r="829" spans="1:12" x14ac:dyDescent="0.2">
      <c r="A829" s="189"/>
      <c r="B829" s="190"/>
      <c r="C829" s="190"/>
      <c r="D829" s="190"/>
      <c r="E829" s="191"/>
      <c r="F829" s="192"/>
      <c r="G829" s="192"/>
      <c r="H829" s="37">
        <v>0</v>
      </c>
      <c r="I829" s="5" t="str">
        <f t="shared" si="25"/>
        <v/>
      </c>
      <c r="J829" s="4" t="s">
        <v>64</v>
      </c>
      <c r="K829" s="4" t="s">
        <v>65</v>
      </c>
      <c r="L829" s="190"/>
    </row>
    <row r="830" spans="1:12" x14ac:dyDescent="0.2">
      <c r="A830" s="189"/>
      <c r="B830" s="190"/>
      <c r="C830" s="190"/>
      <c r="D830" s="190"/>
      <c r="E830" s="191"/>
      <c r="F830" s="192"/>
      <c r="G830" s="192"/>
      <c r="H830" s="37">
        <v>0</v>
      </c>
      <c r="I830" s="5" t="str">
        <f t="shared" si="25"/>
        <v/>
      </c>
      <c r="J830" s="4" t="s">
        <v>64</v>
      </c>
      <c r="K830" s="4" t="s">
        <v>65</v>
      </c>
      <c r="L830" s="190"/>
    </row>
    <row r="831" spans="1:12" x14ac:dyDescent="0.2">
      <c r="A831" s="160"/>
      <c r="B831" s="142"/>
      <c r="C831" s="142"/>
      <c r="D831" s="142"/>
      <c r="E831" s="143"/>
      <c r="F831" s="144"/>
      <c r="G831" s="144" t="str">
        <f>IF($E831="","",$E831*$F831)</f>
        <v/>
      </c>
      <c r="H831" s="37">
        <v>0</v>
      </c>
      <c r="I831" s="5" t="str">
        <f t="shared" si="25"/>
        <v/>
      </c>
      <c r="J831" s="4" t="s">
        <v>64</v>
      </c>
      <c r="K831" s="4" t="s">
        <v>65</v>
      </c>
      <c r="L831" s="142"/>
    </row>
    <row r="832" spans="1:12" x14ac:dyDescent="0.2">
      <c r="A832" s="159"/>
      <c r="B832" s="4"/>
      <c r="C832" s="4"/>
      <c r="D832" s="4"/>
      <c r="E832" s="36"/>
      <c r="F832" s="5"/>
      <c r="G832" s="144" t="str">
        <f>IF($E832="","",$E832*$F832)</f>
        <v/>
      </c>
      <c r="H832" s="37">
        <v>0</v>
      </c>
      <c r="I832" s="5" t="str">
        <f t="shared" si="25"/>
        <v/>
      </c>
      <c r="J832" s="4" t="s">
        <v>64</v>
      </c>
      <c r="K832" s="4" t="s">
        <v>65</v>
      </c>
      <c r="L832" s="4"/>
    </row>
    <row r="833" spans="1:12" x14ac:dyDescent="0.2">
      <c r="A833" s="159"/>
      <c r="B833" s="4"/>
      <c r="C833" s="4"/>
      <c r="D833" s="4"/>
      <c r="E833" s="36"/>
      <c r="F833" s="5"/>
      <c r="G833" s="144" t="str">
        <f>IF($E833="","",$E833*$F833)</f>
        <v/>
      </c>
      <c r="H833" s="37">
        <v>0</v>
      </c>
      <c r="I833" s="5" t="str">
        <f t="shared" si="25"/>
        <v/>
      </c>
      <c r="J833" s="4" t="s">
        <v>64</v>
      </c>
      <c r="K833" s="4" t="s">
        <v>65</v>
      </c>
      <c r="L833" s="4"/>
    </row>
    <row r="834" spans="1:12" ht="24" customHeight="1" x14ac:dyDescent="0.2">
      <c r="A834" s="161"/>
      <c r="B834" s="38"/>
      <c r="C834" s="39" t="s">
        <v>50</v>
      </c>
      <c r="D834" s="38"/>
      <c r="E834" s="74">
        <f>SUBTOTAL(9,E3:E833)</f>
        <v>13680.15</v>
      </c>
      <c r="F834" s="38"/>
      <c r="G834" s="40">
        <f>SUBTOTAL(9,G3:G833)</f>
        <v>1300500.7575000001</v>
      </c>
      <c r="H834" s="40"/>
      <c r="I834" s="40">
        <f>SUBTOTAL(9,I3:I833)</f>
        <v>1300037.9075000002</v>
      </c>
      <c r="J834" s="40"/>
      <c r="K834" s="40"/>
      <c r="L834" s="40"/>
    </row>
  </sheetData>
  <autoFilter ref="A2:L833" xr:uid="{00000000-0009-0000-0000-000003000000}">
    <sortState xmlns:xlrd2="http://schemas.microsoft.com/office/spreadsheetml/2017/richdata2" ref="A3:L833">
      <sortCondition ref="A2:A833"/>
    </sortState>
  </autoFilter>
  <mergeCells count="1">
    <mergeCell ref="A1:L1"/>
  </mergeCells>
  <conditionalFormatting sqref="A3:L833">
    <cfRule type="expression" dxfId="22" priority="2">
      <formula>AND($A3&lt;&gt;"",MOD(ROW(),2)=0)</formula>
    </cfRule>
  </conditionalFormatting>
  <conditionalFormatting sqref="B1:B1048576">
    <cfRule type="duplicateValues" dxfId="21" priority="1"/>
  </conditionalFormatting>
  <conditionalFormatting sqref="K3:K833">
    <cfRule type="cellIs" dxfId="20" priority="4" operator="equal">
      <formula>"Paid"</formula>
    </cfRule>
    <cfRule type="cellIs" dxfId="19" priority="5" operator="equal">
      <formula>"Unpaid"</formula>
    </cfRule>
    <cfRule type="cellIs" dxfId="18" priority="6" operator="equal">
      <formula>"Partial"</formula>
    </cfRule>
  </conditionalFormatting>
  <printOptions horizontalCentered="1"/>
  <pageMargins left="0.75" right="0.75" top="1" bottom="1" header="0.5" footer="0.5"/>
  <pageSetup scale="80" fitToHeight="0" orientation="landscape"/>
  <headerFooter>
    <oddHeader>&amp;C&amp;"Calibri,Bold"&amp;12 Prarambha Dairy Suppliers</oddHeader>
    <oddFooter>&amp;LPrinted &amp;D&amp;RPage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BF8F00"/>
    <pageSetUpPr fitToPage="1"/>
  </sheetPr>
  <dimension ref="A1:R634"/>
  <sheetViews>
    <sheetView showGridLines="0" workbookViewId="0">
      <pane ySplit="2" topLeftCell="A9" activePane="bottomLeft" state="frozen"/>
      <selection pane="bottomLeft" activeCell="I44" sqref="I44"/>
    </sheetView>
  </sheetViews>
  <sheetFormatPr baseColWidth="10" defaultColWidth="8.83203125" defaultRowHeight="15" x14ac:dyDescent="0.2"/>
  <cols>
    <col min="1" max="1" width="11.5" bestFit="1" customWidth="1"/>
    <col min="3" max="3" width="22" customWidth="1"/>
    <col min="4" max="4" width="13.33203125" customWidth="1"/>
    <col min="9" max="9" width="10.33203125" bestFit="1" customWidth="1"/>
    <col min="10" max="10" width="10" bestFit="1" customWidth="1"/>
    <col min="12" max="12" width="14.1640625" bestFit="1" customWidth="1"/>
    <col min="13" max="13" width="12" bestFit="1" customWidth="1"/>
    <col min="14" max="14" width="14.1640625" bestFit="1" customWidth="1"/>
    <col min="17" max="17" width="18" customWidth="1"/>
    <col min="18" max="18" width="14.6640625" bestFit="1" customWidth="1"/>
  </cols>
  <sheetData>
    <row r="1" spans="1:18" ht="32" customHeight="1" x14ac:dyDescent="0.2">
      <c r="A1" s="201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</row>
    <row r="2" spans="1:18" ht="28" customHeight="1" x14ac:dyDescent="0.2">
      <c r="A2" s="3" t="s">
        <v>11</v>
      </c>
      <c r="B2" s="3" t="s">
        <v>740</v>
      </c>
      <c r="C2" s="3" t="s">
        <v>741</v>
      </c>
      <c r="D2" s="3" t="s">
        <v>55</v>
      </c>
      <c r="E2" s="3" t="s">
        <v>742</v>
      </c>
      <c r="F2" s="3" t="s">
        <v>743</v>
      </c>
      <c r="G2" s="3" t="s">
        <v>744</v>
      </c>
      <c r="H2" s="3" t="s">
        <v>745</v>
      </c>
      <c r="I2" s="3" t="s">
        <v>746</v>
      </c>
      <c r="J2" s="3" t="s">
        <v>747</v>
      </c>
      <c r="K2" s="3" t="s">
        <v>56</v>
      </c>
      <c r="L2" s="3" t="s">
        <v>17</v>
      </c>
      <c r="M2" s="3" t="s">
        <v>748</v>
      </c>
      <c r="N2" s="3" t="s">
        <v>14</v>
      </c>
      <c r="O2" s="3" t="s">
        <v>59</v>
      </c>
      <c r="P2" s="3" t="s">
        <v>15</v>
      </c>
      <c r="Q2" s="3" t="s">
        <v>60</v>
      </c>
    </row>
    <row r="3" spans="1:18" hidden="1" x14ac:dyDescent="0.2">
      <c r="A3" s="172">
        <v>66915</v>
      </c>
      <c r="B3" s="4" t="s">
        <v>749</v>
      </c>
      <c r="C3" s="4" t="s">
        <v>750</v>
      </c>
      <c r="D3" s="4" t="s">
        <v>63</v>
      </c>
      <c r="E3" s="41">
        <v>0</v>
      </c>
      <c r="F3" s="41">
        <v>0</v>
      </c>
      <c r="G3" s="5">
        <v>0</v>
      </c>
      <c r="H3" s="4" t="s">
        <v>751</v>
      </c>
      <c r="I3" s="5">
        <v>70</v>
      </c>
      <c r="J3" s="5">
        <f t="shared" ref="J3:J34" si="0">IF($D3="","",IF($H3="FIXED",$I3,($E3*FAT_MULT)+($F3*SNF_MULT)+$G3))</f>
        <v>70</v>
      </c>
      <c r="K3" s="36">
        <v>236</v>
      </c>
      <c r="L3" s="5">
        <f t="shared" ref="L3:L34" si="1">IF($K3="","",$K3*$J3)</f>
        <v>16520</v>
      </c>
      <c r="M3" s="5">
        <v>0</v>
      </c>
      <c r="N3" s="5">
        <f t="shared" ref="N3:N34" si="2">IF($K3="","",$L3+$M3)</f>
        <v>16520</v>
      </c>
      <c r="O3" s="69" t="s">
        <v>64</v>
      </c>
      <c r="P3" s="4" t="s">
        <v>65</v>
      </c>
      <c r="Q3" s="4"/>
      <c r="R3" s="7"/>
    </row>
    <row r="4" spans="1:18" hidden="1" x14ac:dyDescent="0.2">
      <c r="A4" s="172">
        <v>66915</v>
      </c>
      <c r="B4" s="4" t="s">
        <v>749</v>
      </c>
      <c r="C4" s="4" t="s">
        <v>750</v>
      </c>
      <c r="D4" s="4" t="s">
        <v>96</v>
      </c>
      <c r="E4" s="41">
        <v>0</v>
      </c>
      <c r="F4" s="41">
        <v>0</v>
      </c>
      <c r="G4" s="5">
        <v>0</v>
      </c>
      <c r="H4" s="4" t="s">
        <v>751</v>
      </c>
      <c r="I4" s="5">
        <v>700</v>
      </c>
      <c r="J4" s="5">
        <f t="shared" si="0"/>
        <v>700</v>
      </c>
      <c r="K4" s="36">
        <v>6.5</v>
      </c>
      <c r="L4" s="5">
        <f t="shared" si="1"/>
        <v>4550</v>
      </c>
      <c r="M4" s="5">
        <v>0</v>
      </c>
      <c r="N4" s="5">
        <f t="shared" si="2"/>
        <v>4550</v>
      </c>
      <c r="O4" s="69" t="s">
        <v>64</v>
      </c>
      <c r="P4" s="4" t="s">
        <v>65</v>
      </c>
      <c r="Q4" s="4"/>
    </row>
    <row r="5" spans="1:18" hidden="1" x14ac:dyDescent="0.2">
      <c r="A5" s="172">
        <v>66915</v>
      </c>
      <c r="B5" s="4" t="s">
        <v>749</v>
      </c>
      <c r="C5" s="4" t="s">
        <v>750</v>
      </c>
      <c r="D5" s="4" t="s">
        <v>95</v>
      </c>
      <c r="E5" s="41">
        <v>0</v>
      </c>
      <c r="F5" s="41">
        <v>0</v>
      </c>
      <c r="G5" s="5">
        <v>0</v>
      </c>
      <c r="H5" s="4" t="s">
        <v>751</v>
      </c>
      <c r="I5" s="5">
        <v>950</v>
      </c>
      <c r="J5" s="5">
        <f t="shared" si="0"/>
        <v>950</v>
      </c>
      <c r="K5" s="36">
        <v>18</v>
      </c>
      <c r="L5" s="5">
        <f t="shared" si="1"/>
        <v>17100</v>
      </c>
      <c r="M5" s="5">
        <v>0</v>
      </c>
      <c r="N5" s="5">
        <f t="shared" si="2"/>
        <v>17100</v>
      </c>
      <c r="O5" s="69" t="s">
        <v>64</v>
      </c>
      <c r="P5" s="4" t="s">
        <v>65</v>
      </c>
      <c r="Q5" s="4"/>
    </row>
    <row r="6" spans="1:18" hidden="1" x14ac:dyDescent="0.2">
      <c r="A6" s="172">
        <v>66915</v>
      </c>
      <c r="B6" s="4" t="s">
        <v>749</v>
      </c>
      <c r="C6" s="4" t="s">
        <v>750</v>
      </c>
      <c r="D6" s="4" t="s">
        <v>752</v>
      </c>
      <c r="E6" s="41">
        <v>0</v>
      </c>
      <c r="F6" s="41">
        <v>0</v>
      </c>
      <c r="G6" s="5">
        <v>0</v>
      </c>
      <c r="H6" s="4" t="s">
        <v>751</v>
      </c>
      <c r="I6" s="5">
        <v>720</v>
      </c>
      <c r="J6" s="5">
        <f t="shared" si="0"/>
        <v>720</v>
      </c>
      <c r="K6" s="36">
        <v>1</v>
      </c>
      <c r="L6" s="5">
        <f t="shared" si="1"/>
        <v>720</v>
      </c>
      <c r="M6" s="5">
        <v>0</v>
      </c>
      <c r="N6" s="5">
        <f t="shared" si="2"/>
        <v>720</v>
      </c>
      <c r="O6" s="69" t="s">
        <v>64</v>
      </c>
      <c r="P6" s="4" t="s">
        <v>65</v>
      </c>
      <c r="Q6" s="4"/>
    </row>
    <row r="7" spans="1:18" hidden="1" x14ac:dyDescent="0.2">
      <c r="A7" s="172">
        <v>66915</v>
      </c>
      <c r="B7" s="4" t="s">
        <v>749</v>
      </c>
      <c r="C7" s="4" t="s">
        <v>750</v>
      </c>
      <c r="D7" s="4" t="s">
        <v>753</v>
      </c>
      <c r="E7" s="41">
        <v>0</v>
      </c>
      <c r="F7" s="41">
        <v>0</v>
      </c>
      <c r="G7" s="5">
        <v>0</v>
      </c>
      <c r="H7" s="4" t="s">
        <v>751</v>
      </c>
      <c r="I7" s="5">
        <v>490</v>
      </c>
      <c r="J7" s="5">
        <f t="shared" si="0"/>
        <v>490</v>
      </c>
      <c r="K7" s="36">
        <v>135</v>
      </c>
      <c r="L7" s="5">
        <f t="shared" si="1"/>
        <v>66150</v>
      </c>
      <c r="M7" s="5">
        <v>0</v>
      </c>
      <c r="N7" s="5">
        <f t="shared" si="2"/>
        <v>66150</v>
      </c>
      <c r="O7" s="69" t="s">
        <v>64</v>
      </c>
      <c r="P7" s="4" t="s">
        <v>65</v>
      </c>
      <c r="Q7" s="4"/>
    </row>
    <row r="8" spans="1:18" hidden="1" x14ac:dyDescent="0.2">
      <c r="A8" s="172">
        <v>66915</v>
      </c>
      <c r="B8" s="4" t="s">
        <v>754</v>
      </c>
      <c r="C8" s="4" t="s">
        <v>750</v>
      </c>
      <c r="D8" s="4" t="s">
        <v>755</v>
      </c>
      <c r="E8" s="41">
        <v>0</v>
      </c>
      <c r="F8" s="41">
        <v>0</v>
      </c>
      <c r="G8" s="5">
        <v>0</v>
      </c>
      <c r="H8" s="4" t="s">
        <v>751</v>
      </c>
      <c r="I8" s="5">
        <v>47</v>
      </c>
      <c r="J8" s="5">
        <f t="shared" si="0"/>
        <v>47</v>
      </c>
      <c r="K8" s="36">
        <v>35</v>
      </c>
      <c r="L8" s="5">
        <f t="shared" si="1"/>
        <v>1645</v>
      </c>
      <c r="M8" s="5">
        <v>0</v>
      </c>
      <c r="N8" s="5">
        <f t="shared" si="2"/>
        <v>1645</v>
      </c>
      <c r="O8" s="69" t="s">
        <v>64</v>
      </c>
      <c r="P8" s="4" t="s">
        <v>65</v>
      </c>
      <c r="Q8" s="4"/>
    </row>
    <row r="9" spans="1:18" x14ac:dyDescent="0.2">
      <c r="A9" s="172">
        <v>66916</v>
      </c>
      <c r="B9" s="4" t="s">
        <v>756</v>
      </c>
      <c r="C9" s="4" t="s">
        <v>757</v>
      </c>
      <c r="D9" s="4" t="s">
        <v>72</v>
      </c>
      <c r="E9" s="41">
        <v>3.44</v>
      </c>
      <c r="F9" s="41">
        <v>7.6</v>
      </c>
      <c r="G9" s="5">
        <v>4.5</v>
      </c>
      <c r="H9" s="4" t="s">
        <v>758</v>
      </c>
      <c r="I9" s="5">
        <v>0</v>
      </c>
      <c r="J9" s="5">
        <f t="shared" si="0"/>
        <v>63.676000000000002</v>
      </c>
      <c r="K9" s="36">
        <v>80.5</v>
      </c>
      <c r="L9" s="5">
        <f t="shared" si="1"/>
        <v>5125.9180000000006</v>
      </c>
      <c r="M9" s="5">
        <v>0</v>
      </c>
      <c r="N9" s="5">
        <f t="shared" si="2"/>
        <v>5125.9180000000006</v>
      </c>
      <c r="O9" s="69" t="s">
        <v>64</v>
      </c>
      <c r="P9" s="4" t="s">
        <v>65</v>
      </c>
      <c r="Q9" s="4"/>
      <c r="R9" s="7"/>
    </row>
    <row r="10" spans="1:18" x14ac:dyDescent="0.2">
      <c r="A10" s="172">
        <v>66916</v>
      </c>
      <c r="B10" s="4" t="s">
        <v>759</v>
      </c>
      <c r="C10" s="4" t="s">
        <v>757</v>
      </c>
      <c r="D10" s="4" t="s">
        <v>760</v>
      </c>
      <c r="E10" s="41">
        <v>5.3</v>
      </c>
      <c r="F10" s="41">
        <v>7.5</v>
      </c>
      <c r="G10" s="5">
        <v>5</v>
      </c>
      <c r="H10" s="4" t="s">
        <v>758</v>
      </c>
      <c r="I10" s="5">
        <v>0</v>
      </c>
      <c r="J10" s="5">
        <f t="shared" si="0"/>
        <v>77.02000000000001</v>
      </c>
      <c r="K10" s="36">
        <v>39.200000000000003</v>
      </c>
      <c r="L10" s="5">
        <f t="shared" si="1"/>
        <v>3019.1840000000007</v>
      </c>
      <c r="M10" s="5">
        <v>0</v>
      </c>
      <c r="N10" s="5">
        <f t="shared" si="2"/>
        <v>3019.1840000000007</v>
      </c>
      <c r="O10" s="69" t="s">
        <v>64</v>
      </c>
      <c r="P10" s="4" t="s">
        <v>65</v>
      </c>
      <c r="Q10" s="4"/>
    </row>
    <row r="11" spans="1:18" hidden="1" x14ac:dyDescent="0.2">
      <c r="A11" s="172">
        <v>66916</v>
      </c>
      <c r="B11" s="4" t="s">
        <v>761</v>
      </c>
      <c r="C11" s="4" t="s">
        <v>628</v>
      </c>
      <c r="D11" s="4" t="s">
        <v>72</v>
      </c>
      <c r="E11" s="41">
        <v>3.6</v>
      </c>
      <c r="F11" s="41">
        <v>7.7</v>
      </c>
      <c r="G11" s="5">
        <v>4.5</v>
      </c>
      <c r="H11" s="4" t="s">
        <v>758</v>
      </c>
      <c r="I11" s="5">
        <v>0</v>
      </c>
      <c r="J11" s="5">
        <f t="shared" si="0"/>
        <v>65.275000000000006</v>
      </c>
      <c r="K11" s="36">
        <v>35.299999999999997</v>
      </c>
      <c r="L11" s="5">
        <f t="shared" si="1"/>
        <v>2304.2075</v>
      </c>
      <c r="M11" s="5">
        <v>0</v>
      </c>
      <c r="N11" s="5">
        <f t="shared" si="2"/>
        <v>2304.2075</v>
      </c>
      <c r="O11" s="69" t="s">
        <v>64</v>
      </c>
      <c r="P11" s="4" t="s">
        <v>65</v>
      </c>
      <c r="Q11" s="4"/>
    </row>
    <row r="12" spans="1:18" hidden="1" x14ac:dyDescent="0.2">
      <c r="A12" s="172">
        <v>66916</v>
      </c>
      <c r="B12" s="4" t="s">
        <v>762</v>
      </c>
      <c r="C12" s="4" t="s">
        <v>763</v>
      </c>
      <c r="D12" s="4" t="s">
        <v>72</v>
      </c>
      <c r="E12" s="41">
        <v>3.6</v>
      </c>
      <c r="F12" s="41">
        <v>7.8</v>
      </c>
      <c r="G12" s="5">
        <v>2</v>
      </c>
      <c r="H12" s="4" t="s">
        <v>758</v>
      </c>
      <c r="I12" s="5">
        <v>0</v>
      </c>
      <c r="J12" s="5">
        <f t="shared" si="0"/>
        <v>63.23</v>
      </c>
      <c r="K12" s="36">
        <v>9.6</v>
      </c>
      <c r="L12" s="5">
        <f t="shared" si="1"/>
        <v>607.00799999999992</v>
      </c>
      <c r="M12" s="5">
        <v>0</v>
      </c>
      <c r="N12" s="5">
        <f t="shared" si="2"/>
        <v>607.00799999999992</v>
      </c>
      <c r="O12" s="69" t="s">
        <v>64</v>
      </c>
      <c r="P12" s="4" t="s">
        <v>65</v>
      </c>
      <c r="Q12" s="4"/>
    </row>
    <row r="13" spans="1:18" hidden="1" x14ac:dyDescent="0.2">
      <c r="A13" s="172">
        <v>66916</v>
      </c>
      <c r="B13" s="4" t="s">
        <v>764</v>
      </c>
      <c r="C13" s="4" t="s">
        <v>765</v>
      </c>
      <c r="D13" s="4" t="s">
        <v>72</v>
      </c>
      <c r="E13" s="41">
        <v>4.66</v>
      </c>
      <c r="F13" s="41">
        <v>8.0399999999999991</v>
      </c>
      <c r="G13" s="5">
        <v>2</v>
      </c>
      <c r="H13" s="4" t="s">
        <v>758</v>
      </c>
      <c r="I13" s="5">
        <v>0</v>
      </c>
      <c r="J13" s="5">
        <f t="shared" si="0"/>
        <v>71.900999999999996</v>
      </c>
      <c r="K13" s="36">
        <v>6.7</v>
      </c>
      <c r="L13" s="5">
        <f t="shared" si="1"/>
        <v>481.73669999999998</v>
      </c>
      <c r="M13" s="5">
        <v>0</v>
      </c>
      <c r="N13" s="5">
        <f t="shared" si="2"/>
        <v>481.73669999999998</v>
      </c>
      <c r="O13" s="69" t="s">
        <v>64</v>
      </c>
      <c r="P13" s="4" t="s">
        <v>65</v>
      </c>
      <c r="Q13" s="4"/>
    </row>
    <row r="14" spans="1:18" hidden="1" x14ac:dyDescent="0.2">
      <c r="A14" s="172">
        <v>66916</v>
      </c>
      <c r="B14" s="4" t="s">
        <v>766</v>
      </c>
      <c r="C14" s="4" t="s">
        <v>767</v>
      </c>
      <c r="D14" s="4" t="s">
        <v>760</v>
      </c>
      <c r="E14" s="41">
        <v>5.9</v>
      </c>
      <c r="F14" s="41">
        <v>0</v>
      </c>
      <c r="G14" s="5">
        <v>15.5</v>
      </c>
      <c r="H14" s="4" t="s">
        <v>751</v>
      </c>
      <c r="I14" s="5">
        <f>G14*E14</f>
        <v>91.45</v>
      </c>
      <c r="J14" s="5">
        <f t="shared" si="0"/>
        <v>91.45</v>
      </c>
      <c r="K14" s="36">
        <v>240</v>
      </c>
      <c r="L14" s="5">
        <f t="shared" si="1"/>
        <v>21948</v>
      </c>
      <c r="M14" s="5">
        <v>0</v>
      </c>
      <c r="N14" s="5">
        <f t="shared" si="2"/>
        <v>21948</v>
      </c>
      <c r="O14" s="69" t="s">
        <v>64</v>
      </c>
      <c r="P14" s="4" t="s">
        <v>65</v>
      </c>
      <c r="Q14" s="4"/>
    </row>
    <row r="15" spans="1:18" hidden="1" x14ac:dyDescent="0.2">
      <c r="A15" s="172">
        <v>66916</v>
      </c>
      <c r="B15" s="4" t="s">
        <v>768</v>
      </c>
      <c r="C15" s="4" t="s">
        <v>769</v>
      </c>
      <c r="D15" s="4" t="s">
        <v>63</v>
      </c>
      <c r="E15" s="41">
        <v>0</v>
      </c>
      <c r="F15" s="41">
        <v>0</v>
      </c>
      <c r="G15" s="5">
        <v>0</v>
      </c>
      <c r="H15" s="4" t="s">
        <v>751</v>
      </c>
      <c r="I15" s="5">
        <v>84</v>
      </c>
      <c r="J15" s="5">
        <f t="shared" si="0"/>
        <v>84</v>
      </c>
      <c r="K15" s="36">
        <v>120</v>
      </c>
      <c r="L15" s="5">
        <f t="shared" si="1"/>
        <v>10080</v>
      </c>
      <c r="M15" s="5">
        <v>0</v>
      </c>
      <c r="N15" s="5">
        <f t="shared" si="2"/>
        <v>10080</v>
      </c>
      <c r="O15" s="69" t="s">
        <v>64</v>
      </c>
      <c r="P15" s="4" t="s">
        <v>65</v>
      </c>
      <c r="Q15" s="4"/>
    </row>
    <row r="16" spans="1:18" x14ac:dyDescent="0.2">
      <c r="A16" s="172">
        <v>66917</v>
      </c>
      <c r="B16" s="4" t="s">
        <v>770</v>
      </c>
      <c r="C16" s="4" t="s">
        <v>757</v>
      </c>
      <c r="D16" s="4" t="s">
        <v>72</v>
      </c>
      <c r="E16" s="41">
        <v>3.5</v>
      </c>
      <c r="F16" s="41">
        <v>7.6</v>
      </c>
      <c r="G16" s="5">
        <v>4.5</v>
      </c>
      <c r="H16" s="4" t="s">
        <v>758</v>
      </c>
      <c r="I16" s="5">
        <v>0</v>
      </c>
      <c r="J16" s="5">
        <f t="shared" si="0"/>
        <v>64.105000000000004</v>
      </c>
      <c r="K16" s="36">
        <v>89.6</v>
      </c>
      <c r="L16" s="5">
        <f t="shared" si="1"/>
        <v>5743.808</v>
      </c>
      <c r="M16" s="5">
        <v>0</v>
      </c>
      <c r="N16" s="5">
        <f t="shared" si="2"/>
        <v>5743.808</v>
      </c>
      <c r="O16" s="69" t="s">
        <v>64</v>
      </c>
      <c r="P16" s="4" t="s">
        <v>65</v>
      </c>
      <c r="Q16" s="4"/>
    </row>
    <row r="17" spans="1:17" x14ac:dyDescent="0.2">
      <c r="A17" s="172">
        <v>66917</v>
      </c>
      <c r="B17" s="4" t="s">
        <v>771</v>
      </c>
      <c r="C17" s="4" t="s">
        <v>757</v>
      </c>
      <c r="D17" s="4" t="s">
        <v>760</v>
      </c>
      <c r="E17" s="41">
        <v>5.36</v>
      </c>
      <c r="F17" s="41">
        <v>7.44</v>
      </c>
      <c r="G17" s="5">
        <v>5</v>
      </c>
      <c r="H17" s="4" t="s">
        <v>758</v>
      </c>
      <c r="I17" s="5">
        <v>0</v>
      </c>
      <c r="J17" s="5">
        <f t="shared" si="0"/>
        <v>77.176000000000016</v>
      </c>
      <c r="K17" s="36">
        <v>36.6</v>
      </c>
      <c r="L17" s="5">
        <f t="shared" si="1"/>
        <v>2824.6416000000008</v>
      </c>
      <c r="M17" s="5">
        <v>0</v>
      </c>
      <c r="N17" s="5">
        <f t="shared" si="2"/>
        <v>2824.6416000000008</v>
      </c>
      <c r="O17" s="69" t="s">
        <v>64</v>
      </c>
      <c r="P17" s="4" t="s">
        <v>65</v>
      </c>
      <c r="Q17" s="4"/>
    </row>
    <row r="18" spans="1:17" hidden="1" x14ac:dyDescent="0.2">
      <c r="A18" s="172">
        <v>66917</v>
      </c>
      <c r="B18" s="4" t="s">
        <v>772</v>
      </c>
      <c r="C18" s="4" t="s">
        <v>628</v>
      </c>
      <c r="D18" s="4" t="s">
        <v>72</v>
      </c>
      <c r="E18" s="41">
        <v>3.7</v>
      </c>
      <c r="F18" s="41">
        <v>7.7</v>
      </c>
      <c r="G18" s="5">
        <v>4.5</v>
      </c>
      <c r="H18" s="4" t="s">
        <v>758</v>
      </c>
      <c r="I18" s="5">
        <v>0</v>
      </c>
      <c r="J18" s="5">
        <f t="shared" si="0"/>
        <v>65.989999999999995</v>
      </c>
      <c r="K18" s="36">
        <v>39</v>
      </c>
      <c r="L18" s="5">
        <f t="shared" si="1"/>
        <v>2573.6099999999997</v>
      </c>
      <c r="M18" s="5">
        <v>0</v>
      </c>
      <c r="N18" s="5">
        <f t="shared" si="2"/>
        <v>2573.6099999999997</v>
      </c>
      <c r="O18" s="69" t="s">
        <v>64</v>
      </c>
      <c r="P18" s="4" t="s">
        <v>65</v>
      </c>
      <c r="Q18" s="4"/>
    </row>
    <row r="19" spans="1:17" hidden="1" x14ac:dyDescent="0.2">
      <c r="A19" s="172">
        <v>66917</v>
      </c>
      <c r="B19" s="4" t="s">
        <v>773</v>
      </c>
      <c r="C19" s="4" t="s">
        <v>763</v>
      </c>
      <c r="D19" s="4" t="s">
        <v>72</v>
      </c>
      <c r="E19" s="41">
        <v>3.66</v>
      </c>
      <c r="F19" s="41">
        <v>7.82</v>
      </c>
      <c r="G19" s="5">
        <v>2</v>
      </c>
      <c r="H19" s="4" t="s">
        <v>758</v>
      </c>
      <c r="I19" s="5">
        <v>0</v>
      </c>
      <c r="J19" s="5">
        <f t="shared" si="0"/>
        <v>63.750000000000007</v>
      </c>
      <c r="K19" s="36">
        <v>9</v>
      </c>
      <c r="L19" s="5">
        <f t="shared" si="1"/>
        <v>573.75000000000011</v>
      </c>
      <c r="M19" s="5">
        <v>0</v>
      </c>
      <c r="N19" s="5">
        <f t="shared" si="2"/>
        <v>573.75000000000011</v>
      </c>
      <c r="O19" s="69" t="s">
        <v>64</v>
      </c>
      <c r="P19" s="4" t="s">
        <v>65</v>
      </c>
      <c r="Q19" s="4"/>
    </row>
    <row r="20" spans="1:17" hidden="1" x14ac:dyDescent="0.2">
      <c r="A20" s="172">
        <v>66917</v>
      </c>
      <c r="B20" s="4" t="s">
        <v>774</v>
      </c>
      <c r="C20" s="4" t="s">
        <v>765</v>
      </c>
      <c r="D20" s="4" t="s">
        <v>72</v>
      </c>
      <c r="E20" s="41">
        <v>4.5</v>
      </c>
      <c r="F20" s="41">
        <v>8.1999999999999993</v>
      </c>
      <c r="G20" s="5">
        <v>2</v>
      </c>
      <c r="H20" s="4" t="s">
        <v>758</v>
      </c>
      <c r="I20" s="5">
        <v>0</v>
      </c>
      <c r="J20" s="5">
        <f t="shared" si="0"/>
        <v>71.484999999999999</v>
      </c>
      <c r="K20" s="36">
        <v>2.7</v>
      </c>
      <c r="L20" s="5">
        <f t="shared" si="1"/>
        <v>193.0095</v>
      </c>
      <c r="M20" s="5">
        <v>0</v>
      </c>
      <c r="N20" s="5">
        <f t="shared" si="2"/>
        <v>193.0095</v>
      </c>
      <c r="O20" s="69" t="s">
        <v>64</v>
      </c>
      <c r="P20" s="4" t="s">
        <v>65</v>
      </c>
      <c r="Q20" s="4"/>
    </row>
    <row r="21" spans="1:17" hidden="1" x14ac:dyDescent="0.2">
      <c r="A21" s="172">
        <v>66917</v>
      </c>
      <c r="B21" s="4" t="s">
        <v>775</v>
      </c>
      <c r="C21" s="4" t="s">
        <v>767</v>
      </c>
      <c r="D21" s="4" t="s">
        <v>760</v>
      </c>
      <c r="E21" s="41">
        <v>5.9</v>
      </c>
      <c r="F21" s="41">
        <v>8.85</v>
      </c>
      <c r="G21" s="5">
        <v>9</v>
      </c>
      <c r="H21" s="4" t="s">
        <v>758</v>
      </c>
      <c r="I21" s="5">
        <v>0</v>
      </c>
      <c r="J21" s="5">
        <f t="shared" si="0"/>
        <v>91.452500000000001</v>
      </c>
      <c r="K21" s="36">
        <v>0</v>
      </c>
      <c r="L21" s="5">
        <f t="shared" si="1"/>
        <v>0</v>
      </c>
      <c r="M21" s="5">
        <v>0</v>
      </c>
      <c r="N21" s="5">
        <f t="shared" si="2"/>
        <v>0</v>
      </c>
      <c r="O21" s="69" t="s">
        <v>64</v>
      </c>
      <c r="P21" s="4" t="s">
        <v>65</v>
      </c>
      <c r="Q21" s="4"/>
    </row>
    <row r="22" spans="1:17" hidden="1" x14ac:dyDescent="0.2">
      <c r="A22" s="172">
        <v>66917</v>
      </c>
      <c r="B22" s="4" t="s">
        <v>776</v>
      </c>
      <c r="C22" s="4" t="s">
        <v>769</v>
      </c>
      <c r="D22" s="4" t="s">
        <v>63</v>
      </c>
      <c r="E22" s="41">
        <v>0</v>
      </c>
      <c r="F22" s="41">
        <v>0</v>
      </c>
      <c r="G22" s="5">
        <v>0</v>
      </c>
      <c r="H22" s="4" t="s">
        <v>751</v>
      </c>
      <c r="I22" s="5">
        <v>84</v>
      </c>
      <c r="J22" s="5">
        <f t="shared" si="0"/>
        <v>84</v>
      </c>
      <c r="K22" s="36">
        <v>80</v>
      </c>
      <c r="L22" s="5">
        <f t="shared" si="1"/>
        <v>6720</v>
      </c>
      <c r="M22" s="5">
        <v>0</v>
      </c>
      <c r="N22" s="5">
        <f t="shared" si="2"/>
        <v>6720</v>
      </c>
      <c r="O22" s="69" t="s">
        <v>64</v>
      </c>
      <c r="P22" s="4" t="s">
        <v>65</v>
      </c>
      <c r="Q22" s="4"/>
    </row>
    <row r="23" spans="1:17" x14ac:dyDescent="0.2">
      <c r="A23" s="172">
        <v>66918</v>
      </c>
      <c r="B23" s="4" t="s">
        <v>777</v>
      </c>
      <c r="C23" s="4" t="s">
        <v>757</v>
      </c>
      <c r="D23" s="4" t="s">
        <v>72</v>
      </c>
      <c r="E23" s="41">
        <v>3.4</v>
      </c>
      <c r="F23" s="41">
        <v>7.6</v>
      </c>
      <c r="G23" s="5">
        <v>4.5</v>
      </c>
      <c r="H23" s="4" t="s">
        <v>758</v>
      </c>
      <c r="I23" s="5">
        <v>0</v>
      </c>
      <c r="J23" s="5">
        <f t="shared" si="0"/>
        <v>63.39</v>
      </c>
      <c r="K23" s="36">
        <v>88</v>
      </c>
      <c r="L23" s="5">
        <f t="shared" si="1"/>
        <v>5578.32</v>
      </c>
      <c r="M23" s="5">
        <v>0</v>
      </c>
      <c r="N23" s="5">
        <f t="shared" si="2"/>
        <v>5578.32</v>
      </c>
      <c r="O23" s="69" t="s">
        <v>64</v>
      </c>
      <c r="P23" s="4" t="s">
        <v>65</v>
      </c>
      <c r="Q23" s="4"/>
    </row>
    <row r="24" spans="1:17" x14ac:dyDescent="0.2">
      <c r="A24" s="172">
        <v>66918</v>
      </c>
      <c r="B24" s="4" t="s">
        <v>778</v>
      </c>
      <c r="C24" s="4" t="s">
        <v>757</v>
      </c>
      <c r="D24" s="4" t="s">
        <v>760</v>
      </c>
      <c r="E24" s="41">
        <v>5.34</v>
      </c>
      <c r="F24" s="41">
        <v>7.5</v>
      </c>
      <c r="G24" s="5">
        <v>5</v>
      </c>
      <c r="H24" s="4" t="s">
        <v>758</v>
      </c>
      <c r="I24" s="5">
        <v>0</v>
      </c>
      <c r="J24" s="5">
        <f t="shared" si="0"/>
        <v>77.305999999999997</v>
      </c>
      <c r="K24" s="36">
        <v>38.6</v>
      </c>
      <c r="L24" s="5">
        <f t="shared" si="1"/>
        <v>2984.0115999999998</v>
      </c>
      <c r="M24" s="5">
        <v>0</v>
      </c>
      <c r="N24" s="5">
        <f t="shared" si="2"/>
        <v>2984.0115999999998</v>
      </c>
      <c r="O24" s="69" t="s">
        <v>64</v>
      </c>
      <c r="P24" s="4" t="s">
        <v>65</v>
      </c>
      <c r="Q24" s="4"/>
    </row>
    <row r="25" spans="1:17" hidden="1" x14ac:dyDescent="0.2">
      <c r="A25" s="172">
        <v>66918</v>
      </c>
      <c r="B25" s="4" t="s">
        <v>779</v>
      </c>
      <c r="C25" s="4" t="s">
        <v>628</v>
      </c>
      <c r="D25" s="4" t="s">
        <v>72</v>
      </c>
      <c r="E25" s="41">
        <v>3.6</v>
      </c>
      <c r="F25" s="41">
        <v>7.7</v>
      </c>
      <c r="G25" s="5">
        <v>4.5</v>
      </c>
      <c r="H25" s="4" t="s">
        <v>758</v>
      </c>
      <c r="I25" s="5">
        <v>0</v>
      </c>
      <c r="J25" s="5">
        <f t="shared" si="0"/>
        <v>65.275000000000006</v>
      </c>
      <c r="K25" s="36">
        <v>37.299999999999997</v>
      </c>
      <c r="L25" s="5">
        <f t="shared" si="1"/>
        <v>2434.7575000000002</v>
      </c>
      <c r="M25" s="5">
        <v>0</v>
      </c>
      <c r="N25" s="5">
        <f t="shared" si="2"/>
        <v>2434.7575000000002</v>
      </c>
      <c r="O25" s="69" t="s">
        <v>64</v>
      </c>
      <c r="P25" s="4" t="s">
        <v>65</v>
      </c>
      <c r="Q25" s="4"/>
    </row>
    <row r="26" spans="1:17" hidden="1" x14ac:dyDescent="0.2">
      <c r="A26" s="172">
        <v>66918</v>
      </c>
      <c r="B26" s="4" t="s">
        <v>780</v>
      </c>
      <c r="C26" s="4" t="s">
        <v>763</v>
      </c>
      <c r="D26" s="4" t="s">
        <v>72</v>
      </c>
      <c r="E26" s="41">
        <v>3.7</v>
      </c>
      <c r="F26" s="41">
        <v>7.85</v>
      </c>
      <c r="G26" s="5">
        <v>2</v>
      </c>
      <c r="H26" s="4" t="s">
        <v>758</v>
      </c>
      <c r="I26" s="5">
        <v>0</v>
      </c>
      <c r="J26" s="5">
        <f t="shared" si="0"/>
        <v>64.172499999999999</v>
      </c>
      <c r="K26" s="36">
        <v>9.9</v>
      </c>
      <c r="L26" s="5">
        <f t="shared" si="1"/>
        <v>635.30775000000006</v>
      </c>
      <c r="M26" s="5">
        <v>0</v>
      </c>
      <c r="N26" s="5">
        <f t="shared" si="2"/>
        <v>635.30775000000006</v>
      </c>
      <c r="O26" s="69" t="s">
        <v>64</v>
      </c>
      <c r="P26" s="4" t="s">
        <v>65</v>
      </c>
      <c r="Q26" s="4"/>
    </row>
    <row r="27" spans="1:17" hidden="1" x14ac:dyDescent="0.2">
      <c r="A27" s="172">
        <v>66918</v>
      </c>
      <c r="B27" s="4" t="s">
        <v>781</v>
      </c>
      <c r="C27" s="4" t="s">
        <v>765</v>
      </c>
      <c r="D27" s="4" t="s">
        <v>72</v>
      </c>
      <c r="E27" s="41">
        <v>4.63</v>
      </c>
      <c r="F27" s="41">
        <v>8.07</v>
      </c>
      <c r="G27" s="5">
        <v>2</v>
      </c>
      <c r="H27" s="4" t="s">
        <v>758</v>
      </c>
      <c r="I27" s="5">
        <v>0</v>
      </c>
      <c r="J27" s="5">
        <f t="shared" si="0"/>
        <v>71.823000000000008</v>
      </c>
      <c r="K27" s="36">
        <v>6.2</v>
      </c>
      <c r="L27" s="5">
        <f t="shared" si="1"/>
        <v>445.30260000000004</v>
      </c>
      <c r="M27" s="5">
        <v>0</v>
      </c>
      <c r="N27" s="5">
        <f t="shared" si="2"/>
        <v>445.30260000000004</v>
      </c>
      <c r="O27" s="69" t="s">
        <v>64</v>
      </c>
      <c r="P27" s="4" t="s">
        <v>65</v>
      </c>
      <c r="Q27" s="4"/>
    </row>
    <row r="28" spans="1:17" hidden="1" x14ac:dyDescent="0.2">
      <c r="A28" s="172">
        <v>66918</v>
      </c>
      <c r="B28" s="4" t="s">
        <v>782</v>
      </c>
      <c r="C28" s="4" t="s">
        <v>767</v>
      </c>
      <c r="D28" s="4" t="s">
        <v>760</v>
      </c>
      <c r="E28" s="41">
        <v>6.3</v>
      </c>
      <c r="F28" s="41">
        <v>0</v>
      </c>
      <c r="G28" s="5">
        <v>15.5</v>
      </c>
      <c r="H28" s="4" t="s">
        <v>751</v>
      </c>
      <c r="I28" s="5">
        <f>G28*E28</f>
        <v>97.649999999999991</v>
      </c>
      <c r="J28" s="5">
        <f t="shared" si="0"/>
        <v>97.649999999999991</v>
      </c>
      <c r="K28" s="36">
        <v>240</v>
      </c>
      <c r="L28" s="5">
        <f t="shared" si="1"/>
        <v>23435.999999999996</v>
      </c>
      <c r="M28" s="5">
        <v>0</v>
      </c>
      <c r="N28" s="5">
        <f t="shared" si="2"/>
        <v>23435.999999999996</v>
      </c>
      <c r="O28" s="69" t="s">
        <v>64</v>
      </c>
      <c r="P28" s="4" t="s">
        <v>65</v>
      </c>
      <c r="Q28" s="4"/>
    </row>
    <row r="29" spans="1:17" hidden="1" x14ac:dyDescent="0.2">
      <c r="A29" s="172">
        <v>66918</v>
      </c>
      <c r="B29" s="4" t="s">
        <v>783</v>
      </c>
      <c r="C29" s="4" t="s">
        <v>769</v>
      </c>
      <c r="D29" s="4" t="s">
        <v>63</v>
      </c>
      <c r="E29" s="41">
        <v>0</v>
      </c>
      <c r="F29" s="41">
        <v>0</v>
      </c>
      <c r="G29" s="5">
        <v>0</v>
      </c>
      <c r="H29" s="4" t="s">
        <v>751</v>
      </c>
      <c r="I29" s="5">
        <v>84</v>
      </c>
      <c r="J29" s="5">
        <f t="shared" si="0"/>
        <v>84</v>
      </c>
      <c r="K29" s="36">
        <v>200</v>
      </c>
      <c r="L29" s="5">
        <f t="shared" si="1"/>
        <v>16800</v>
      </c>
      <c r="M29" s="5">
        <v>0</v>
      </c>
      <c r="N29" s="5">
        <f t="shared" si="2"/>
        <v>16800</v>
      </c>
      <c r="O29" s="69" t="s">
        <v>64</v>
      </c>
      <c r="P29" s="4" t="s">
        <v>65</v>
      </c>
      <c r="Q29" s="4"/>
    </row>
    <row r="30" spans="1:17" x14ac:dyDescent="0.2">
      <c r="A30" s="172">
        <v>66919</v>
      </c>
      <c r="B30" s="4" t="s">
        <v>784</v>
      </c>
      <c r="C30" s="4" t="s">
        <v>757</v>
      </c>
      <c r="D30" s="4" t="s">
        <v>72</v>
      </c>
      <c r="E30" s="41">
        <v>3.46</v>
      </c>
      <c r="F30" s="41">
        <v>7.64</v>
      </c>
      <c r="G30" s="5">
        <v>4.5</v>
      </c>
      <c r="H30" s="4" t="s">
        <v>758</v>
      </c>
      <c r="I30" s="5">
        <v>0</v>
      </c>
      <c r="J30" s="5">
        <f t="shared" si="0"/>
        <v>64.001000000000005</v>
      </c>
      <c r="K30" s="36">
        <v>87.2</v>
      </c>
      <c r="L30" s="5">
        <f t="shared" si="1"/>
        <v>5580.887200000001</v>
      </c>
      <c r="M30" s="5">
        <v>0</v>
      </c>
      <c r="N30" s="5">
        <f t="shared" si="2"/>
        <v>5580.887200000001</v>
      </c>
      <c r="O30" s="69" t="s">
        <v>64</v>
      </c>
      <c r="P30" s="4" t="s">
        <v>65</v>
      </c>
      <c r="Q30" s="4"/>
    </row>
    <row r="31" spans="1:17" x14ac:dyDescent="0.2">
      <c r="A31" s="172">
        <v>66919</v>
      </c>
      <c r="B31" s="4" t="s">
        <v>785</v>
      </c>
      <c r="C31" s="4" t="s">
        <v>757</v>
      </c>
      <c r="D31" s="4" t="s">
        <v>760</v>
      </c>
      <c r="E31" s="41">
        <v>5.34</v>
      </c>
      <c r="F31" s="41">
        <v>7.5</v>
      </c>
      <c r="G31" s="5">
        <v>5</v>
      </c>
      <c r="H31" s="4" t="s">
        <v>758</v>
      </c>
      <c r="I31" s="5">
        <v>0</v>
      </c>
      <c r="J31" s="5">
        <f t="shared" si="0"/>
        <v>77.305999999999997</v>
      </c>
      <c r="K31" s="36">
        <v>38.700000000000003</v>
      </c>
      <c r="L31" s="5">
        <f t="shared" si="1"/>
        <v>2991.7422000000001</v>
      </c>
      <c r="M31" s="5">
        <v>0</v>
      </c>
      <c r="N31" s="5">
        <f t="shared" si="2"/>
        <v>2991.7422000000001</v>
      </c>
      <c r="O31" s="69" t="s">
        <v>64</v>
      </c>
      <c r="P31" s="4" t="s">
        <v>65</v>
      </c>
      <c r="Q31" s="4"/>
    </row>
    <row r="32" spans="1:17" hidden="1" x14ac:dyDescent="0.2">
      <c r="A32" s="172">
        <v>66919</v>
      </c>
      <c r="B32" s="4" t="s">
        <v>786</v>
      </c>
      <c r="C32" s="4" t="s">
        <v>628</v>
      </c>
      <c r="D32" s="4" t="s">
        <v>72</v>
      </c>
      <c r="E32" s="41">
        <v>3.7</v>
      </c>
      <c r="F32" s="41">
        <v>7.7</v>
      </c>
      <c r="G32" s="5">
        <v>4.5</v>
      </c>
      <c r="H32" s="4" t="s">
        <v>758</v>
      </c>
      <c r="I32" s="5">
        <v>0</v>
      </c>
      <c r="J32" s="5">
        <f t="shared" si="0"/>
        <v>65.989999999999995</v>
      </c>
      <c r="K32" s="36">
        <v>28.5</v>
      </c>
      <c r="L32" s="5">
        <f t="shared" si="1"/>
        <v>1880.7149999999999</v>
      </c>
      <c r="M32" s="5">
        <v>0</v>
      </c>
      <c r="N32" s="5">
        <f t="shared" si="2"/>
        <v>1880.7149999999999</v>
      </c>
      <c r="O32" s="69" t="s">
        <v>64</v>
      </c>
      <c r="P32" s="4" t="s">
        <v>65</v>
      </c>
      <c r="Q32" s="4"/>
    </row>
    <row r="33" spans="1:17" hidden="1" x14ac:dyDescent="0.2">
      <c r="A33" s="172">
        <v>66919</v>
      </c>
      <c r="B33" s="4" t="s">
        <v>787</v>
      </c>
      <c r="C33" s="4" t="s">
        <v>763</v>
      </c>
      <c r="D33" s="4" t="s">
        <v>72</v>
      </c>
      <c r="E33" s="41">
        <v>3.65</v>
      </c>
      <c r="F33" s="41">
        <v>7.75</v>
      </c>
      <c r="G33" s="5">
        <v>2</v>
      </c>
      <c r="H33" s="4" t="s">
        <v>758</v>
      </c>
      <c r="I33" s="5">
        <v>0</v>
      </c>
      <c r="J33" s="5">
        <f t="shared" si="0"/>
        <v>63.36</v>
      </c>
      <c r="K33" s="36">
        <v>10.199999999999999</v>
      </c>
      <c r="L33" s="5">
        <f t="shared" si="1"/>
        <v>646.27199999999993</v>
      </c>
      <c r="M33" s="5">
        <v>0</v>
      </c>
      <c r="N33" s="5">
        <f t="shared" si="2"/>
        <v>646.27199999999993</v>
      </c>
      <c r="O33" s="69" t="s">
        <v>64</v>
      </c>
      <c r="P33" s="4" t="s">
        <v>65</v>
      </c>
      <c r="Q33" s="4"/>
    </row>
    <row r="34" spans="1:17" hidden="1" x14ac:dyDescent="0.2">
      <c r="A34" s="172">
        <v>66919</v>
      </c>
      <c r="B34" s="4" t="s">
        <v>788</v>
      </c>
      <c r="C34" s="4" t="s">
        <v>765</v>
      </c>
      <c r="D34" s="4" t="s">
        <v>72</v>
      </c>
      <c r="E34" s="41">
        <v>4.74</v>
      </c>
      <c r="F34" s="41">
        <v>8</v>
      </c>
      <c r="G34" s="5">
        <v>2</v>
      </c>
      <c r="H34" s="4" t="s">
        <v>758</v>
      </c>
      <c r="I34" s="5">
        <v>0</v>
      </c>
      <c r="J34" s="5">
        <f t="shared" si="0"/>
        <v>72.290999999999997</v>
      </c>
      <c r="K34" s="36">
        <v>6.1</v>
      </c>
      <c r="L34" s="5">
        <f t="shared" si="1"/>
        <v>440.97509999999994</v>
      </c>
      <c r="M34" s="5">
        <v>0</v>
      </c>
      <c r="N34" s="5">
        <f t="shared" si="2"/>
        <v>440.97509999999994</v>
      </c>
      <c r="O34" s="69" t="s">
        <v>64</v>
      </c>
      <c r="P34" s="4" t="s">
        <v>65</v>
      </c>
      <c r="Q34" s="4"/>
    </row>
    <row r="35" spans="1:17" hidden="1" x14ac:dyDescent="0.2">
      <c r="A35" s="172">
        <v>66919</v>
      </c>
      <c r="B35" s="4" t="s">
        <v>789</v>
      </c>
      <c r="C35" s="4" t="s">
        <v>767</v>
      </c>
      <c r="D35" s="4" t="s">
        <v>760</v>
      </c>
      <c r="E35" s="41">
        <v>6.3</v>
      </c>
      <c r="F35" s="41">
        <v>0</v>
      </c>
      <c r="G35" s="5">
        <v>15.5</v>
      </c>
      <c r="H35" s="4" t="s">
        <v>751</v>
      </c>
      <c r="I35" s="5">
        <f>G35*E35</f>
        <v>97.649999999999991</v>
      </c>
      <c r="J35" s="5">
        <f t="shared" ref="J35:J66" si="3">IF($D35="","",IF($H35="FIXED",$I35,($E35*FAT_MULT)+($F35*SNF_MULT)+$G35))</f>
        <v>97.649999999999991</v>
      </c>
      <c r="K35" s="36">
        <v>0</v>
      </c>
      <c r="L35" s="5">
        <f t="shared" ref="L35:L66" si="4">IF($K35="","",$K35*$J35)</f>
        <v>0</v>
      </c>
      <c r="M35" s="5">
        <v>0</v>
      </c>
      <c r="N35" s="5">
        <f t="shared" ref="N35:N66" si="5">IF($K35="","",$L35+$M35)</f>
        <v>0</v>
      </c>
      <c r="O35" s="69" t="s">
        <v>64</v>
      </c>
      <c r="P35" s="4" t="s">
        <v>65</v>
      </c>
      <c r="Q35" s="4"/>
    </row>
    <row r="36" spans="1:17" hidden="1" x14ac:dyDescent="0.2">
      <c r="A36" s="172">
        <v>66919</v>
      </c>
      <c r="B36" s="4" t="s">
        <v>790</v>
      </c>
      <c r="C36" s="4" t="s">
        <v>769</v>
      </c>
      <c r="D36" s="4" t="s">
        <v>63</v>
      </c>
      <c r="E36" s="41">
        <v>0</v>
      </c>
      <c r="F36" s="41">
        <v>0</v>
      </c>
      <c r="G36" s="5">
        <v>0</v>
      </c>
      <c r="H36" s="4" t="s">
        <v>751</v>
      </c>
      <c r="I36" s="5">
        <v>84</v>
      </c>
      <c r="J36" s="5">
        <f t="shared" si="3"/>
        <v>84</v>
      </c>
      <c r="K36" s="36">
        <v>120</v>
      </c>
      <c r="L36" s="5">
        <f t="shared" si="4"/>
        <v>10080</v>
      </c>
      <c r="M36" s="5">
        <v>0</v>
      </c>
      <c r="N36" s="5">
        <f t="shared" si="5"/>
        <v>10080</v>
      </c>
      <c r="O36" s="69" t="s">
        <v>64</v>
      </c>
      <c r="P36" s="4" t="s">
        <v>65</v>
      </c>
      <c r="Q36" s="4"/>
    </row>
    <row r="37" spans="1:17" x14ac:dyDescent="0.2">
      <c r="A37" s="172">
        <v>66920</v>
      </c>
      <c r="B37" s="4" t="s">
        <v>791</v>
      </c>
      <c r="C37" s="4" t="s">
        <v>757</v>
      </c>
      <c r="D37" s="4" t="s">
        <v>72</v>
      </c>
      <c r="E37" s="41">
        <v>3.4</v>
      </c>
      <c r="F37" s="41">
        <v>7.66</v>
      </c>
      <c r="G37" s="5">
        <v>4.5</v>
      </c>
      <c r="H37" s="4" t="s">
        <v>758</v>
      </c>
      <c r="I37" s="5">
        <v>0</v>
      </c>
      <c r="J37" s="5">
        <f t="shared" si="3"/>
        <v>63.663000000000004</v>
      </c>
      <c r="K37" s="36">
        <v>81.400000000000006</v>
      </c>
      <c r="L37" s="5">
        <f t="shared" si="4"/>
        <v>5182.168200000001</v>
      </c>
      <c r="M37" s="5">
        <v>0</v>
      </c>
      <c r="N37" s="5">
        <f t="shared" si="5"/>
        <v>5182.168200000001</v>
      </c>
      <c r="O37" s="69" t="s">
        <v>64</v>
      </c>
      <c r="P37" s="4" t="s">
        <v>65</v>
      </c>
      <c r="Q37" s="4"/>
    </row>
    <row r="38" spans="1:17" x14ac:dyDescent="0.2">
      <c r="A38" s="172">
        <v>66920</v>
      </c>
      <c r="B38" s="4" t="s">
        <v>792</v>
      </c>
      <c r="C38" s="4" t="s">
        <v>757</v>
      </c>
      <c r="D38" s="4" t="s">
        <v>760</v>
      </c>
      <c r="E38" s="41">
        <v>5.36</v>
      </c>
      <c r="F38" s="41">
        <v>7.5</v>
      </c>
      <c r="G38" s="5">
        <v>5</v>
      </c>
      <c r="H38" s="4" t="s">
        <v>758</v>
      </c>
      <c r="I38" s="5">
        <v>0</v>
      </c>
      <c r="J38" s="5">
        <f t="shared" si="3"/>
        <v>77.449000000000012</v>
      </c>
      <c r="K38" s="36">
        <v>40.4</v>
      </c>
      <c r="L38" s="5">
        <f t="shared" si="4"/>
        <v>3128.9396000000006</v>
      </c>
      <c r="M38" s="5">
        <v>0</v>
      </c>
      <c r="N38" s="5">
        <f t="shared" si="5"/>
        <v>3128.9396000000006</v>
      </c>
      <c r="O38" s="69" t="s">
        <v>64</v>
      </c>
      <c r="P38" s="4" t="s">
        <v>65</v>
      </c>
      <c r="Q38" s="4"/>
    </row>
    <row r="39" spans="1:17" hidden="1" x14ac:dyDescent="0.2">
      <c r="A39" s="172">
        <v>66920</v>
      </c>
      <c r="B39" s="4" t="s">
        <v>793</v>
      </c>
      <c r="C39" s="4" t="s">
        <v>628</v>
      </c>
      <c r="D39" s="4" t="s">
        <v>72</v>
      </c>
      <c r="E39" s="41">
        <v>3.6</v>
      </c>
      <c r="F39" s="41">
        <v>7.7</v>
      </c>
      <c r="G39" s="5">
        <v>4.5</v>
      </c>
      <c r="H39" s="4" t="s">
        <v>758</v>
      </c>
      <c r="I39" s="5">
        <v>0</v>
      </c>
      <c r="J39" s="5">
        <f t="shared" si="3"/>
        <v>65.275000000000006</v>
      </c>
      <c r="K39" s="36">
        <v>33.299999999999997</v>
      </c>
      <c r="L39" s="5">
        <f t="shared" si="4"/>
        <v>2173.6574999999998</v>
      </c>
      <c r="M39" s="5">
        <v>0</v>
      </c>
      <c r="N39" s="5">
        <f t="shared" si="5"/>
        <v>2173.6574999999998</v>
      </c>
      <c r="O39" s="69" t="s">
        <v>64</v>
      </c>
      <c r="P39" s="4" t="s">
        <v>65</v>
      </c>
      <c r="Q39" s="4"/>
    </row>
    <row r="40" spans="1:17" hidden="1" x14ac:dyDescent="0.2">
      <c r="A40" s="172">
        <v>66920</v>
      </c>
      <c r="B40" s="4" t="s">
        <v>794</v>
      </c>
      <c r="C40" s="4" t="s">
        <v>763</v>
      </c>
      <c r="D40" s="4" t="s">
        <v>72</v>
      </c>
      <c r="E40" s="41">
        <v>3.71</v>
      </c>
      <c r="F40" s="41">
        <v>7.8</v>
      </c>
      <c r="G40" s="5">
        <v>2</v>
      </c>
      <c r="H40" s="4" t="s">
        <v>758</v>
      </c>
      <c r="I40" s="5">
        <v>0</v>
      </c>
      <c r="J40" s="5">
        <f t="shared" si="3"/>
        <v>64.016499999999994</v>
      </c>
      <c r="K40" s="36">
        <v>9.9</v>
      </c>
      <c r="L40" s="5">
        <f t="shared" si="4"/>
        <v>633.76334999999995</v>
      </c>
      <c r="M40" s="5">
        <v>0</v>
      </c>
      <c r="N40" s="5">
        <f t="shared" si="5"/>
        <v>633.76334999999995</v>
      </c>
      <c r="O40" s="69" t="s">
        <v>64</v>
      </c>
      <c r="P40" s="4" t="s">
        <v>65</v>
      </c>
      <c r="Q40" s="4"/>
    </row>
    <row r="41" spans="1:17" hidden="1" x14ac:dyDescent="0.2">
      <c r="A41" s="172">
        <v>66920</v>
      </c>
      <c r="B41" s="4" t="s">
        <v>795</v>
      </c>
      <c r="C41" s="4" t="s">
        <v>765</v>
      </c>
      <c r="D41" s="4" t="s">
        <v>72</v>
      </c>
      <c r="E41" s="41">
        <v>4.6500000000000004</v>
      </c>
      <c r="F41" s="41">
        <v>8.0500000000000007</v>
      </c>
      <c r="G41" s="5">
        <v>2</v>
      </c>
      <c r="H41" s="4" t="s">
        <v>758</v>
      </c>
      <c r="I41" s="5">
        <v>0</v>
      </c>
      <c r="J41" s="5">
        <f t="shared" si="3"/>
        <v>71.875</v>
      </c>
      <c r="K41" s="36">
        <v>5.5</v>
      </c>
      <c r="L41" s="5">
        <f t="shared" si="4"/>
        <v>395.3125</v>
      </c>
      <c r="M41" s="5">
        <v>0</v>
      </c>
      <c r="N41" s="5">
        <f t="shared" si="5"/>
        <v>395.3125</v>
      </c>
      <c r="O41" s="69" t="s">
        <v>64</v>
      </c>
      <c r="P41" s="4" t="s">
        <v>65</v>
      </c>
      <c r="Q41" s="4"/>
    </row>
    <row r="42" spans="1:17" hidden="1" x14ac:dyDescent="0.2">
      <c r="A42" s="172">
        <v>66920</v>
      </c>
      <c r="B42" s="4" t="s">
        <v>796</v>
      </c>
      <c r="C42" s="4" t="s">
        <v>767</v>
      </c>
      <c r="D42" s="4" t="s">
        <v>760</v>
      </c>
      <c r="E42" s="41">
        <v>6.5</v>
      </c>
      <c r="F42" s="41">
        <v>0</v>
      </c>
      <c r="G42" s="5">
        <v>15.5</v>
      </c>
      <c r="H42" s="4" t="s">
        <v>751</v>
      </c>
      <c r="I42" s="5">
        <f>G42*E42</f>
        <v>100.75</v>
      </c>
      <c r="J42" s="5">
        <f t="shared" si="3"/>
        <v>100.75</v>
      </c>
      <c r="K42" s="36">
        <v>240</v>
      </c>
      <c r="L42" s="5">
        <f t="shared" si="4"/>
        <v>24180</v>
      </c>
      <c r="M42" s="5">
        <v>0</v>
      </c>
      <c r="N42" s="5">
        <f t="shared" si="5"/>
        <v>24180</v>
      </c>
      <c r="O42" s="69" t="s">
        <v>64</v>
      </c>
      <c r="P42" s="4" t="s">
        <v>65</v>
      </c>
      <c r="Q42" s="4"/>
    </row>
    <row r="43" spans="1:17" hidden="1" x14ac:dyDescent="0.2">
      <c r="A43" s="172">
        <v>66920</v>
      </c>
      <c r="B43" s="4" t="s">
        <v>797</v>
      </c>
      <c r="C43" s="4" t="s">
        <v>769</v>
      </c>
      <c r="D43" s="4" t="s">
        <v>63</v>
      </c>
      <c r="E43" s="41">
        <v>0</v>
      </c>
      <c r="F43" s="41">
        <v>0</v>
      </c>
      <c r="G43" s="5">
        <v>0</v>
      </c>
      <c r="H43" s="4" t="s">
        <v>751</v>
      </c>
      <c r="I43" s="5">
        <v>84</v>
      </c>
      <c r="J43" s="5">
        <f t="shared" si="3"/>
        <v>84</v>
      </c>
      <c r="K43" s="36">
        <v>80</v>
      </c>
      <c r="L43" s="5">
        <f t="shared" si="4"/>
        <v>6720</v>
      </c>
      <c r="M43" s="5">
        <v>0</v>
      </c>
      <c r="N43" s="5">
        <f t="shared" si="5"/>
        <v>6720</v>
      </c>
      <c r="O43" s="69" t="s">
        <v>64</v>
      </c>
      <c r="P43" s="4" t="s">
        <v>65</v>
      </c>
      <c r="Q43" s="4"/>
    </row>
    <row r="44" spans="1:17" x14ac:dyDescent="0.2">
      <c r="A44" s="172">
        <v>66921</v>
      </c>
      <c r="B44" s="4" t="s">
        <v>798</v>
      </c>
      <c r="C44" s="4" t="s">
        <v>757</v>
      </c>
      <c r="D44" s="4" t="s">
        <v>72</v>
      </c>
      <c r="E44" s="41">
        <v>3.44</v>
      </c>
      <c r="F44" s="41">
        <v>7.6</v>
      </c>
      <c r="G44" s="5">
        <v>4.5</v>
      </c>
      <c r="H44" s="4" t="s">
        <v>758</v>
      </c>
      <c r="I44" s="5">
        <v>0</v>
      </c>
      <c r="J44" s="5">
        <f t="shared" si="3"/>
        <v>63.676000000000002</v>
      </c>
      <c r="K44" s="36">
        <v>88.2</v>
      </c>
      <c r="L44" s="5">
        <f t="shared" si="4"/>
        <v>5616.2232000000004</v>
      </c>
      <c r="M44" s="5">
        <v>0</v>
      </c>
      <c r="N44" s="5">
        <f t="shared" si="5"/>
        <v>5616.2232000000004</v>
      </c>
      <c r="O44" s="69" t="s">
        <v>64</v>
      </c>
      <c r="P44" s="4" t="s">
        <v>65</v>
      </c>
      <c r="Q44" s="4"/>
    </row>
    <row r="45" spans="1:17" x14ac:dyDescent="0.2">
      <c r="A45" s="172">
        <v>66921</v>
      </c>
      <c r="B45" s="4" t="s">
        <v>799</v>
      </c>
      <c r="C45" s="4" t="s">
        <v>757</v>
      </c>
      <c r="D45" s="4" t="s">
        <v>760</v>
      </c>
      <c r="E45" s="41">
        <v>5.3</v>
      </c>
      <c r="F45" s="41">
        <v>7.5</v>
      </c>
      <c r="G45" s="5">
        <v>5</v>
      </c>
      <c r="H45" s="4" t="s">
        <v>758</v>
      </c>
      <c r="I45" s="5">
        <v>0</v>
      </c>
      <c r="J45" s="5">
        <f t="shared" si="3"/>
        <v>77.02000000000001</v>
      </c>
      <c r="K45" s="36">
        <v>41</v>
      </c>
      <c r="L45" s="5">
        <f t="shared" si="4"/>
        <v>3157.8200000000006</v>
      </c>
      <c r="M45" s="5">
        <v>0</v>
      </c>
      <c r="N45" s="5">
        <f t="shared" si="5"/>
        <v>3157.8200000000006</v>
      </c>
      <c r="O45" s="69" t="s">
        <v>64</v>
      </c>
      <c r="P45" s="4" t="s">
        <v>65</v>
      </c>
      <c r="Q45" s="4"/>
    </row>
    <row r="46" spans="1:17" hidden="1" x14ac:dyDescent="0.2">
      <c r="A46" s="172">
        <v>66921</v>
      </c>
      <c r="B46" s="4" t="s">
        <v>800</v>
      </c>
      <c r="C46" s="4" t="s">
        <v>628</v>
      </c>
      <c r="D46" s="4" t="s">
        <v>72</v>
      </c>
      <c r="E46" s="41">
        <v>3.6</v>
      </c>
      <c r="F46" s="41">
        <v>7.7</v>
      </c>
      <c r="G46" s="5">
        <v>4.5</v>
      </c>
      <c r="H46" s="4" t="s">
        <v>758</v>
      </c>
      <c r="I46" s="5">
        <v>0</v>
      </c>
      <c r="J46" s="5">
        <f t="shared" si="3"/>
        <v>65.275000000000006</v>
      </c>
      <c r="K46" s="36">
        <v>30.6</v>
      </c>
      <c r="L46" s="5">
        <f t="shared" si="4"/>
        <v>1997.4150000000002</v>
      </c>
      <c r="M46" s="5">
        <v>0</v>
      </c>
      <c r="N46" s="5">
        <f t="shared" si="5"/>
        <v>1997.4150000000002</v>
      </c>
      <c r="O46" s="69" t="s">
        <v>64</v>
      </c>
      <c r="P46" s="4" t="s">
        <v>65</v>
      </c>
      <c r="Q46" s="4"/>
    </row>
    <row r="47" spans="1:17" hidden="1" x14ac:dyDescent="0.2">
      <c r="A47" s="172">
        <v>66921</v>
      </c>
      <c r="B47" s="4" t="s">
        <v>801</v>
      </c>
      <c r="C47" s="4" t="s">
        <v>763</v>
      </c>
      <c r="D47" s="4" t="s">
        <v>72</v>
      </c>
      <c r="E47" s="41">
        <v>3.7</v>
      </c>
      <c r="F47" s="41">
        <v>7.85</v>
      </c>
      <c r="G47" s="5">
        <v>2</v>
      </c>
      <c r="H47" s="4" t="s">
        <v>758</v>
      </c>
      <c r="I47" s="5">
        <v>0</v>
      </c>
      <c r="J47" s="5">
        <f t="shared" si="3"/>
        <v>64.172499999999999</v>
      </c>
      <c r="K47" s="36">
        <v>8.8000000000000007</v>
      </c>
      <c r="L47" s="5">
        <f t="shared" si="4"/>
        <v>564.71800000000007</v>
      </c>
      <c r="M47" s="5">
        <v>0</v>
      </c>
      <c r="N47" s="5">
        <f t="shared" si="5"/>
        <v>564.71800000000007</v>
      </c>
      <c r="O47" s="69" t="s">
        <v>64</v>
      </c>
      <c r="P47" s="4" t="s">
        <v>65</v>
      </c>
      <c r="Q47" s="4"/>
    </row>
    <row r="48" spans="1:17" hidden="1" x14ac:dyDescent="0.2">
      <c r="A48" s="172">
        <v>66921</v>
      </c>
      <c r="B48" s="4" t="s">
        <v>802</v>
      </c>
      <c r="C48" s="4" t="s">
        <v>765</v>
      </c>
      <c r="D48" s="4" t="s">
        <v>72</v>
      </c>
      <c r="E48" s="41">
        <v>4.6500000000000004</v>
      </c>
      <c r="F48" s="41">
        <v>8.0500000000000007</v>
      </c>
      <c r="G48" s="5">
        <v>2</v>
      </c>
      <c r="H48" s="4" t="s">
        <v>758</v>
      </c>
      <c r="I48" s="5">
        <v>0</v>
      </c>
      <c r="J48" s="5">
        <f t="shared" si="3"/>
        <v>71.875</v>
      </c>
      <c r="K48" s="36">
        <v>5.0999999999999996</v>
      </c>
      <c r="L48" s="5">
        <f t="shared" si="4"/>
        <v>366.5625</v>
      </c>
      <c r="M48" s="5">
        <v>0</v>
      </c>
      <c r="N48" s="5">
        <f t="shared" si="5"/>
        <v>366.5625</v>
      </c>
      <c r="O48" s="69" t="s">
        <v>64</v>
      </c>
      <c r="P48" s="4" t="s">
        <v>65</v>
      </c>
      <c r="Q48" s="4"/>
    </row>
    <row r="49" spans="1:17" hidden="1" x14ac:dyDescent="0.2">
      <c r="A49" s="172">
        <v>66921</v>
      </c>
      <c r="B49" s="4" t="s">
        <v>803</v>
      </c>
      <c r="C49" s="4" t="s">
        <v>767</v>
      </c>
      <c r="D49" s="4" t="s">
        <v>760</v>
      </c>
      <c r="E49" s="41">
        <v>6.5</v>
      </c>
      <c r="F49" s="41">
        <v>0</v>
      </c>
      <c r="G49" s="5">
        <v>15.5</v>
      </c>
      <c r="H49" s="4" t="s">
        <v>751</v>
      </c>
      <c r="I49" s="5">
        <f>G49*E49</f>
        <v>100.75</v>
      </c>
      <c r="J49" s="5">
        <f t="shared" si="3"/>
        <v>100.75</v>
      </c>
      <c r="K49" s="36">
        <v>0</v>
      </c>
      <c r="L49" s="5">
        <f t="shared" si="4"/>
        <v>0</v>
      </c>
      <c r="M49" s="5">
        <v>0</v>
      </c>
      <c r="N49" s="5">
        <f t="shared" si="5"/>
        <v>0</v>
      </c>
      <c r="O49" s="69" t="s">
        <v>64</v>
      </c>
      <c r="P49" s="4" t="s">
        <v>65</v>
      </c>
      <c r="Q49" s="4"/>
    </row>
    <row r="50" spans="1:17" hidden="1" x14ac:dyDescent="0.2">
      <c r="A50" s="172">
        <v>66921</v>
      </c>
      <c r="B50" s="4" t="s">
        <v>804</v>
      </c>
      <c r="C50" s="4" t="s">
        <v>769</v>
      </c>
      <c r="D50" s="4" t="s">
        <v>63</v>
      </c>
      <c r="E50" s="41">
        <v>0</v>
      </c>
      <c r="F50" s="41">
        <v>0</v>
      </c>
      <c r="G50" s="5">
        <v>0</v>
      </c>
      <c r="H50" s="4" t="s">
        <v>751</v>
      </c>
      <c r="I50" s="5">
        <v>84</v>
      </c>
      <c r="J50" s="5">
        <f t="shared" si="3"/>
        <v>84</v>
      </c>
      <c r="K50" s="36">
        <v>80</v>
      </c>
      <c r="L50" s="5">
        <f t="shared" si="4"/>
        <v>6720</v>
      </c>
      <c r="M50" s="5">
        <v>0</v>
      </c>
      <c r="N50" s="5">
        <f t="shared" si="5"/>
        <v>6720</v>
      </c>
      <c r="O50" s="69" t="s">
        <v>64</v>
      </c>
      <c r="P50" s="4" t="s">
        <v>65</v>
      </c>
      <c r="Q50" s="4"/>
    </row>
    <row r="51" spans="1:17" x14ac:dyDescent="0.2">
      <c r="A51" s="172">
        <v>66922</v>
      </c>
      <c r="B51" s="4" t="s">
        <v>805</v>
      </c>
      <c r="C51" s="4" t="s">
        <v>757</v>
      </c>
      <c r="D51" s="4" t="s">
        <v>72</v>
      </c>
      <c r="E51" s="41">
        <v>3.4</v>
      </c>
      <c r="F51" s="41">
        <v>7.6</v>
      </c>
      <c r="G51" s="5">
        <v>4.5</v>
      </c>
      <c r="H51" s="4" t="s">
        <v>758</v>
      </c>
      <c r="I51" s="5">
        <v>0</v>
      </c>
      <c r="J51" s="5">
        <f t="shared" si="3"/>
        <v>63.39</v>
      </c>
      <c r="K51" s="36">
        <v>79.900000000000006</v>
      </c>
      <c r="L51" s="5">
        <f t="shared" si="4"/>
        <v>5064.8610000000008</v>
      </c>
      <c r="M51" s="5">
        <v>0</v>
      </c>
      <c r="N51" s="5">
        <f t="shared" si="5"/>
        <v>5064.8610000000008</v>
      </c>
      <c r="O51" s="69" t="s">
        <v>64</v>
      </c>
      <c r="P51" s="4" t="s">
        <v>65</v>
      </c>
      <c r="Q51" s="4"/>
    </row>
    <row r="52" spans="1:17" x14ac:dyDescent="0.2">
      <c r="A52" s="172">
        <v>66922</v>
      </c>
      <c r="B52" s="4" t="s">
        <v>806</v>
      </c>
      <c r="C52" s="4" t="s">
        <v>757</v>
      </c>
      <c r="D52" s="4" t="s">
        <v>760</v>
      </c>
      <c r="E52" s="41">
        <v>5.3</v>
      </c>
      <c r="F52" s="41">
        <v>7.54</v>
      </c>
      <c r="G52" s="5">
        <v>5</v>
      </c>
      <c r="H52" s="4" t="s">
        <v>758</v>
      </c>
      <c r="I52" s="5">
        <v>0</v>
      </c>
      <c r="J52" s="5">
        <f t="shared" si="3"/>
        <v>77.201999999999998</v>
      </c>
      <c r="K52" s="36">
        <v>38.700000000000003</v>
      </c>
      <c r="L52" s="5">
        <f t="shared" si="4"/>
        <v>2987.7174</v>
      </c>
      <c r="M52" s="5">
        <v>0</v>
      </c>
      <c r="N52" s="5">
        <f t="shared" si="5"/>
        <v>2987.7174</v>
      </c>
      <c r="O52" s="69" t="s">
        <v>64</v>
      </c>
      <c r="P52" s="4" t="s">
        <v>65</v>
      </c>
      <c r="Q52" s="4"/>
    </row>
    <row r="53" spans="1:17" hidden="1" x14ac:dyDescent="0.2">
      <c r="A53" s="172">
        <v>66922</v>
      </c>
      <c r="B53" s="4" t="s">
        <v>807</v>
      </c>
      <c r="C53" s="4" t="s">
        <v>628</v>
      </c>
      <c r="D53" s="4" t="s">
        <v>72</v>
      </c>
      <c r="E53" s="41">
        <v>3.6</v>
      </c>
      <c r="F53" s="41">
        <v>7.8</v>
      </c>
      <c r="G53" s="5">
        <v>4.5</v>
      </c>
      <c r="H53" s="4" t="s">
        <v>758</v>
      </c>
      <c r="I53" s="5">
        <v>0</v>
      </c>
      <c r="J53" s="5">
        <f t="shared" si="3"/>
        <v>65.72999999999999</v>
      </c>
      <c r="K53" s="36">
        <v>26.7</v>
      </c>
      <c r="L53" s="5">
        <f t="shared" si="4"/>
        <v>1754.9909999999998</v>
      </c>
      <c r="M53" s="5">
        <v>0</v>
      </c>
      <c r="N53" s="5">
        <f t="shared" si="5"/>
        <v>1754.9909999999998</v>
      </c>
      <c r="O53" s="69" t="s">
        <v>64</v>
      </c>
      <c r="P53" s="4" t="s">
        <v>65</v>
      </c>
      <c r="Q53" s="4"/>
    </row>
    <row r="54" spans="1:17" hidden="1" x14ac:dyDescent="0.2">
      <c r="A54" s="172">
        <v>66922</v>
      </c>
      <c r="B54" s="4" t="s">
        <v>808</v>
      </c>
      <c r="C54" s="4" t="s">
        <v>763</v>
      </c>
      <c r="D54" s="4" t="s">
        <v>72</v>
      </c>
      <c r="E54" s="41">
        <v>3.67</v>
      </c>
      <c r="F54" s="41">
        <v>7.85</v>
      </c>
      <c r="G54" s="5">
        <v>2</v>
      </c>
      <c r="H54" s="4" t="s">
        <v>758</v>
      </c>
      <c r="I54" s="5">
        <v>0</v>
      </c>
      <c r="J54" s="5">
        <f t="shared" si="3"/>
        <v>63.957999999999998</v>
      </c>
      <c r="K54" s="36">
        <v>9.1999999999999993</v>
      </c>
      <c r="L54" s="5">
        <f t="shared" si="4"/>
        <v>588.41359999999997</v>
      </c>
      <c r="M54" s="5">
        <v>0</v>
      </c>
      <c r="N54" s="5">
        <f t="shared" si="5"/>
        <v>588.41359999999997</v>
      </c>
      <c r="O54" s="69" t="s">
        <v>64</v>
      </c>
      <c r="P54" s="4" t="s">
        <v>65</v>
      </c>
      <c r="Q54" s="4"/>
    </row>
    <row r="55" spans="1:17" hidden="1" x14ac:dyDescent="0.2">
      <c r="A55" s="172">
        <v>66922</v>
      </c>
      <c r="B55" s="4" t="s">
        <v>809</v>
      </c>
      <c r="C55" s="4" t="s">
        <v>765</v>
      </c>
      <c r="D55" s="4" t="s">
        <v>72</v>
      </c>
      <c r="E55" s="41">
        <v>4.6500000000000004</v>
      </c>
      <c r="F55" s="41">
        <v>8</v>
      </c>
      <c r="G55" s="5">
        <v>2</v>
      </c>
      <c r="H55" s="4" t="s">
        <v>758</v>
      </c>
      <c r="I55" s="5">
        <v>0</v>
      </c>
      <c r="J55" s="5">
        <f t="shared" si="3"/>
        <v>71.647500000000008</v>
      </c>
      <c r="K55" s="36">
        <v>5.6</v>
      </c>
      <c r="L55" s="5">
        <f t="shared" si="4"/>
        <v>401.226</v>
      </c>
      <c r="M55" s="5">
        <v>0</v>
      </c>
      <c r="N55" s="5">
        <f t="shared" si="5"/>
        <v>401.226</v>
      </c>
      <c r="O55" s="69" t="s">
        <v>64</v>
      </c>
      <c r="P55" s="4" t="s">
        <v>65</v>
      </c>
      <c r="Q55" s="4"/>
    </row>
    <row r="56" spans="1:17" hidden="1" x14ac:dyDescent="0.2">
      <c r="A56" s="172">
        <v>66922</v>
      </c>
      <c r="B56" s="4" t="s">
        <v>810</v>
      </c>
      <c r="C56" s="4" t="s">
        <v>767</v>
      </c>
      <c r="D56" s="4" t="s">
        <v>760</v>
      </c>
      <c r="E56" s="41">
        <v>6.2</v>
      </c>
      <c r="F56" s="41">
        <v>0</v>
      </c>
      <c r="G56" s="5">
        <v>15.5</v>
      </c>
      <c r="H56" s="4" t="s">
        <v>751</v>
      </c>
      <c r="I56" s="5">
        <f>G56*E56</f>
        <v>96.100000000000009</v>
      </c>
      <c r="J56" s="5">
        <f t="shared" si="3"/>
        <v>96.100000000000009</v>
      </c>
      <c r="K56" s="36">
        <v>240</v>
      </c>
      <c r="L56" s="5">
        <f t="shared" si="4"/>
        <v>23064.000000000004</v>
      </c>
      <c r="M56" s="5">
        <v>0</v>
      </c>
      <c r="N56" s="5">
        <f t="shared" si="5"/>
        <v>23064.000000000004</v>
      </c>
      <c r="O56" s="69" t="s">
        <v>64</v>
      </c>
      <c r="P56" s="4" t="s">
        <v>65</v>
      </c>
      <c r="Q56" s="4"/>
    </row>
    <row r="57" spans="1:17" hidden="1" x14ac:dyDescent="0.2">
      <c r="A57" s="172">
        <v>66922</v>
      </c>
      <c r="B57" s="4" t="s">
        <v>811</v>
      </c>
      <c r="C57" s="4" t="s">
        <v>769</v>
      </c>
      <c r="D57" s="4" t="s">
        <v>63</v>
      </c>
      <c r="E57" s="41">
        <v>0</v>
      </c>
      <c r="F57" s="41">
        <v>0</v>
      </c>
      <c r="G57" s="5">
        <v>0</v>
      </c>
      <c r="H57" s="4" t="s">
        <v>751</v>
      </c>
      <c r="I57" s="5">
        <v>84</v>
      </c>
      <c r="J57" s="5">
        <f t="shared" si="3"/>
        <v>84</v>
      </c>
      <c r="K57" s="36">
        <v>80</v>
      </c>
      <c r="L57" s="5">
        <f t="shared" si="4"/>
        <v>6720</v>
      </c>
      <c r="M57" s="5">
        <v>0</v>
      </c>
      <c r="N57" s="5">
        <f t="shared" si="5"/>
        <v>6720</v>
      </c>
      <c r="O57" s="69" t="s">
        <v>64</v>
      </c>
      <c r="P57" s="4" t="s">
        <v>65</v>
      </c>
      <c r="Q57" s="4"/>
    </row>
    <row r="58" spans="1:17" x14ac:dyDescent="0.2">
      <c r="A58" s="172">
        <v>66923</v>
      </c>
      <c r="B58" s="4" t="s">
        <v>812</v>
      </c>
      <c r="C58" s="4" t="s">
        <v>757</v>
      </c>
      <c r="D58" s="4" t="s">
        <v>72</v>
      </c>
      <c r="E58" s="41">
        <v>3.46</v>
      </c>
      <c r="F58" s="41">
        <v>7.6</v>
      </c>
      <c r="G58" s="5">
        <v>4.5</v>
      </c>
      <c r="H58" s="4" t="s">
        <v>758</v>
      </c>
      <c r="I58" s="5">
        <v>0</v>
      </c>
      <c r="J58" s="5">
        <f t="shared" si="3"/>
        <v>63.819000000000003</v>
      </c>
      <c r="K58" s="36">
        <v>86.7</v>
      </c>
      <c r="L58" s="5">
        <f t="shared" si="4"/>
        <v>5533.1073000000006</v>
      </c>
      <c r="M58" s="5">
        <v>0</v>
      </c>
      <c r="N58" s="5">
        <f t="shared" si="5"/>
        <v>5533.1073000000006</v>
      </c>
      <c r="O58" s="69" t="s">
        <v>64</v>
      </c>
      <c r="P58" s="4" t="s">
        <v>65</v>
      </c>
      <c r="Q58" s="4"/>
    </row>
    <row r="59" spans="1:17" x14ac:dyDescent="0.2">
      <c r="A59" s="172">
        <v>66923</v>
      </c>
      <c r="B59" s="4" t="s">
        <v>813</v>
      </c>
      <c r="C59" s="4" t="s">
        <v>757</v>
      </c>
      <c r="D59" s="4" t="s">
        <v>760</v>
      </c>
      <c r="E59" s="41">
        <v>5.3</v>
      </c>
      <c r="F59" s="41">
        <v>7.5</v>
      </c>
      <c r="G59" s="5">
        <v>5</v>
      </c>
      <c r="H59" s="4" t="s">
        <v>758</v>
      </c>
      <c r="I59" s="5">
        <v>0</v>
      </c>
      <c r="J59" s="5">
        <f t="shared" si="3"/>
        <v>77.02000000000001</v>
      </c>
      <c r="K59" s="36">
        <v>38.200000000000003</v>
      </c>
      <c r="L59" s="5">
        <f t="shared" si="4"/>
        <v>2942.1640000000007</v>
      </c>
      <c r="M59" s="5">
        <v>0</v>
      </c>
      <c r="N59" s="5">
        <f t="shared" si="5"/>
        <v>2942.1640000000007</v>
      </c>
      <c r="O59" s="69" t="s">
        <v>64</v>
      </c>
      <c r="P59" s="4" t="s">
        <v>65</v>
      </c>
      <c r="Q59" s="4"/>
    </row>
    <row r="60" spans="1:17" hidden="1" x14ac:dyDescent="0.2">
      <c r="A60" s="172">
        <v>66923</v>
      </c>
      <c r="B60" s="4" t="s">
        <v>814</v>
      </c>
      <c r="C60" s="4" t="s">
        <v>628</v>
      </c>
      <c r="D60" s="4" t="s">
        <v>72</v>
      </c>
      <c r="E60" s="41">
        <v>3.6</v>
      </c>
      <c r="F60" s="41">
        <v>7.8</v>
      </c>
      <c r="G60" s="5">
        <v>4.5</v>
      </c>
      <c r="H60" s="4" t="s">
        <v>758</v>
      </c>
      <c r="I60" s="5">
        <v>0</v>
      </c>
      <c r="J60" s="5">
        <f t="shared" si="3"/>
        <v>65.72999999999999</v>
      </c>
      <c r="K60" s="36">
        <v>35.700000000000003</v>
      </c>
      <c r="L60" s="5">
        <f t="shared" si="4"/>
        <v>2346.5609999999997</v>
      </c>
      <c r="M60" s="5">
        <v>0</v>
      </c>
      <c r="N60" s="5">
        <f t="shared" si="5"/>
        <v>2346.5609999999997</v>
      </c>
      <c r="O60" s="69" t="s">
        <v>64</v>
      </c>
      <c r="P60" s="4" t="s">
        <v>65</v>
      </c>
      <c r="Q60" s="4"/>
    </row>
    <row r="61" spans="1:17" hidden="1" x14ac:dyDescent="0.2">
      <c r="A61" s="172">
        <v>66923</v>
      </c>
      <c r="B61" s="4" t="s">
        <v>815</v>
      </c>
      <c r="C61" s="4" t="s">
        <v>763</v>
      </c>
      <c r="D61" s="4" t="s">
        <v>72</v>
      </c>
      <c r="E61" s="41">
        <v>3.65</v>
      </c>
      <c r="F61" s="41">
        <v>7.85</v>
      </c>
      <c r="G61" s="5">
        <v>2</v>
      </c>
      <c r="H61" s="4" t="s">
        <v>758</v>
      </c>
      <c r="I61" s="5">
        <v>0</v>
      </c>
      <c r="J61" s="5">
        <f t="shared" si="3"/>
        <v>63.814999999999998</v>
      </c>
      <c r="K61" s="36">
        <v>9.5</v>
      </c>
      <c r="L61" s="5">
        <f t="shared" si="4"/>
        <v>606.24249999999995</v>
      </c>
      <c r="M61" s="5">
        <v>0</v>
      </c>
      <c r="N61" s="5">
        <f t="shared" si="5"/>
        <v>606.24249999999995</v>
      </c>
      <c r="O61" s="69" t="s">
        <v>64</v>
      </c>
      <c r="P61" s="4" t="s">
        <v>65</v>
      </c>
      <c r="Q61" s="4"/>
    </row>
    <row r="62" spans="1:17" hidden="1" x14ac:dyDescent="0.2">
      <c r="A62" s="172">
        <v>66923</v>
      </c>
      <c r="B62" s="4" t="s">
        <v>816</v>
      </c>
      <c r="C62" s="4" t="s">
        <v>765</v>
      </c>
      <c r="D62" s="4" t="s">
        <v>72</v>
      </c>
      <c r="E62" s="41">
        <v>4.6500000000000004</v>
      </c>
      <c r="F62" s="41">
        <v>8.1</v>
      </c>
      <c r="G62" s="5">
        <v>2</v>
      </c>
      <c r="H62" s="4" t="s">
        <v>758</v>
      </c>
      <c r="I62" s="5">
        <v>0</v>
      </c>
      <c r="J62" s="5">
        <f t="shared" si="3"/>
        <v>72.102499999999992</v>
      </c>
      <c r="K62" s="36">
        <v>6</v>
      </c>
      <c r="L62" s="5">
        <f t="shared" si="4"/>
        <v>432.61499999999995</v>
      </c>
      <c r="M62" s="5">
        <v>0</v>
      </c>
      <c r="N62" s="5">
        <f t="shared" si="5"/>
        <v>432.61499999999995</v>
      </c>
      <c r="O62" s="69" t="s">
        <v>64</v>
      </c>
      <c r="P62" s="4" t="s">
        <v>65</v>
      </c>
      <c r="Q62" s="4"/>
    </row>
    <row r="63" spans="1:17" hidden="1" x14ac:dyDescent="0.2">
      <c r="A63" s="172">
        <v>66923</v>
      </c>
      <c r="B63" s="4" t="s">
        <v>817</v>
      </c>
      <c r="C63" s="4" t="s">
        <v>767</v>
      </c>
      <c r="D63" s="4" t="s">
        <v>760</v>
      </c>
      <c r="E63" s="41">
        <v>0</v>
      </c>
      <c r="F63" s="41">
        <v>0</v>
      </c>
      <c r="G63" s="5">
        <v>15.5</v>
      </c>
      <c r="H63" s="4" t="s">
        <v>751</v>
      </c>
      <c r="I63" s="5">
        <f>G63*E63</f>
        <v>0</v>
      </c>
      <c r="J63" s="5">
        <f t="shared" si="3"/>
        <v>0</v>
      </c>
      <c r="K63" s="36">
        <v>0</v>
      </c>
      <c r="L63" s="5">
        <f t="shared" si="4"/>
        <v>0</v>
      </c>
      <c r="M63" s="5">
        <v>0</v>
      </c>
      <c r="N63" s="5">
        <f t="shared" si="5"/>
        <v>0</v>
      </c>
      <c r="O63" s="69" t="s">
        <v>64</v>
      </c>
      <c r="P63" s="4" t="s">
        <v>65</v>
      </c>
      <c r="Q63" s="4"/>
    </row>
    <row r="64" spans="1:17" hidden="1" x14ac:dyDescent="0.2">
      <c r="A64" s="172">
        <v>66923</v>
      </c>
      <c r="B64" s="4" t="s">
        <v>818</v>
      </c>
      <c r="C64" s="4" t="s">
        <v>769</v>
      </c>
      <c r="D64" s="4" t="s">
        <v>63</v>
      </c>
      <c r="E64" s="41">
        <v>0</v>
      </c>
      <c r="F64" s="41">
        <v>0</v>
      </c>
      <c r="G64" s="5">
        <v>0</v>
      </c>
      <c r="H64" s="4" t="s">
        <v>751</v>
      </c>
      <c r="I64" s="5">
        <v>84</v>
      </c>
      <c r="J64" s="5">
        <f t="shared" si="3"/>
        <v>84</v>
      </c>
      <c r="K64" s="36">
        <v>160</v>
      </c>
      <c r="L64" s="5">
        <f t="shared" si="4"/>
        <v>13440</v>
      </c>
      <c r="M64" s="5">
        <v>0</v>
      </c>
      <c r="N64" s="5">
        <f t="shared" si="5"/>
        <v>13440</v>
      </c>
      <c r="O64" s="69" t="s">
        <v>64</v>
      </c>
      <c r="P64" s="4" t="s">
        <v>65</v>
      </c>
      <c r="Q64" s="4"/>
    </row>
    <row r="65" spans="1:17" x14ac:dyDescent="0.2">
      <c r="A65" s="172">
        <v>66924</v>
      </c>
      <c r="B65" s="4" t="s">
        <v>819</v>
      </c>
      <c r="C65" s="4" t="s">
        <v>757</v>
      </c>
      <c r="D65" s="4" t="s">
        <v>72</v>
      </c>
      <c r="E65" s="41">
        <v>3.44</v>
      </c>
      <c r="F65" s="41">
        <v>7.66</v>
      </c>
      <c r="G65" s="5">
        <v>4.5</v>
      </c>
      <c r="H65" s="4" t="s">
        <v>758</v>
      </c>
      <c r="I65" s="5">
        <v>0</v>
      </c>
      <c r="J65" s="5">
        <f t="shared" si="3"/>
        <v>63.948999999999998</v>
      </c>
      <c r="K65" s="36">
        <v>79.5</v>
      </c>
      <c r="L65" s="5">
        <f t="shared" si="4"/>
        <v>5083.9454999999998</v>
      </c>
      <c r="M65" s="5">
        <v>0</v>
      </c>
      <c r="N65" s="5">
        <f t="shared" si="5"/>
        <v>5083.9454999999998</v>
      </c>
      <c r="O65" s="69" t="s">
        <v>64</v>
      </c>
      <c r="P65" s="4" t="s">
        <v>65</v>
      </c>
      <c r="Q65" s="4"/>
    </row>
    <row r="66" spans="1:17" x14ac:dyDescent="0.2">
      <c r="A66" s="172">
        <v>66924</v>
      </c>
      <c r="B66" s="4" t="s">
        <v>820</v>
      </c>
      <c r="C66" s="4" t="s">
        <v>757</v>
      </c>
      <c r="D66" s="4" t="s">
        <v>760</v>
      </c>
      <c r="E66" s="41">
        <v>5.4</v>
      </c>
      <c r="F66" s="41">
        <v>7.45</v>
      </c>
      <c r="G66" s="5">
        <v>5</v>
      </c>
      <c r="H66" s="4" t="s">
        <v>758</v>
      </c>
      <c r="I66" s="5">
        <v>0</v>
      </c>
      <c r="J66" s="5">
        <f t="shared" si="3"/>
        <v>77.507500000000007</v>
      </c>
      <c r="K66" s="36">
        <v>41.3</v>
      </c>
      <c r="L66" s="5">
        <f t="shared" si="4"/>
        <v>3201.0597499999999</v>
      </c>
      <c r="M66" s="5">
        <v>0</v>
      </c>
      <c r="N66" s="5">
        <f t="shared" si="5"/>
        <v>3201.0597499999999</v>
      </c>
      <c r="O66" s="69" t="s">
        <v>64</v>
      </c>
      <c r="P66" s="4" t="s">
        <v>65</v>
      </c>
      <c r="Q66" s="4"/>
    </row>
    <row r="67" spans="1:17" hidden="1" x14ac:dyDescent="0.2">
      <c r="A67" s="172">
        <v>66924</v>
      </c>
      <c r="B67" s="4" t="s">
        <v>821</v>
      </c>
      <c r="C67" s="4" t="s">
        <v>628</v>
      </c>
      <c r="D67" s="4" t="s">
        <v>72</v>
      </c>
      <c r="E67" s="41">
        <v>3.6</v>
      </c>
      <c r="F67" s="41">
        <v>7.7</v>
      </c>
      <c r="G67" s="5">
        <v>4.5</v>
      </c>
      <c r="H67" s="4" t="s">
        <v>758</v>
      </c>
      <c r="I67" s="5">
        <v>0</v>
      </c>
      <c r="J67" s="5">
        <f t="shared" ref="J67:J98" si="6">IF($D67="","",IF($H67="FIXED",$I67,($E67*FAT_MULT)+($F67*SNF_MULT)+$G67))</f>
        <v>65.275000000000006</v>
      </c>
      <c r="K67" s="36">
        <v>32</v>
      </c>
      <c r="L67" s="5">
        <f t="shared" ref="L67:L98" si="7">IF($K67="","",$K67*$J67)</f>
        <v>2088.8000000000002</v>
      </c>
      <c r="M67" s="5">
        <v>0</v>
      </c>
      <c r="N67" s="5">
        <f t="shared" ref="N67:N98" si="8">IF($K67="","",$L67+$M67)</f>
        <v>2088.8000000000002</v>
      </c>
      <c r="O67" s="69" t="s">
        <v>64</v>
      </c>
      <c r="P67" s="4" t="s">
        <v>65</v>
      </c>
      <c r="Q67" s="4"/>
    </row>
    <row r="68" spans="1:17" hidden="1" x14ac:dyDescent="0.2">
      <c r="A68" s="172">
        <v>66924</v>
      </c>
      <c r="B68" s="4" t="s">
        <v>822</v>
      </c>
      <c r="C68" s="4" t="s">
        <v>763</v>
      </c>
      <c r="D68" s="4" t="s">
        <v>72</v>
      </c>
      <c r="E68" s="41">
        <v>3.76</v>
      </c>
      <c r="F68" s="41">
        <v>7.8</v>
      </c>
      <c r="G68" s="5">
        <v>2</v>
      </c>
      <c r="H68" s="4" t="s">
        <v>758</v>
      </c>
      <c r="I68" s="5">
        <v>0</v>
      </c>
      <c r="J68" s="5">
        <f t="shared" si="6"/>
        <v>64.373999999999995</v>
      </c>
      <c r="K68" s="36">
        <v>9.3000000000000007</v>
      </c>
      <c r="L68" s="5">
        <f t="shared" si="7"/>
        <v>598.67819999999995</v>
      </c>
      <c r="M68" s="5">
        <v>0</v>
      </c>
      <c r="N68" s="5">
        <f t="shared" si="8"/>
        <v>598.67819999999995</v>
      </c>
      <c r="O68" s="69" t="s">
        <v>64</v>
      </c>
      <c r="P68" s="4" t="s">
        <v>65</v>
      </c>
      <c r="Q68" s="4"/>
    </row>
    <row r="69" spans="1:17" hidden="1" x14ac:dyDescent="0.2">
      <c r="A69" s="172">
        <v>66924</v>
      </c>
      <c r="B69" s="4" t="s">
        <v>823</v>
      </c>
      <c r="C69" s="4" t="s">
        <v>765</v>
      </c>
      <c r="D69" s="4" t="s">
        <v>72</v>
      </c>
      <c r="E69" s="41">
        <v>4.6500000000000004</v>
      </c>
      <c r="F69" s="41">
        <v>8.0500000000000007</v>
      </c>
      <c r="G69" s="5">
        <v>2</v>
      </c>
      <c r="H69" s="4" t="s">
        <v>758</v>
      </c>
      <c r="I69" s="5">
        <v>0</v>
      </c>
      <c r="J69" s="5">
        <f t="shared" si="6"/>
        <v>71.875</v>
      </c>
      <c r="K69" s="36">
        <v>6</v>
      </c>
      <c r="L69" s="5">
        <f t="shared" si="7"/>
        <v>431.25</v>
      </c>
      <c r="M69" s="5">
        <v>0</v>
      </c>
      <c r="N69" s="5">
        <f t="shared" si="8"/>
        <v>431.25</v>
      </c>
      <c r="O69" s="69" t="s">
        <v>64</v>
      </c>
      <c r="P69" s="4" t="s">
        <v>65</v>
      </c>
      <c r="Q69" s="4"/>
    </row>
    <row r="70" spans="1:17" hidden="1" x14ac:dyDescent="0.2">
      <c r="A70" s="172">
        <v>66924</v>
      </c>
      <c r="B70" s="4" t="s">
        <v>824</v>
      </c>
      <c r="C70" s="4" t="s">
        <v>767</v>
      </c>
      <c r="D70" s="4" t="s">
        <v>760</v>
      </c>
      <c r="E70" s="41">
        <v>6.3</v>
      </c>
      <c r="F70" s="41">
        <v>0</v>
      </c>
      <c r="G70" s="5">
        <v>15.5</v>
      </c>
      <c r="H70" s="4" t="s">
        <v>751</v>
      </c>
      <c r="I70" s="5">
        <f>G70*E70</f>
        <v>97.649999999999991</v>
      </c>
      <c r="J70" s="5">
        <f t="shared" si="6"/>
        <v>97.649999999999991</v>
      </c>
      <c r="K70" s="36">
        <v>240</v>
      </c>
      <c r="L70" s="5">
        <f t="shared" si="7"/>
        <v>23435.999999999996</v>
      </c>
      <c r="M70" s="5">
        <v>0</v>
      </c>
      <c r="N70" s="5">
        <f t="shared" si="8"/>
        <v>23435.999999999996</v>
      </c>
      <c r="O70" s="69" t="s">
        <v>64</v>
      </c>
      <c r="P70" s="4" t="s">
        <v>65</v>
      </c>
      <c r="Q70" s="4"/>
    </row>
    <row r="71" spans="1:17" hidden="1" x14ac:dyDescent="0.2">
      <c r="A71" s="172">
        <v>66924</v>
      </c>
      <c r="B71" s="4" t="s">
        <v>825</v>
      </c>
      <c r="C71" s="4" t="s">
        <v>769</v>
      </c>
      <c r="D71" s="4" t="s">
        <v>63</v>
      </c>
      <c r="E71" s="41">
        <v>0</v>
      </c>
      <c r="F71" s="41">
        <v>0</v>
      </c>
      <c r="G71" s="5">
        <v>0</v>
      </c>
      <c r="H71" s="4" t="s">
        <v>751</v>
      </c>
      <c r="I71" s="5">
        <v>84</v>
      </c>
      <c r="J71" s="5">
        <f t="shared" si="6"/>
        <v>84</v>
      </c>
      <c r="K71" s="36">
        <v>160</v>
      </c>
      <c r="L71" s="5">
        <f t="shared" si="7"/>
        <v>13440</v>
      </c>
      <c r="M71" s="5">
        <v>0</v>
      </c>
      <c r="N71" s="5">
        <f t="shared" si="8"/>
        <v>13440</v>
      </c>
      <c r="O71" s="69" t="s">
        <v>64</v>
      </c>
      <c r="P71" s="4" t="s">
        <v>65</v>
      </c>
      <c r="Q71" s="4"/>
    </row>
    <row r="72" spans="1:17" x14ac:dyDescent="0.2">
      <c r="A72" s="172">
        <v>66925</v>
      </c>
      <c r="B72" s="4" t="s">
        <v>826</v>
      </c>
      <c r="C72" s="4" t="s">
        <v>757</v>
      </c>
      <c r="D72" s="4" t="s">
        <v>72</v>
      </c>
      <c r="E72" s="41">
        <v>3.4</v>
      </c>
      <c r="F72" s="41">
        <v>7.6</v>
      </c>
      <c r="G72" s="5">
        <v>4.5</v>
      </c>
      <c r="H72" s="4" t="s">
        <v>758</v>
      </c>
      <c r="I72" s="5">
        <v>0</v>
      </c>
      <c r="J72" s="5">
        <f t="shared" si="6"/>
        <v>63.39</v>
      </c>
      <c r="K72" s="36">
        <v>84.4</v>
      </c>
      <c r="L72" s="5">
        <f t="shared" si="7"/>
        <v>5350.116</v>
      </c>
      <c r="M72" s="5">
        <v>0</v>
      </c>
      <c r="N72" s="5">
        <f t="shared" si="8"/>
        <v>5350.116</v>
      </c>
      <c r="O72" s="69" t="s">
        <v>64</v>
      </c>
      <c r="P72" s="4" t="s">
        <v>65</v>
      </c>
      <c r="Q72" s="4"/>
    </row>
    <row r="73" spans="1:17" x14ac:dyDescent="0.2">
      <c r="A73" s="172">
        <v>66925</v>
      </c>
      <c r="B73" s="4" t="s">
        <v>827</v>
      </c>
      <c r="C73" s="4" t="s">
        <v>757</v>
      </c>
      <c r="D73" s="4" t="s">
        <v>760</v>
      </c>
      <c r="E73" s="41">
        <v>5.34</v>
      </c>
      <c r="F73" s="41">
        <v>7.5</v>
      </c>
      <c r="G73" s="5">
        <v>5</v>
      </c>
      <c r="H73" s="4" t="s">
        <v>758</v>
      </c>
      <c r="I73" s="5">
        <v>0</v>
      </c>
      <c r="J73" s="5">
        <f t="shared" si="6"/>
        <v>77.305999999999997</v>
      </c>
      <c r="K73" s="36">
        <v>37.700000000000003</v>
      </c>
      <c r="L73" s="5">
        <f t="shared" si="7"/>
        <v>2914.4362000000001</v>
      </c>
      <c r="M73" s="5">
        <v>0</v>
      </c>
      <c r="N73" s="5">
        <f t="shared" si="8"/>
        <v>2914.4362000000001</v>
      </c>
      <c r="O73" s="69" t="s">
        <v>64</v>
      </c>
      <c r="P73" s="4" t="s">
        <v>65</v>
      </c>
      <c r="Q73" s="4"/>
    </row>
    <row r="74" spans="1:17" hidden="1" x14ac:dyDescent="0.2">
      <c r="A74" s="172">
        <v>66925</v>
      </c>
      <c r="B74" s="4" t="s">
        <v>828</v>
      </c>
      <c r="C74" s="4" t="s">
        <v>628</v>
      </c>
      <c r="D74" s="4" t="s">
        <v>72</v>
      </c>
      <c r="E74" s="41">
        <v>3.7</v>
      </c>
      <c r="F74" s="41">
        <v>7.7</v>
      </c>
      <c r="G74" s="5">
        <v>4.5</v>
      </c>
      <c r="H74" s="4" t="s">
        <v>758</v>
      </c>
      <c r="I74" s="5">
        <v>0</v>
      </c>
      <c r="J74" s="5">
        <f t="shared" si="6"/>
        <v>65.989999999999995</v>
      </c>
      <c r="K74" s="36">
        <v>30</v>
      </c>
      <c r="L74" s="5">
        <f t="shared" si="7"/>
        <v>1979.6999999999998</v>
      </c>
      <c r="M74" s="5">
        <v>0</v>
      </c>
      <c r="N74" s="5">
        <f t="shared" si="8"/>
        <v>1979.6999999999998</v>
      </c>
      <c r="O74" s="69" t="s">
        <v>64</v>
      </c>
      <c r="P74" s="4" t="s">
        <v>65</v>
      </c>
      <c r="Q74" s="4"/>
    </row>
    <row r="75" spans="1:17" hidden="1" x14ac:dyDescent="0.2">
      <c r="A75" s="172">
        <v>66925</v>
      </c>
      <c r="B75" s="4" t="s">
        <v>829</v>
      </c>
      <c r="C75" s="4" t="s">
        <v>763</v>
      </c>
      <c r="D75" s="4" t="s">
        <v>72</v>
      </c>
      <c r="E75" s="41">
        <v>3.72</v>
      </c>
      <c r="F75" s="41">
        <v>7.8</v>
      </c>
      <c r="G75" s="5">
        <v>2</v>
      </c>
      <c r="H75" s="4" t="s">
        <v>758</v>
      </c>
      <c r="I75" s="5">
        <v>0</v>
      </c>
      <c r="J75" s="5">
        <f t="shared" si="6"/>
        <v>64.087999999999994</v>
      </c>
      <c r="K75" s="36">
        <v>8.8000000000000007</v>
      </c>
      <c r="L75" s="5">
        <f t="shared" si="7"/>
        <v>563.97439999999995</v>
      </c>
      <c r="M75" s="5">
        <v>0</v>
      </c>
      <c r="N75" s="5">
        <f t="shared" si="8"/>
        <v>563.97439999999995</v>
      </c>
      <c r="O75" s="69" t="s">
        <v>64</v>
      </c>
      <c r="P75" s="4" t="s">
        <v>65</v>
      </c>
      <c r="Q75" s="4"/>
    </row>
    <row r="76" spans="1:17" hidden="1" x14ac:dyDescent="0.2">
      <c r="A76" s="172">
        <v>66925</v>
      </c>
      <c r="B76" s="4" t="s">
        <v>830</v>
      </c>
      <c r="C76" s="4" t="s">
        <v>765</v>
      </c>
      <c r="D76" s="4" t="s">
        <v>72</v>
      </c>
      <c r="E76" s="41">
        <v>4.7</v>
      </c>
      <c r="F76" s="41">
        <v>8.0500000000000007</v>
      </c>
      <c r="G76" s="5">
        <v>2</v>
      </c>
      <c r="H76" s="4" t="s">
        <v>758</v>
      </c>
      <c r="I76" s="5">
        <v>0</v>
      </c>
      <c r="J76" s="5">
        <f t="shared" si="6"/>
        <v>72.232500000000016</v>
      </c>
      <c r="K76" s="36">
        <v>6.2</v>
      </c>
      <c r="L76" s="5">
        <f t="shared" si="7"/>
        <v>447.84150000000011</v>
      </c>
      <c r="M76" s="5">
        <v>0</v>
      </c>
      <c r="N76" s="5">
        <f t="shared" si="8"/>
        <v>447.84150000000011</v>
      </c>
      <c r="O76" s="69" t="s">
        <v>64</v>
      </c>
      <c r="P76" s="4" t="s">
        <v>65</v>
      </c>
      <c r="Q76" s="4"/>
    </row>
    <row r="77" spans="1:17" hidden="1" x14ac:dyDescent="0.2">
      <c r="A77" s="172">
        <v>66925</v>
      </c>
      <c r="B77" s="4" t="s">
        <v>831</v>
      </c>
      <c r="C77" s="4" t="s">
        <v>767</v>
      </c>
      <c r="D77" s="4" t="s">
        <v>760</v>
      </c>
      <c r="E77" s="41">
        <v>0</v>
      </c>
      <c r="F77" s="41">
        <v>0</v>
      </c>
      <c r="G77" s="5">
        <v>15.5</v>
      </c>
      <c r="H77" s="4" t="s">
        <v>751</v>
      </c>
      <c r="I77" s="5">
        <f>G77*E77</f>
        <v>0</v>
      </c>
      <c r="J77" s="5">
        <f t="shared" si="6"/>
        <v>0</v>
      </c>
      <c r="K77" s="36">
        <v>0</v>
      </c>
      <c r="L77" s="5">
        <f t="shared" si="7"/>
        <v>0</v>
      </c>
      <c r="M77" s="5">
        <v>0</v>
      </c>
      <c r="N77" s="5">
        <f t="shared" si="8"/>
        <v>0</v>
      </c>
      <c r="O77" s="69" t="s">
        <v>64</v>
      </c>
      <c r="P77" s="4" t="s">
        <v>65</v>
      </c>
      <c r="Q77" s="4"/>
    </row>
    <row r="78" spans="1:17" hidden="1" x14ac:dyDescent="0.2">
      <c r="A78" s="172">
        <v>66925</v>
      </c>
      <c r="B78" s="4" t="s">
        <v>832</v>
      </c>
      <c r="C78" s="4" t="s">
        <v>769</v>
      </c>
      <c r="D78" s="4" t="s">
        <v>63</v>
      </c>
      <c r="E78" s="41">
        <v>0</v>
      </c>
      <c r="F78" s="41">
        <v>0</v>
      </c>
      <c r="G78" s="5">
        <v>0</v>
      </c>
      <c r="H78" s="4" t="s">
        <v>751</v>
      </c>
      <c r="I78" s="5">
        <v>84</v>
      </c>
      <c r="J78" s="5">
        <f t="shared" si="6"/>
        <v>84</v>
      </c>
      <c r="K78" s="36">
        <v>200</v>
      </c>
      <c r="L78" s="5">
        <f t="shared" si="7"/>
        <v>16800</v>
      </c>
      <c r="M78" s="5">
        <v>0</v>
      </c>
      <c r="N78" s="5">
        <f t="shared" si="8"/>
        <v>16800</v>
      </c>
      <c r="O78" s="69" t="s">
        <v>64</v>
      </c>
      <c r="P78" s="4" t="s">
        <v>65</v>
      </c>
      <c r="Q78" s="4"/>
    </row>
    <row r="79" spans="1:17" x14ac:dyDescent="0.2">
      <c r="A79" s="172">
        <v>66926</v>
      </c>
      <c r="B79" s="4" t="s">
        <v>833</v>
      </c>
      <c r="C79" s="4" t="s">
        <v>757</v>
      </c>
      <c r="D79" s="4" t="s">
        <v>72</v>
      </c>
      <c r="E79" s="41">
        <v>3.4</v>
      </c>
      <c r="F79" s="41">
        <v>7.6</v>
      </c>
      <c r="G79" s="5">
        <v>4.5</v>
      </c>
      <c r="H79" s="4" t="s">
        <v>758</v>
      </c>
      <c r="I79" s="5">
        <v>0</v>
      </c>
      <c r="J79" s="5">
        <f t="shared" si="6"/>
        <v>63.39</v>
      </c>
      <c r="K79" s="36">
        <v>79.400000000000006</v>
      </c>
      <c r="L79" s="5">
        <f t="shared" si="7"/>
        <v>5033.1660000000002</v>
      </c>
      <c r="M79" s="5">
        <v>0</v>
      </c>
      <c r="N79" s="5">
        <f t="shared" si="8"/>
        <v>5033.1660000000002</v>
      </c>
      <c r="O79" s="69" t="s">
        <v>64</v>
      </c>
      <c r="P79" s="4" t="s">
        <v>65</v>
      </c>
      <c r="Q79" s="4"/>
    </row>
    <row r="80" spans="1:17" x14ac:dyDescent="0.2">
      <c r="A80" s="172">
        <v>66926</v>
      </c>
      <c r="B80" s="4" t="s">
        <v>834</v>
      </c>
      <c r="C80" s="4" t="s">
        <v>757</v>
      </c>
      <c r="D80" s="4" t="s">
        <v>760</v>
      </c>
      <c r="E80" s="41">
        <v>5.3</v>
      </c>
      <c r="F80" s="41">
        <v>7.6</v>
      </c>
      <c r="G80" s="5">
        <v>5</v>
      </c>
      <c r="H80" s="4" t="s">
        <v>758</v>
      </c>
      <c r="I80" s="5">
        <v>0</v>
      </c>
      <c r="J80" s="5">
        <f t="shared" si="6"/>
        <v>77.474999999999994</v>
      </c>
      <c r="K80" s="36">
        <v>38.299999999999997</v>
      </c>
      <c r="L80" s="5">
        <f t="shared" si="7"/>
        <v>2967.2924999999996</v>
      </c>
      <c r="M80" s="5">
        <v>0</v>
      </c>
      <c r="N80" s="5">
        <f t="shared" si="8"/>
        <v>2967.2924999999996</v>
      </c>
      <c r="O80" s="69" t="s">
        <v>64</v>
      </c>
      <c r="P80" s="4" t="s">
        <v>65</v>
      </c>
      <c r="Q80" s="4"/>
    </row>
    <row r="81" spans="1:17" hidden="1" x14ac:dyDescent="0.2">
      <c r="A81" s="172">
        <v>66926</v>
      </c>
      <c r="B81" s="4" t="s">
        <v>835</v>
      </c>
      <c r="C81" s="4" t="s">
        <v>628</v>
      </c>
      <c r="D81" s="4" t="s">
        <v>72</v>
      </c>
      <c r="E81" s="41">
        <v>3.6</v>
      </c>
      <c r="F81" s="41">
        <v>7.8</v>
      </c>
      <c r="G81" s="5">
        <v>4.5</v>
      </c>
      <c r="H81" s="4" t="s">
        <v>758</v>
      </c>
      <c r="I81" s="5">
        <v>0</v>
      </c>
      <c r="J81" s="5">
        <f t="shared" si="6"/>
        <v>65.72999999999999</v>
      </c>
      <c r="K81" s="36">
        <v>29.5</v>
      </c>
      <c r="L81" s="5">
        <f t="shared" si="7"/>
        <v>1939.0349999999996</v>
      </c>
      <c r="M81" s="5">
        <v>0</v>
      </c>
      <c r="N81" s="5">
        <f t="shared" si="8"/>
        <v>1939.0349999999996</v>
      </c>
      <c r="O81" s="69" t="s">
        <v>64</v>
      </c>
      <c r="P81" s="4" t="s">
        <v>65</v>
      </c>
      <c r="Q81" s="4"/>
    </row>
    <row r="82" spans="1:17" hidden="1" x14ac:dyDescent="0.2">
      <c r="A82" s="172">
        <v>66926</v>
      </c>
      <c r="B82" s="4" t="s">
        <v>836</v>
      </c>
      <c r="C82" s="4" t="s">
        <v>763</v>
      </c>
      <c r="D82" s="4" t="s">
        <v>72</v>
      </c>
      <c r="E82" s="41">
        <v>3.65</v>
      </c>
      <c r="F82" s="41">
        <v>7.8</v>
      </c>
      <c r="G82" s="5">
        <v>2</v>
      </c>
      <c r="H82" s="4" t="s">
        <v>758</v>
      </c>
      <c r="I82" s="5">
        <v>0</v>
      </c>
      <c r="J82" s="5">
        <f t="shared" si="6"/>
        <v>63.587499999999991</v>
      </c>
      <c r="K82" s="36">
        <v>7.8</v>
      </c>
      <c r="L82" s="5">
        <f t="shared" si="7"/>
        <v>495.9824999999999</v>
      </c>
      <c r="M82" s="5">
        <v>0</v>
      </c>
      <c r="N82" s="5">
        <f t="shared" si="8"/>
        <v>495.9824999999999</v>
      </c>
      <c r="O82" s="69" t="s">
        <v>64</v>
      </c>
      <c r="P82" s="4" t="s">
        <v>65</v>
      </c>
      <c r="Q82" s="4"/>
    </row>
    <row r="83" spans="1:17" hidden="1" x14ac:dyDescent="0.2">
      <c r="A83" s="172">
        <v>66926</v>
      </c>
      <c r="B83" s="4" t="s">
        <v>837</v>
      </c>
      <c r="C83" s="4" t="s">
        <v>765</v>
      </c>
      <c r="D83" s="4" t="s">
        <v>72</v>
      </c>
      <c r="E83" s="41">
        <v>4.6500000000000004</v>
      </c>
      <c r="F83" s="41">
        <v>8.0500000000000007</v>
      </c>
      <c r="G83" s="5">
        <v>2</v>
      </c>
      <c r="H83" s="4" t="s">
        <v>758</v>
      </c>
      <c r="I83" s="5">
        <v>0</v>
      </c>
      <c r="J83" s="5">
        <f t="shared" si="6"/>
        <v>71.875</v>
      </c>
      <c r="K83" s="36">
        <v>6.3</v>
      </c>
      <c r="L83" s="5">
        <f t="shared" si="7"/>
        <v>452.8125</v>
      </c>
      <c r="M83" s="5">
        <v>0</v>
      </c>
      <c r="N83" s="5">
        <f t="shared" si="8"/>
        <v>452.8125</v>
      </c>
      <c r="O83" s="69" t="s">
        <v>64</v>
      </c>
      <c r="P83" s="4" t="s">
        <v>65</v>
      </c>
      <c r="Q83" s="4"/>
    </row>
    <row r="84" spans="1:17" hidden="1" x14ac:dyDescent="0.2">
      <c r="A84" s="172">
        <v>66926</v>
      </c>
      <c r="B84" s="4" t="s">
        <v>838</v>
      </c>
      <c r="C84" s="4" t="s">
        <v>767</v>
      </c>
      <c r="D84" s="4" t="s">
        <v>760</v>
      </c>
      <c r="E84" s="41">
        <v>6.3</v>
      </c>
      <c r="F84" s="41">
        <v>0</v>
      </c>
      <c r="G84" s="5">
        <v>15.5</v>
      </c>
      <c r="H84" s="4" t="s">
        <v>751</v>
      </c>
      <c r="I84" s="5">
        <f>G84*E84</f>
        <v>97.649999999999991</v>
      </c>
      <c r="J84" s="5">
        <f t="shared" si="6"/>
        <v>97.649999999999991</v>
      </c>
      <c r="K84" s="36">
        <v>240</v>
      </c>
      <c r="L84" s="5">
        <f t="shared" si="7"/>
        <v>23435.999999999996</v>
      </c>
      <c r="M84" s="5">
        <v>0</v>
      </c>
      <c r="N84" s="5">
        <f t="shared" si="8"/>
        <v>23435.999999999996</v>
      </c>
      <c r="O84" s="69" t="s">
        <v>64</v>
      </c>
      <c r="P84" s="4" t="s">
        <v>65</v>
      </c>
      <c r="Q84" s="4"/>
    </row>
    <row r="85" spans="1:17" hidden="1" x14ac:dyDescent="0.2">
      <c r="A85" s="172">
        <v>66926</v>
      </c>
      <c r="B85" s="4" t="s">
        <v>839</v>
      </c>
      <c r="C85" s="4" t="s">
        <v>769</v>
      </c>
      <c r="D85" s="4" t="s">
        <v>63</v>
      </c>
      <c r="E85" s="41">
        <v>0</v>
      </c>
      <c r="F85" s="41">
        <v>0</v>
      </c>
      <c r="G85" s="5">
        <v>0</v>
      </c>
      <c r="H85" s="4" t="s">
        <v>751</v>
      </c>
      <c r="I85" s="5">
        <v>84</v>
      </c>
      <c r="J85" s="5">
        <f t="shared" si="6"/>
        <v>84</v>
      </c>
      <c r="K85" s="36">
        <v>0</v>
      </c>
      <c r="L85" s="5">
        <f t="shared" si="7"/>
        <v>0</v>
      </c>
      <c r="M85" s="5">
        <v>0</v>
      </c>
      <c r="N85" s="5">
        <f t="shared" si="8"/>
        <v>0</v>
      </c>
      <c r="O85" s="69" t="s">
        <v>64</v>
      </c>
      <c r="P85" s="4" t="s">
        <v>65</v>
      </c>
      <c r="Q85" s="4"/>
    </row>
    <row r="86" spans="1:17" hidden="1" x14ac:dyDescent="0.2">
      <c r="A86" s="172">
        <v>66916</v>
      </c>
      <c r="B86" s="4" t="s">
        <v>840</v>
      </c>
      <c r="C86" s="4" t="s">
        <v>841</v>
      </c>
      <c r="D86" s="4" t="s">
        <v>760</v>
      </c>
      <c r="E86" s="41">
        <v>0</v>
      </c>
      <c r="F86" s="41">
        <v>0</v>
      </c>
      <c r="G86" s="5">
        <v>0</v>
      </c>
      <c r="H86" s="4" t="s">
        <v>751</v>
      </c>
      <c r="I86" s="5">
        <v>75</v>
      </c>
      <c r="J86" s="5">
        <f t="shared" si="6"/>
        <v>75</v>
      </c>
      <c r="K86" s="36">
        <v>40</v>
      </c>
      <c r="L86" s="5">
        <f t="shared" si="7"/>
        <v>3000</v>
      </c>
      <c r="M86" s="5">
        <v>0</v>
      </c>
      <c r="N86" s="5">
        <f t="shared" si="8"/>
        <v>3000</v>
      </c>
      <c r="O86" s="69" t="s">
        <v>64</v>
      </c>
      <c r="P86" s="4" t="s">
        <v>65</v>
      </c>
      <c r="Q86" s="4"/>
    </row>
    <row r="87" spans="1:17" x14ac:dyDescent="0.2">
      <c r="A87" s="172">
        <v>66927</v>
      </c>
      <c r="B87" s="4" t="s">
        <v>842</v>
      </c>
      <c r="C87" s="4" t="s">
        <v>757</v>
      </c>
      <c r="D87" s="4" t="s">
        <v>72</v>
      </c>
      <c r="E87" s="41">
        <v>3.46</v>
      </c>
      <c r="F87" s="41">
        <v>7.6</v>
      </c>
      <c r="G87" s="5">
        <v>4.5</v>
      </c>
      <c r="H87" s="4" t="s">
        <v>758</v>
      </c>
      <c r="I87" s="5">
        <v>0</v>
      </c>
      <c r="J87" s="5">
        <f t="shared" si="6"/>
        <v>63.819000000000003</v>
      </c>
      <c r="K87" s="36">
        <v>79.7</v>
      </c>
      <c r="L87" s="5">
        <f t="shared" si="7"/>
        <v>5086.3743000000004</v>
      </c>
      <c r="M87" s="5">
        <v>0</v>
      </c>
      <c r="N87" s="5">
        <f t="shared" si="8"/>
        <v>5086.3743000000004</v>
      </c>
      <c r="O87" s="69" t="s">
        <v>64</v>
      </c>
      <c r="P87" s="4" t="s">
        <v>65</v>
      </c>
      <c r="Q87" s="4"/>
    </row>
    <row r="88" spans="1:17" x14ac:dyDescent="0.2">
      <c r="A88" s="172">
        <v>66927</v>
      </c>
      <c r="B88" s="4" t="s">
        <v>843</v>
      </c>
      <c r="C88" s="4" t="s">
        <v>757</v>
      </c>
      <c r="D88" s="4" t="s">
        <v>760</v>
      </c>
      <c r="E88" s="41">
        <v>5.36</v>
      </c>
      <c r="F88" s="41">
        <v>7.54</v>
      </c>
      <c r="G88" s="5">
        <v>5</v>
      </c>
      <c r="H88" s="4" t="s">
        <v>758</v>
      </c>
      <c r="I88" s="5">
        <v>0</v>
      </c>
      <c r="J88" s="5">
        <f t="shared" si="6"/>
        <v>77.631</v>
      </c>
      <c r="K88" s="36">
        <v>37.1</v>
      </c>
      <c r="L88" s="5">
        <f t="shared" si="7"/>
        <v>2880.1101000000003</v>
      </c>
      <c r="M88" s="5">
        <v>0</v>
      </c>
      <c r="N88" s="5">
        <f t="shared" si="8"/>
        <v>2880.1101000000003</v>
      </c>
      <c r="O88" s="69" t="s">
        <v>64</v>
      </c>
      <c r="P88" s="4" t="s">
        <v>65</v>
      </c>
      <c r="Q88" s="4"/>
    </row>
    <row r="89" spans="1:17" hidden="1" x14ac:dyDescent="0.2">
      <c r="A89" s="172">
        <v>66927</v>
      </c>
      <c r="B89" s="4" t="s">
        <v>844</v>
      </c>
      <c r="C89" s="4" t="s">
        <v>628</v>
      </c>
      <c r="D89" s="4" t="s">
        <v>72</v>
      </c>
      <c r="E89" s="41">
        <v>3.6</v>
      </c>
      <c r="F89" s="41">
        <v>7.8</v>
      </c>
      <c r="G89" s="5">
        <v>4.5</v>
      </c>
      <c r="H89" s="4" t="s">
        <v>758</v>
      </c>
      <c r="I89" s="5">
        <v>0</v>
      </c>
      <c r="J89" s="5">
        <f t="shared" si="6"/>
        <v>65.72999999999999</v>
      </c>
      <c r="K89" s="36">
        <v>29.5</v>
      </c>
      <c r="L89" s="5">
        <f t="shared" si="7"/>
        <v>1939.0349999999996</v>
      </c>
      <c r="M89" s="5">
        <v>0</v>
      </c>
      <c r="N89" s="5">
        <f t="shared" si="8"/>
        <v>1939.0349999999996</v>
      </c>
      <c r="O89" s="69" t="s">
        <v>64</v>
      </c>
      <c r="P89" s="4" t="s">
        <v>65</v>
      </c>
      <c r="Q89" s="4"/>
    </row>
    <row r="90" spans="1:17" hidden="1" x14ac:dyDescent="0.2">
      <c r="A90" s="172">
        <v>66927</v>
      </c>
      <c r="B90" s="4" t="s">
        <v>845</v>
      </c>
      <c r="C90" s="4" t="s">
        <v>763</v>
      </c>
      <c r="D90" s="4" t="s">
        <v>72</v>
      </c>
      <c r="E90" s="41">
        <v>3.7</v>
      </c>
      <c r="F90" s="41">
        <v>7.8</v>
      </c>
      <c r="G90" s="5">
        <v>2</v>
      </c>
      <c r="H90" s="4" t="s">
        <v>758</v>
      </c>
      <c r="I90" s="5">
        <v>0</v>
      </c>
      <c r="J90" s="5">
        <f t="shared" si="6"/>
        <v>63.944999999999993</v>
      </c>
      <c r="K90" s="36">
        <v>9.6999999999999993</v>
      </c>
      <c r="L90" s="5">
        <f t="shared" si="7"/>
        <v>620.26649999999984</v>
      </c>
      <c r="M90" s="5">
        <v>0</v>
      </c>
      <c r="N90" s="5">
        <f t="shared" si="8"/>
        <v>620.26649999999984</v>
      </c>
      <c r="O90" s="69" t="s">
        <v>64</v>
      </c>
      <c r="P90" s="4" t="s">
        <v>65</v>
      </c>
      <c r="Q90" s="4"/>
    </row>
    <row r="91" spans="1:17" hidden="1" x14ac:dyDescent="0.2">
      <c r="A91" s="172">
        <v>66927</v>
      </c>
      <c r="B91" s="4" t="s">
        <v>846</v>
      </c>
      <c r="C91" s="4" t="s">
        <v>765</v>
      </c>
      <c r="D91" s="4" t="s">
        <v>72</v>
      </c>
      <c r="E91" s="41">
        <v>4.6500000000000004</v>
      </c>
      <c r="F91" s="41">
        <v>8.0500000000000007</v>
      </c>
      <c r="G91" s="5">
        <v>2</v>
      </c>
      <c r="H91" s="4" t="s">
        <v>758</v>
      </c>
      <c r="I91" s="5">
        <v>0</v>
      </c>
      <c r="J91" s="5">
        <f t="shared" si="6"/>
        <v>71.875</v>
      </c>
      <c r="K91" s="36">
        <v>6.3</v>
      </c>
      <c r="L91" s="5">
        <f t="shared" si="7"/>
        <v>452.8125</v>
      </c>
      <c r="M91" s="5">
        <v>0</v>
      </c>
      <c r="N91" s="5">
        <f t="shared" si="8"/>
        <v>452.8125</v>
      </c>
      <c r="O91" s="69" t="s">
        <v>64</v>
      </c>
      <c r="P91" s="4" t="s">
        <v>65</v>
      </c>
      <c r="Q91" s="4"/>
    </row>
    <row r="92" spans="1:17" hidden="1" x14ac:dyDescent="0.2">
      <c r="A92" s="172">
        <v>66927</v>
      </c>
      <c r="B92" s="4" t="s">
        <v>847</v>
      </c>
      <c r="C92" s="4" t="s">
        <v>767</v>
      </c>
      <c r="D92" s="4" t="s">
        <v>760</v>
      </c>
      <c r="E92" s="41">
        <v>0</v>
      </c>
      <c r="F92" s="41">
        <v>0</v>
      </c>
      <c r="G92" s="5">
        <v>15.5</v>
      </c>
      <c r="H92" s="4" t="s">
        <v>751</v>
      </c>
      <c r="I92" s="5">
        <f>G92*E92</f>
        <v>0</v>
      </c>
      <c r="J92" s="5">
        <f t="shared" si="6"/>
        <v>0</v>
      </c>
      <c r="K92" s="36">
        <v>0</v>
      </c>
      <c r="L92" s="5">
        <f t="shared" si="7"/>
        <v>0</v>
      </c>
      <c r="M92" s="5">
        <v>0</v>
      </c>
      <c r="N92" s="5">
        <f t="shared" si="8"/>
        <v>0</v>
      </c>
      <c r="O92" s="69" t="s">
        <v>64</v>
      </c>
      <c r="P92" s="4" t="s">
        <v>65</v>
      </c>
      <c r="Q92" s="4"/>
    </row>
    <row r="93" spans="1:17" hidden="1" x14ac:dyDescent="0.2">
      <c r="A93" s="172">
        <v>66927</v>
      </c>
      <c r="B93" s="4" t="s">
        <v>848</v>
      </c>
      <c r="C93" s="4" t="s">
        <v>769</v>
      </c>
      <c r="D93" s="4" t="s">
        <v>63</v>
      </c>
      <c r="E93" s="41">
        <v>0</v>
      </c>
      <c r="F93" s="41">
        <v>0</v>
      </c>
      <c r="G93" s="5">
        <v>0</v>
      </c>
      <c r="H93" s="4" t="s">
        <v>751</v>
      </c>
      <c r="I93" s="5">
        <v>84</v>
      </c>
      <c r="J93" s="5">
        <f t="shared" si="6"/>
        <v>84</v>
      </c>
      <c r="K93" s="36">
        <v>160</v>
      </c>
      <c r="L93" s="5">
        <f t="shared" si="7"/>
        <v>13440</v>
      </c>
      <c r="M93" s="5">
        <v>0</v>
      </c>
      <c r="N93" s="5">
        <f t="shared" si="8"/>
        <v>13440</v>
      </c>
      <c r="O93" s="69" t="s">
        <v>64</v>
      </c>
      <c r="P93" s="4" t="s">
        <v>65</v>
      </c>
      <c r="Q93" s="4"/>
    </row>
    <row r="94" spans="1:17" hidden="1" x14ac:dyDescent="0.2">
      <c r="A94" s="172">
        <v>66927</v>
      </c>
      <c r="B94" s="4" t="s">
        <v>849</v>
      </c>
      <c r="C94" s="4" t="s">
        <v>841</v>
      </c>
      <c r="D94" s="4" t="s">
        <v>760</v>
      </c>
      <c r="E94" s="41">
        <v>0</v>
      </c>
      <c r="F94" s="41">
        <v>0</v>
      </c>
      <c r="G94" s="5">
        <v>0</v>
      </c>
      <c r="H94" s="4" t="s">
        <v>751</v>
      </c>
      <c r="I94" s="5">
        <v>75</v>
      </c>
      <c r="J94" s="5">
        <f t="shared" si="6"/>
        <v>75</v>
      </c>
      <c r="K94" s="36">
        <v>80</v>
      </c>
      <c r="L94" s="5">
        <f t="shared" si="7"/>
        <v>6000</v>
      </c>
      <c r="M94" s="5">
        <v>0</v>
      </c>
      <c r="N94" s="5">
        <f t="shared" si="8"/>
        <v>6000</v>
      </c>
      <c r="O94" s="69" t="s">
        <v>64</v>
      </c>
      <c r="P94" s="4" t="s">
        <v>65</v>
      </c>
      <c r="Q94" s="4"/>
    </row>
    <row r="95" spans="1:17" x14ac:dyDescent="0.2">
      <c r="A95" s="172">
        <v>66928</v>
      </c>
      <c r="B95" s="4" t="s">
        <v>850</v>
      </c>
      <c r="C95" s="4" t="s">
        <v>757</v>
      </c>
      <c r="D95" s="4" t="s">
        <v>72</v>
      </c>
      <c r="E95" s="41">
        <v>3.4</v>
      </c>
      <c r="F95" s="41">
        <v>7.66</v>
      </c>
      <c r="G95" s="5">
        <v>4.5</v>
      </c>
      <c r="H95" s="4" t="s">
        <v>758</v>
      </c>
      <c r="I95" s="5">
        <v>0</v>
      </c>
      <c r="J95" s="5">
        <f t="shared" si="6"/>
        <v>63.663000000000004</v>
      </c>
      <c r="K95" s="36">
        <v>78.5</v>
      </c>
      <c r="L95" s="5">
        <f t="shared" si="7"/>
        <v>4997.5455000000002</v>
      </c>
      <c r="M95" s="5">
        <v>0</v>
      </c>
      <c r="N95" s="5">
        <f t="shared" si="8"/>
        <v>4997.5455000000002</v>
      </c>
      <c r="O95" s="69" t="s">
        <v>64</v>
      </c>
      <c r="P95" s="4" t="s">
        <v>65</v>
      </c>
      <c r="Q95" s="4"/>
    </row>
    <row r="96" spans="1:17" x14ac:dyDescent="0.2">
      <c r="A96" s="172">
        <v>66928</v>
      </c>
      <c r="B96" s="4" t="s">
        <v>851</v>
      </c>
      <c r="C96" s="4" t="s">
        <v>757</v>
      </c>
      <c r="D96" s="4" t="s">
        <v>760</v>
      </c>
      <c r="E96" s="41">
        <v>5.3</v>
      </c>
      <c r="F96" s="41">
        <v>7.5</v>
      </c>
      <c r="G96" s="5">
        <v>5</v>
      </c>
      <c r="H96" s="4" t="s">
        <v>758</v>
      </c>
      <c r="I96" s="5">
        <v>0</v>
      </c>
      <c r="J96" s="5">
        <f t="shared" si="6"/>
        <v>77.02000000000001</v>
      </c>
      <c r="K96" s="36">
        <v>38.9</v>
      </c>
      <c r="L96" s="5">
        <f t="shared" si="7"/>
        <v>2996.0780000000004</v>
      </c>
      <c r="M96" s="5">
        <v>0</v>
      </c>
      <c r="N96" s="5">
        <f t="shared" si="8"/>
        <v>2996.0780000000004</v>
      </c>
      <c r="O96" s="69" t="s">
        <v>64</v>
      </c>
      <c r="P96" s="4" t="s">
        <v>65</v>
      </c>
      <c r="Q96" s="4"/>
    </row>
    <row r="97" spans="1:17" hidden="1" x14ac:dyDescent="0.2">
      <c r="A97" s="172">
        <v>66928</v>
      </c>
      <c r="B97" s="4" t="s">
        <v>852</v>
      </c>
      <c r="C97" s="4" t="s">
        <v>628</v>
      </c>
      <c r="D97" s="4" t="s">
        <v>72</v>
      </c>
      <c r="E97" s="41">
        <v>3.6</v>
      </c>
      <c r="F97" s="41">
        <v>7.7</v>
      </c>
      <c r="G97" s="5">
        <v>4.5</v>
      </c>
      <c r="H97" s="4" t="s">
        <v>758</v>
      </c>
      <c r="I97" s="5">
        <v>0</v>
      </c>
      <c r="J97" s="5">
        <f t="shared" si="6"/>
        <v>65.275000000000006</v>
      </c>
      <c r="K97" s="36">
        <v>30.6</v>
      </c>
      <c r="L97" s="5">
        <f t="shared" si="7"/>
        <v>1997.4150000000002</v>
      </c>
      <c r="M97" s="5">
        <v>0</v>
      </c>
      <c r="N97" s="5">
        <f t="shared" si="8"/>
        <v>1997.4150000000002</v>
      </c>
      <c r="O97" s="69" t="s">
        <v>64</v>
      </c>
      <c r="P97" s="4" t="s">
        <v>65</v>
      </c>
      <c r="Q97" s="4"/>
    </row>
    <row r="98" spans="1:17" hidden="1" x14ac:dyDescent="0.2">
      <c r="A98" s="172">
        <v>66928</v>
      </c>
      <c r="B98" s="4" t="s">
        <v>853</v>
      </c>
      <c r="C98" s="4" t="s">
        <v>763</v>
      </c>
      <c r="D98" s="4" t="s">
        <v>72</v>
      </c>
      <c r="E98" s="41">
        <v>3.7</v>
      </c>
      <c r="F98" s="41">
        <v>7.86</v>
      </c>
      <c r="G98" s="5">
        <v>2</v>
      </c>
      <c r="H98" s="4" t="s">
        <v>758</v>
      </c>
      <c r="I98" s="5">
        <v>0</v>
      </c>
      <c r="J98" s="5">
        <f t="shared" si="6"/>
        <v>64.218000000000004</v>
      </c>
      <c r="K98" s="36">
        <v>8.9</v>
      </c>
      <c r="L98" s="73">
        <f t="shared" si="7"/>
        <v>571.54020000000003</v>
      </c>
      <c r="M98" s="5">
        <v>0</v>
      </c>
      <c r="N98" s="5">
        <f t="shared" si="8"/>
        <v>571.54020000000003</v>
      </c>
      <c r="O98" s="69" t="s">
        <v>64</v>
      </c>
      <c r="P98" s="4" t="s">
        <v>65</v>
      </c>
      <c r="Q98" s="4"/>
    </row>
    <row r="99" spans="1:17" hidden="1" x14ac:dyDescent="0.2">
      <c r="A99" s="172">
        <v>66928</v>
      </c>
      <c r="B99" s="4" t="s">
        <v>854</v>
      </c>
      <c r="C99" s="4" t="s">
        <v>765</v>
      </c>
      <c r="D99" s="4" t="s">
        <v>72</v>
      </c>
      <c r="E99" s="41">
        <v>4.6500000000000004</v>
      </c>
      <c r="F99" s="41">
        <v>8.0500000000000007</v>
      </c>
      <c r="G99" s="5">
        <v>2</v>
      </c>
      <c r="H99" s="4" t="s">
        <v>758</v>
      </c>
      <c r="I99" s="5">
        <v>0</v>
      </c>
      <c r="J99" s="5">
        <f t="shared" ref="J99:J134" si="9">IF($D99="","",IF($H99="FIXED",$I99,($E99*FAT_MULT)+($F99*SNF_MULT)+$G99))</f>
        <v>71.875</v>
      </c>
      <c r="K99" s="36">
        <v>6.2</v>
      </c>
      <c r="L99" s="5">
        <f t="shared" ref="L99:L134" si="10">IF($K99="","",$K99*$J99)</f>
        <v>445.625</v>
      </c>
      <c r="M99" s="5">
        <v>0</v>
      </c>
      <c r="N99" s="5">
        <f t="shared" ref="N99:N134" si="11">IF($K99="","",$L99+$M99)</f>
        <v>445.625</v>
      </c>
      <c r="O99" s="69" t="s">
        <v>64</v>
      </c>
      <c r="P99" s="4" t="s">
        <v>65</v>
      </c>
      <c r="Q99" s="4"/>
    </row>
    <row r="100" spans="1:17" hidden="1" x14ac:dyDescent="0.2">
      <c r="A100" s="172">
        <v>66928</v>
      </c>
      <c r="B100" s="4" t="s">
        <v>855</v>
      </c>
      <c r="C100" s="4" t="s">
        <v>767</v>
      </c>
      <c r="D100" s="4" t="s">
        <v>760</v>
      </c>
      <c r="E100" s="41">
        <v>5.4</v>
      </c>
      <c r="F100" s="41">
        <v>0</v>
      </c>
      <c r="G100" s="5">
        <v>15.5</v>
      </c>
      <c r="H100" s="4" t="s">
        <v>751</v>
      </c>
      <c r="I100" s="5">
        <f>G100*E100</f>
        <v>83.7</v>
      </c>
      <c r="J100" s="5">
        <f t="shared" si="9"/>
        <v>83.7</v>
      </c>
      <c r="K100" s="36">
        <v>240</v>
      </c>
      <c r="L100" s="5">
        <f t="shared" si="10"/>
        <v>20088</v>
      </c>
      <c r="M100" s="5">
        <v>0</v>
      </c>
      <c r="N100" s="5">
        <f t="shared" si="11"/>
        <v>20088</v>
      </c>
      <c r="O100" s="69" t="s">
        <v>64</v>
      </c>
      <c r="P100" s="4" t="s">
        <v>65</v>
      </c>
      <c r="Q100" s="4"/>
    </row>
    <row r="101" spans="1:17" hidden="1" x14ac:dyDescent="0.2">
      <c r="A101" s="172">
        <v>66928</v>
      </c>
      <c r="B101" s="4" t="s">
        <v>856</v>
      </c>
      <c r="C101" s="4" t="s">
        <v>769</v>
      </c>
      <c r="D101" s="4" t="s">
        <v>63</v>
      </c>
      <c r="E101" s="41">
        <v>0</v>
      </c>
      <c r="F101" s="41">
        <v>0</v>
      </c>
      <c r="G101" s="5">
        <v>0</v>
      </c>
      <c r="H101" s="4" t="s">
        <v>751</v>
      </c>
      <c r="I101" s="5">
        <v>84</v>
      </c>
      <c r="J101" s="5">
        <f t="shared" si="9"/>
        <v>84</v>
      </c>
      <c r="K101" s="36">
        <v>160</v>
      </c>
      <c r="L101" s="5">
        <f t="shared" si="10"/>
        <v>13440</v>
      </c>
      <c r="M101" s="5">
        <v>0</v>
      </c>
      <c r="N101" s="5">
        <f t="shared" si="11"/>
        <v>13440</v>
      </c>
      <c r="O101" s="69" t="s">
        <v>64</v>
      </c>
      <c r="P101" s="4" t="s">
        <v>65</v>
      </c>
      <c r="Q101" s="4"/>
    </row>
    <row r="102" spans="1:17" hidden="1" x14ac:dyDescent="0.2">
      <c r="A102" s="172">
        <v>66928</v>
      </c>
      <c r="B102" s="4" t="s">
        <v>857</v>
      </c>
      <c r="C102" s="4" t="s">
        <v>841</v>
      </c>
      <c r="D102" s="4" t="s">
        <v>760</v>
      </c>
      <c r="E102" s="41">
        <v>0</v>
      </c>
      <c r="F102" s="41">
        <v>0</v>
      </c>
      <c r="G102" s="5">
        <v>0</v>
      </c>
      <c r="H102" s="4" t="s">
        <v>751</v>
      </c>
      <c r="I102" s="5">
        <v>75</v>
      </c>
      <c r="J102" s="5">
        <f t="shared" si="9"/>
        <v>75</v>
      </c>
      <c r="K102" s="36">
        <v>150</v>
      </c>
      <c r="L102" s="5">
        <f t="shared" si="10"/>
        <v>11250</v>
      </c>
      <c r="M102" s="5">
        <v>0</v>
      </c>
      <c r="N102" s="5">
        <f t="shared" si="11"/>
        <v>11250</v>
      </c>
      <c r="O102" s="69" t="s">
        <v>64</v>
      </c>
      <c r="P102" s="4" t="s">
        <v>65</v>
      </c>
      <c r="Q102" s="4"/>
    </row>
    <row r="103" spans="1:17" x14ac:dyDescent="0.2">
      <c r="A103" s="172">
        <v>66929</v>
      </c>
      <c r="B103" s="4" t="s">
        <v>858</v>
      </c>
      <c r="C103" s="4" t="s">
        <v>757</v>
      </c>
      <c r="D103" s="4" t="s">
        <v>72</v>
      </c>
      <c r="E103" s="41">
        <v>3.4</v>
      </c>
      <c r="F103" s="41">
        <v>7.6</v>
      </c>
      <c r="G103" s="5">
        <v>4.5</v>
      </c>
      <c r="H103" s="4" t="s">
        <v>758</v>
      </c>
      <c r="I103" s="5">
        <v>0</v>
      </c>
      <c r="J103" s="5">
        <f t="shared" si="9"/>
        <v>63.39</v>
      </c>
      <c r="K103" s="36">
        <f>21.8+17.7</f>
        <v>39.5</v>
      </c>
      <c r="L103" s="5">
        <f t="shared" si="10"/>
        <v>2503.9050000000002</v>
      </c>
      <c r="M103" s="5">
        <v>0</v>
      </c>
      <c r="N103" s="5">
        <f t="shared" si="11"/>
        <v>2503.9050000000002</v>
      </c>
      <c r="O103" s="69" t="s">
        <v>64</v>
      </c>
      <c r="P103" s="4" t="s">
        <v>65</v>
      </c>
      <c r="Q103" s="4"/>
    </row>
    <row r="104" spans="1:17" x14ac:dyDescent="0.2">
      <c r="A104" s="172">
        <v>66929</v>
      </c>
      <c r="B104" s="4" t="s">
        <v>859</v>
      </c>
      <c r="C104" s="4" t="s">
        <v>757</v>
      </c>
      <c r="D104" s="4" t="s">
        <v>760</v>
      </c>
      <c r="E104" s="41">
        <v>5.34</v>
      </c>
      <c r="F104" s="41">
        <v>7.5</v>
      </c>
      <c r="G104" s="5">
        <v>5</v>
      </c>
      <c r="H104" s="4" t="s">
        <v>758</v>
      </c>
      <c r="I104" s="5">
        <v>0</v>
      </c>
      <c r="J104" s="5">
        <f t="shared" si="9"/>
        <v>77.305999999999997</v>
      </c>
      <c r="K104" s="36">
        <f>44.7+29.2</f>
        <v>73.900000000000006</v>
      </c>
      <c r="L104" s="5">
        <f t="shared" si="10"/>
        <v>5712.9134000000004</v>
      </c>
      <c r="M104" s="5">
        <v>0</v>
      </c>
      <c r="N104" s="5">
        <f t="shared" si="11"/>
        <v>5712.9134000000004</v>
      </c>
      <c r="O104" s="69" t="s">
        <v>64</v>
      </c>
      <c r="P104" s="4" t="s">
        <v>65</v>
      </c>
      <c r="Q104" s="4"/>
    </row>
    <row r="105" spans="1:17" hidden="1" x14ac:dyDescent="0.2">
      <c r="A105" s="172">
        <v>66929</v>
      </c>
      <c r="B105" s="4" t="s">
        <v>860</v>
      </c>
      <c r="C105" s="4" t="s">
        <v>628</v>
      </c>
      <c r="D105" s="4" t="s">
        <v>72</v>
      </c>
      <c r="E105" s="41">
        <v>3.7</v>
      </c>
      <c r="F105" s="41">
        <v>7.7</v>
      </c>
      <c r="G105" s="5">
        <v>4.5</v>
      </c>
      <c r="H105" s="4" t="s">
        <v>758</v>
      </c>
      <c r="I105" s="5">
        <v>0</v>
      </c>
      <c r="J105" s="5">
        <f t="shared" si="9"/>
        <v>65.989999999999995</v>
      </c>
      <c r="K105" s="36">
        <v>32</v>
      </c>
      <c r="L105" s="5">
        <f t="shared" si="10"/>
        <v>2111.6799999999998</v>
      </c>
      <c r="M105" s="5">
        <v>0</v>
      </c>
      <c r="N105" s="5">
        <f t="shared" si="11"/>
        <v>2111.6799999999998</v>
      </c>
      <c r="O105" s="69" t="s">
        <v>64</v>
      </c>
      <c r="P105" s="4" t="s">
        <v>65</v>
      </c>
      <c r="Q105" s="4"/>
    </row>
    <row r="106" spans="1:17" hidden="1" x14ac:dyDescent="0.2">
      <c r="A106" s="172">
        <v>66929</v>
      </c>
      <c r="B106" s="4" t="s">
        <v>861</v>
      </c>
      <c r="C106" s="4" t="s">
        <v>763</v>
      </c>
      <c r="D106" s="4" t="s">
        <v>72</v>
      </c>
      <c r="E106" s="41">
        <v>3.71</v>
      </c>
      <c r="F106" s="41">
        <v>7.86</v>
      </c>
      <c r="G106" s="5">
        <v>2</v>
      </c>
      <c r="H106" s="4" t="s">
        <v>758</v>
      </c>
      <c r="I106" s="5">
        <v>0</v>
      </c>
      <c r="J106" s="5">
        <f t="shared" si="9"/>
        <v>64.289500000000004</v>
      </c>
      <c r="K106" s="36">
        <v>8.9</v>
      </c>
      <c r="L106" s="5">
        <f t="shared" si="10"/>
        <v>572.17655000000002</v>
      </c>
      <c r="M106" s="5">
        <v>0</v>
      </c>
      <c r="N106" s="5">
        <f t="shared" si="11"/>
        <v>572.17655000000002</v>
      </c>
      <c r="O106" s="69" t="s">
        <v>64</v>
      </c>
      <c r="P106" s="4" t="s">
        <v>65</v>
      </c>
      <c r="Q106" s="4"/>
    </row>
    <row r="107" spans="1:17" hidden="1" x14ac:dyDescent="0.2">
      <c r="A107" s="172">
        <v>66929</v>
      </c>
      <c r="B107" s="4" t="s">
        <v>862</v>
      </c>
      <c r="C107" s="4" t="s">
        <v>765</v>
      </c>
      <c r="D107" s="4" t="s">
        <v>72</v>
      </c>
      <c r="E107" s="41">
        <v>4.6500000000000004</v>
      </c>
      <c r="F107" s="41">
        <v>8.11</v>
      </c>
      <c r="G107" s="5">
        <v>2</v>
      </c>
      <c r="H107" s="4" t="s">
        <v>758</v>
      </c>
      <c r="I107" s="5">
        <v>0</v>
      </c>
      <c r="J107" s="5">
        <f t="shared" si="9"/>
        <v>72.147999999999996</v>
      </c>
      <c r="K107" s="36">
        <v>5.8</v>
      </c>
      <c r="L107" s="5">
        <f t="shared" si="10"/>
        <v>418.45839999999998</v>
      </c>
      <c r="M107" s="5">
        <v>0</v>
      </c>
      <c r="N107" s="5">
        <f t="shared" si="11"/>
        <v>418.45839999999998</v>
      </c>
      <c r="O107" s="69" t="s">
        <v>64</v>
      </c>
      <c r="P107" s="4" t="s">
        <v>65</v>
      </c>
      <c r="Q107" s="4"/>
    </row>
    <row r="108" spans="1:17" hidden="1" x14ac:dyDescent="0.2">
      <c r="A108" s="172">
        <v>66929</v>
      </c>
      <c r="B108" s="4" t="s">
        <v>863</v>
      </c>
      <c r="C108" s="4" t="s">
        <v>767</v>
      </c>
      <c r="D108" s="4" t="s">
        <v>760</v>
      </c>
      <c r="E108" s="41">
        <v>0</v>
      </c>
      <c r="F108" s="41">
        <v>0</v>
      </c>
      <c r="G108" s="5">
        <v>15.5</v>
      </c>
      <c r="H108" s="4" t="s">
        <v>751</v>
      </c>
      <c r="I108" s="5">
        <f>G108*E108</f>
        <v>0</v>
      </c>
      <c r="J108" s="5">
        <f t="shared" si="9"/>
        <v>0</v>
      </c>
      <c r="K108" s="36">
        <v>0</v>
      </c>
      <c r="L108" s="5">
        <f t="shared" si="10"/>
        <v>0</v>
      </c>
      <c r="M108" s="5">
        <v>0</v>
      </c>
      <c r="N108" s="5">
        <f t="shared" si="11"/>
        <v>0</v>
      </c>
      <c r="O108" s="69" t="s">
        <v>64</v>
      </c>
      <c r="P108" s="4" t="s">
        <v>65</v>
      </c>
      <c r="Q108" s="4"/>
    </row>
    <row r="109" spans="1:17" hidden="1" x14ac:dyDescent="0.2">
      <c r="A109" s="172">
        <v>66929</v>
      </c>
      <c r="B109" s="4" t="s">
        <v>864</v>
      </c>
      <c r="C109" s="4" t="s">
        <v>769</v>
      </c>
      <c r="D109" s="4" t="s">
        <v>63</v>
      </c>
      <c r="E109" s="41">
        <v>0</v>
      </c>
      <c r="F109" s="41">
        <v>0</v>
      </c>
      <c r="G109" s="5">
        <v>0</v>
      </c>
      <c r="H109" s="4" t="s">
        <v>751</v>
      </c>
      <c r="I109" s="5">
        <v>84</v>
      </c>
      <c r="J109" s="5">
        <f t="shared" si="9"/>
        <v>84</v>
      </c>
      <c r="K109" s="36">
        <v>0</v>
      </c>
      <c r="L109" s="5">
        <f t="shared" si="10"/>
        <v>0</v>
      </c>
      <c r="M109" s="5">
        <v>0</v>
      </c>
      <c r="N109" s="5">
        <f t="shared" si="11"/>
        <v>0</v>
      </c>
      <c r="O109" s="69" t="s">
        <v>64</v>
      </c>
      <c r="P109" s="4" t="s">
        <v>65</v>
      </c>
      <c r="Q109" s="4"/>
    </row>
    <row r="110" spans="1:17" hidden="1" x14ac:dyDescent="0.2">
      <c r="A110" s="172">
        <v>66929</v>
      </c>
      <c r="B110" s="4" t="s">
        <v>865</v>
      </c>
      <c r="C110" s="4" t="s">
        <v>841</v>
      </c>
      <c r="D110" s="4" t="s">
        <v>760</v>
      </c>
      <c r="E110" s="41">
        <v>0</v>
      </c>
      <c r="F110" s="41">
        <v>0</v>
      </c>
      <c r="G110" s="5">
        <v>0</v>
      </c>
      <c r="H110" s="4" t="s">
        <v>751</v>
      </c>
      <c r="I110" s="5">
        <v>75</v>
      </c>
      <c r="J110" s="5">
        <f t="shared" si="9"/>
        <v>75</v>
      </c>
      <c r="K110" s="36">
        <v>120</v>
      </c>
      <c r="L110" s="5">
        <f t="shared" si="10"/>
        <v>9000</v>
      </c>
      <c r="M110" s="5">
        <v>0</v>
      </c>
      <c r="N110" s="5">
        <f t="shared" si="11"/>
        <v>9000</v>
      </c>
      <c r="O110" s="69" t="s">
        <v>64</v>
      </c>
      <c r="P110" s="4" t="s">
        <v>65</v>
      </c>
      <c r="Q110" s="4"/>
    </row>
    <row r="111" spans="1:17" x14ac:dyDescent="0.2">
      <c r="A111" s="172">
        <v>66930</v>
      </c>
      <c r="B111" s="4" t="s">
        <v>866</v>
      </c>
      <c r="C111" s="4" t="s">
        <v>757</v>
      </c>
      <c r="D111" s="4" t="s">
        <v>72</v>
      </c>
      <c r="E111" s="41">
        <v>3.4</v>
      </c>
      <c r="F111" s="41">
        <v>7.6</v>
      </c>
      <c r="G111" s="5">
        <v>4.5</v>
      </c>
      <c r="H111" s="4" t="s">
        <v>758</v>
      </c>
      <c r="I111" s="5">
        <v>0</v>
      </c>
      <c r="J111" s="5">
        <f t="shared" si="9"/>
        <v>63.39</v>
      </c>
      <c r="K111" s="36">
        <v>74.7</v>
      </c>
      <c r="L111" s="5">
        <f t="shared" si="10"/>
        <v>4735.2330000000002</v>
      </c>
      <c r="M111" s="5">
        <v>0</v>
      </c>
      <c r="N111" s="5">
        <f t="shared" si="11"/>
        <v>4735.2330000000002</v>
      </c>
      <c r="O111" s="69" t="s">
        <v>64</v>
      </c>
      <c r="P111" s="4" t="s">
        <v>65</v>
      </c>
      <c r="Q111" s="4"/>
    </row>
    <row r="112" spans="1:17" x14ac:dyDescent="0.2">
      <c r="A112" s="172">
        <v>66930</v>
      </c>
      <c r="B112" s="4" t="s">
        <v>867</v>
      </c>
      <c r="C112" s="4" t="s">
        <v>757</v>
      </c>
      <c r="D112" s="4" t="s">
        <v>760</v>
      </c>
      <c r="E112" s="41">
        <v>5.34</v>
      </c>
      <c r="F112" s="41">
        <v>7.5</v>
      </c>
      <c r="G112" s="5">
        <v>5</v>
      </c>
      <c r="H112" s="4" t="s">
        <v>758</v>
      </c>
      <c r="I112" s="5">
        <v>0</v>
      </c>
      <c r="J112" s="5">
        <f t="shared" si="9"/>
        <v>77.305999999999997</v>
      </c>
      <c r="K112" s="36">
        <v>38.799999999999997</v>
      </c>
      <c r="L112" s="5">
        <f t="shared" si="10"/>
        <v>2999.4727999999996</v>
      </c>
      <c r="M112" s="5">
        <v>0</v>
      </c>
      <c r="N112" s="5">
        <f t="shared" si="11"/>
        <v>2999.4727999999996</v>
      </c>
      <c r="O112" s="69" t="s">
        <v>64</v>
      </c>
      <c r="P112" s="4" t="s">
        <v>65</v>
      </c>
      <c r="Q112" s="4"/>
    </row>
    <row r="113" spans="1:17" hidden="1" x14ac:dyDescent="0.2">
      <c r="A113" s="172">
        <v>66930</v>
      </c>
      <c r="B113" s="4" t="s">
        <v>868</v>
      </c>
      <c r="C113" s="4" t="s">
        <v>628</v>
      </c>
      <c r="D113" s="4" t="s">
        <v>72</v>
      </c>
      <c r="E113" s="41">
        <v>3.6</v>
      </c>
      <c r="F113" s="41">
        <v>7.7</v>
      </c>
      <c r="G113" s="5">
        <v>4.5</v>
      </c>
      <c r="H113" s="4" t="s">
        <v>758</v>
      </c>
      <c r="I113" s="5">
        <v>0</v>
      </c>
      <c r="J113" s="5">
        <f t="shared" si="9"/>
        <v>65.275000000000006</v>
      </c>
      <c r="K113" s="36">
        <v>35</v>
      </c>
      <c r="L113" s="5">
        <f t="shared" si="10"/>
        <v>2284.625</v>
      </c>
      <c r="M113" s="5">
        <v>0</v>
      </c>
      <c r="N113" s="5">
        <f t="shared" si="11"/>
        <v>2284.625</v>
      </c>
      <c r="O113" s="69" t="s">
        <v>64</v>
      </c>
      <c r="P113" s="4" t="s">
        <v>65</v>
      </c>
      <c r="Q113" s="4"/>
    </row>
    <row r="114" spans="1:17" hidden="1" x14ac:dyDescent="0.2">
      <c r="A114" s="172">
        <v>66930</v>
      </c>
      <c r="B114" s="4" t="s">
        <v>869</v>
      </c>
      <c r="C114" s="4" t="s">
        <v>763</v>
      </c>
      <c r="D114" s="4" t="s">
        <v>72</v>
      </c>
      <c r="E114" s="41">
        <v>3.72</v>
      </c>
      <c r="F114" s="41">
        <v>7.86</v>
      </c>
      <c r="G114" s="5">
        <v>2</v>
      </c>
      <c r="H114" s="4" t="s">
        <v>758</v>
      </c>
      <c r="I114" s="5">
        <v>0</v>
      </c>
      <c r="J114" s="5">
        <f t="shared" si="9"/>
        <v>64.361000000000004</v>
      </c>
      <c r="K114" s="36">
        <v>8.1999999999999993</v>
      </c>
      <c r="L114" s="5">
        <f t="shared" si="10"/>
        <v>527.76019999999994</v>
      </c>
      <c r="M114" s="5">
        <v>0</v>
      </c>
      <c r="N114" s="5">
        <f t="shared" si="11"/>
        <v>527.76019999999994</v>
      </c>
      <c r="O114" s="69" t="s">
        <v>64</v>
      </c>
      <c r="P114" s="4" t="s">
        <v>65</v>
      </c>
      <c r="Q114" s="4"/>
    </row>
    <row r="115" spans="1:17" hidden="1" x14ac:dyDescent="0.2">
      <c r="A115" s="172">
        <v>66930</v>
      </c>
      <c r="B115" s="4" t="s">
        <v>870</v>
      </c>
      <c r="C115" s="4" t="s">
        <v>765</v>
      </c>
      <c r="D115" s="4" t="s">
        <v>72</v>
      </c>
      <c r="E115" s="41">
        <v>4.7</v>
      </c>
      <c r="F115" s="41">
        <v>8.06</v>
      </c>
      <c r="G115" s="5">
        <v>2</v>
      </c>
      <c r="H115" s="4" t="s">
        <v>758</v>
      </c>
      <c r="I115" s="5">
        <v>0</v>
      </c>
      <c r="J115" s="5">
        <f t="shared" si="9"/>
        <v>72.278000000000006</v>
      </c>
      <c r="K115" s="36">
        <v>5.6</v>
      </c>
      <c r="L115" s="5">
        <f t="shared" si="10"/>
        <v>404.7568</v>
      </c>
      <c r="M115" s="5">
        <v>0</v>
      </c>
      <c r="N115" s="5">
        <f t="shared" si="11"/>
        <v>404.7568</v>
      </c>
      <c r="O115" s="69" t="s">
        <v>64</v>
      </c>
      <c r="P115" s="4" t="s">
        <v>65</v>
      </c>
      <c r="Q115" s="4"/>
    </row>
    <row r="116" spans="1:17" hidden="1" x14ac:dyDescent="0.2">
      <c r="A116" s="172">
        <v>66930</v>
      </c>
      <c r="B116" s="4" t="s">
        <v>871</v>
      </c>
      <c r="C116" s="4" t="s">
        <v>767</v>
      </c>
      <c r="D116" s="4" t="s">
        <v>760</v>
      </c>
      <c r="E116" s="41">
        <v>6</v>
      </c>
      <c r="F116" s="41">
        <v>0</v>
      </c>
      <c r="G116" s="5">
        <v>15.5</v>
      </c>
      <c r="H116" s="4" t="s">
        <v>751</v>
      </c>
      <c r="I116" s="5">
        <f>G116*E116</f>
        <v>93</v>
      </c>
      <c r="J116" s="5">
        <f t="shared" si="9"/>
        <v>93</v>
      </c>
      <c r="K116" s="36">
        <v>240</v>
      </c>
      <c r="L116" s="73">
        <f t="shared" si="10"/>
        <v>22320</v>
      </c>
      <c r="M116" s="5">
        <v>0</v>
      </c>
      <c r="N116" s="5">
        <f t="shared" si="11"/>
        <v>22320</v>
      </c>
      <c r="O116" s="69" t="s">
        <v>64</v>
      </c>
      <c r="P116" s="4" t="s">
        <v>65</v>
      </c>
      <c r="Q116" s="4"/>
    </row>
    <row r="117" spans="1:17" hidden="1" x14ac:dyDescent="0.2">
      <c r="A117" s="172">
        <v>66930</v>
      </c>
      <c r="B117" s="4" t="s">
        <v>872</v>
      </c>
      <c r="C117" s="4" t="s">
        <v>769</v>
      </c>
      <c r="D117" s="4" t="s">
        <v>63</v>
      </c>
      <c r="E117" s="41">
        <v>0</v>
      </c>
      <c r="F117" s="41">
        <v>0</v>
      </c>
      <c r="G117" s="5">
        <v>0</v>
      </c>
      <c r="H117" s="4" t="s">
        <v>751</v>
      </c>
      <c r="I117" s="5">
        <v>84</v>
      </c>
      <c r="J117" s="5">
        <f t="shared" si="9"/>
        <v>84</v>
      </c>
      <c r="K117" s="36">
        <v>0</v>
      </c>
      <c r="L117" s="5">
        <f t="shared" si="10"/>
        <v>0</v>
      </c>
      <c r="M117" s="5">
        <v>0</v>
      </c>
      <c r="N117" s="5">
        <f t="shared" si="11"/>
        <v>0</v>
      </c>
      <c r="O117" s="69" t="s">
        <v>64</v>
      </c>
      <c r="P117" s="4" t="s">
        <v>65</v>
      </c>
      <c r="Q117" s="4"/>
    </row>
    <row r="118" spans="1:17" hidden="1" x14ac:dyDescent="0.2">
      <c r="A118" s="172">
        <v>66930</v>
      </c>
      <c r="B118" s="4" t="s">
        <v>873</v>
      </c>
      <c r="C118" s="4" t="s">
        <v>841</v>
      </c>
      <c r="D118" s="4" t="s">
        <v>760</v>
      </c>
      <c r="E118" s="41">
        <v>0</v>
      </c>
      <c r="F118" s="41">
        <v>0</v>
      </c>
      <c r="G118" s="5">
        <v>0</v>
      </c>
      <c r="H118" s="4" t="s">
        <v>751</v>
      </c>
      <c r="I118" s="5">
        <v>75</v>
      </c>
      <c r="J118" s="5">
        <f t="shared" si="9"/>
        <v>75</v>
      </c>
      <c r="K118" s="36">
        <v>110</v>
      </c>
      <c r="L118" s="5">
        <f t="shared" si="10"/>
        <v>8250</v>
      </c>
      <c r="M118" s="5">
        <v>0</v>
      </c>
      <c r="N118" s="5">
        <f t="shared" si="11"/>
        <v>8250</v>
      </c>
      <c r="O118" s="69" t="s">
        <v>64</v>
      </c>
      <c r="P118" s="4" t="s">
        <v>65</v>
      </c>
      <c r="Q118" s="4"/>
    </row>
    <row r="119" spans="1:17" x14ac:dyDescent="0.2">
      <c r="A119" s="172">
        <v>66931</v>
      </c>
      <c r="B119" s="4" t="s">
        <v>874</v>
      </c>
      <c r="C119" s="4" t="s">
        <v>757</v>
      </c>
      <c r="D119" s="4" t="s">
        <v>72</v>
      </c>
      <c r="E119" s="41">
        <v>3.46</v>
      </c>
      <c r="F119" s="41">
        <v>7.54</v>
      </c>
      <c r="G119" s="5">
        <v>4.5</v>
      </c>
      <c r="H119" s="4" t="s">
        <v>758</v>
      </c>
      <c r="I119" s="5">
        <v>0</v>
      </c>
      <c r="J119" s="5">
        <f t="shared" si="9"/>
        <v>63.546000000000006</v>
      </c>
      <c r="K119" s="36">
        <v>76</v>
      </c>
      <c r="L119" s="5">
        <f t="shared" si="10"/>
        <v>4829.4960000000001</v>
      </c>
      <c r="M119" s="5">
        <v>0</v>
      </c>
      <c r="N119" s="5">
        <f t="shared" si="11"/>
        <v>4829.4960000000001</v>
      </c>
      <c r="O119" s="69" t="s">
        <v>64</v>
      </c>
      <c r="P119" s="4" t="s">
        <v>65</v>
      </c>
      <c r="Q119" s="4"/>
    </row>
    <row r="120" spans="1:17" x14ac:dyDescent="0.2">
      <c r="A120" s="172">
        <v>66931</v>
      </c>
      <c r="B120" s="4" t="s">
        <v>875</v>
      </c>
      <c r="C120" s="4" t="s">
        <v>757</v>
      </c>
      <c r="D120" s="4" t="s">
        <v>760</v>
      </c>
      <c r="E120" s="41">
        <v>5.3</v>
      </c>
      <c r="F120" s="41">
        <v>7.5</v>
      </c>
      <c r="G120" s="5">
        <v>5</v>
      </c>
      <c r="H120" s="4" t="s">
        <v>758</v>
      </c>
      <c r="I120" s="5">
        <v>0</v>
      </c>
      <c r="J120" s="5">
        <f t="shared" si="9"/>
        <v>77.02000000000001</v>
      </c>
      <c r="K120" s="36">
        <v>40.4</v>
      </c>
      <c r="L120" s="5">
        <f t="shared" si="10"/>
        <v>3111.6080000000002</v>
      </c>
      <c r="M120" s="5">
        <v>0</v>
      </c>
      <c r="N120" s="5">
        <f t="shared" si="11"/>
        <v>3111.6080000000002</v>
      </c>
      <c r="O120" s="69" t="s">
        <v>64</v>
      </c>
      <c r="P120" s="4" t="s">
        <v>65</v>
      </c>
      <c r="Q120" s="4"/>
    </row>
    <row r="121" spans="1:17" hidden="1" x14ac:dyDescent="0.2">
      <c r="A121" s="172">
        <v>66931</v>
      </c>
      <c r="B121" s="4" t="s">
        <v>876</v>
      </c>
      <c r="C121" s="4" t="s">
        <v>628</v>
      </c>
      <c r="D121" s="4" t="s">
        <v>72</v>
      </c>
      <c r="E121" s="41">
        <v>3.7</v>
      </c>
      <c r="F121" s="41">
        <v>7.6</v>
      </c>
      <c r="G121" s="5">
        <v>4.5</v>
      </c>
      <c r="H121" s="4" t="s">
        <v>758</v>
      </c>
      <c r="I121" s="5">
        <v>0</v>
      </c>
      <c r="J121" s="5">
        <f t="shared" si="9"/>
        <v>65.534999999999997</v>
      </c>
      <c r="K121" s="36">
        <v>32</v>
      </c>
      <c r="L121" s="5">
        <f t="shared" si="10"/>
        <v>2097.12</v>
      </c>
      <c r="M121" s="5">
        <v>0</v>
      </c>
      <c r="N121" s="5">
        <f t="shared" si="11"/>
        <v>2097.12</v>
      </c>
      <c r="O121" s="69" t="s">
        <v>64</v>
      </c>
      <c r="P121" s="4" t="s">
        <v>65</v>
      </c>
      <c r="Q121" s="4"/>
    </row>
    <row r="122" spans="1:17" hidden="1" x14ac:dyDescent="0.2">
      <c r="A122" s="172">
        <v>66931</v>
      </c>
      <c r="B122" s="4" t="s">
        <v>877</v>
      </c>
      <c r="C122" s="4" t="s">
        <v>763</v>
      </c>
      <c r="D122" s="4" t="s">
        <v>72</v>
      </c>
      <c r="E122" s="41">
        <v>3.71</v>
      </c>
      <c r="F122" s="41">
        <v>7.8</v>
      </c>
      <c r="G122" s="5">
        <v>2</v>
      </c>
      <c r="H122" s="4" t="s">
        <v>758</v>
      </c>
      <c r="I122" s="5">
        <v>0</v>
      </c>
      <c r="J122" s="5">
        <f t="shared" si="9"/>
        <v>64.016499999999994</v>
      </c>
      <c r="K122" s="36">
        <v>10.1</v>
      </c>
      <c r="L122" s="5">
        <f t="shared" si="10"/>
        <v>646.56664999999987</v>
      </c>
      <c r="M122" s="5">
        <v>0</v>
      </c>
      <c r="N122" s="5">
        <f t="shared" si="11"/>
        <v>646.56664999999987</v>
      </c>
      <c r="O122" s="69" t="s">
        <v>64</v>
      </c>
      <c r="P122" s="4" t="s">
        <v>65</v>
      </c>
      <c r="Q122" s="4"/>
    </row>
    <row r="123" spans="1:17" hidden="1" x14ac:dyDescent="0.2">
      <c r="A123" s="172">
        <v>66931</v>
      </c>
      <c r="B123" s="4" t="s">
        <v>878</v>
      </c>
      <c r="C123" s="4" t="s">
        <v>765</v>
      </c>
      <c r="D123" s="4" t="s">
        <v>72</v>
      </c>
      <c r="E123" s="41">
        <v>4.7</v>
      </c>
      <c r="F123" s="41">
        <v>8.0500000000000007</v>
      </c>
      <c r="G123" s="5">
        <v>2</v>
      </c>
      <c r="H123" s="4" t="s">
        <v>758</v>
      </c>
      <c r="I123" s="5">
        <v>0</v>
      </c>
      <c r="J123" s="5">
        <f t="shared" si="9"/>
        <v>72.232500000000016</v>
      </c>
      <c r="K123" s="36">
        <v>6</v>
      </c>
      <c r="L123" s="5">
        <f t="shared" si="10"/>
        <v>433.3950000000001</v>
      </c>
      <c r="M123" s="5">
        <v>0</v>
      </c>
      <c r="N123" s="5">
        <f t="shared" si="11"/>
        <v>433.3950000000001</v>
      </c>
      <c r="O123" s="69" t="s">
        <v>64</v>
      </c>
      <c r="P123" s="4" t="s">
        <v>65</v>
      </c>
      <c r="Q123" s="4"/>
    </row>
    <row r="124" spans="1:17" hidden="1" x14ac:dyDescent="0.2">
      <c r="A124" s="172">
        <v>66931</v>
      </c>
      <c r="B124" s="4" t="s">
        <v>879</v>
      </c>
      <c r="C124" s="4" t="s">
        <v>767</v>
      </c>
      <c r="D124" s="4" t="s">
        <v>760</v>
      </c>
      <c r="E124" s="41">
        <v>0</v>
      </c>
      <c r="F124" s="41">
        <v>0</v>
      </c>
      <c r="G124" s="5">
        <v>15.5</v>
      </c>
      <c r="H124" s="4" t="s">
        <v>751</v>
      </c>
      <c r="I124" s="5">
        <f>G124*E124</f>
        <v>0</v>
      </c>
      <c r="J124" s="5">
        <f t="shared" si="9"/>
        <v>0</v>
      </c>
      <c r="K124" s="36">
        <v>0</v>
      </c>
      <c r="L124" s="5">
        <f t="shared" si="10"/>
        <v>0</v>
      </c>
      <c r="M124" s="5">
        <v>0</v>
      </c>
      <c r="N124" s="5">
        <f t="shared" si="11"/>
        <v>0</v>
      </c>
      <c r="O124" s="69" t="s">
        <v>64</v>
      </c>
      <c r="P124" s="4" t="s">
        <v>65</v>
      </c>
      <c r="Q124" s="4"/>
    </row>
    <row r="125" spans="1:17" hidden="1" x14ac:dyDescent="0.2">
      <c r="A125" s="172">
        <v>66931</v>
      </c>
      <c r="B125" s="4" t="s">
        <v>880</v>
      </c>
      <c r="C125" s="4" t="s">
        <v>769</v>
      </c>
      <c r="D125" s="4" t="s">
        <v>63</v>
      </c>
      <c r="E125" s="41">
        <v>0</v>
      </c>
      <c r="F125" s="41">
        <v>0</v>
      </c>
      <c r="G125" s="5">
        <v>0</v>
      </c>
      <c r="H125" s="4" t="s">
        <v>751</v>
      </c>
      <c r="I125" s="5">
        <v>84</v>
      </c>
      <c r="J125" s="5">
        <f t="shared" si="9"/>
        <v>84</v>
      </c>
      <c r="K125" s="36">
        <v>0</v>
      </c>
      <c r="L125" s="5">
        <f t="shared" si="10"/>
        <v>0</v>
      </c>
      <c r="M125" s="5">
        <v>0</v>
      </c>
      <c r="N125" s="5">
        <f t="shared" si="11"/>
        <v>0</v>
      </c>
      <c r="O125" s="69" t="s">
        <v>64</v>
      </c>
      <c r="P125" s="4" t="s">
        <v>65</v>
      </c>
      <c r="Q125" s="4"/>
    </row>
    <row r="126" spans="1:17" hidden="1" x14ac:dyDescent="0.2">
      <c r="A126" s="172">
        <v>66931</v>
      </c>
      <c r="B126" s="4" t="s">
        <v>881</v>
      </c>
      <c r="C126" s="4" t="s">
        <v>841</v>
      </c>
      <c r="D126" s="4" t="s">
        <v>760</v>
      </c>
      <c r="E126" s="41">
        <v>0</v>
      </c>
      <c r="F126" s="41">
        <v>0</v>
      </c>
      <c r="G126" s="5">
        <v>0</v>
      </c>
      <c r="H126" s="4" t="s">
        <v>751</v>
      </c>
      <c r="I126" s="5">
        <v>75</v>
      </c>
      <c r="J126" s="5">
        <f t="shared" si="9"/>
        <v>75</v>
      </c>
      <c r="K126" s="36">
        <v>40</v>
      </c>
      <c r="L126" s="5">
        <f t="shared" si="10"/>
        <v>3000</v>
      </c>
      <c r="M126" s="5">
        <v>0</v>
      </c>
      <c r="N126" s="5">
        <f t="shared" si="11"/>
        <v>3000</v>
      </c>
      <c r="O126" s="69" t="s">
        <v>64</v>
      </c>
      <c r="P126" s="4" t="s">
        <v>65</v>
      </c>
      <c r="Q126" s="4"/>
    </row>
    <row r="127" spans="1:17" x14ac:dyDescent="0.2">
      <c r="A127" s="162" t="s">
        <v>404</v>
      </c>
      <c r="B127" s="4" t="s">
        <v>882</v>
      </c>
      <c r="C127" s="4" t="s">
        <v>757</v>
      </c>
      <c r="D127" s="4" t="s">
        <v>72</v>
      </c>
      <c r="E127" s="41">
        <v>3.5</v>
      </c>
      <c r="F127" s="41">
        <v>7.6</v>
      </c>
      <c r="G127" s="5">
        <v>4.5</v>
      </c>
      <c r="H127" s="4" t="s">
        <v>758</v>
      </c>
      <c r="I127" s="5">
        <v>0</v>
      </c>
      <c r="J127" s="5">
        <f t="shared" si="9"/>
        <v>64.105000000000004</v>
      </c>
      <c r="K127" s="36">
        <v>40</v>
      </c>
      <c r="L127" s="5">
        <f t="shared" si="10"/>
        <v>2564.2000000000003</v>
      </c>
      <c r="M127" s="5">
        <v>0</v>
      </c>
      <c r="N127" s="5">
        <f t="shared" si="11"/>
        <v>2564.2000000000003</v>
      </c>
      <c r="O127" s="69" t="s">
        <v>64</v>
      </c>
      <c r="P127" s="4" t="s">
        <v>65</v>
      </c>
      <c r="Q127" s="4"/>
    </row>
    <row r="128" spans="1:17" x14ac:dyDescent="0.2">
      <c r="A128" s="162" t="s">
        <v>404</v>
      </c>
      <c r="B128" s="4" t="s">
        <v>883</v>
      </c>
      <c r="C128" s="4" t="s">
        <v>757</v>
      </c>
      <c r="D128" s="4" t="s">
        <v>760</v>
      </c>
      <c r="E128" s="41">
        <v>5.4</v>
      </c>
      <c r="F128" s="41">
        <v>7.5</v>
      </c>
      <c r="G128" s="5">
        <v>5</v>
      </c>
      <c r="H128" s="4" t="s">
        <v>758</v>
      </c>
      <c r="I128" s="5">
        <v>0</v>
      </c>
      <c r="J128" s="5">
        <f t="shared" si="9"/>
        <v>77.735000000000014</v>
      </c>
      <c r="K128" s="36">
        <v>25</v>
      </c>
      <c r="L128" s="5">
        <f t="shared" si="10"/>
        <v>1943.3750000000005</v>
      </c>
      <c r="M128" s="5">
        <v>0</v>
      </c>
      <c r="N128" s="5">
        <f t="shared" si="11"/>
        <v>1943.3750000000005</v>
      </c>
      <c r="O128" s="69" t="s">
        <v>64</v>
      </c>
      <c r="P128" s="4" t="s">
        <v>65</v>
      </c>
      <c r="Q128" s="4"/>
    </row>
    <row r="129" spans="1:17" hidden="1" x14ac:dyDescent="0.2">
      <c r="A129" s="162" t="s">
        <v>404</v>
      </c>
      <c r="B129" s="4" t="s">
        <v>884</v>
      </c>
      <c r="C129" s="4" t="s">
        <v>628</v>
      </c>
      <c r="D129" s="4" t="s">
        <v>72</v>
      </c>
      <c r="E129" s="41">
        <v>3.5</v>
      </c>
      <c r="F129" s="41">
        <v>7.7</v>
      </c>
      <c r="G129" s="5">
        <v>4.5</v>
      </c>
      <c r="H129" s="4" t="s">
        <v>758</v>
      </c>
      <c r="I129" s="5">
        <v>0</v>
      </c>
      <c r="J129" s="5">
        <f t="shared" si="9"/>
        <v>64.56</v>
      </c>
      <c r="K129" s="36">
        <v>31.3</v>
      </c>
      <c r="L129" s="5">
        <f t="shared" si="10"/>
        <v>2020.7280000000001</v>
      </c>
      <c r="M129" s="5">
        <v>0</v>
      </c>
      <c r="N129" s="5">
        <f t="shared" si="11"/>
        <v>2020.7280000000001</v>
      </c>
      <c r="O129" s="69" t="s">
        <v>64</v>
      </c>
      <c r="P129" s="4" t="s">
        <v>65</v>
      </c>
      <c r="Q129" s="4"/>
    </row>
    <row r="130" spans="1:17" hidden="1" x14ac:dyDescent="0.2">
      <c r="A130" s="162" t="s">
        <v>404</v>
      </c>
      <c r="B130" s="4" t="s">
        <v>885</v>
      </c>
      <c r="C130" s="4" t="s">
        <v>763</v>
      </c>
      <c r="D130" s="4" t="s">
        <v>72</v>
      </c>
      <c r="E130" s="41">
        <v>3.72</v>
      </c>
      <c r="F130" s="41">
        <v>7.8</v>
      </c>
      <c r="G130" s="5">
        <v>2</v>
      </c>
      <c r="H130" s="4" t="s">
        <v>758</v>
      </c>
      <c r="I130" s="5">
        <v>0</v>
      </c>
      <c r="J130" s="5">
        <f t="shared" si="9"/>
        <v>64.087999999999994</v>
      </c>
      <c r="K130" s="36">
        <v>9.8000000000000007</v>
      </c>
      <c r="L130" s="5">
        <f t="shared" si="10"/>
        <v>628.06240000000003</v>
      </c>
      <c r="M130" s="5">
        <v>0</v>
      </c>
      <c r="N130" s="5">
        <f t="shared" si="11"/>
        <v>628.06240000000003</v>
      </c>
      <c r="O130" s="69" t="s">
        <v>64</v>
      </c>
      <c r="P130" s="4" t="s">
        <v>65</v>
      </c>
      <c r="Q130" s="4"/>
    </row>
    <row r="131" spans="1:17" hidden="1" x14ac:dyDescent="0.2">
      <c r="A131" s="162" t="s">
        <v>404</v>
      </c>
      <c r="B131" s="4" t="s">
        <v>886</v>
      </c>
      <c r="C131" s="4" t="s">
        <v>765</v>
      </c>
      <c r="D131" s="4" t="s">
        <v>72</v>
      </c>
      <c r="E131" s="41">
        <v>4.6500000000000004</v>
      </c>
      <c r="F131" s="41">
        <v>8.0500000000000007</v>
      </c>
      <c r="G131" s="5">
        <v>2</v>
      </c>
      <c r="H131" s="4" t="s">
        <v>758</v>
      </c>
      <c r="I131" s="5">
        <v>0</v>
      </c>
      <c r="J131" s="5">
        <f t="shared" si="9"/>
        <v>71.875</v>
      </c>
      <c r="K131" s="36">
        <v>6.4</v>
      </c>
      <c r="L131" s="5">
        <f t="shared" si="10"/>
        <v>460</v>
      </c>
      <c r="M131" s="5">
        <v>0</v>
      </c>
      <c r="N131" s="5">
        <f t="shared" si="11"/>
        <v>460</v>
      </c>
      <c r="O131" s="69" t="s">
        <v>64</v>
      </c>
      <c r="P131" s="4" t="s">
        <v>65</v>
      </c>
      <c r="Q131" s="4"/>
    </row>
    <row r="132" spans="1:17" hidden="1" x14ac:dyDescent="0.2">
      <c r="A132" s="162" t="s">
        <v>404</v>
      </c>
      <c r="B132" s="4" t="s">
        <v>887</v>
      </c>
      <c r="C132" s="4" t="s">
        <v>767</v>
      </c>
      <c r="D132" s="4" t="s">
        <v>760</v>
      </c>
      <c r="E132" s="41">
        <v>5.6</v>
      </c>
      <c r="F132" s="41">
        <v>0</v>
      </c>
      <c r="G132" s="5">
        <v>15.5</v>
      </c>
      <c r="H132" s="4" t="s">
        <v>751</v>
      </c>
      <c r="I132" s="5">
        <f>G132*E132</f>
        <v>86.8</v>
      </c>
      <c r="J132" s="5">
        <f t="shared" si="9"/>
        <v>86.8</v>
      </c>
      <c r="K132" s="36">
        <v>240</v>
      </c>
      <c r="L132" s="5">
        <f t="shared" si="10"/>
        <v>20832</v>
      </c>
      <c r="M132" s="5">
        <v>0</v>
      </c>
      <c r="N132" s="5">
        <f t="shared" si="11"/>
        <v>20832</v>
      </c>
      <c r="O132" s="69" t="s">
        <v>64</v>
      </c>
      <c r="P132" s="4" t="s">
        <v>65</v>
      </c>
      <c r="Q132" s="4"/>
    </row>
    <row r="133" spans="1:17" hidden="1" x14ac:dyDescent="0.2">
      <c r="A133" s="162" t="s">
        <v>404</v>
      </c>
      <c r="B133" s="4" t="s">
        <v>888</v>
      </c>
      <c r="C133" s="4" t="s">
        <v>769</v>
      </c>
      <c r="D133" s="4" t="s">
        <v>63</v>
      </c>
      <c r="E133" s="41">
        <v>0</v>
      </c>
      <c r="F133" s="41">
        <v>0</v>
      </c>
      <c r="G133" s="5">
        <v>0</v>
      </c>
      <c r="H133" s="4" t="s">
        <v>751</v>
      </c>
      <c r="I133" s="5">
        <v>84</v>
      </c>
      <c r="J133" s="5">
        <f t="shared" si="9"/>
        <v>84</v>
      </c>
      <c r="K133" s="36">
        <v>200</v>
      </c>
      <c r="L133" s="5">
        <f t="shared" si="10"/>
        <v>16800</v>
      </c>
      <c r="M133" s="5">
        <v>0</v>
      </c>
      <c r="N133" s="5">
        <f t="shared" si="11"/>
        <v>16800</v>
      </c>
      <c r="O133" s="69" t="s">
        <v>64</v>
      </c>
      <c r="P133" s="4" t="s">
        <v>65</v>
      </c>
      <c r="Q133" s="4"/>
    </row>
    <row r="134" spans="1:17" hidden="1" x14ac:dyDescent="0.2">
      <c r="A134" s="162" t="s">
        <v>404</v>
      </c>
      <c r="B134" s="4" t="s">
        <v>889</v>
      </c>
      <c r="C134" s="4" t="s">
        <v>841</v>
      </c>
      <c r="D134" s="4" t="s">
        <v>760</v>
      </c>
      <c r="E134" s="41">
        <v>0</v>
      </c>
      <c r="F134" s="41">
        <v>0</v>
      </c>
      <c r="G134" s="5">
        <v>0</v>
      </c>
      <c r="H134" s="4" t="s">
        <v>751</v>
      </c>
      <c r="I134" s="5">
        <v>75</v>
      </c>
      <c r="J134" s="5">
        <f t="shared" si="9"/>
        <v>75</v>
      </c>
      <c r="K134" s="36">
        <v>40</v>
      </c>
      <c r="L134" s="5">
        <f t="shared" si="10"/>
        <v>3000</v>
      </c>
      <c r="M134" s="5">
        <v>0</v>
      </c>
      <c r="N134" s="5">
        <f t="shared" si="11"/>
        <v>3000</v>
      </c>
      <c r="O134" s="69" t="s">
        <v>64</v>
      </c>
      <c r="P134" s="4" t="s">
        <v>65</v>
      </c>
      <c r="Q134" s="4"/>
    </row>
    <row r="135" spans="1:17" hidden="1" x14ac:dyDescent="0.2">
      <c r="A135" s="159"/>
      <c r="B135" s="4"/>
      <c r="C135" s="4"/>
      <c r="D135" s="4"/>
      <c r="E135" s="41"/>
      <c r="F135" s="41"/>
      <c r="G135" s="5"/>
      <c r="H135" s="4"/>
      <c r="I135" s="5"/>
      <c r="J135" s="5"/>
      <c r="K135" s="36"/>
      <c r="L135" s="5"/>
      <c r="M135" s="5"/>
      <c r="N135" s="5"/>
      <c r="O135" s="4"/>
      <c r="P135" s="4"/>
      <c r="Q135" s="4"/>
    </row>
    <row r="136" spans="1:17" hidden="1" x14ac:dyDescent="0.2">
      <c r="A136" s="162"/>
      <c r="B136" s="69"/>
      <c r="C136" s="69"/>
      <c r="D136" s="69"/>
      <c r="E136" s="70"/>
      <c r="F136" s="70"/>
      <c r="G136" s="71"/>
      <c r="H136" s="69"/>
      <c r="I136" s="71"/>
      <c r="J136" s="71"/>
      <c r="K136" s="72"/>
      <c r="L136" s="71"/>
      <c r="M136" s="71"/>
      <c r="N136" s="71"/>
      <c r="O136" s="69"/>
      <c r="P136" s="69"/>
      <c r="Q136" s="69"/>
    </row>
    <row r="137" spans="1:17" s="68" customFormat="1" hidden="1" x14ac:dyDescent="0.2">
      <c r="A137" s="163"/>
      <c r="B137" s="64"/>
      <c r="C137" s="64"/>
      <c r="D137" s="64"/>
      <c r="E137" s="65"/>
      <c r="F137" s="65"/>
      <c r="G137" s="66"/>
      <c r="H137" s="64"/>
      <c r="I137" s="66"/>
      <c r="J137" s="66"/>
      <c r="K137" s="67"/>
      <c r="L137" s="66"/>
      <c r="M137" s="66"/>
      <c r="N137" s="66"/>
      <c r="O137" s="64"/>
      <c r="P137" s="64"/>
      <c r="Q137" s="64"/>
    </row>
    <row r="138" spans="1:17" s="68" customFormat="1" hidden="1" x14ac:dyDescent="0.2">
      <c r="A138" s="163"/>
      <c r="B138" s="64"/>
      <c r="C138" s="64"/>
      <c r="D138" s="64"/>
      <c r="E138" s="65"/>
      <c r="F138" s="65"/>
      <c r="G138" s="66"/>
      <c r="H138" s="64"/>
      <c r="I138" s="66"/>
      <c r="J138" s="66"/>
      <c r="K138" s="67"/>
      <c r="L138" s="66"/>
      <c r="M138" s="66"/>
      <c r="N138" s="66"/>
      <c r="O138" s="64"/>
      <c r="P138" s="64"/>
      <c r="Q138" s="64"/>
    </row>
    <row r="139" spans="1:17" hidden="1" x14ac:dyDescent="0.2">
      <c r="A139" s="159"/>
      <c r="B139" s="4"/>
      <c r="C139" s="4"/>
      <c r="D139" s="4"/>
      <c r="E139" s="41"/>
      <c r="F139" s="41"/>
      <c r="G139" s="5"/>
      <c r="H139" s="4"/>
      <c r="I139" s="5"/>
      <c r="J139" s="5"/>
      <c r="K139" s="36"/>
      <c r="L139" s="5"/>
      <c r="M139" s="5"/>
      <c r="N139" s="5"/>
      <c r="O139" s="4"/>
      <c r="P139" s="4"/>
      <c r="Q139" s="4"/>
    </row>
    <row r="140" spans="1:17" s="68" customFormat="1" hidden="1" x14ac:dyDescent="0.2">
      <c r="A140" s="163"/>
      <c r="B140" s="64"/>
      <c r="C140" s="64"/>
      <c r="D140" s="64"/>
      <c r="E140" s="65"/>
      <c r="F140" s="65"/>
      <c r="G140" s="66"/>
      <c r="H140" s="64"/>
      <c r="I140" s="66"/>
      <c r="J140" s="66"/>
      <c r="K140" s="67"/>
      <c r="L140" s="66"/>
      <c r="M140" s="66"/>
      <c r="N140" s="66"/>
      <c r="O140" s="64"/>
      <c r="P140" s="64"/>
      <c r="Q140" s="64"/>
    </row>
    <row r="141" spans="1:17" hidden="1" x14ac:dyDescent="0.2">
      <c r="A141" s="159"/>
      <c r="B141" s="4"/>
      <c r="C141" s="4"/>
      <c r="D141" s="4"/>
      <c r="E141" s="41"/>
      <c r="F141" s="41"/>
      <c r="G141" s="5"/>
      <c r="H141" s="4"/>
      <c r="I141" s="5"/>
      <c r="J141" s="5"/>
      <c r="K141" s="36"/>
      <c r="L141" s="5"/>
      <c r="M141" s="5"/>
      <c r="N141" s="5"/>
      <c r="O141" s="4"/>
      <c r="P141" s="4"/>
      <c r="Q141" s="4"/>
    </row>
    <row r="142" spans="1:17" hidden="1" x14ac:dyDescent="0.2">
      <c r="A142" s="159"/>
      <c r="B142" s="4"/>
      <c r="C142" s="4"/>
      <c r="D142" s="4"/>
      <c r="E142" s="41"/>
      <c r="F142" s="41"/>
      <c r="G142" s="5"/>
      <c r="H142" s="4"/>
      <c r="I142" s="5"/>
      <c r="J142" s="5"/>
      <c r="K142" s="36"/>
      <c r="L142" s="5"/>
      <c r="M142" s="5"/>
      <c r="N142" s="5"/>
      <c r="O142" s="4"/>
      <c r="P142" s="4"/>
      <c r="Q142" s="4"/>
    </row>
    <row r="143" spans="1:17" hidden="1" x14ac:dyDescent="0.2">
      <c r="A143" s="159"/>
      <c r="B143" s="4"/>
      <c r="C143" s="4"/>
      <c r="D143" s="4"/>
      <c r="E143" s="41"/>
      <c r="F143" s="41"/>
      <c r="G143" s="5"/>
      <c r="H143" s="4"/>
      <c r="I143" s="5"/>
      <c r="J143" s="5"/>
      <c r="K143" s="36"/>
      <c r="L143" s="5"/>
      <c r="M143" s="5"/>
      <c r="N143" s="5"/>
      <c r="O143" s="4"/>
      <c r="P143" s="4"/>
      <c r="Q143" s="4"/>
    </row>
    <row r="144" spans="1:17" hidden="1" x14ac:dyDescent="0.2">
      <c r="A144" s="159"/>
      <c r="B144" s="4"/>
      <c r="C144" s="4"/>
      <c r="D144" s="4"/>
      <c r="E144" s="41"/>
      <c r="F144" s="41"/>
      <c r="G144" s="5"/>
      <c r="H144" s="4"/>
      <c r="I144" s="5"/>
      <c r="J144" s="5"/>
      <c r="K144" s="36"/>
      <c r="L144" s="5"/>
      <c r="M144" s="5"/>
      <c r="N144" s="5"/>
      <c r="O144" s="4"/>
      <c r="P144" s="4"/>
      <c r="Q144" s="4"/>
    </row>
    <row r="145" spans="1:17" hidden="1" x14ac:dyDescent="0.2">
      <c r="A145" s="159"/>
      <c r="B145" s="4"/>
      <c r="C145" s="4"/>
      <c r="D145" s="4"/>
      <c r="E145" s="41"/>
      <c r="F145" s="41"/>
      <c r="G145" s="5"/>
      <c r="H145" s="4"/>
      <c r="I145" s="5"/>
      <c r="J145" s="5"/>
      <c r="K145" s="36"/>
      <c r="L145" s="5"/>
      <c r="M145" s="5"/>
      <c r="N145" s="5"/>
      <c r="O145" s="4"/>
      <c r="P145" s="4"/>
      <c r="Q145" s="4"/>
    </row>
    <row r="146" spans="1:17" hidden="1" x14ac:dyDescent="0.2">
      <c r="A146" s="159"/>
      <c r="B146" s="4"/>
      <c r="C146" s="4"/>
      <c r="D146" s="4"/>
      <c r="E146" s="41"/>
      <c r="F146" s="41"/>
      <c r="G146" s="5"/>
      <c r="H146" s="4"/>
      <c r="I146" s="5"/>
      <c r="J146" s="5"/>
      <c r="K146" s="36"/>
      <c r="L146" s="5"/>
      <c r="M146" s="5"/>
      <c r="N146" s="5"/>
      <c r="O146" s="4"/>
      <c r="P146" s="4"/>
      <c r="Q146" s="4"/>
    </row>
    <row r="147" spans="1:17" hidden="1" x14ac:dyDescent="0.2">
      <c r="A147" s="159"/>
      <c r="B147" s="4"/>
      <c r="C147" s="4"/>
      <c r="D147" s="4"/>
      <c r="E147" s="41"/>
      <c r="F147" s="41"/>
      <c r="G147" s="5"/>
      <c r="H147" s="4"/>
      <c r="I147" s="5"/>
      <c r="J147" s="5"/>
      <c r="K147" s="36"/>
      <c r="L147" s="5"/>
      <c r="M147" s="5"/>
      <c r="N147" s="5"/>
      <c r="O147" s="4"/>
      <c r="P147" s="4"/>
      <c r="Q147" s="4"/>
    </row>
    <row r="148" spans="1:17" hidden="1" x14ac:dyDescent="0.2">
      <c r="A148" s="159"/>
      <c r="B148" s="4"/>
      <c r="C148" s="4"/>
      <c r="D148" s="4"/>
      <c r="E148" s="41"/>
      <c r="F148" s="41"/>
      <c r="G148" s="5"/>
      <c r="H148" s="4"/>
      <c r="I148" s="5"/>
      <c r="J148" s="5"/>
      <c r="K148" s="36"/>
      <c r="L148" s="5"/>
      <c r="M148" s="5"/>
      <c r="N148" s="5"/>
      <c r="O148" s="4"/>
      <c r="P148" s="4"/>
      <c r="Q148" s="4"/>
    </row>
    <row r="149" spans="1:17" hidden="1" x14ac:dyDescent="0.2">
      <c r="A149" s="159"/>
      <c r="B149" s="4"/>
      <c r="C149" s="4"/>
      <c r="D149" s="4"/>
      <c r="E149" s="41"/>
      <c r="F149" s="41"/>
      <c r="G149" s="5"/>
      <c r="H149" s="4"/>
      <c r="I149" s="5"/>
      <c r="J149" s="5"/>
      <c r="K149" s="36"/>
      <c r="L149" s="5"/>
      <c r="M149" s="5"/>
      <c r="N149" s="5"/>
      <c r="O149" s="4"/>
      <c r="P149" s="4"/>
      <c r="Q149" s="4"/>
    </row>
    <row r="150" spans="1:17" hidden="1" x14ac:dyDescent="0.2">
      <c r="A150" s="159"/>
      <c r="B150" s="4"/>
      <c r="C150" s="4"/>
      <c r="D150" s="4"/>
      <c r="E150" s="41"/>
      <c r="F150" s="41"/>
      <c r="G150" s="5"/>
      <c r="H150" s="4"/>
      <c r="I150" s="5"/>
      <c r="J150" s="5"/>
      <c r="K150" s="36"/>
      <c r="L150" s="5"/>
      <c r="M150" s="5"/>
      <c r="N150" s="5"/>
      <c r="O150" s="4"/>
      <c r="P150" s="4"/>
      <c r="Q150" s="4"/>
    </row>
    <row r="151" spans="1:17" hidden="1" x14ac:dyDescent="0.2">
      <c r="A151" s="159"/>
      <c r="B151" s="4"/>
      <c r="C151" s="4"/>
      <c r="D151" s="4"/>
      <c r="E151" s="41"/>
      <c r="F151" s="41"/>
      <c r="G151" s="5"/>
      <c r="H151" s="4"/>
      <c r="I151" s="5"/>
      <c r="J151" s="5"/>
      <c r="K151" s="36"/>
      <c r="L151" s="5"/>
      <c r="M151" s="5"/>
      <c r="N151" s="5"/>
      <c r="O151" s="4"/>
      <c r="P151" s="4"/>
      <c r="Q151" s="4"/>
    </row>
    <row r="152" spans="1:17" hidden="1" x14ac:dyDescent="0.2">
      <c r="A152" s="159"/>
      <c r="B152" s="4"/>
      <c r="C152" s="4"/>
      <c r="D152" s="4"/>
      <c r="E152" s="41"/>
      <c r="F152" s="41"/>
      <c r="G152" s="5"/>
      <c r="H152" s="4"/>
      <c r="I152" s="5"/>
      <c r="J152" s="5"/>
      <c r="K152" s="36"/>
      <c r="L152" s="5"/>
      <c r="M152" s="5"/>
      <c r="N152" s="5"/>
      <c r="O152" s="4"/>
      <c r="P152" s="4"/>
      <c r="Q152" s="4"/>
    </row>
    <row r="153" spans="1:17" hidden="1" x14ac:dyDescent="0.2">
      <c r="A153" s="159"/>
      <c r="B153" s="4"/>
      <c r="C153" s="4"/>
      <c r="D153" s="4"/>
      <c r="E153" s="41"/>
      <c r="F153" s="41"/>
      <c r="G153" s="5"/>
      <c r="H153" s="4"/>
      <c r="I153" s="5"/>
      <c r="J153" s="5" t="str">
        <f t="shared" ref="J153:J216" si="12">IF($D153="","",IF($H153="FIXED",$I153,($E153*FAT_MULT)+($F153*SNF_MULT)+$G153))</f>
        <v/>
      </c>
      <c r="K153" s="36"/>
      <c r="L153" s="5" t="str">
        <f t="shared" ref="L153:L216" si="13">IF($K153="","",$K153*$J153)</f>
        <v/>
      </c>
      <c r="M153" s="5"/>
      <c r="N153" s="5" t="str">
        <f t="shared" ref="N153:N216" si="14">IF($K153="","",$L153+$M153)</f>
        <v/>
      </c>
      <c r="O153" s="4"/>
      <c r="P153" s="4"/>
      <c r="Q153" s="4"/>
    </row>
    <row r="154" spans="1:17" hidden="1" x14ac:dyDescent="0.2">
      <c r="A154" s="159"/>
      <c r="B154" s="4"/>
      <c r="C154" s="4"/>
      <c r="D154" s="4"/>
      <c r="E154" s="41"/>
      <c r="F154" s="41"/>
      <c r="G154" s="5"/>
      <c r="H154" s="4"/>
      <c r="I154" s="5"/>
      <c r="J154" s="5" t="str">
        <f t="shared" si="12"/>
        <v/>
      </c>
      <c r="K154" s="36"/>
      <c r="L154" s="5" t="str">
        <f t="shared" si="13"/>
        <v/>
      </c>
      <c r="M154" s="5"/>
      <c r="N154" s="5" t="str">
        <f t="shared" si="14"/>
        <v/>
      </c>
      <c r="O154" s="4"/>
      <c r="P154" s="4"/>
      <c r="Q154" s="4"/>
    </row>
    <row r="155" spans="1:17" hidden="1" x14ac:dyDescent="0.2">
      <c r="A155" s="159"/>
      <c r="B155" s="4"/>
      <c r="C155" s="4"/>
      <c r="D155" s="4"/>
      <c r="E155" s="41"/>
      <c r="F155" s="41"/>
      <c r="G155" s="5"/>
      <c r="H155" s="4"/>
      <c r="I155" s="5"/>
      <c r="J155" s="5" t="str">
        <f t="shared" si="12"/>
        <v/>
      </c>
      <c r="K155" s="36"/>
      <c r="L155" s="5" t="str">
        <f t="shared" si="13"/>
        <v/>
      </c>
      <c r="M155" s="5"/>
      <c r="N155" s="5" t="str">
        <f t="shared" si="14"/>
        <v/>
      </c>
      <c r="O155" s="4"/>
      <c r="P155" s="4"/>
      <c r="Q155" s="4"/>
    </row>
    <row r="156" spans="1:17" hidden="1" x14ac:dyDescent="0.2">
      <c r="A156" s="159"/>
      <c r="B156" s="4"/>
      <c r="C156" s="4"/>
      <c r="D156" s="4"/>
      <c r="E156" s="41"/>
      <c r="F156" s="41"/>
      <c r="G156" s="5"/>
      <c r="H156" s="4"/>
      <c r="I156" s="5"/>
      <c r="J156" s="5" t="str">
        <f t="shared" si="12"/>
        <v/>
      </c>
      <c r="K156" s="36"/>
      <c r="L156" s="5" t="str">
        <f t="shared" si="13"/>
        <v/>
      </c>
      <c r="M156" s="5"/>
      <c r="N156" s="5" t="str">
        <f t="shared" si="14"/>
        <v/>
      </c>
      <c r="O156" s="4"/>
      <c r="P156" s="4"/>
      <c r="Q156" s="4"/>
    </row>
    <row r="157" spans="1:17" hidden="1" x14ac:dyDescent="0.2">
      <c r="A157" s="159"/>
      <c r="B157" s="4"/>
      <c r="C157" s="4"/>
      <c r="D157" s="4"/>
      <c r="E157" s="41"/>
      <c r="F157" s="41"/>
      <c r="G157" s="5"/>
      <c r="H157" s="4"/>
      <c r="I157" s="5"/>
      <c r="J157" s="5" t="str">
        <f t="shared" si="12"/>
        <v/>
      </c>
      <c r="K157" s="36"/>
      <c r="L157" s="5" t="str">
        <f t="shared" si="13"/>
        <v/>
      </c>
      <c r="M157" s="5"/>
      <c r="N157" s="5" t="str">
        <f t="shared" si="14"/>
        <v/>
      </c>
      <c r="O157" s="4"/>
      <c r="P157" s="4"/>
      <c r="Q157" s="4"/>
    </row>
    <row r="158" spans="1:17" hidden="1" x14ac:dyDescent="0.2">
      <c r="A158" s="159"/>
      <c r="B158" s="4"/>
      <c r="C158" s="4"/>
      <c r="D158" s="4"/>
      <c r="E158" s="41"/>
      <c r="F158" s="41"/>
      <c r="G158" s="5"/>
      <c r="H158" s="4"/>
      <c r="I158" s="5"/>
      <c r="J158" s="5" t="str">
        <f t="shared" si="12"/>
        <v/>
      </c>
      <c r="K158" s="36"/>
      <c r="L158" s="5" t="str">
        <f t="shared" si="13"/>
        <v/>
      </c>
      <c r="M158" s="5"/>
      <c r="N158" s="5" t="str">
        <f t="shared" si="14"/>
        <v/>
      </c>
      <c r="O158" s="4"/>
      <c r="P158" s="4"/>
      <c r="Q158" s="4"/>
    </row>
    <row r="159" spans="1:17" hidden="1" x14ac:dyDescent="0.2">
      <c r="A159" s="159"/>
      <c r="B159" s="4"/>
      <c r="C159" s="4"/>
      <c r="D159" s="4"/>
      <c r="E159" s="41"/>
      <c r="F159" s="41"/>
      <c r="G159" s="5"/>
      <c r="H159" s="4"/>
      <c r="I159" s="5"/>
      <c r="J159" s="5" t="str">
        <f t="shared" si="12"/>
        <v/>
      </c>
      <c r="K159" s="36"/>
      <c r="L159" s="5" t="str">
        <f t="shared" si="13"/>
        <v/>
      </c>
      <c r="M159" s="5"/>
      <c r="N159" s="5" t="str">
        <f t="shared" si="14"/>
        <v/>
      </c>
      <c r="O159" s="4"/>
      <c r="P159" s="4"/>
      <c r="Q159" s="4"/>
    </row>
    <row r="160" spans="1:17" hidden="1" x14ac:dyDescent="0.2">
      <c r="A160" s="159"/>
      <c r="B160" s="4"/>
      <c r="C160" s="4"/>
      <c r="D160" s="4"/>
      <c r="E160" s="41"/>
      <c r="F160" s="41"/>
      <c r="G160" s="5"/>
      <c r="H160" s="4"/>
      <c r="I160" s="5"/>
      <c r="J160" s="5" t="str">
        <f t="shared" si="12"/>
        <v/>
      </c>
      <c r="K160" s="36"/>
      <c r="L160" s="5" t="str">
        <f t="shared" si="13"/>
        <v/>
      </c>
      <c r="M160" s="5"/>
      <c r="N160" s="5" t="str">
        <f t="shared" si="14"/>
        <v/>
      </c>
      <c r="O160" s="4"/>
      <c r="P160" s="4"/>
      <c r="Q160" s="4"/>
    </row>
    <row r="161" spans="1:17" hidden="1" x14ac:dyDescent="0.2">
      <c r="A161" s="159"/>
      <c r="B161" s="4"/>
      <c r="C161" s="4"/>
      <c r="D161" s="4"/>
      <c r="E161" s="41"/>
      <c r="F161" s="41"/>
      <c r="G161" s="5"/>
      <c r="H161" s="4"/>
      <c r="I161" s="5"/>
      <c r="J161" s="5" t="str">
        <f t="shared" si="12"/>
        <v/>
      </c>
      <c r="K161" s="36"/>
      <c r="L161" s="5" t="str">
        <f t="shared" si="13"/>
        <v/>
      </c>
      <c r="M161" s="5"/>
      <c r="N161" s="5" t="str">
        <f t="shared" si="14"/>
        <v/>
      </c>
      <c r="O161" s="4"/>
      <c r="P161" s="4"/>
      <c r="Q161" s="4"/>
    </row>
    <row r="162" spans="1:17" hidden="1" x14ac:dyDescent="0.2">
      <c r="A162" s="159"/>
      <c r="B162" s="4"/>
      <c r="C162" s="4"/>
      <c r="D162" s="4"/>
      <c r="E162" s="41"/>
      <c r="F162" s="41"/>
      <c r="G162" s="5"/>
      <c r="H162" s="4"/>
      <c r="I162" s="5"/>
      <c r="J162" s="5" t="str">
        <f t="shared" si="12"/>
        <v/>
      </c>
      <c r="K162" s="36"/>
      <c r="L162" s="5" t="str">
        <f t="shared" si="13"/>
        <v/>
      </c>
      <c r="M162" s="5"/>
      <c r="N162" s="5" t="str">
        <f t="shared" si="14"/>
        <v/>
      </c>
      <c r="O162" s="4"/>
      <c r="P162" s="4"/>
      <c r="Q162" s="4"/>
    </row>
    <row r="163" spans="1:17" hidden="1" x14ac:dyDescent="0.2">
      <c r="A163" s="159"/>
      <c r="B163" s="4"/>
      <c r="C163" s="4"/>
      <c r="D163" s="4"/>
      <c r="E163" s="41"/>
      <c r="F163" s="41"/>
      <c r="G163" s="5"/>
      <c r="H163" s="4"/>
      <c r="I163" s="5"/>
      <c r="J163" s="5" t="str">
        <f t="shared" si="12"/>
        <v/>
      </c>
      <c r="K163" s="36"/>
      <c r="L163" s="5" t="str">
        <f t="shared" si="13"/>
        <v/>
      </c>
      <c r="M163" s="5"/>
      <c r="N163" s="5" t="str">
        <f t="shared" si="14"/>
        <v/>
      </c>
      <c r="O163" s="4"/>
      <c r="P163" s="4"/>
      <c r="Q163" s="4"/>
    </row>
    <row r="164" spans="1:17" hidden="1" x14ac:dyDescent="0.2">
      <c r="A164" s="159"/>
      <c r="B164" s="4"/>
      <c r="C164" s="4"/>
      <c r="D164" s="4"/>
      <c r="E164" s="41"/>
      <c r="F164" s="41"/>
      <c r="G164" s="5"/>
      <c r="H164" s="4"/>
      <c r="I164" s="5"/>
      <c r="J164" s="5" t="str">
        <f t="shared" si="12"/>
        <v/>
      </c>
      <c r="K164" s="36"/>
      <c r="L164" s="5" t="str">
        <f t="shared" si="13"/>
        <v/>
      </c>
      <c r="M164" s="5"/>
      <c r="N164" s="5" t="str">
        <f t="shared" si="14"/>
        <v/>
      </c>
      <c r="O164" s="4"/>
      <c r="P164" s="4"/>
      <c r="Q164" s="4"/>
    </row>
    <row r="165" spans="1:17" hidden="1" x14ac:dyDescent="0.2">
      <c r="A165" s="159"/>
      <c r="B165" s="4"/>
      <c r="C165" s="4"/>
      <c r="D165" s="4"/>
      <c r="E165" s="41"/>
      <c r="F165" s="41"/>
      <c r="G165" s="5"/>
      <c r="H165" s="4"/>
      <c r="I165" s="5"/>
      <c r="J165" s="5" t="str">
        <f t="shared" si="12"/>
        <v/>
      </c>
      <c r="K165" s="36"/>
      <c r="L165" s="5" t="str">
        <f t="shared" si="13"/>
        <v/>
      </c>
      <c r="M165" s="5"/>
      <c r="N165" s="5" t="str">
        <f t="shared" si="14"/>
        <v/>
      </c>
      <c r="O165" s="4"/>
      <c r="P165" s="4"/>
      <c r="Q165" s="4"/>
    </row>
    <row r="166" spans="1:17" hidden="1" x14ac:dyDescent="0.2">
      <c r="A166" s="159"/>
      <c r="B166" s="4"/>
      <c r="C166" s="4"/>
      <c r="D166" s="4"/>
      <c r="E166" s="41"/>
      <c r="F166" s="41"/>
      <c r="G166" s="5"/>
      <c r="H166" s="4"/>
      <c r="I166" s="5"/>
      <c r="J166" s="5" t="str">
        <f t="shared" si="12"/>
        <v/>
      </c>
      <c r="K166" s="36"/>
      <c r="L166" s="5" t="str">
        <f t="shared" si="13"/>
        <v/>
      </c>
      <c r="M166" s="5"/>
      <c r="N166" s="5" t="str">
        <f t="shared" si="14"/>
        <v/>
      </c>
      <c r="O166" s="4"/>
      <c r="P166" s="4"/>
      <c r="Q166" s="4"/>
    </row>
    <row r="167" spans="1:17" hidden="1" x14ac:dyDescent="0.2">
      <c r="A167" s="159"/>
      <c r="B167" s="4"/>
      <c r="C167" s="4"/>
      <c r="D167" s="4"/>
      <c r="E167" s="41"/>
      <c r="F167" s="41"/>
      <c r="G167" s="5"/>
      <c r="H167" s="4"/>
      <c r="I167" s="5"/>
      <c r="J167" s="5" t="str">
        <f t="shared" si="12"/>
        <v/>
      </c>
      <c r="K167" s="36"/>
      <c r="L167" s="5" t="str">
        <f t="shared" si="13"/>
        <v/>
      </c>
      <c r="M167" s="5"/>
      <c r="N167" s="5" t="str">
        <f t="shared" si="14"/>
        <v/>
      </c>
      <c r="O167" s="4"/>
      <c r="P167" s="4"/>
      <c r="Q167" s="4"/>
    </row>
    <row r="168" spans="1:17" hidden="1" x14ac:dyDescent="0.2">
      <c r="A168" s="159"/>
      <c r="B168" s="4"/>
      <c r="C168" s="4"/>
      <c r="D168" s="4"/>
      <c r="E168" s="41"/>
      <c r="F168" s="41"/>
      <c r="G168" s="5"/>
      <c r="H168" s="4"/>
      <c r="I168" s="5"/>
      <c r="J168" s="5" t="str">
        <f t="shared" si="12"/>
        <v/>
      </c>
      <c r="K168" s="36"/>
      <c r="L168" s="5" t="str">
        <f t="shared" si="13"/>
        <v/>
      </c>
      <c r="M168" s="5"/>
      <c r="N168" s="5" t="str">
        <f t="shared" si="14"/>
        <v/>
      </c>
      <c r="O168" s="4"/>
      <c r="P168" s="4"/>
      <c r="Q168" s="4"/>
    </row>
    <row r="169" spans="1:17" hidden="1" x14ac:dyDescent="0.2">
      <c r="A169" s="159"/>
      <c r="B169" s="4"/>
      <c r="C169" s="4"/>
      <c r="D169" s="4"/>
      <c r="E169" s="41"/>
      <c r="F169" s="41"/>
      <c r="G169" s="5"/>
      <c r="H169" s="4"/>
      <c r="I169" s="5"/>
      <c r="J169" s="5" t="str">
        <f t="shared" si="12"/>
        <v/>
      </c>
      <c r="K169" s="36"/>
      <c r="L169" s="5" t="str">
        <f t="shared" si="13"/>
        <v/>
      </c>
      <c r="M169" s="5"/>
      <c r="N169" s="5" t="str">
        <f t="shared" si="14"/>
        <v/>
      </c>
      <c r="O169" s="4"/>
      <c r="P169" s="4"/>
      <c r="Q169" s="4"/>
    </row>
    <row r="170" spans="1:17" hidden="1" x14ac:dyDescent="0.2">
      <c r="A170" s="159"/>
      <c r="B170" s="4"/>
      <c r="C170" s="4"/>
      <c r="D170" s="4"/>
      <c r="E170" s="41"/>
      <c r="F170" s="41"/>
      <c r="G170" s="5"/>
      <c r="H170" s="4"/>
      <c r="I170" s="5"/>
      <c r="J170" s="5" t="str">
        <f t="shared" si="12"/>
        <v/>
      </c>
      <c r="K170" s="36"/>
      <c r="L170" s="5" t="str">
        <f t="shared" si="13"/>
        <v/>
      </c>
      <c r="M170" s="5"/>
      <c r="N170" s="5" t="str">
        <f t="shared" si="14"/>
        <v/>
      </c>
      <c r="O170" s="4"/>
      <c r="P170" s="4"/>
      <c r="Q170" s="4"/>
    </row>
    <row r="171" spans="1:17" hidden="1" x14ac:dyDescent="0.2">
      <c r="A171" s="159"/>
      <c r="B171" s="4"/>
      <c r="C171" s="4"/>
      <c r="D171" s="4"/>
      <c r="E171" s="41"/>
      <c r="F171" s="41"/>
      <c r="G171" s="5"/>
      <c r="H171" s="4"/>
      <c r="I171" s="5"/>
      <c r="J171" s="5" t="str">
        <f t="shared" si="12"/>
        <v/>
      </c>
      <c r="K171" s="36"/>
      <c r="L171" s="5" t="str">
        <f t="shared" si="13"/>
        <v/>
      </c>
      <c r="M171" s="5"/>
      <c r="N171" s="5" t="str">
        <f t="shared" si="14"/>
        <v/>
      </c>
      <c r="O171" s="4"/>
      <c r="P171" s="4"/>
      <c r="Q171" s="4"/>
    </row>
    <row r="172" spans="1:17" hidden="1" x14ac:dyDescent="0.2">
      <c r="A172" s="159"/>
      <c r="B172" s="4"/>
      <c r="C172" s="4"/>
      <c r="D172" s="4"/>
      <c r="E172" s="41"/>
      <c r="F172" s="41"/>
      <c r="G172" s="5"/>
      <c r="H172" s="4"/>
      <c r="I172" s="5"/>
      <c r="J172" s="5" t="str">
        <f t="shared" si="12"/>
        <v/>
      </c>
      <c r="K172" s="36"/>
      <c r="L172" s="5" t="str">
        <f t="shared" si="13"/>
        <v/>
      </c>
      <c r="M172" s="5"/>
      <c r="N172" s="5" t="str">
        <f t="shared" si="14"/>
        <v/>
      </c>
      <c r="O172" s="4"/>
      <c r="P172" s="4"/>
      <c r="Q172" s="4"/>
    </row>
    <row r="173" spans="1:17" hidden="1" x14ac:dyDescent="0.2">
      <c r="A173" s="159"/>
      <c r="B173" s="4"/>
      <c r="C173" s="4"/>
      <c r="D173" s="4"/>
      <c r="E173" s="41"/>
      <c r="F173" s="41"/>
      <c r="G173" s="5"/>
      <c r="H173" s="4"/>
      <c r="I173" s="5"/>
      <c r="J173" s="5" t="str">
        <f t="shared" si="12"/>
        <v/>
      </c>
      <c r="K173" s="36"/>
      <c r="L173" s="5" t="str">
        <f t="shared" si="13"/>
        <v/>
      </c>
      <c r="M173" s="5"/>
      <c r="N173" s="5" t="str">
        <f t="shared" si="14"/>
        <v/>
      </c>
      <c r="O173" s="4"/>
      <c r="P173" s="4"/>
      <c r="Q173" s="4"/>
    </row>
    <row r="174" spans="1:17" hidden="1" x14ac:dyDescent="0.2">
      <c r="A174" s="159"/>
      <c r="B174" s="4"/>
      <c r="C174" s="4"/>
      <c r="D174" s="4"/>
      <c r="E174" s="41"/>
      <c r="F174" s="41"/>
      <c r="G174" s="5"/>
      <c r="H174" s="4"/>
      <c r="I174" s="5"/>
      <c r="J174" s="5" t="str">
        <f t="shared" si="12"/>
        <v/>
      </c>
      <c r="K174" s="36"/>
      <c r="L174" s="5" t="str">
        <f t="shared" si="13"/>
        <v/>
      </c>
      <c r="M174" s="5"/>
      <c r="N174" s="5" t="str">
        <f t="shared" si="14"/>
        <v/>
      </c>
      <c r="O174" s="4"/>
      <c r="P174" s="4"/>
      <c r="Q174" s="4"/>
    </row>
    <row r="175" spans="1:17" hidden="1" x14ac:dyDescent="0.2">
      <c r="A175" s="159"/>
      <c r="B175" s="4"/>
      <c r="C175" s="4"/>
      <c r="D175" s="4"/>
      <c r="E175" s="41"/>
      <c r="F175" s="41"/>
      <c r="G175" s="5"/>
      <c r="H175" s="4"/>
      <c r="I175" s="5"/>
      <c r="J175" s="5" t="str">
        <f t="shared" si="12"/>
        <v/>
      </c>
      <c r="K175" s="36"/>
      <c r="L175" s="5" t="str">
        <f t="shared" si="13"/>
        <v/>
      </c>
      <c r="M175" s="5"/>
      <c r="N175" s="5" t="str">
        <f t="shared" si="14"/>
        <v/>
      </c>
      <c r="O175" s="4"/>
      <c r="P175" s="4"/>
      <c r="Q175" s="4"/>
    </row>
    <row r="176" spans="1:17" hidden="1" x14ac:dyDescent="0.2">
      <c r="A176" s="159"/>
      <c r="B176" s="4"/>
      <c r="C176" s="4"/>
      <c r="D176" s="4"/>
      <c r="E176" s="41"/>
      <c r="F176" s="41"/>
      <c r="G176" s="5"/>
      <c r="H176" s="4"/>
      <c r="I176" s="5"/>
      <c r="J176" s="5" t="str">
        <f t="shared" si="12"/>
        <v/>
      </c>
      <c r="K176" s="36"/>
      <c r="L176" s="5" t="str">
        <f t="shared" si="13"/>
        <v/>
      </c>
      <c r="M176" s="5"/>
      <c r="N176" s="5" t="str">
        <f t="shared" si="14"/>
        <v/>
      </c>
      <c r="O176" s="4"/>
      <c r="P176" s="4"/>
      <c r="Q176" s="4"/>
    </row>
    <row r="177" spans="1:17" hidden="1" x14ac:dyDescent="0.2">
      <c r="A177" s="159"/>
      <c r="B177" s="4"/>
      <c r="C177" s="4"/>
      <c r="D177" s="4"/>
      <c r="E177" s="41"/>
      <c r="F177" s="41"/>
      <c r="G177" s="5"/>
      <c r="H177" s="4"/>
      <c r="I177" s="5"/>
      <c r="J177" s="5" t="str">
        <f t="shared" si="12"/>
        <v/>
      </c>
      <c r="K177" s="36"/>
      <c r="L177" s="5" t="str">
        <f t="shared" si="13"/>
        <v/>
      </c>
      <c r="M177" s="5"/>
      <c r="N177" s="5" t="str">
        <f t="shared" si="14"/>
        <v/>
      </c>
      <c r="O177" s="4"/>
      <c r="P177" s="4"/>
      <c r="Q177" s="4"/>
    </row>
    <row r="178" spans="1:17" hidden="1" x14ac:dyDescent="0.2">
      <c r="A178" s="159"/>
      <c r="B178" s="4"/>
      <c r="C178" s="4"/>
      <c r="D178" s="4"/>
      <c r="E178" s="41"/>
      <c r="F178" s="41"/>
      <c r="G178" s="5"/>
      <c r="H178" s="4"/>
      <c r="I178" s="5"/>
      <c r="J178" s="5" t="str">
        <f t="shared" si="12"/>
        <v/>
      </c>
      <c r="K178" s="36"/>
      <c r="L178" s="5" t="str">
        <f t="shared" si="13"/>
        <v/>
      </c>
      <c r="M178" s="5"/>
      <c r="N178" s="5" t="str">
        <f t="shared" si="14"/>
        <v/>
      </c>
      <c r="O178" s="4"/>
      <c r="P178" s="4"/>
      <c r="Q178" s="4"/>
    </row>
    <row r="179" spans="1:17" hidden="1" x14ac:dyDescent="0.2">
      <c r="A179" s="159"/>
      <c r="B179" s="4"/>
      <c r="C179" s="4"/>
      <c r="D179" s="4"/>
      <c r="E179" s="41"/>
      <c r="F179" s="41"/>
      <c r="G179" s="5"/>
      <c r="H179" s="4"/>
      <c r="I179" s="5"/>
      <c r="J179" s="5" t="str">
        <f t="shared" si="12"/>
        <v/>
      </c>
      <c r="K179" s="36"/>
      <c r="L179" s="5" t="str">
        <f t="shared" si="13"/>
        <v/>
      </c>
      <c r="M179" s="5"/>
      <c r="N179" s="5" t="str">
        <f t="shared" si="14"/>
        <v/>
      </c>
      <c r="O179" s="4"/>
      <c r="P179" s="4"/>
      <c r="Q179" s="4"/>
    </row>
    <row r="180" spans="1:17" hidden="1" x14ac:dyDescent="0.2">
      <c r="A180" s="159"/>
      <c r="B180" s="4"/>
      <c r="C180" s="4"/>
      <c r="D180" s="4"/>
      <c r="E180" s="41"/>
      <c r="F180" s="41"/>
      <c r="G180" s="5"/>
      <c r="H180" s="4"/>
      <c r="I180" s="5"/>
      <c r="J180" s="5" t="str">
        <f t="shared" si="12"/>
        <v/>
      </c>
      <c r="K180" s="36"/>
      <c r="L180" s="5" t="str">
        <f t="shared" si="13"/>
        <v/>
      </c>
      <c r="M180" s="5"/>
      <c r="N180" s="5" t="str">
        <f t="shared" si="14"/>
        <v/>
      </c>
      <c r="O180" s="4"/>
      <c r="P180" s="4"/>
      <c r="Q180" s="4"/>
    </row>
    <row r="181" spans="1:17" hidden="1" x14ac:dyDescent="0.2">
      <c r="A181" s="159"/>
      <c r="B181" s="4"/>
      <c r="C181" s="4"/>
      <c r="D181" s="4"/>
      <c r="E181" s="41"/>
      <c r="F181" s="41"/>
      <c r="G181" s="5"/>
      <c r="H181" s="4"/>
      <c r="I181" s="5"/>
      <c r="J181" s="5" t="str">
        <f t="shared" si="12"/>
        <v/>
      </c>
      <c r="K181" s="36"/>
      <c r="L181" s="5" t="str">
        <f t="shared" si="13"/>
        <v/>
      </c>
      <c r="M181" s="5"/>
      <c r="N181" s="5" t="str">
        <f t="shared" si="14"/>
        <v/>
      </c>
      <c r="O181" s="4"/>
      <c r="P181" s="4"/>
      <c r="Q181" s="4"/>
    </row>
    <row r="182" spans="1:17" hidden="1" x14ac:dyDescent="0.2">
      <c r="A182" s="159"/>
      <c r="B182" s="4"/>
      <c r="C182" s="4"/>
      <c r="D182" s="4"/>
      <c r="E182" s="41"/>
      <c r="F182" s="41"/>
      <c r="G182" s="5"/>
      <c r="H182" s="4"/>
      <c r="I182" s="5"/>
      <c r="J182" s="5" t="str">
        <f t="shared" si="12"/>
        <v/>
      </c>
      <c r="K182" s="36"/>
      <c r="L182" s="5" t="str">
        <f t="shared" si="13"/>
        <v/>
      </c>
      <c r="M182" s="5"/>
      <c r="N182" s="5" t="str">
        <f t="shared" si="14"/>
        <v/>
      </c>
      <c r="O182" s="4"/>
      <c r="P182" s="4"/>
      <c r="Q182" s="4"/>
    </row>
    <row r="183" spans="1:17" hidden="1" x14ac:dyDescent="0.2">
      <c r="A183" s="159"/>
      <c r="B183" s="4"/>
      <c r="C183" s="4"/>
      <c r="D183" s="4"/>
      <c r="E183" s="41"/>
      <c r="F183" s="41"/>
      <c r="G183" s="5"/>
      <c r="H183" s="4"/>
      <c r="I183" s="5"/>
      <c r="J183" s="5" t="str">
        <f t="shared" si="12"/>
        <v/>
      </c>
      <c r="K183" s="36"/>
      <c r="L183" s="5" t="str">
        <f t="shared" si="13"/>
        <v/>
      </c>
      <c r="M183" s="5"/>
      <c r="N183" s="5" t="str">
        <f t="shared" si="14"/>
        <v/>
      </c>
      <c r="O183" s="4"/>
      <c r="P183" s="4"/>
      <c r="Q183" s="4"/>
    </row>
    <row r="184" spans="1:17" hidden="1" x14ac:dyDescent="0.2">
      <c r="A184" s="159"/>
      <c r="B184" s="4"/>
      <c r="C184" s="4"/>
      <c r="D184" s="4"/>
      <c r="E184" s="41"/>
      <c r="F184" s="41"/>
      <c r="G184" s="5"/>
      <c r="H184" s="4"/>
      <c r="I184" s="5"/>
      <c r="J184" s="5" t="str">
        <f t="shared" si="12"/>
        <v/>
      </c>
      <c r="K184" s="36"/>
      <c r="L184" s="5" t="str">
        <f t="shared" si="13"/>
        <v/>
      </c>
      <c r="M184" s="5"/>
      <c r="N184" s="5" t="str">
        <f t="shared" si="14"/>
        <v/>
      </c>
      <c r="O184" s="4"/>
      <c r="P184" s="4"/>
      <c r="Q184" s="4"/>
    </row>
    <row r="185" spans="1:17" hidden="1" x14ac:dyDescent="0.2">
      <c r="A185" s="159"/>
      <c r="B185" s="4"/>
      <c r="C185" s="4"/>
      <c r="D185" s="4"/>
      <c r="E185" s="41"/>
      <c r="F185" s="41"/>
      <c r="G185" s="5"/>
      <c r="H185" s="4"/>
      <c r="I185" s="5"/>
      <c r="J185" s="5" t="str">
        <f t="shared" si="12"/>
        <v/>
      </c>
      <c r="K185" s="36"/>
      <c r="L185" s="5" t="str">
        <f t="shared" si="13"/>
        <v/>
      </c>
      <c r="M185" s="5"/>
      <c r="N185" s="5" t="str">
        <f t="shared" si="14"/>
        <v/>
      </c>
      <c r="O185" s="4"/>
      <c r="P185" s="4"/>
      <c r="Q185" s="4"/>
    </row>
    <row r="186" spans="1:17" hidden="1" x14ac:dyDescent="0.2">
      <c r="A186" s="159"/>
      <c r="B186" s="4"/>
      <c r="C186" s="4"/>
      <c r="D186" s="4"/>
      <c r="E186" s="41"/>
      <c r="F186" s="41"/>
      <c r="G186" s="5"/>
      <c r="H186" s="4"/>
      <c r="I186" s="5"/>
      <c r="J186" s="5" t="str">
        <f t="shared" si="12"/>
        <v/>
      </c>
      <c r="K186" s="36"/>
      <c r="L186" s="5" t="str">
        <f t="shared" si="13"/>
        <v/>
      </c>
      <c r="M186" s="5"/>
      <c r="N186" s="5" t="str">
        <f t="shared" si="14"/>
        <v/>
      </c>
      <c r="O186" s="4"/>
      <c r="P186" s="4"/>
      <c r="Q186" s="4"/>
    </row>
    <row r="187" spans="1:17" hidden="1" x14ac:dyDescent="0.2">
      <c r="A187" s="159"/>
      <c r="B187" s="4"/>
      <c r="C187" s="4"/>
      <c r="D187" s="4"/>
      <c r="E187" s="41"/>
      <c r="F187" s="41"/>
      <c r="G187" s="5"/>
      <c r="H187" s="4"/>
      <c r="I187" s="5"/>
      <c r="J187" s="5" t="str">
        <f t="shared" si="12"/>
        <v/>
      </c>
      <c r="K187" s="36"/>
      <c r="L187" s="5" t="str">
        <f t="shared" si="13"/>
        <v/>
      </c>
      <c r="M187" s="5"/>
      <c r="N187" s="5" t="str">
        <f t="shared" si="14"/>
        <v/>
      </c>
      <c r="O187" s="4"/>
      <c r="P187" s="4"/>
      <c r="Q187" s="4"/>
    </row>
    <row r="188" spans="1:17" hidden="1" x14ac:dyDescent="0.2">
      <c r="A188" s="159"/>
      <c r="B188" s="4"/>
      <c r="C188" s="4"/>
      <c r="D188" s="4"/>
      <c r="E188" s="41"/>
      <c r="F188" s="41"/>
      <c r="G188" s="5"/>
      <c r="H188" s="4"/>
      <c r="I188" s="5"/>
      <c r="J188" s="5" t="str">
        <f t="shared" si="12"/>
        <v/>
      </c>
      <c r="K188" s="36"/>
      <c r="L188" s="5" t="str">
        <f t="shared" si="13"/>
        <v/>
      </c>
      <c r="M188" s="5"/>
      <c r="N188" s="5" t="str">
        <f t="shared" si="14"/>
        <v/>
      </c>
      <c r="O188" s="4"/>
      <c r="P188" s="4"/>
      <c r="Q188" s="4"/>
    </row>
    <row r="189" spans="1:17" hidden="1" x14ac:dyDescent="0.2">
      <c r="A189" s="159"/>
      <c r="B189" s="4"/>
      <c r="C189" s="4"/>
      <c r="D189" s="4"/>
      <c r="E189" s="41"/>
      <c r="F189" s="41"/>
      <c r="G189" s="5"/>
      <c r="H189" s="4"/>
      <c r="I189" s="5"/>
      <c r="J189" s="5" t="str">
        <f t="shared" si="12"/>
        <v/>
      </c>
      <c r="K189" s="36"/>
      <c r="L189" s="5" t="str">
        <f t="shared" si="13"/>
        <v/>
      </c>
      <c r="M189" s="5"/>
      <c r="N189" s="5" t="str">
        <f t="shared" si="14"/>
        <v/>
      </c>
      <c r="O189" s="4"/>
      <c r="P189" s="4"/>
      <c r="Q189" s="4"/>
    </row>
    <row r="190" spans="1:17" hidden="1" x14ac:dyDescent="0.2">
      <c r="A190" s="159"/>
      <c r="B190" s="4"/>
      <c r="C190" s="4"/>
      <c r="D190" s="4"/>
      <c r="E190" s="41"/>
      <c r="F190" s="41"/>
      <c r="G190" s="5"/>
      <c r="H190" s="4"/>
      <c r="I190" s="5"/>
      <c r="J190" s="5" t="str">
        <f t="shared" si="12"/>
        <v/>
      </c>
      <c r="K190" s="36"/>
      <c r="L190" s="5" t="str">
        <f t="shared" si="13"/>
        <v/>
      </c>
      <c r="M190" s="5"/>
      <c r="N190" s="5" t="str">
        <f t="shared" si="14"/>
        <v/>
      </c>
      <c r="O190" s="4"/>
      <c r="P190" s="4"/>
      <c r="Q190" s="4"/>
    </row>
    <row r="191" spans="1:17" hidden="1" x14ac:dyDescent="0.2">
      <c r="A191" s="159"/>
      <c r="B191" s="4"/>
      <c r="C191" s="4"/>
      <c r="D191" s="4"/>
      <c r="E191" s="41"/>
      <c r="F191" s="41"/>
      <c r="G191" s="5"/>
      <c r="H191" s="4"/>
      <c r="I191" s="5"/>
      <c r="J191" s="5" t="str">
        <f t="shared" si="12"/>
        <v/>
      </c>
      <c r="K191" s="36"/>
      <c r="L191" s="5" t="str">
        <f t="shared" si="13"/>
        <v/>
      </c>
      <c r="M191" s="5"/>
      <c r="N191" s="5" t="str">
        <f t="shared" si="14"/>
        <v/>
      </c>
      <c r="O191" s="4"/>
      <c r="P191" s="4"/>
      <c r="Q191" s="4"/>
    </row>
    <row r="192" spans="1:17" hidden="1" x14ac:dyDescent="0.2">
      <c r="A192" s="159"/>
      <c r="B192" s="4"/>
      <c r="C192" s="4"/>
      <c r="D192" s="4"/>
      <c r="E192" s="41"/>
      <c r="F192" s="41"/>
      <c r="G192" s="5"/>
      <c r="H192" s="4"/>
      <c r="I192" s="5"/>
      <c r="J192" s="5" t="str">
        <f t="shared" si="12"/>
        <v/>
      </c>
      <c r="K192" s="36"/>
      <c r="L192" s="5" t="str">
        <f t="shared" si="13"/>
        <v/>
      </c>
      <c r="M192" s="5"/>
      <c r="N192" s="5" t="str">
        <f t="shared" si="14"/>
        <v/>
      </c>
      <c r="O192" s="4"/>
      <c r="P192" s="4"/>
      <c r="Q192" s="4"/>
    </row>
    <row r="193" spans="1:17" hidden="1" x14ac:dyDescent="0.2">
      <c r="A193" s="159"/>
      <c r="B193" s="4"/>
      <c r="C193" s="4"/>
      <c r="D193" s="4"/>
      <c r="E193" s="41"/>
      <c r="F193" s="41"/>
      <c r="G193" s="5"/>
      <c r="H193" s="4"/>
      <c r="I193" s="5"/>
      <c r="J193" s="5" t="str">
        <f t="shared" si="12"/>
        <v/>
      </c>
      <c r="K193" s="36"/>
      <c r="L193" s="5" t="str">
        <f t="shared" si="13"/>
        <v/>
      </c>
      <c r="M193" s="5"/>
      <c r="N193" s="5" t="str">
        <f t="shared" si="14"/>
        <v/>
      </c>
      <c r="O193" s="4"/>
      <c r="P193" s="4"/>
      <c r="Q193" s="4"/>
    </row>
    <row r="194" spans="1:17" hidden="1" x14ac:dyDescent="0.2">
      <c r="A194" s="159"/>
      <c r="B194" s="4"/>
      <c r="C194" s="4"/>
      <c r="D194" s="4"/>
      <c r="E194" s="41"/>
      <c r="F194" s="41"/>
      <c r="G194" s="5"/>
      <c r="H194" s="4"/>
      <c r="I194" s="5"/>
      <c r="J194" s="5" t="str">
        <f t="shared" si="12"/>
        <v/>
      </c>
      <c r="K194" s="36"/>
      <c r="L194" s="5" t="str">
        <f t="shared" si="13"/>
        <v/>
      </c>
      <c r="M194" s="5"/>
      <c r="N194" s="5" t="str">
        <f t="shared" si="14"/>
        <v/>
      </c>
      <c r="O194" s="4"/>
      <c r="P194" s="4"/>
      <c r="Q194" s="4"/>
    </row>
    <row r="195" spans="1:17" hidden="1" x14ac:dyDescent="0.2">
      <c r="A195" s="159"/>
      <c r="B195" s="4"/>
      <c r="C195" s="4"/>
      <c r="D195" s="4"/>
      <c r="E195" s="41"/>
      <c r="F195" s="41"/>
      <c r="G195" s="5"/>
      <c r="H195" s="4"/>
      <c r="I195" s="5"/>
      <c r="J195" s="5" t="str">
        <f t="shared" si="12"/>
        <v/>
      </c>
      <c r="K195" s="36"/>
      <c r="L195" s="5" t="str">
        <f t="shared" si="13"/>
        <v/>
      </c>
      <c r="M195" s="5"/>
      <c r="N195" s="5" t="str">
        <f t="shared" si="14"/>
        <v/>
      </c>
      <c r="O195" s="4"/>
      <c r="P195" s="4"/>
      <c r="Q195" s="4"/>
    </row>
    <row r="196" spans="1:17" hidden="1" x14ac:dyDescent="0.2">
      <c r="A196" s="159"/>
      <c r="B196" s="4"/>
      <c r="C196" s="4"/>
      <c r="D196" s="4"/>
      <c r="E196" s="41"/>
      <c r="F196" s="41"/>
      <c r="G196" s="5"/>
      <c r="H196" s="4"/>
      <c r="I196" s="5"/>
      <c r="J196" s="5" t="str">
        <f t="shared" si="12"/>
        <v/>
      </c>
      <c r="K196" s="36"/>
      <c r="L196" s="5" t="str">
        <f t="shared" si="13"/>
        <v/>
      </c>
      <c r="M196" s="5"/>
      <c r="N196" s="5" t="str">
        <f t="shared" si="14"/>
        <v/>
      </c>
      <c r="O196" s="4"/>
      <c r="P196" s="4"/>
      <c r="Q196" s="4"/>
    </row>
    <row r="197" spans="1:17" hidden="1" x14ac:dyDescent="0.2">
      <c r="A197" s="159"/>
      <c r="B197" s="4"/>
      <c r="C197" s="4"/>
      <c r="D197" s="4"/>
      <c r="E197" s="41"/>
      <c r="F197" s="41"/>
      <c r="G197" s="5"/>
      <c r="H197" s="4"/>
      <c r="I197" s="5"/>
      <c r="J197" s="5" t="str">
        <f t="shared" si="12"/>
        <v/>
      </c>
      <c r="K197" s="36"/>
      <c r="L197" s="5" t="str">
        <f t="shared" si="13"/>
        <v/>
      </c>
      <c r="M197" s="5"/>
      <c r="N197" s="5" t="str">
        <f t="shared" si="14"/>
        <v/>
      </c>
      <c r="O197" s="4"/>
      <c r="P197" s="4"/>
      <c r="Q197" s="4"/>
    </row>
    <row r="198" spans="1:17" hidden="1" x14ac:dyDescent="0.2">
      <c r="A198" s="159"/>
      <c r="B198" s="4"/>
      <c r="C198" s="4"/>
      <c r="D198" s="4"/>
      <c r="E198" s="41"/>
      <c r="F198" s="41"/>
      <c r="G198" s="5"/>
      <c r="H198" s="4"/>
      <c r="I198" s="5"/>
      <c r="J198" s="5" t="str">
        <f t="shared" si="12"/>
        <v/>
      </c>
      <c r="K198" s="36"/>
      <c r="L198" s="5" t="str">
        <f t="shared" si="13"/>
        <v/>
      </c>
      <c r="M198" s="5"/>
      <c r="N198" s="5" t="str">
        <f t="shared" si="14"/>
        <v/>
      </c>
      <c r="O198" s="4"/>
      <c r="P198" s="4"/>
      <c r="Q198" s="4"/>
    </row>
    <row r="199" spans="1:17" hidden="1" x14ac:dyDescent="0.2">
      <c r="A199" s="159"/>
      <c r="B199" s="4"/>
      <c r="C199" s="4"/>
      <c r="D199" s="4"/>
      <c r="E199" s="41"/>
      <c r="F199" s="41"/>
      <c r="G199" s="5"/>
      <c r="H199" s="4"/>
      <c r="I199" s="5"/>
      <c r="J199" s="5" t="str">
        <f t="shared" si="12"/>
        <v/>
      </c>
      <c r="K199" s="36"/>
      <c r="L199" s="5" t="str">
        <f t="shared" si="13"/>
        <v/>
      </c>
      <c r="M199" s="5"/>
      <c r="N199" s="5" t="str">
        <f t="shared" si="14"/>
        <v/>
      </c>
      <c r="O199" s="4"/>
      <c r="P199" s="4"/>
      <c r="Q199" s="4"/>
    </row>
    <row r="200" spans="1:17" hidden="1" x14ac:dyDescent="0.2">
      <c r="A200" s="159"/>
      <c r="B200" s="4"/>
      <c r="C200" s="4"/>
      <c r="D200" s="4"/>
      <c r="E200" s="41"/>
      <c r="F200" s="41"/>
      <c r="G200" s="5"/>
      <c r="H200" s="4"/>
      <c r="I200" s="5"/>
      <c r="J200" s="5" t="str">
        <f t="shared" si="12"/>
        <v/>
      </c>
      <c r="K200" s="36"/>
      <c r="L200" s="5" t="str">
        <f t="shared" si="13"/>
        <v/>
      </c>
      <c r="M200" s="5"/>
      <c r="N200" s="5" t="str">
        <f t="shared" si="14"/>
        <v/>
      </c>
      <c r="O200" s="4"/>
      <c r="P200" s="4"/>
      <c r="Q200" s="4"/>
    </row>
    <row r="201" spans="1:17" hidden="1" x14ac:dyDescent="0.2">
      <c r="A201" s="159"/>
      <c r="B201" s="4"/>
      <c r="C201" s="4"/>
      <c r="D201" s="4"/>
      <c r="E201" s="41"/>
      <c r="F201" s="41"/>
      <c r="G201" s="5"/>
      <c r="H201" s="4"/>
      <c r="I201" s="5"/>
      <c r="J201" s="5" t="str">
        <f t="shared" si="12"/>
        <v/>
      </c>
      <c r="K201" s="36"/>
      <c r="L201" s="5" t="str">
        <f t="shared" si="13"/>
        <v/>
      </c>
      <c r="M201" s="5"/>
      <c r="N201" s="5" t="str">
        <f t="shared" si="14"/>
        <v/>
      </c>
      <c r="O201" s="4"/>
      <c r="P201" s="4"/>
      <c r="Q201" s="4"/>
    </row>
    <row r="202" spans="1:17" hidden="1" x14ac:dyDescent="0.2">
      <c r="A202" s="159"/>
      <c r="B202" s="4"/>
      <c r="C202" s="4"/>
      <c r="D202" s="4"/>
      <c r="E202" s="41"/>
      <c r="F202" s="41"/>
      <c r="G202" s="5"/>
      <c r="H202" s="4"/>
      <c r="I202" s="5"/>
      <c r="J202" s="5" t="str">
        <f t="shared" si="12"/>
        <v/>
      </c>
      <c r="K202" s="36"/>
      <c r="L202" s="5" t="str">
        <f t="shared" si="13"/>
        <v/>
      </c>
      <c r="M202" s="5"/>
      <c r="N202" s="5" t="str">
        <f t="shared" si="14"/>
        <v/>
      </c>
      <c r="O202" s="4"/>
      <c r="P202" s="4"/>
      <c r="Q202" s="4"/>
    </row>
    <row r="203" spans="1:17" hidden="1" x14ac:dyDescent="0.2">
      <c r="A203" s="159"/>
      <c r="B203" s="4"/>
      <c r="C203" s="4"/>
      <c r="D203" s="4"/>
      <c r="E203" s="41"/>
      <c r="F203" s="41"/>
      <c r="G203" s="5"/>
      <c r="H203" s="4"/>
      <c r="I203" s="5"/>
      <c r="J203" s="5" t="str">
        <f t="shared" si="12"/>
        <v/>
      </c>
      <c r="K203" s="36"/>
      <c r="L203" s="5" t="str">
        <f t="shared" si="13"/>
        <v/>
      </c>
      <c r="M203" s="5"/>
      <c r="N203" s="5" t="str">
        <f t="shared" si="14"/>
        <v/>
      </c>
      <c r="O203" s="4"/>
      <c r="P203" s="4"/>
      <c r="Q203" s="4"/>
    </row>
    <row r="204" spans="1:17" hidden="1" x14ac:dyDescent="0.2">
      <c r="A204" s="159"/>
      <c r="B204" s="4"/>
      <c r="C204" s="4"/>
      <c r="D204" s="4"/>
      <c r="E204" s="41"/>
      <c r="F204" s="41"/>
      <c r="G204" s="5"/>
      <c r="H204" s="4"/>
      <c r="I204" s="5"/>
      <c r="J204" s="5" t="str">
        <f t="shared" si="12"/>
        <v/>
      </c>
      <c r="K204" s="36"/>
      <c r="L204" s="5" t="str">
        <f t="shared" si="13"/>
        <v/>
      </c>
      <c r="M204" s="5"/>
      <c r="N204" s="5" t="str">
        <f t="shared" si="14"/>
        <v/>
      </c>
      <c r="O204" s="4"/>
      <c r="P204" s="4"/>
      <c r="Q204" s="4"/>
    </row>
    <row r="205" spans="1:17" hidden="1" x14ac:dyDescent="0.2">
      <c r="A205" s="159"/>
      <c r="B205" s="4"/>
      <c r="C205" s="4"/>
      <c r="D205" s="4"/>
      <c r="E205" s="41"/>
      <c r="F205" s="41"/>
      <c r="G205" s="5"/>
      <c r="H205" s="4"/>
      <c r="I205" s="5"/>
      <c r="J205" s="5" t="str">
        <f t="shared" si="12"/>
        <v/>
      </c>
      <c r="K205" s="36"/>
      <c r="L205" s="5" t="str">
        <f t="shared" si="13"/>
        <v/>
      </c>
      <c r="M205" s="5"/>
      <c r="N205" s="5" t="str">
        <f t="shared" si="14"/>
        <v/>
      </c>
      <c r="O205" s="4"/>
      <c r="P205" s="4"/>
      <c r="Q205" s="4"/>
    </row>
    <row r="206" spans="1:17" hidden="1" x14ac:dyDescent="0.2">
      <c r="A206" s="159"/>
      <c r="B206" s="4"/>
      <c r="C206" s="4"/>
      <c r="D206" s="4"/>
      <c r="E206" s="41"/>
      <c r="F206" s="41"/>
      <c r="G206" s="5"/>
      <c r="H206" s="4"/>
      <c r="I206" s="5"/>
      <c r="J206" s="5" t="str">
        <f t="shared" si="12"/>
        <v/>
      </c>
      <c r="K206" s="36"/>
      <c r="L206" s="5" t="str">
        <f t="shared" si="13"/>
        <v/>
      </c>
      <c r="M206" s="5"/>
      <c r="N206" s="5" t="str">
        <f t="shared" si="14"/>
        <v/>
      </c>
      <c r="O206" s="4"/>
      <c r="P206" s="4"/>
      <c r="Q206" s="4"/>
    </row>
    <row r="207" spans="1:17" hidden="1" x14ac:dyDescent="0.2">
      <c r="A207" s="159"/>
      <c r="B207" s="4"/>
      <c r="C207" s="4"/>
      <c r="D207" s="4"/>
      <c r="E207" s="41"/>
      <c r="F207" s="41"/>
      <c r="G207" s="5"/>
      <c r="H207" s="4"/>
      <c r="I207" s="5"/>
      <c r="J207" s="5" t="str">
        <f t="shared" si="12"/>
        <v/>
      </c>
      <c r="K207" s="36"/>
      <c r="L207" s="5" t="str">
        <f t="shared" si="13"/>
        <v/>
      </c>
      <c r="M207" s="5"/>
      <c r="N207" s="5" t="str">
        <f t="shared" si="14"/>
        <v/>
      </c>
      <c r="O207" s="4"/>
      <c r="P207" s="4"/>
      <c r="Q207" s="4"/>
    </row>
    <row r="208" spans="1:17" hidden="1" x14ac:dyDescent="0.2">
      <c r="A208" s="159"/>
      <c r="B208" s="4"/>
      <c r="C208" s="4"/>
      <c r="D208" s="4"/>
      <c r="E208" s="41"/>
      <c r="F208" s="41"/>
      <c r="G208" s="5"/>
      <c r="H208" s="4"/>
      <c r="I208" s="5"/>
      <c r="J208" s="5" t="str">
        <f t="shared" si="12"/>
        <v/>
      </c>
      <c r="K208" s="36"/>
      <c r="L208" s="5" t="str">
        <f t="shared" si="13"/>
        <v/>
      </c>
      <c r="M208" s="5"/>
      <c r="N208" s="5" t="str">
        <f t="shared" si="14"/>
        <v/>
      </c>
      <c r="O208" s="4"/>
      <c r="P208" s="4"/>
      <c r="Q208" s="4"/>
    </row>
    <row r="209" spans="1:17" hidden="1" x14ac:dyDescent="0.2">
      <c r="A209" s="159"/>
      <c r="B209" s="4"/>
      <c r="C209" s="4"/>
      <c r="D209" s="4"/>
      <c r="E209" s="41"/>
      <c r="F209" s="41"/>
      <c r="G209" s="5"/>
      <c r="H209" s="4"/>
      <c r="I209" s="5"/>
      <c r="J209" s="5" t="str">
        <f t="shared" si="12"/>
        <v/>
      </c>
      <c r="K209" s="36"/>
      <c r="L209" s="5" t="str">
        <f t="shared" si="13"/>
        <v/>
      </c>
      <c r="M209" s="5"/>
      <c r="N209" s="5" t="str">
        <f t="shared" si="14"/>
        <v/>
      </c>
      <c r="O209" s="4"/>
      <c r="P209" s="4"/>
      <c r="Q209" s="4"/>
    </row>
    <row r="210" spans="1:17" hidden="1" x14ac:dyDescent="0.2">
      <c r="A210" s="159"/>
      <c r="B210" s="4"/>
      <c r="C210" s="4"/>
      <c r="D210" s="4"/>
      <c r="E210" s="41"/>
      <c r="F210" s="41"/>
      <c r="G210" s="5"/>
      <c r="H210" s="4"/>
      <c r="I210" s="5"/>
      <c r="J210" s="5" t="str">
        <f t="shared" si="12"/>
        <v/>
      </c>
      <c r="K210" s="36"/>
      <c r="L210" s="5" t="str">
        <f t="shared" si="13"/>
        <v/>
      </c>
      <c r="M210" s="5"/>
      <c r="N210" s="5" t="str">
        <f t="shared" si="14"/>
        <v/>
      </c>
      <c r="O210" s="4"/>
      <c r="P210" s="4"/>
      <c r="Q210" s="4"/>
    </row>
    <row r="211" spans="1:17" hidden="1" x14ac:dyDescent="0.2">
      <c r="A211" s="159"/>
      <c r="B211" s="4"/>
      <c r="C211" s="4"/>
      <c r="D211" s="4"/>
      <c r="E211" s="41"/>
      <c r="F211" s="41"/>
      <c r="G211" s="5"/>
      <c r="H211" s="4"/>
      <c r="I211" s="5"/>
      <c r="J211" s="5" t="str">
        <f t="shared" si="12"/>
        <v/>
      </c>
      <c r="K211" s="36"/>
      <c r="L211" s="5" t="str">
        <f t="shared" si="13"/>
        <v/>
      </c>
      <c r="M211" s="5"/>
      <c r="N211" s="5" t="str">
        <f t="shared" si="14"/>
        <v/>
      </c>
      <c r="O211" s="4"/>
      <c r="P211" s="4"/>
      <c r="Q211" s="4"/>
    </row>
    <row r="212" spans="1:17" hidden="1" x14ac:dyDescent="0.2">
      <c r="A212" s="159"/>
      <c r="B212" s="4"/>
      <c r="C212" s="4"/>
      <c r="D212" s="4"/>
      <c r="E212" s="41"/>
      <c r="F212" s="41"/>
      <c r="G212" s="5"/>
      <c r="H212" s="4"/>
      <c r="I212" s="5"/>
      <c r="J212" s="5" t="str">
        <f t="shared" si="12"/>
        <v/>
      </c>
      <c r="K212" s="36"/>
      <c r="L212" s="5" t="str">
        <f t="shared" si="13"/>
        <v/>
      </c>
      <c r="M212" s="5"/>
      <c r="N212" s="5" t="str">
        <f t="shared" si="14"/>
        <v/>
      </c>
      <c r="O212" s="4"/>
      <c r="P212" s="4"/>
      <c r="Q212" s="4"/>
    </row>
    <row r="213" spans="1:17" hidden="1" x14ac:dyDescent="0.2">
      <c r="A213" s="159"/>
      <c r="B213" s="4"/>
      <c r="C213" s="4"/>
      <c r="D213" s="4"/>
      <c r="E213" s="41"/>
      <c r="F213" s="41"/>
      <c r="G213" s="5"/>
      <c r="H213" s="4"/>
      <c r="I213" s="5"/>
      <c r="J213" s="5" t="str">
        <f t="shared" si="12"/>
        <v/>
      </c>
      <c r="K213" s="36"/>
      <c r="L213" s="5" t="str">
        <f t="shared" si="13"/>
        <v/>
      </c>
      <c r="M213" s="5"/>
      <c r="N213" s="5" t="str">
        <f t="shared" si="14"/>
        <v/>
      </c>
      <c r="O213" s="4"/>
      <c r="P213" s="4"/>
      <c r="Q213" s="4"/>
    </row>
    <row r="214" spans="1:17" hidden="1" x14ac:dyDescent="0.2">
      <c r="A214" s="159"/>
      <c r="B214" s="4"/>
      <c r="C214" s="4"/>
      <c r="D214" s="4"/>
      <c r="E214" s="41"/>
      <c r="F214" s="41"/>
      <c r="G214" s="5"/>
      <c r="H214" s="4"/>
      <c r="I214" s="5"/>
      <c r="J214" s="5" t="str">
        <f t="shared" si="12"/>
        <v/>
      </c>
      <c r="K214" s="36"/>
      <c r="L214" s="5" t="str">
        <f t="shared" si="13"/>
        <v/>
      </c>
      <c r="M214" s="5"/>
      <c r="N214" s="5" t="str">
        <f t="shared" si="14"/>
        <v/>
      </c>
      <c r="O214" s="4"/>
      <c r="P214" s="4"/>
      <c r="Q214" s="4"/>
    </row>
    <row r="215" spans="1:17" hidden="1" x14ac:dyDescent="0.2">
      <c r="A215" s="159"/>
      <c r="B215" s="4"/>
      <c r="C215" s="4"/>
      <c r="D215" s="4"/>
      <c r="E215" s="41"/>
      <c r="F215" s="41"/>
      <c r="G215" s="5"/>
      <c r="H215" s="4"/>
      <c r="I215" s="5"/>
      <c r="J215" s="5" t="str">
        <f t="shared" si="12"/>
        <v/>
      </c>
      <c r="K215" s="36"/>
      <c r="L215" s="5" t="str">
        <f t="shared" si="13"/>
        <v/>
      </c>
      <c r="M215" s="5"/>
      <c r="N215" s="5" t="str">
        <f t="shared" si="14"/>
        <v/>
      </c>
      <c r="O215" s="4"/>
      <c r="P215" s="4"/>
      <c r="Q215" s="4"/>
    </row>
    <row r="216" spans="1:17" hidden="1" x14ac:dyDescent="0.2">
      <c r="A216" s="159"/>
      <c r="B216" s="4"/>
      <c r="C216" s="4"/>
      <c r="D216" s="4"/>
      <c r="E216" s="41"/>
      <c r="F216" s="41"/>
      <c r="G216" s="5"/>
      <c r="H216" s="4"/>
      <c r="I216" s="5"/>
      <c r="J216" s="5" t="str">
        <f t="shared" si="12"/>
        <v/>
      </c>
      <c r="K216" s="36"/>
      <c r="L216" s="5" t="str">
        <f t="shared" si="13"/>
        <v/>
      </c>
      <c r="M216" s="5"/>
      <c r="N216" s="5" t="str">
        <f t="shared" si="14"/>
        <v/>
      </c>
      <c r="O216" s="4"/>
      <c r="P216" s="4"/>
      <c r="Q216" s="4"/>
    </row>
    <row r="217" spans="1:17" hidden="1" x14ac:dyDescent="0.2">
      <c r="A217" s="159"/>
      <c r="B217" s="4"/>
      <c r="C217" s="4"/>
      <c r="D217" s="4"/>
      <c r="E217" s="41"/>
      <c r="F217" s="41"/>
      <c r="G217" s="5"/>
      <c r="H217" s="4"/>
      <c r="I217" s="5"/>
      <c r="J217" s="5" t="str">
        <f t="shared" ref="J217:J280" si="15">IF($D217="","",IF($H217="FIXED",$I217,($E217*FAT_MULT)+($F217*SNF_MULT)+$G217))</f>
        <v/>
      </c>
      <c r="K217" s="36"/>
      <c r="L217" s="5" t="str">
        <f t="shared" ref="L217:L280" si="16">IF($K217="","",$K217*$J217)</f>
        <v/>
      </c>
      <c r="M217" s="5"/>
      <c r="N217" s="5" t="str">
        <f t="shared" ref="N217:N280" si="17">IF($K217="","",$L217+$M217)</f>
        <v/>
      </c>
      <c r="O217" s="4"/>
      <c r="P217" s="4"/>
      <c r="Q217" s="4"/>
    </row>
    <row r="218" spans="1:17" hidden="1" x14ac:dyDescent="0.2">
      <c r="A218" s="159"/>
      <c r="B218" s="4"/>
      <c r="C218" s="4"/>
      <c r="D218" s="4"/>
      <c r="E218" s="41"/>
      <c r="F218" s="41"/>
      <c r="G218" s="5"/>
      <c r="H218" s="4"/>
      <c r="I218" s="5"/>
      <c r="J218" s="5" t="str">
        <f t="shared" si="15"/>
        <v/>
      </c>
      <c r="K218" s="36"/>
      <c r="L218" s="5" t="str">
        <f t="shared" si="16"/>
        <v/>
      </c>
      <c r="M218" s="5"/>
      <c r="N218" s="5" t="str">
        <f t="shared" si="17"/>
        <v/>
      </c>
      <c r="O218" s="4"/>
      <c r="P218" s="4"/>
      <c r="Q218" s="4"/>
    </row>
    <row r="219" spans="1:17" hidden="1" x14ac:dyDescent="0.2">
      <c r="A219" s="159"/>
      <c r="B219" s="4"/>
      <c r="C219" s="4"/>
      <c r="D219" s="4"/>
      <c r="E219" s="41"/>
      <c r="F219" s="41"/>
      <c r="G219" s="5"/>
      <c r="H219" s="4"/>
      <c r="I219" s="5"/>
      <c r="J219" s="5" t="str">
        <f t="shared" si="15"/>
        <v/>
      </c>
      <c r="K219" s="36"/>
      <c r="L219" s="5" t="str">
        <f t="shared" si="16"/>
        <v/>
      </c>
      <c r="M219" s="5"/>
      <c r="N219" s="5" t="str">
        <f t="shared" si="17"/>
        <v/>
      </c>
      <c r="O219" s="4"/>
      <c r="P219" s="4"/>
      <c r="Q219" s="4"/>
    </row>
    <row r="220" spans="1:17" hidden="1" x14ac:dyDescent="0.2">
      <c r="A220" s="159"/>
      <c r="B220" s="4"/>
      <c r="C220" s="4"/>
      <c r="D220" s="4"/>
      <c r="E220" s="41"/>
      <c r="F220" s="41"/>
      <c r="G220" s="5"/>
      <c r="H220" s="4"/>
      <c r="I220" s="5"/>
      <c r="J220" s="5" t="str">
        <f t="shared" si="15"/>
        <v/>
      </c>
      <c r="K220" s="36"/>
      <c r="L220" s="5" t="str">
        <f t="shared" si="16"/>
        <v/>
      </c>
      <c r="M220" s="5"/>
      <c r="N220" s="5" t="str">
        <f t="shared" si="17"/>
        <v/>
      </c>
      <c r="O220" s="4"/>
      <c r="P220" s="4"/>
      <c r="Q220" s="4"/>
    </row>
    <row r="221" spans="1:17" hidden="1" x14ac:dyDescent="0.2">
      <c r="A221" s="159"/>
      <c r="B221" s="4"/>
      <c r="C221" s="4"/>
      <c r="D221" s="4"/>
      <c r="E221" s="41"/>
      <c r="F221" s="41"/>
      <c r="G221" s="5"/>
      <c r="H221" s="4"/>
      <c r="I221" s="5"/>
      <c r="J221" s="5" t="str">
        <f t="shared" si="15"/>
        <v/>
      </c>
      <c r="K221" s="36"/>
      <c r="L221" s="5" t="str">
        <f t="shared" si="16"/>
        <v/>
      </c>
      <c r="M221" s="5"/>
      <c r="N221" s="5" t="str">
        <f t="shared" si="17"/>
        <v/>
      </c>
      <c r="O221" s="4"/>
      <c r="P221" s="4"/>
      <c r="Q221" s="4"/>
    </row>
    <row r="222" spans="1:17" hidden="1" x14ac:dyDescent="0.2">
      <c r="A222" s="159"/>
      <c r="B222" s="4"/>
      <c r="C222" s="4"/>
      <c r="D222" s="4"/>
      <c r="E222" s="41"/>
      <c r="F222" s="41"/>
      <c r="G222" s="5"/>
      <c r="H222" s="4"/>
      <c r="I222" s="5"/>
      <c r="J222" s="5" t="str">
        <f t="shared" si="15"/>
        <v/>
      </c>
      <c r="K222" s="36"/>
      <c r="L222" s="5" t="str">
        <f t="shared" si="16"/>
        <v/>
      </c>
      <c r="M222" s="5"/>
      <c r="N222" s="5" t="str">
        <f t="shared" si="17"/>
        <v/>
      </c>
      <c r="O222" s="4"/>
      <c r="P222" s="4"/>
      <c r="Q222" s="4"/>
    </row>
    <row r="223" spans="1:17" hidden="1" x14ac:dyDescent="0.2">
      <c r="A223" s="159"/>
      <c r="B223" s="4"/>
      <c r="C223" s="4"/>
      <c r="D223" s="4"/>
      <c r="E223" s="41"/>
      <c r="F223" s="41"/>
      <c r="G223" s="5"/>
      <c r="H223" s="4"/>
      <c r="I223" s="5"/>
      <c r="J223" s="5" t="str">
        <f t="shared" si="15"/>
        <v/>
      </c>
      <c r="K223" s="36"/>
      <c r="L223" s="5" t="str">
        <f t="shared" si="16"/>
        <v/>
      </c>
      <c r="M223" s="5"/>
      <c r="N223" s="5" t="str">
        <f t="shared" si="17"/>
        <v/>
      </c>
      <c r="O223" s="4"/>
      <c r="P223" s="4"/>
      <c r="Q223" s="4"/>
    </row>
    <row r="224" spans="1:17" hidden="1" x14ac:dyDescent="0.2">
      <c r="A224" s="159"/>
      <c r="B224" s="4"/>
      <c r="C224" s="4"/>
      <c r="D224" s="4"/>
      <c r="E224" s="41"/>
      <c r="F224" s="41"/>
      <c r="G224" s="5"/>
      <c r="H224" s="4"/>
      <c r="I224" s="5"/>
      <c r="J224" s="5" t="str">
        <f t="shared" si="15"/>
        <v/>
      </c>
      <c r="K224" s="36"/>
      <c r="L224" s="5" t="str">
        <f t="shared" si="16"/>
        <v/>
      </c>
      <c r="M224" s="5"/>
      <c r="N224" s="5" t="str">
        <f t="shared" si="17"/>
        <v/>
      </c>
      <c r="O224" s="4"/>
      <c r="P224" s="4"/>
      <c r="Q224" s="4"/>
    </row>
    <row r="225" spans="1:17" hidden="1" x14ac:dyDescent="0.2">
      <c r="A225" s="159"/>
      <c r="B225" s="4"/>
      <c r="C225" s="4"/>
      <c r="D225" s="4"/>
      <c r="E225" s="41"/>
      <c r="F225" s="41"/>
      <c r="G225" s="5"/>
      <c r="H225" s="4"/>
      <c r="I225" s="5"/>
      <c r="J225" s="5" t="str">
        <f t="shared" si="15"/>
        <v/>
      </c>
      <c r="K225" s="36"/>
      <c r="L225" s="5" t="str">
        <f t="shared" si="16"/>
        <v/>
      </c>
      <c r="M225" s="5"/>
      <c r="N225" s="5" t="str">
        <f t="shared" si="17"/>
        <v/>
      </c>
      <c r="O225" s="4"/>
      <c r="P225" s="4"/>
      <c r="Q225" s="4"/>
    </row>
    <row r="226" spans="1:17" hidden="1" x14ac:dyDescent="0.2">
      <c r="A226" s="159"/>
      <c r="B226" s="4"/>
      <c r="C226" s="4"/>
      <c r="D226" s="4"/>
      <c r="E226" s="41"/>
      <c r="F226" s="41"/>
      <c r="G226" s="5"/>
      <c r="H226" s="4"/>
      <c r="I226" s="5"/>
      <c r="J226" s="5" t="str">
        <f t="shared" si="15"/>
        <v/>
      </c>
      <c r="K226" s="36"/>
      <c r="L226" s="5" t="str">
        <f t="shared" si="16"/>
        <v/>
      </c>
      <c r="M226" s="5"/>
      <c r="N226" s="5" t="str">
        <f t="shared" si="17"/>
        <v/>
      </c>
      <c r="O226" s="4"/>
      <c r="P226" s="4"/>
      <c r="Q226" s="4"/>
    </row>
    <row r="227" spans="1:17" hidden="1" x14ac:dyDescent="0.2">
      <c r="A227" s="159"/>
      <c r="B227" s="4"/>
      <c r="C227" s="4"/>
      <c r="D227" s="4"/>
      <c r="E227" s="41"/>
      <c r="F227" s="41"/>
      <c r="G227" s="5"/>
      <c r="H227" s="4"/>
      <c r="I227" s="5"/>
      <c r="J227" s="5" t="str">
        <f t="shared" si="15"/>
        <v/>
      </c>
      <c r="K227" s="36"/>
      <c r="L227" s="5" t="str">
        <f t="shared" si="16"/>
        <v/>
      </c>
      <c r="M227" s="5"/>
      <c r="N227" s="5" t="str">
        <f t="shared" si="17"/>
        <v/>
      </c>
      <c r="O227" s="4"/>
      <c r="P227" s="4"/>
      <c r="Q227" s="4"/>
    </row>
    <row r="228" spans="1:17" hidden="1" x14ac:dyDescent="0.2">
      <c r="A228" s="159"/>
      <c r="B228" s="4"/>
      <c r="C228" s="4"/>
      <c r="D228" s="4"/>
      <c r="E228" s="41"/>
      <c r="F228" s="41"/>
      <c r="G228" s="5"/>
      <c r="H228" s="4"/>
      <c r="I228" s="5"/>
      <c r="J228" s="5" t="str">
        <f t="shared" si="15"/>
        <v/>
      </c>
      <c r="K228" s="36"/>
      <c r="L228" s="5" t="str">
        <f t="shared" si="16"/>
        <v/>
      </c>
      <c r="M228" s="5"/>
      <c r="N228" s="5" t="str">
        <f t="shared" si="17"/>
        <v/>
      </c>
      <c r="O228" s="4"/>
      <c r="P228" s="4"/>
      <c r="Q228" s="4"/>
    </row>
    <row r="229" spans="1:17" hidden="1" x14ac:dyDescent="0.2">
      <c r="A229" s="159"/>
      <c r="B229" s="4"/>
      <c r="C229" s="4"/>
      <c r="D229" s="4"/>
      <c r="E229" s="41"/>
      <c r="F229" s="41"/>
      <c r="G229" s="5"/>
      <c r="H229" s="4"/>
      <c r="I229" s="5"/>
      <c r="J229" s="5" t="str">
        <f t="shared" si="15"/>
        <v/>
      </c>
      <c r="K229" s="36"/>
      <c r="L229" s="5" t="str">
        <f t="shared" si="16"/>
        <v/>
      </c>
      <c r="M229" s="5"/>
      <c r="N229" s="5" t="str">
        <f t="shared" si="17"/>
        <v/>
      </c>
      <c r="O229" s="4"/>
      <c r="P229" s="4"/>
      <c r="Q229" s="4"/>
    </row>
    <row r="230" spans="1:17" hidden="1" x14ac:dyDescent="0.2">
      <c r="A230" s="159"/>
      <c r="B230" s="4"/>
      <c r="C230" s="4"/>
      <c r="D230" s="4"/>
      <c r="E230" s="41"/>
      <c r="F230" s="41"/>
      <c r="G230" s="5"/>
      <c r="H230" s="4"/>
      <c r="I230" s="5"/>
      <c r="J230" s="5" t="str">
        <f t="shared" si="15"/>
        <v/>
      </c>
      <c r="K230" s="36"/>
      <c r="L230" s="5" t="str">
        <f t="shared" si="16"/>
        <v/>
      </c>
      <c r="M230" s="5"/>
      <c r="N230" s="5" t="str">
        <f t="shared" si="17"/>
        <v/>
      </c>
      <c r="O230" s="4"/>
      <c r="P230" s="4"/>
      <c r="Q230" s="4"/>
    </row>
    <row r="231" spans="1:17" hidden="1" x14ac:dyDescent="0.2">
      <c r="A231" s="159"/>
      <c r="B231" s="4"/>
      <c r="C231" s="4"/>
      <c r="D231" s="4"/>
      <c r="E231" s="41"/>
      <c r="F231" s="41"/>
      <c r="G231" s="5"/>
      <c r="H231" s="4"/>
      <c r="I231" s="5"/>
      <c r="J231" s="5" t="str">
        <f t="shared" si="15"/>
        <v/>
      </c>
      <c r="K231" s="36"/>
      <c r="L231" s="5" t="str">
        <f t="shared" si="16"/>
        <v/>
      </c>
      <c r="M231" s="5"/>
      <c r="N231" s="5" t="str">
        <f t="shared" si="17"/>
        <v/>
      </c>
      <c r="O231" s="4"/>
      <c r="P231" s="4"/>
      <c r="Q231" s="4"/>
    </row>
    <row r="232" spans="1:17" hidden="1" x14ac:dyDescent="0.2">
      <c r="A232" s="159"/>
      <c r="B232" s="4"/>
      <c r="C232" s="4"/>
      <c r="D232" s="4"/>
      <c r="E232" s="41"/>
      <c r="F232" s="41"/>
      <c r="G232" s="5"/>
      <c r="H232" s="4"/>
      <c r="I232" s="5"/>
      <c r="J232" s="5" t="str">
        <f t="shared" si="15"/>
        <v/>
      </c>
      <c r="K232" s="36"/>
      <c r="L232" s="5" t="str">
        <f t="shared" si="16"/>
        <v/>
      </c>
      <c r="M232" s="5"/>
      <c r="N232" s="5" t="str">
        <f t="shared" si="17"/>
        <v/>
      </c>
      <c r="O232" s="4"/>
      <c r="P232" s="4"/>
      <c r="Q232" s="4"/>
    </row>
    <row r="233" spans="1:17" hidden="1" x14ac:dyDescent="0.2">
      <c r="A233" s="159"/>
      <c r="B233" s="4"/>
      <c r="C233" s="4"/>
      <c r="D233" s="4"/>
      <c r="E233" s="41"/>
      <c r="F233" s="41"/>
      <c r="G233" s="5"/>
      <c r="H233" s="4"/>
      <c r="I233" s="5"/>
      <c r="J233" s="5" t="str">
        <f t="shared" si="15"/>
        <v/>
      </c>
      <c r="K233" s="36"/>
      <c r="L233" s="5" t="str">
        <f t="shared" si="16"/>
        <v/>
      </c>
      <c r="M233" s="5"/>
      <c r="N233" s="5" t="str">
        <f t="shared" si="17"/>
        <v/>
      </c>
      <c r="O233" s="4"/>
      <c r="P233" s="4"/>
      <c r="Q233" s="4"/>
    </row>
    <row r="234" spans="1:17" hidden="1" x14ac:dyDescent="0.2">
      <c r="A234" s="159"/>
      <c r="B234" s="4"/>
      <c r="C234" s="4"/>
      <c r="D234" s="4"/>
      <c r="E234" s="41"/>
      <c r="F234" s="41"/>
      <c r="G234" s="5"/>
      <c r="H234" s="4"/>
      <c r="I234" s="5"/>
      <c r="J234" s="5" t="str">
        <f t="shared" si="15"/>
        <v/>
      </c>
      <c r="K234" s="36"/>
      <c r="L234" s="5" t="str">
        <f t="shared" si="16"/>
        <v/>
      </c>
      <c r="M234" s="5"/>
      <c r="N234" s="5" t="str">
        <f t="shared" si="17"/>
        <v/>
      </c>
      <c r="O234" s="4"/>
      <c r="P234" s="4"/>
      <c r="Q234" s="4"/>
    </row>
    <row r="235" spans="1:17" hidden="1" x14ac:dyDescent="0.2">
      <c r="A235" s="159"/>
      <c r="B235" s="4"/>
      <c r="C235" s="4"/>
      <c r="D235" s="4"/>
      <c r="E235" s="41"/>
      <c r="F235" s="41"/>
      <c r="G235" s="5"/>
      <c r="H235" s="4"/>
      <c r="I235" s="5"/>
      <c r="J235" s="5" t="str">
        <f t="shared" si="15"/>
        <v/>
      </c>
      <c r="K235" s="36"/>
      <c r="L235" s="5" t="str">
        <f t="shared" si="16"/>
        <v/>
      </c>
      <c r="M235" s="5"/>
      <c r="N235" s="5" t="str">
        <f t="shared" si="17"/>
        <v/>
      </c>
      <c r="O235" s="4"/>
      <c r="P235" s="4"/>
      <c r="Q235" s="4"/>
    </row>
    <row r="236" spans="1:17" hidden="1" x14ac:dyDescent="0.2">
      <c r="A236" s="159"/>
      <c r="B236" s="4"/>
      <c r="C236" s="4"/>
      <c r="D236" s="4"/>
      <c r="E236" s="41"/>
      <c r="F236" s="41"/>
      <c r="G236" s="5"/>
      <c r="H236" s="4"/>
      <c r="I236" s="5"/>
      <c r="J236" s="5" t="str">
        <f t="shared" si="15"/>
        <v/>
      </c>
      <c r="K236" s="36"/>
      <c r="L236" s="5" t="str">
        <f t="shared" si="16"/>
        <v/>
      </c>
      <c r="M236" s="5"/>
      <c r="N236" s="5" t="str">
        <f t="shared" si="17"/>
        <v/>
      </c>
      <c r="O236" s="4"/>
      <c r="P236" s="4"/>
      <c r="Q236" s="4"/>
    </row>
    <row r="237" spans="1:17" hidden="1" x14ac:dyDescent="0.2">
      <c r="A237" s="159"/>
      <c r="B237" s="4"/>
      <c r="C237" s="4"/>
      <c r="D237" s="4"/>
      <c r="E237" s="41"/>
      <c r="F237" s="41"/>
      <c r="G237" s="5"/>
      <c r="H237" s="4"/>
      <c r="I237" s="5"/>
      <c r="J237" s="5" t="str">
        <f t="shared" si="15"/>
        <v/>
      </c>
      <c r="K237" s="36"/>
      <c r="L237" s="5" t="str">
        <f t="shared" si="16"/>
        <v/>
      </c>
      <c r="M237" s="5"/>
      <c r="N237" s="5" t="str">
        <f t="shared" si="17"/>
        <v/>
      </c>
      <c r="O237" s="4"/>
      <c r="P237" s="4"/>
      <c r="Q237" s="4"/>
    </row>
    <row r="238" spans="1:17" hidden="1" x14ac:dyDescent="0.2">
      <c r="A238" s="159"/>
      <c r="B238" s="4"/>
      <c r="C238" s="4"/>
      <c r="D238" s="4"/>
      <c r="E238" s="41"/>
      <c r="F238" s="41"/>
      <c r="G238" s="5"/>
      <c r="H238" s="4"/>
      <c r="I238" s="5"/>
      <c r="J238" s="5" t="str">
        <f t="shared" si="15"/>
        <v/>
      </c>
      <c r="K238" s="36"/>
      <c r="L238" s="5" t="str">
        <f t="shared" si="16"/>
        <v/>
      </c>
      <c r="M238" s="5"/>
      <c r="N238" s="5" t="str">
        <f t="shared" si="17"/>
        <v/>
      </c>
      <c r="O238" s="4"/>
      <c r="P238" s="4"/>
      <c r="Q238" s="4"/>
    </row>
    <row r="239" spans="1:17" hidden="1" x14ac:dyDescent="0.2">
      <c r="A239" s="159"/>
      <c r="B239" s="4"/>
      <c r="C239" s="4"/>
      <c r="D239" s="4"/>
      <c r="E239" s="41"/>
      <c r="F239" s="41"/>
      <c r="G239" s="5"/>
      <c r="H239" s="4"/>
      <c r="I239" s="5"/>
      <c r="J239" s="5" t="str">
        <f t="shared" si="15"/>
        <v/>
      </c>
      <c r="K239" s="36"/>
      <c r="L239" s="5" t="str">
        <f t="shared" si="16"/>
        <v/>
      </c>
      <c r="M239" s="5"/>
      <c r="N239" s="5" t="str">
        <f t="shared" si="17"/>
        <v/>
      </c>
      <c r="O239" s="4"/>
      <c r="P239" s="4"/>
      <c r="Q239" s="4"/>
    </row>
    <row r="240" spans="1:17" hidden="1" x14ac:dyDescent="0.2">
      <c r="A240" s="159"/>
      <c r="B240" s="4"/>
      <c r="C240" s="4"/>
      <c r="D240" s="4"/>
      <c r="E240" s="41"/>
      <c r="F240" s="41"/>
      <c r="G240" s="5"/>
      <c r="H240" s="4"/>
      <c r="I240" s="5"/>
      <c r="J240" s="5" t="str">
        <f t="shared" si="15"/>
        <v/>
      </c>
      <c r="K240" s="36"/>
      <c r="L240" s="5" t="str">
        <f t="shared" si="16"/>
        <v/>
      </c>
      <c r="M240" s="5"/>
      <c r="N240" s="5" t="str">
        <f t="shared" si="17"/>
        <v/>
      </c>
      <c r="O240" s="4"/>
      <c r="P240" s="4"/>
      <c r="Q240" s="4"/>
    </row>
    <row r="241" spans="1:17" hidden="1" x14ac:dyDescent="0.2">
      <c r="A241" s="159"/>
      <c r="B241" s="4"/>
      <c r="C241" s="4"/>
      <c r="D241" s="4"/>
      <c r="E241" s="41"/>
      <c r="F241" s="41"/>
      <c r="G241" s="5"/>
      <c r="H241" s="4"/>
      <c r="I241" s="5"/>
      <c r="J241" s="5" t="str">
        <f t="shared" si="15"/>
        <v/>
      </c>
      <c r="K241" s="36"/>
      <c r="L241" s="5" t="str">
        <f t="shared" si="16"/>
        <v/>
      </c>
      <c r="M241" s="5"/>
      <c r="N241" s="5" t="str">
        <f t="shared" si="17"/>
        <v/>
      </c>
      <c r="O241" s="4"/>
      <c r="P241" s="4"/>
      <c r="Q241" s="4"/>
    </row>
    <row r="242" spans="1:17" hidden="1" x14ac:dyDescent="0.2">
      <c r="A242" s="159"/>
      <c r="B242" s="4"/>
      <c r="C242" s="4"/>
      <c r="D242" s="4"/>
      <c r="E242" s="41"/>
      <c r="F242" s="41"/>
      <c r="G242" s="5"/>
      <c r="H242" s="4"/>
      <c r="I242" s="5"/>
      <c r="J242" s="5" t="str">
        <f t="shared" si="15"/>
        <v/>
      </c>
      <c r="K242" s="36"/>
      <c r="L242" s="5" t="str">
        <f t="shared" si="16"/>
        <v/>
      </c>
      <c r="M242" s="5"/>
      <c r="N242" s="5" t="str">
        <f t="shared" si="17"/>
        <v/>
      </c>
      <c r="O242" s="4"/>
      <c r="P242" s="4"/>
      <c r="Q242" s="4"/>
    </row>
    <row r="243" spans="1:17" hidden="1" x14ac:dyDescent="0.2">
      <c r="A243" s="159"/>
      <c r="B243" s="4"/>
      <c r="C243" s="4"/>
      <c r="D243" s="4"/>
      <c r="E243" s="41"/>
      <c r="F243" s="41"/>
      <c r="G243" s="5"/>
      <c r="H243" s="4"/>
      <c r="I243" s="5"/>
      <c r="J243" s="5" t="str">
        <f t="shared" si="15"/>
        <v/>
      </c>
      <c r="K243" s="36"/>
      <c r="L243" s="5" t="str">
        <f t="shared" si="16"/>
        <v/>
      </c>
      <c r="M243" s="5"/>
      <c r="N243" s="5" t="str">
        <f t="shared" si="17"/>
        <v/>
      </c>
      <c r="O243" s="4"/>
      <c r="P243" s="4"/>
      <c r="Q243" s="4"/>
    </row>
    <row r="244" spans="1:17" hidden="1" x14ac:dyDescent="0.2">
      <c r="A244" s="159"/>
      <c r="B244" s="4"/>
      <c r="C244" s="4"/>
      <c r="D244" s="4"/>
      <c r="E244" s="41"/>
      <c r="F244" s="41"/>
      <c r="G244" s="5"/>
      <c r="H244" s="4"/>
      <c r="I244" s="5"/>
      <c r="J244" s="5" t="str">
        <f t="shared" si="15"/>
        <v/>
      </c>
      <c r="K244" s="36"/>
      <c r="L244" s="5" t="str">
        <f t="shared" si="16"/>
        <v/>
      </c>
      <c r="M244" s="5"/>
      <c r="N244" s="5" t="str">
        <f t="shared" si="17"/>
        <v/>
      </c>
      <c r="O244" s="4"/>
      <c r="P244" s="4"/>
      <c r="Q244" s="4"/>
    </row>
    <row r="245" spans="1:17" hidden="1" x14ac:dyDescent="0.2">
      <c r="A245" s="159"/>
      <c r="B245" s="4"/>
      <c r="C245" s="4"/>
      <c r="D245" s="4"/>
      <c r="E245" s="41"/>
      <c r="F245" s="41"/>
      <c r="G245" s="5"/>
      <c r="H245" s="4"/>
      <c r="I245" s="5"/>
      <c r="J245" s="5" t="str">
        <f t="shared" si="15"/>
        <v/>
      </c>
      <c r="K245" s="36"/>
      <c r="L245" s="5" t="str">
        <f t="shared" si="16"/>
        <v/>
      </c>
      <c r="M245" s="5"/>
      <c r="N245" s="5" t="str">
        <f t="shared" si="17"/>
        <v/>
      </c>
      <c r="O245" s="4"/>
      <c r="P245" s="4"/>
      <c r="Q245" s="4"/>
    </row>
    <row r="246" spans="1:17" hidden="1" x14ac:dyDescent="0.2">
      <c r="A246" s="159"/>
      <c r="B246" s="4"/>
      <c r="C246" s="4"/>
      <c r="D246" s="4"/>
      <c r="E246" s="41"/>
      <c r="F246" s="41"/>
      <c r="G246" s="5"/>
      <c r="H246" s="4"/>
      <c r="I246" s="5"/>
      <c r="J246" s="5" t="str">
        <f t="shared" si="15"/>
        <v/>
      </c>
      <c r="K246" s="36"/>
      <c r="L246" s="5" t="str">
        <f t="shared" si="16"/>
        <v/>
      </c>
      <c r="M246" s="5"/>
      <c r="N246" s="5" t="str">
        <f t="shared" si="17"/>
        <v/>
      </c>
      <c r="O246" s="4"/>
      <c r="P246" s="4"/>
      <c r="Q246" s="4"/>
    </row>
    <row r="247" spans="1:17" hidden="1" x14ac:dyDescent="0.2">
      <c r="A247" s="159"/>
      <c r="B247" s="4"/>
      <c r="C247" s="4"/>
      <c r="D247" s="4"/>
      <c r="E247" s="41"/>
      <c r="F247" s="41"/>
      <c r="G247" s="5"/>
      <c r="H247" s="4"/>
      <c r="I247" s="5"/>
      <c r="J247" s="5" t="str">
        <f t="shared" si="15"/>
        <v/>
      </c>
      <c r="K247" s="36"/>
      <c r="L247" s="5" t="str">
        <f t="shared" si="16"/>
        <v/>
      </c>
      <c r="M247" s="5"/>
      <c r="N247" s="5" t="str">
        <f t="shared" si="17"/>
        <v/>
      </c>
      <c r="O247" s="4"/>
      <c r="P247" s="4"/>
      <c r="Q247" s="4"/>
    </row>
    <row r="248" spans="1:17" hidden="1" x14ac:dyDescent="0.2">
      <c r="A248" s="159"/>
      <c r="B248" s="4"/>
      <c r="C248" s="4"/>
      <c r="D248" s="4"/>
      <c r="E248" s="41"/>
      <c r="F248" s="41"/>
      <c r="G248" s="5"/>
      <c r="H248" s="4"/>
      <c r="I248" s="5"/>
      <c r="J248" s="5" t="str">
        <f t="shared" si="15"/>
        <v/>
      </c>
      <c r="K248" s="36"/>
      <c r="L248" s="5" t="str">
        <f t="shared" si="16"/>
        <v/>
      </c>
      <c r="M248" s="5"/>
      <c r="N248" s="5" t="str">
        <f t="shared" si="17"/>
        <v/>
      </c>
      <c r="O248" s="4"/>
      <c r="P248" s="4"/>
      <c r="Q248" s="4"/>
    </row>
    <row r="249" spans="1:17" hidden="1" x14ac:dyDescent="0.2">
      <c r="A249" s="159"/>
      <c r="B249" s="4"/>
      <c r="C249" s="4"/>
      <c r="D249" s="4"/>
      <c r="E249" s="41"/>
      <c r="F249" s="41"/>
      <c r="G249" s="5"/>
      <c r="H249" s="4"/>
      <c r="I249" s="5"/>
      <c r="J249" s="5" t="str">
        <f t="shared" si="15"/>
        <v/>
      </c>
      <c r="K249" s="36"/>
      <c r="L249" s="5" t="str">
        <f t="shared" si="16"/>
        <v/>
      </c>
      <c r="M249" s="5"/>
      <c r="N249" s="5" t="str">
        <f t="shared" si="17"/>
        <v/>
      </c>
      <c r="O249" s="4"/>
      <c r="P249" s="4"/>
      <c r="Q249" s="4"/>
    </row>
    <row r="250" spans="1:17" hidden="1" x14ac:dyDescent="0.2">
      <c r="A250" s="159"/>
      <c r="B250" s="4"/>
      <c r="C250" s="4"/>
      <c r="D250" s="4"/>
      <c r="E250" s="41"/>
      <c r="F250" s="41"/>
      <c r="G250" s="5"/>
      <c r="H250" s="4"/>
      <c r="I250" s="5"/>
      <c r="J250" s="5" t="str">
        <f t="shared" si="15"/>
        <v/>
      </c>
      <c r="K250" s="36"/>
      <c r="L250" s="5" t="str">
        <f t="shared" si="16"/>
        <v/>
      </c>
      <c r="M250" s="5"/>
      <c r="N250" s="5" t="str">
        <f t="shared" si="17"/>
        <v/>
      </c>
      <c r="O250" s="4"/>
      <c r="P250" s="4"/>
      <c r="Q250" s="4"/>
    </row>
    <row r="251" spans="1:17" hidden="1" x14ac:dyDescent="0.2">
      <c r="A251" s="159"/>
      <c r="B251" s="4"/>
      <c r="C251" s="4"/>
      <c r="D251" s="4"/>
      <c r="E251" s="41"/>
      <c r="F251" s="41"/>
      <c r="G251" s="5"/>
      <c r="H251" s="4"/>
      <c r="I251" s="5"/>
      <c r="J251" s="5" t="str">
        <f t="shared" si="15"/>
        <v/>
      </c>
      <c r="K251" s="36"/>
      <c r="L251" s="5" t="str">
        <f t="shared" si="16"/>
        <v/>
      </c>
      <c r="M251" s="5"/>
      <c r="N251" s="5" t="str">
        <f t="shared" si="17"/>
        <v/>
      </c>
      <c r="O251" s="4"/>
      <c r="P251" s="4"/>
      <c r="Q251" s="4"/>
    </row>
    <row r="252" spans="1:17" hidden="1" x14ac:dyDescent="0.2">
      <c r="A252" s="159"/>
      <c r="B252" s="4"/>
      <c r="C252" s="4"/>
      <c r="D252" s="4"/>
      <c r="E252" s="41"/>
      <c r="F252" s="41"/>
      <c r="G252" s="5"/>
      <c r="H252" s="4"/>
      <c r="I252" s="5"/>
      <c r="J252" s="5" t="str">
        <f t="shared" si="15"/>
        <v/>
      </c>
      <c r="K252" s="36"/>
      <c r="L252" s="5" t="str">
        <f t="shared" si="16"/>
        <v/>
      </c>
      <c r="M252" s="5"/>
      <c r="N252" s="5" t="str">
        <f t="shared" si="17"/>
        <v/>
      </c>
      <c r="O252" s="4"/>
      <c r="P252" s="4"/>
      <c r="Q252" s="4"/>
    </row>
    <row r="253" spans="1:17" hidden="1" x14ac:dyDescent="0.2">
      <c r="A253" s="159"/>
      <c r="B253" s="4"/>
      <c r="C253" s="4"/>
      <c r="D253" s="4"/>
      <c r="E253" s="41"/>
      <c r="F253" s="41"/>
      <c r="G253" s="5"/>
      <c r="H253" s="4"/>
      <c r="I253" s="5"/>
      <c r="J253" s="5" t="str">
        <f t="shared" si="15"/>
        <v/>
      </c>
      <c r="K253" s="36"/>
      <c r="L253" s="5" t="str">
        <f t="shared" si="16"/>
        <v/>
      </c>
      <c r="M253" s="5"/>
      <c r="N253" s="5" t="str">
        <f t="shared" si="17"/>
        <v/>
      </c>
      <c r="O253" s="4"/>
      <c r="P253" s="4"/>
      <c r="Q253" s="4"/>
    </row>
    <row r="254" spans="1:17" hidden="1" x14ac:dyDescent="0.2">
      <c r="A254" s="159"/>
      <c r="B254" s="4"/>
      <c r="C254" s="4"/>
      <c r="D254" s="4"/>
      <c r="E254" s="41"/>
      <c r="F254" s="41"/>
      <c r="G254" s="5"/>
      <c r="H254" s="4"/>
      <c r="I254" s="5"/>
      <c r="J254" s="5" t="str">
        <f t="shared" si="15"/>
        <v/>
      </c>
      <c r="K254" s="36"/>
      <c r="L254" s="5" t="str">
        <f t="shared" si="16"/>
        <v/>
      </c>
      <c r="M254" s="5"/>
      <c r="N254" s="5" t="str">
        <f t="shared" si="17"/>
        <v/>
      </c>
      <c r="O254" s="4"/>
      <c r="P254" s="4"/>
      <c r="Q254" s="4"/>
    </row>
    <row r="255" spans="1:17" hidden="1" x14ac:dyDescent="0.2">
      <c r="A255" s="159"/>
      <c r="B255" s="4"/>
      <c r="C255" s="4"/>
      <c r="D255" s="4"/>
      <c r="E255" s="41"/>
      <c r="F255" s="41"/>
      <c r="G255" s="5"/>
      <c r="H255" s="4"/>
      <c r="I255" s="5"/>
      <c r="J255" s="5" t="str">
        <f t="shared" si="15"/>
        <v/>
      </c>
      <c r="K255" s="36"/>
      <c r="L255" s="5" t="str">
        <f t="shared" si="16"/>
        <v/>
      </c>
      <c r="M255" s="5"/>
      <c r="N255" s="5" t="str">
        <f t="shared" si="17"/>
        <v/>
      </c>
      <c r="O255" s="4"/>
      <c r="P255" s="4"/>
      <c r="Q255" s="4"/>
    </row>
    <row r="256" spans="1:17" hidden="1" x14ac:dyDescent="0.2">
      <c r="A256" s="159"/>
      <c r="B256" s="4"/>
      <c r="C256" s="4"/>
      <c r="D256" s="4"/>
      <c r="E256" s="41"/>
      <c r="F256" s="41"/>
      <c r="G256" s="5"/>
      <c r="H256" s="4"/>
      <c r="I256" s="5"/>
      <c r="J256" s="5" t="str">
        <f t="shared" si="15"/>
        <v/>
      </c>
      <c r="K256" s="36"/>
      <c r="L256" s="5" t="str">
        <f t="shared" si="16"/>
        <v/>
      </c>
      <c r="M256" s="5"/>
      <c r="N256" s="5" t="str">
        <f t="shared" si="17"/>
        <v/>
      </c>
      <c r="O256" s="4"/>
      <c r="P256" s="4"/>
      <c r="Q256" s="4"/>
    </row>
    <row r="257" spans="1:17" hidden="1" x14ac:dyDescent="0.2">
      <c r="A257" s="159"/>
      <c r="B257" s="4"/>
      <c r="C257" s="4"/>
      <c r="D257" s="4"/>
      <c r="E257" s="41"/>
      <c r="F257" s="41"/>
      <c r="G257" s="5"/>
      <c r="H257" s="4"/>
      <c r="I257" s="5"/>
      <c r="J257" s="5" t="str">
        <f t="shared" si="15"/>
        <v/>
      </c>
      <c r="K257" s="36"/>
      <c r="L257" s="5" t="str">
        <f t="shared" si="16"/>
        <v/>
      </c>
      <c r="M257" s="5"/>
      <c r="N257" s="5" t="str">
        <f t="shared" si="17"/>
        <v/>
      </c>
      <c r="O257" s="4"/>
      <c r="P257" s="4"/>
      <c r="Q257" s="4"/>
    </row>
    <row r="258" spans="1:17" hidden="1" x14ac:dyDescent="0.2">
      <c r="A258" s="159"/>
      <c r="B258" s="4"/>
      <c r="C258" s="4"/>
      <c r="D258" s="4"/>
      <c r="E258" s="41"/>
      <c r="F258" s="41"/>
      <c r="G258" s="5"/>
      <c r="H258" s="4"/>
      <c r="I258" s="5"/>
      <c r="J258" s="5" t="str">
        <f t="shared" si="15"/>
        <v/>
      </c>
      <c r="K258" s="36"/>
      <c r="L258" s="5" t="str">
        <f t="shared" si="16"/>
        <v/>
      </c>
      <c r="M258" s="5"/>
      <c r="N258" s="5" t="str">
        <f t="shared" si="17"/>
        <v/>
      </c>
      <c r="O258" s="4"/>
      <c r="P258" s="4"/>
      <c r="Q258" s="4"/>
    </row>
    <row r="259" spans="1:17" hidden="1" x14ac:dyDescent="0.2">
      <c r="A259" s="159"/>
      <c r="B259" s="4"/>
      <c r="C259" s="4"/>
      <c r="D259" s="4"/>
      <c r="E259" s="41"/>
      <c r="F259" s="41"/>
      <c r="G259" s="5"/>
      <c r="H259" s="4"/>
      <c r="I259" s="5"/>
      <c r="J259" s="5" t="str">
        <f t="shared" si="15"/>
        <v/>
      </c>
      <c r="K259" s="36"/>
      <c r="L259" s="5" t="str">
        <f t="shared" si="16"/>
        <v/>
      </c>
      <c r="M259" s="5"/>
      <c r="N259" s="5" t="str">
        <f t="shared" si="17"/>
        <v/>
      </c>
      <c r="O259" s="4"/>
      <c r="P259" s="4"/>
      <c r="Q259" s="4"/>
    </row>
    <row r="260" spans="1:17" hidden="1" x14ac:dyDescent="0.2">
      <c r="A260" s="159"/>
      <c r="B260" s="4"/>
      <c r="C260" s="4"/>
      <c r="D260" s="4"/>
      <c r="E260" s="41"/>
      <c r="F260" s="41"/>
      <c r="G260" s="5"/>
      <c r="H260" s="4"/>
      <c r="I260" s="5"/>
      <c r="J260" s="5" t="str">
        <f t="shared" si="15"/>
        <v/>
      </c>
      <c r="K260" s="36"/>
      <c r="L260" s="5" t="str">
        <f t="shared" si="16"/>
        <v/>
      </c>
      <c r="M260" s="5"/>
      <c r="N260" s="5" t="str">
        <f t="shared" si="17"/>
        <v/>
      </c>
      <c r="O260" s="4"/>
      <c r="P260" s="4"/>
      <c r="Q260" s="4"/>
    </row>
    <row r="261" spans="1:17" hidden="1" x14ac:dyDescent="0.2">
      <c r="A261" s="159"/>
      <c r="B261" s="4"/>
      <c r="C261" s="4"/>
      <c r="D261" s="4"/>
      <c r="E261" s="41"/>
      <c r="F261" s="41"/>
      <c r="G261" s="5"/>
      <c r="H261" s="4"/>
      <c r="I261" s="5"/>
      <c r="J261" s="5" t="str">
        <f t="shared" si="15"/>
        <v/>
      </c>
      <c r="K261" s="36"/>
      <c r="L261" s="5" t="str">
        <f t="shared" si="16"/>
        <v/>
      </c>
      <c r="M261" s="5"/>
      <c r="N261" s="5" t="str">
        <f t="shared" si="17"/>
        <v/>
      </c>
      <c r="O261" s="4"/>
      <c r="P261" s="4"/>
      <c r="Q261" s="4"/>
    </row>
    <row r="262" spans="1:17" hidden="1" x14ac:dyDescent="0.2">
      <c r="A262" s="159"/>
      <c r="B262" s="4"/>
      <c r="C262" s="4"/>
      <c r="D262" s="4"/>
      <c r="E262" s="41"/>
      <c r="F262" s="41"/>
      <c r="G262" s="5"/>
      <c r="H262" s="4"/>
      <c r="I262" s="5"/>
      <c r="J262" s="5" t="str">
        <f t="shared" si="15"/>
        <v/>
      </c>
      <c r="K262" s="36"/>
      <c r="L262" s="5" t="str">
        <f t="shared" si="16"/>
        <v/>
      </c>
      <c r="M262" s="5"/>
      <c r="N262" s="5" t="str">
        <f t="shared" si="17"/>
        <v/>
      </c>
      <c r="O262" s="4"/>
      <c r="P262" s="4"/>
      <c r="Q262" s="4"/>
    </row>
    <row r="263" spans="1:17" hidden="1" x14ac:dyDescent="0.2">
      <c r="A263" s="159"/>
      <c r="B263" s="4"/>
      <c r="C263" s="4"/>
      <c r="D263" s="4"/>
      <c r="E263" s="41"/>
      <c r="F263" s="41"/>
      <c r="G263" s="5"/>
      <c r="H263" s="4"/>
      <c r="I263" s="5"/>
      <c r="J263" s="5" t="str">
        <f t="shared" si="15"/>
        <v/>
      </c>
      <c r="K263" s="36"/>
      <c r="L263" s="5" t="str">
        <f t="shared" si="16"/>
        <v/>
      </c>
      <c r="M263" s="5"/>
      <c r="N263" s="5" t="str">
        <f t="shared" si="17"/>
        <v/>
      </c>
      <c r="O263" s="4"/>
      <c r="P263" s="4"/>
      <c r="Q263" s="4"/>
    </row>
    <row r="264" spans="1:17" hidden="1" x14ac:dyDescent="0.2">
      <c r="A264" s="159"/>
      <c r="B264" s="4"/>
      <c r="C264" s="4"/>
      <c r="D264" s="4"/>
      <c r="E264" s="41"/>
      <c r="F264" s="41"/>
      <c r="G264" s="5"/>
      <c r="H264" s="4"/>
      <c r="I264" s="5"/>
      <c r="J264" s="5" t="str">
        <f t="shared" si="15"/>
        <v/>
      </c>
      <c r="K264" s="36"/>
      <c r="L264" s="5" t="str">
        <f t="shared" si="16"/>
        <v/>
      </c>
      <c r="M264" s="5"/>
      <c r="N264" s="5" t="str">
        <f t="shared" si="17"/>
        <v/>
      </c>
      <c r="O264" s="4"/>
      <c r="P264" s="4"/>
      <c r="Q264" s="4"/>
    </row>
    <row r="265" spans="1:17" hidden="1" x14ac:dyDescent="0.2">
      <c r="A265" s="159"/>
      <c r="B265" s="4"/>
      <c r="C265" s="4"/>
      <c r="D265" s="4"/>
      <c r="E265" s="41"/>
      <c r="F265" s="41"/>
      <c r="G265" s="5"/>
      <c r="H265" s="4"/>
      <c r="I265" s="5"/>
      <c r="J265" s="5" t="str">
        <f t="shared" si="15"/>
        <v/>
      </c>
      <c r="K265" s="36"/>
      <c r="L265" s="5" t="str">
        <f t="shared" si="16"/>
        <v/>
      </c>
      <c r="M265" s="5"/>
      <c r="N265" s="5" t="str">
        <f t="shared" si="17"/>
        <v/>
      </c>
      <c r="O265" s="4"/>
      <c r="P265" s="4"/>
      <c r="Q265" s="4"/>
    </row>
    <row r="266" spans="1:17" hidden="1" x14ac:dyDescent="0.2">
      <c r="A266" s="159"/>
      <c r="B266" s="4"/>
      <c r="C266" s="4"/>
      <c r="D266" s="4"/>
      <c r="E266" s="41"/>
      <c r="F266" s="41"/>
      <c r="G266" s="5"/>
      <c r="H266" s="4"/>
      <c r="I266" s="5"/>
      <c r="J266" s="5" t="str">
        <f t="shared" si="15"/>
        <v/>
      </c>
      <c r="K266" s="36"/>
      <c r="L266" s="5" t="str">
        <f t="shared" si="16"/>
        <v/>
      </c>
      <c r="M266" s="5"/>
      <c r="N266" s="5" t="str">
        <f t="shared" si="17"/>
        <v/>
      </c>
      <c r="O266" s="4"/>
      <c r="P266" s="4"/>
      <c r="Q266" s="4"/>
    </row>
    <row r="267" spans="1:17" hidden="1" x14ac:dyDescent="0.2">
      <c r="A267" s="159"/>
      <c r="B267" s="4"/>
      <c r="C267" s="4"/>
      <c r="D267" s="4"/>
      <c r="E267" s="41"/>
      <c r="F267" s="41"/>
      <c r="G267" s="5"/>
      <c r="H267" s="4"/>
      <c r="I267" s="5"/>
      <c r="J267" s="5" t="str">
        <f t="shared" si="15"/>
        <v/>
      </c>
      <c r="K267" s="36"/>
      <c r="L267" s="5" t="str">
        <f t="shared" si="16"/>
        <v/>
      </c>
      <c r="M267" s="5"/>
      <c r="N267" s="5" t="str">
        <f t="shared" si="17"/>
        <v/>
      </c>
      <c r="O267" s="4"/>
      <c r="P267" s="4"/>
      <c r="Q267" s="4"/>
    </row>
    <row r="268" spans="1:17" hidden="1" x14ac:dyDescent="0.2">
      <c r="A268" s="159"/>
      <c r="B268" s="4"/>
      <c r="C268" s="4"/>
      <c r="D268" s="4"/>
      <c r="E268" s="41"/>
      <c r="F268" s="41"/>
      <c r="G268" s="5"/>
      <c r="H268" s="4"/>
      <c r="I268" s="5"/>
      <c r="J268" s="5" t="str">
        <f t="shared" si="15"/>
        <v/>
      </c>
      <c r="K268" s="36"/>
      <c r="L268" s="5" t="str">
        <f t="shared" si="16"/>
        <v/>
      </c>
      <c r="M268" s="5"/>
      <c r="N268" s="5" t="str">
        <f t="shared" si="17"/>
        <v/>
      </c>
      <c r="O268" s="4"/>
      <c r="P268" s="4"/>
      <c r="Q268" s="4"/>
    </row>
    <row r="269" spans="1:17" hidden="1" x14ac:dyDescent="0.2">
      <c r="A269" s="159"/>
      <c r="B269" s="4"/>
      <c r="C269" s="4"/>
      <c r="D269" s="4"/>
      <c r="E269" s="41"/>
      <c r="F269" s="41"/>
      <c r="G269" s="5"/>
      <c r="H269" s="4"/>
      <c r="I269" s="5"/>
      <c r="J269" s="5" t="str">
        <f t="shared" si="15"/>
        <v/>
      </c>
      <c r="K269" s="36"/>
      <c r="L269" s="5" t="str">
        <f t="shared" si="16"/>
        <v/>
      </c>
      <c r="M269" s="5"/>
      <c r="N269" s="5" t="str">
        <f t="shared" si="17"/>
        <v/>
      </c>
      <c r="O269" s="4"/>
      <c r="P269" s="4"/>
      <c r="Q269" s="4"/>
    </row>
    <row r="270" spans="1:17" hidden="1" x14ac:dyDescent="0.2">
      <c r="A270" s="159"/>
      <c r="B270" s="4"/>
      <c r="C270" s="4"/>
      <c r="D270" s="4"/>
      <c r="E270" s="41"/>
      <c r="F270" s="41"/>
      <c r="G270" s="5"/>
      <c r="H270" s="4"/>
      <c r="I270" s="5"/>
      <c r="J270" s="5" t="str">
        <f t="shared" si="15"/>
        <v/>
      </c>
      <c r="K270" s="36"/>
      <c r="L270" s="5" t="str">
        <f t="shared" si="16"/>
        <v/>
      </c>
      <c r="M270" s="5"/>
      <c r="N270" s="5" t="str">
        <f t="shared" si="17"/>
        <v/>
      </c>
      <c r="O270" s="4"/>
      <c r="P270" s="4"/>
      <c r="Q270" s="4"/>
    </row>
    <row r="271" spans="1:17" hidden="1" x14ac:dyDescent="0.2">
      <c r="A271" s="159"/>
      <c r="B271" s="4"/>
      <c r="C271" s="4"/>
      <c r="D271" s="4"/>
      <c r="E271" s="41"/>
      <c r="F271" s="41"/>
      <c r="G271" s="5"/>
      <c r="H271" s="4"/>
      <c r="I271" s="5"/>
      <c r="J271" s="5" t="str">
        <f t="shared" si="15"/>
        <v/>
      </c>
      <c r="K271" s="36"/>
      <c r="L271" s="5" t="str">
        <f t="shared" si="16"/>
        <v/>
      </c>
      <c r="M271" s="5"/>
      <c r="N271" s="5" t="str">
        <f t="shared" si="17"/>
        <v/>
      </c>
      <c r="O271" s="4"/>
      <c r="P271" s="4"/>
      <c r="Q271" s="4"/>
    </row>
    <row r="272" spans="1:17" hidden="1" x14ac:dyDescent="0.2">
      <c r="A272" s="159"/>
      <c r="B272" s="4"/>
      <c r="C272" s="4"/>
      <c r="D272" s="4"/>
      <c r="E272" s="41"/>
      <c r="F272" s="41"/>
      <c r="G272" s="5"/>
      <c r="H272" s="4"/>
      <c r="I272" s="5"/>
      <c r="J272" s="5" t="str">
        <f t="shared" si="15"/>
        <v/>
      </c>
      <c r="K272" s="36"/>
      <c r="L272" s="5" t="str">
        <f t="shared" si="16"/>
        <v/>
      </c>
      <c r="M272" s="5"/>
      <c r="N272" s="5" t="str">
        <f t="shared" si="17"/>
        <v/>
      </c>
      <c r="O272" s="4"/>
      <c r="P272" s="4"/>
      <c r="Q272" s="4"/>
    </row>
    <row r="273" spans="1:17" hidden="1" x14ac:dyDescent="0.2">
      <c r="A273" s="159"/>
      <c r="B273" s="4"/>
      <c r="C273" s="4"/>
      <c r="D273" s="4"/>
      <c r="E273" s="41"/>
      <c r="F273" s="41"/>
      <c r="G273" s="5"/>
      <c r="H273" s="4"/>
      <c r="I273" s="5"/>
      <c r="J273" s="5" t="str">
        <f t="shared" si="15"/>
        <v/>
      </c>
      <c r="K273" s="36"/>
      <c r="L273" s="5" t="str">
        <f t="shared" si="16"/>
        <v/>
      </c>
      <c r="M273" s="5"/>
      <c r="N273" s="5" t="str">
        <f t="shared" si="17"/>
        <v/>
      </c>
      <c r="O273" s="4"/>
      <c r="P273" s="4"/>
      <c r="Q273" s="4"/>
    </row>
    <row r="274" spans="1:17" hidden="1" x14ac:dyDescent="0.2">
      <c r="A274" s="159"/>
      <c r="B274" s="4"/>
      <c r="C274" s="4"/>
      <c r="D274" s="4"/>
      <c r="E274" s="41"/>
      <c r="F274" s="41"/>
      <c r="G274" s="5"/>
      <c r="H274" s="4"/>
      <c r="I274" s="5"/>
      <c r="J274" s="5" t="str">
        <f t="shared" si="15"/>
        <v/>
      </c>
      <c r="K274" s="36"/>
      <c r="L274" s="5" t="str">
        <f t="shared" si="16"/>
        <v/>
      </c>
      <c r="M274" s="5"/>
      <c r="N274" s="5" t="str">
        <f t="shared" si="17"/>
        <v/>
      </c>
      <c r="O274" s="4"/>
      <c r="P274" s="4"/>
      <c r="Q274" s="4"/>
    </row>
    <row r="275" spans="1:17" hidden="1" x14ac:dyDescent="0.2">
      <c r="A275" s="159"/>
      <c r="B275" s="4"/>
      <c r="C275" s="4"/>
      <c r="D275" s="4"/>
      <c r="E275" s="41"/>
      <c r="F275" s="41"/>
      <c r="G275" s="5"/>
      <c r="H275" s="4"/>
      <c r="I275" s="5"/>
      <c r="J275" s="5" t="str">
        <f t="shared" si="15"/>
        <v/>
      </c>
      <c r="K275" s="36"/>
      <c r="L275" s="5" t="str">
        <f t="shared" si="16"/>
        <v/>
      </c>
      <c r="M275" s="5"/>
      <c r="N275" s="5" t="str">
        <f t="shared" si="17"/>
        <v/>
      </c>
      <c r="O275" s="4"/>
      <c r="P275" s="4"/>
      <c r="Q275" s="4"/>
    </row>
    <row r="276" spans="1:17" hidden="1" x14ac:dyDescent="0.2">
      <c r="A276" s="159"/>
      <c r="B276" s="4"/>
      <c r="C276" s="4"/>
      <c r="D276" s="4"/>
      <c r="E276" s="41"/>
      <c r="F276" s="41"/>
      <c r="G276" s="5"/>
      <c r="H276" s="4"/>
      <c r="I276" s="5"/>
      <c r="J276" s="5" t="str">
        <f t="shared" si="15"/>
        <v/>
      </c>
      <c r="K276" s="36"/>
      <c r="L276" s="5" t="str">
        <f t="shared" si="16"/>
        <v/>
      </c>
      <c r="M276" s="5"/>
      <c r="N276" s="5" t="str">
        <f t="shared" si="17"/>
        <v/>
      </c>
      <c r="O276" s="4"/>
      <c r="P276" s="4"/>
      <c r="Q276" s="4"/>
    </row>
    <row r="277" spans="1:17" hidden="1" x14ac:dyDescent="0.2">
      <c r="A277" s="159"/>
      <c r="B277" s="4"/>
      <c r="C277" s="4"/>
      <c r="D277" s="4"/>
      <c r="E277" s="41"/>
      <c r="F277" s="41"/>
      <c r="G277" s="5"/>
      <c r="H277" s="4"/>
      <c r="I277" s="5"/>
      <c r="J277" s="5" t="str">
        <f t="shared" si="15"/>
        <v/>
      </c>
      <c r="K277" s="36"/>
      <c r="L277" s="5" t="str">
        <f t="shared" si="16"/>
        <v/>
      </c>
      <c r="M277" s="5"/>
      <c r="N277" s="5" t="str">
        <f t="shared" si="17"/>
        <v/>
      </c>
      <c r="O277" s="4"/>
      <c r="P277" s="4"/>
      <c r="Q277" s="4"/>
    </row>
    <row r="278" spans="1:17" hidden="1" x14ac:dyDescent="0.2">
      <c r="A278" s="159"/>
      <c r="B278" s="4"/>
      <c r="C278" s="4"/>
      <c r="D278" s="4"/>
      <c r="E278" s="41"/>
      <c r="F278" s="41"/>
      <c r="G278" s="5"/>
      <c r="H278" s="4"/>
      <c r="I278" s="5"/>
      <c r="J278" s="5" t="str">
        <f t="shared" si="15"/>
        <v/>
      </c>
      <c r="K278" s="36"/>
      <c r="L278" s="5" t="str">
        <f t="shared" si="16"/>
        <v/>
      </c>
      <c r="M278" s="5"/>
      <c r="N278" s="5" t="str">
        <f t="shared" si="17"/>
        <v/>
      </c>
      <c r="O278" s="4"/>
      <c r="P278" s="4"/>
      <c r="Q278" s="4"/>
    </row>
    <row r="279" spans="1:17" hidden="1" x14ac:dyDescent="0.2">
      <c r="A279" s="159"/>
      <c r="B279" s="4"/>
      <c r="C279" s="4"/>
      <c r="D279" s="4"/>
      <c r="E279" s="41"/>
      <c r="F279" s="41"/>
      <c r="G279" s="5"/>
      <c r="H279" s="4"/>
      <c r="I279" s="5"/>
      <c r="J279" s="5" t="str">
        <f t="shared" si="15"/>
        <v/>
      </c>
      <c r="K279" s="36"/>
      <c r="L279" s="5" t="str">
        <f t="shared" si="16"/>
        <v/>
      </c>
      <c r="M279" s="5"/>
      <c r="N279" s="5" t="str">
        <f t="shared" si="17"/>
        <v/>
      </c>
      <c r="O279" s="4"/>
      <c r="P279" s="4"/>
      <c r="Q279" s="4"/>
    </row>
    <row r="280" spans="1:17" hidden="1" x14ac:dyDescent="0.2">
      <c r="A280" s="159"/>
      <c r="B280" s="4"/>
      <c r="C280" s="4"/>
      <c r="D280" s="4"/>
      <c r="E280" s="41"/>
      <c r="F280" s="41"/>
      <c r="G280" s="5"/>
      <c r="H280" s="4"/>
      <c r="I280" s="5"/>
      <c r="J280" s="5" t="str">
        <f t="shared" si="15"/>
        <v/>
      </c>
      <c r="K280" s="36"/>
      <c r="L280" s="5" t="str">
        <f t="shared" si="16"/>
        <v/>
      </c>
      <c r="M280" s="5"/>
      <c r="N280" s="5" t="str">
        <f t="shared" si="17"/>
        <v/>
      </c>
      <c r="O280" s="4"/>
      <c r="P280" s="4"/>
      <c r="Q280" s="4"/>
    </row>
    <row r="281" spans="1:17" hidden="1" x14ac:dyDescent="0.2">
      <c r="A281" s="159"/>
      <c r="B281" s="4"/>
      <c r="C281" s="4"/>
      <c r="D281" s="4"/>
      <c r="E281" s="41"/>
      <c r="F281" s="41"/>
      <c r="G281" s="5"/>
      <c r="H281" s="4"/>
      <c r="I281" s="5"/>
      <c r="J281" s="5" t="str">
        <f t="shared" ref="J281:J344" si="18">IF($D281="","",IF($H281="FIXED",$I281,($E281*FAT_MULT)+($F281*SNF_MULT)+$G281))</f>
        <v/>
      </c>
      <c r="K281" s="36"/>
      <c r="L281" s="5" t="str">
        <f t="shared" ref="L281:L344" si="19">IF($K281="","",$K281*$J281)</f>
        <v/>
      </c>
      <c r="M281" s="5"/>
      <c r="N281" s="5" t="str">
        <f t="shared" ref="N281:N344" si="20">IF($K281="","",$L281+$M281)</f>
        <v/>
      </c>
      <c r="O281" s="4"/>
      <c r="P281" s="4"/>
      <c r="Q281" s="4"/>
    </row>
    <row r="282" spans="1:17" hidden="1" x14ac:dyDescent="0.2">
      <c r="A282" s="159"/>
      <c r="B282" s="4"/>
      <c r="C282" s="4"/>
      <c r="D282" s="4"/>
      <c r="E282" s="41"/>
      <c r="F282" s="41"/>
      <c r="G282" s="5"/>
      <c r="H282" s="4"/>
      <c r="I282" s="5"/>
      <c r="J282" s="5" t="str">
        <f t="shared" si="18"/>
        <v/>
      </c>
      <c r="K282" s="36"/>
      <c r="L282" s="5" t="str">
        <f t="shared" si="19"/>
        <v/>
      </c>
      <c r="M282" s="5"/>
      <c r="N282" s="5" t="str">
        <f t="shared" si="20"/>
        <v/>
      </c>
      <c r="O282" s="4"/>
      <c r="P282" s="4"/>
      <c r="Q282" s="4"/>
    </row>
    <row r="283" spans="1:17" hidden="1" x14ac:dyDescent="0.2">
      <c r="A283" s="159"/>
      <c r="B283" s="4"/>
      <c r="C283" s="4"/>
      <c r="D283" s="4"/>
      <c r="E283" s="41"/>
      <c r="F283" s="41"/>
      <c r="G283" s="5"/>
      <c r="H283" s="4"/>
      <c r="I283" s="5"/>
      <c r="J283" s="5" t="str">
        <f t="shared" si="18"/>
        <v/>
      </c>
      <c r="K283" s="36"/>
      <c r="L283" s="5" t="str">
        <f t="shared" si="19"/>
        <v/>
      </c>
      <c r="M283" s="5"/>
      <c r="N283" s="5" t="str">
        <f t="shared" si="20"/>
        <v/>
      </c>
      <c r="O283" s="4"/>
      <c r="P283" s="4"/>
      <c r="Q283" s="4"/>
    </row>
    <row r="284" spans="1:17" hidden="1" x14ac:dyDescent="0.2">
      <c r="A284" s="159"/>
      <c r="B284" s="4"/>
      <c r="C284" s="4"/>
      <c r="D284" s="4"/>
      <c r="E284" s="41"/>
      <c r="F284" s="41"/>
      <c r="G284" s="5"/>
      <c r="H284" s="4"/>
      <c r="I284" s="5"/>
      <c r="J284" s="5" t="str">
        <f t="shared" si="18"/>
        <v/>
      </c>
      <c r="K284" s="36"/>
      <c r="L284" s="5" t="str">
        <f t="shared" si="19"/>
        <v/>
      </c>
      <c r="M284" s="5"/>
      <c r="N284" s="5" t="str">
        <f t="shared" si="20"/>
        <v/>
      </c>
      <c r="O284" s="4"/>
      <c r="P284" s="4"/>
      <c r="Q284" s="4"/>
    </row>
    <row r="285" spans="1:17" hidden="1" x14ac:dyDescent="0.2">
      <c r="A285" s="159"/>
      <c r="B285" s="4"/>
      <c r="C285" s="4"/>
      <c r="D285" s="4"/>
      <c r="E285" s="41"/>
      <c r="F285" s="41"/>
      <c r="G285" s="5"/>
      <c r="H285" s="4"/>
      <c r="I285" s="5"/>
      <c r="J285" s="5" t="str">
        <f t="shared" si="18"/>
        <v/>
      </c>
      <c r="K285" s="36"/>
      <c r="L285" s="5" t="str">
        <f t="shared" si="19"/>
        <v/>
      </c>
      <c r="M285" s="5"/>
      <c r="N285" s="5" t="str">
        <f t="shared" si="20"/>
        <v/>
      </c>
      <c r="O285" s="4"/>
      <c r="P285" s="4"/>
      <c r="Q285" s="4"/>
    </row>
    <row r="286" spans="1:17" hidden="1" x14ac:dyDescent="0.2">
      <c r="A286" s="159"/>
      <c r="B286" s="4"/>
      <c r="C286" s="4"/>
      <c r="D286" s="4"/>
      <c r="E286" s="41"/>
      <c r="F286" s="41"/>
      <c r="G286" s="5"/>
      <c r="H286" s="4"/>
      <c r="I286" s="5"/>
      <c r="J286" s="5" t="str">
        <f t="shared" si="18"/>
        <v/>
      </c>
      <c r="K286" s="36"/>
      <c r="L286" s="5" t="str">
        <f t="shared" si="19"/>
        <v/>
      </c>
      <c r="M286" s="5"/>
      <c r="N286" s="5" t="str">
        <f t="shared" si="20"/>
        <v/>
      </c>
      <c r="O286" s="4"/>
      <c r="P286" s="4"/>
      <c r="Q286" s="4"/>
    </row>
    <row r="287" spans="1:17" hidden="1" x14ac:dyDescent="0.2">
      <c r="A287" s="159"/>
      <c r="B287" s="4"/>
      <c r="C287" s="4"/>
      <c r="D287" s="4"/>
      <c r="E287" s="41"/>
      <c r="F287" s="41"/>
      <c r="G287" s="5"/>
      <c r="H287" s="4"/>
      <c r="I287" s="5"/>
      <c r="J287" s="5" t="str">
        <f t="shared" si="18"/>
        <v/>
      </c>
      <c r="K287" s="36"/>
      <c r="L287" s="5" t="str">
        <f t="shared" si="19"/>
        <v/>
      </c>
      <c r="M287" s="5"/>
      <c r="N287" s="5" t="str">
        <f t="shared" si="20"/>
        <v/>
      </c>
      <c r="O287" s="4"/>
      <c r="P287" s="4"/>
      <c r="Q287" s="4"/>
    </row>
    <row r="288" spans="1:17" hidden="1" x14ac:dyDescent="0.2">
      <c r="A288" s="159"/>
      <c r="B288" s="4"/>
      <c r="C288" s="4"/>
      <c r="D288" s="4"/>
      <c r="E288" s="41"/>
      <c r="F288" s="41"/>
      <c r="G288" s="5"/>
      <c r="H288" s="4"/>
      <c r="I288" s="5"/>
      <c r="J288" s="5" t="str">
        <f t="shared" si="18"/>
        <v/>
      </c>
      <c r="K288" s="36"/>
      <c r="L288" s="5" t="str">
        <f t="shared" si="19"/>
        <v/>
      </c>
      <c r="M288" s="5"/>
      <c r="N288" s="5" t="str">
        <f t="shared" si="20"/>
        <v/>
      </c>
      <c r="O288" s="4"/>
      <c r="P288" s="4"/>
      <c r="Q288" s="4"/>
    </row>
    <row r="289" spans="1:17" hidden="1" x14ac:dyDescent="0.2">
      <c r="A289" s="159"/>
      <c r="B289" s="4"/>
      <c r="C289" s="4"/>
      <c r="D289" s="4"/>
      <c r="E289" s="41"/>
      <c r="F289" s="41"/>
      <c r="G289" s="5"/>
      <c r="H289" s="4"/>
      <c r="I289" s="5"/>
      <c r="J289" s="5" t="str">
        <f t="shared" si="18"/>
        <v/>
      </c>
      <c r="K289" s="36"/>
      <c r="L289" s="5" t="str">
        <f t="shared" si="19"/>
        <v/>
      </c>
      <c r="M289" s="5"/>
      <c r="N289" s="5" t="str">
        <f t="shared" si="20"/>
        <v/>
      </c>
      <c r="O289" s="4"/>
      <c r="P289" s="4"/>
      <c r="Q289" s="4"/>
    </row>
    <row r="290" spans="1:17" hidden="1" x14ac:dyDescent="0.2">
      <c r="A290" s="159"/>
      <c r="B290" s="4"/>
      <c r="C290" s="4"/>
      <c r="D290" s="4"/>
      <c r="E290" s="41"/>
      <c r="F290" s="41"/>
      <c r="G290" s="5"/>
      <c r="H290" s="4"/>
      <c r="I290" s="5"/>
      <c r="J290" s="5" t="str">
        <f t="shared" si="18"/>
        <v/>
      </c>
      <c r="K290" s="36"/>
      <c r="L290" s="5" t="str">
        <f t="shared" si="19"/>
        <v/>
      </c>
      <c r="M290" s="5"/>
      <c r="N290" s="5" t="str">
        <f t="shared" si="20"/>
        <v/>
      </c>
      <c r="O290" s="4"/>
      <c r="P290" s="4"/>
      <c r="Q290" s="4"/>
    </row>
    <row r="291" spans="1:17" hidden="1" x14ac:dyDescent="0.2">
      <c r="A291" s="159"/>
      <c r="B291" s="4"/>
      <c r="C291" s="4"/>
      <c r="D291" s="4"/>
      <c r="E291" s="41"/>
      <c r="F291" s="41"/>
      <c r="G291" s="5"/>
      <c r="H291" s="4"/>
      <c r="I291" s="5"/>
      <c r="J291" s="5" t="str">
        <f t="shared" si="18"/>
        <v/>
      </c>
      <c r="K291" s="36"/>
      <c r="L291" s="5" t="str">
        <f t="shared" si="19"/>
        <v/>
      </c>
      <c r="M291" s="5"/>
      <c r="N291" s="5" t="str">
        <f t="shared" si="20"/>
        <v/>
      </c>
      <c r="O291" s="4"/>
      <c r="P291" s="4"/>
      <c r="Q291" s="4"/>
    </row>
    <row r="292" spans="1:17" hidden="1" x14ac:dyDescent="0.2">
      <c r="A292" s="159"/>
      <c r="B292" s="4"/>
      <c r="C292" s="4"/>
      <c r="D292" s="4"/>
      <c r="E292" s="41"/>
      <c r="F292" s="41"/>
      <c r="G292" s="5"/>
      <c r="H292" s="4"/>
      <c r="I292" s="5"/>
      <c r="J292" s="5" t="str">
        <f t="shared" si="18"/>
        <v/>
      </c>
      <c r="K292" s="36"/>
      <c r="L292" s="5" t="str">
        <f t="shared" si="19"/>
        <v/>
      </c>
      <c r="M292" s="5"/>
      <c r="N292" s="5" t="str">
        <f t="shared" si="20"/>
        <v/>
      </c>
      <c r="O292" s="4"/>
      <c r="P292" s="4"/>
      <c r="Q292" s="4"/>
    </row>
    <row r="293" spans="1:17" hidden="1" x14ac:dyDescent="0.2">
      <c r="A293" s="159"/>
      <c r="B293" s="4"/>
      <c r="C293" s="4"/>
      <c r="D293" s="4"/>
      <c r="E293" s="41"/>
      <c r="F293" s="41"/>
      <c r="G293" s="5"/>
      <c r="H293" s="4"/>
      <c r="I293" s="5"/>
      <c r="J293" s="5" t="str">
        <f t="shared" si="18"/>
        <v/>
      </c>
      <c r="K293" s="36"/>
      <c r="L293" s="5" t="str">
        <f t="shared" si="19"/>
        <v/>
      </c>
      <c r="M293" s="5"/>
      <c r="N293" s="5" t="str">
        <f t="shared" si="20"/>
        <v/>
      </c>
      <c r="O293" s="4"/>
      <c r="P293" s="4"/>
      <c r="Q293" s="4"/>
    </row>
    <row r="294" spans="1:17" hidden="1" x14ac:dyDescent="0.2">
      <c r="A294" s="159"/>
      <c r="B294" s="4"/>
      <c r="C294" s="4"/>
      <c r="D294" s="4"/>
      <c r="E294" s="41"/>
      <c r="F294" s="41"/>
      <c r="G294" s="5"/>
      <c r="H294" s="4"/>
      <c r="I294" s="5"/>
      <c r="J294" s="5" t="str">
        <f t="shared" si="18"/>
        <v/>
      </c>
      <c r="K294" s="36"/>
      <c r="L294" s="5" t="str">
        <f t="shared" si="19"/>
        <v/>
      </c>
      <c r="M294" s="5"/>
      <c r="N294" s="5" t="str">
        <f t="shared" si="20"/>
        <v/>
      </c>
      <c r="O294" s="4"/>
      <c r="P294" s="4"/>
      <c r="Q294" s="4"/>
    </row>
    <row r="295" spans="1:17" hidden="1" x14ac:dyDescent="0.2">
      <c r="A295" s="159"/>
      <c r="B295" s="4"/>
      <c r="C295" s="4"/>
      <c r="D295" s="4"/>
      <c r="E295" s="41"/>
      <c r="F295" s="41"/>
      <c r="G295" s="5"/>
      <c r="H295" s="4"/>
      <c r="I295" s="5"/>
      <c r="J295" s="5" t="str">
        <f t="shared" si="18"/>
        <v/>
      </c>
      <c r="K295" s="36"/>
      <c r="L295" s="5" t="str">
        <f t="shared" si="19"/>
        <v/>
      </c>
      <c r="M295" s="5"/>
      <c r="N295" s="5" t="str">
        <f t="shared" si="20"/>
        <v/>
      </c>
      <c r="O295" s="4"/>
      <c r="P295" s="4"/>
      <c r="Q295" s="4"/>
    </row>
    <row r="296" spans="1:17" hidden="1" x14ac:dyDescent="0.2">
      <c r="A296" s="159"/>
      <c r="B296" s="4"/>
      <c r="C296" s="4"/>
      <c r="D296" s="4"/>
      <c r="E296" s="41"/>
      <c r="F296" s="41"/>
      <c r="G296" s="5"/>
      <c r="H296" s="4"/>
      <c r="I296" s="5"/>
      <c r="J296" s="5" t="str">
        <f t="shared" si="18"/>
        <v/>
      </c>
      <c r="K296" s="36"/>
      <c r="L296" s="5" t="str">
        <f t="shared" si="19"/>
        <v/>
      </c>
      <c r="M296" s="5"/>
      <c r="N296" s="5" t="str">
        <f t="shared" si="20"/>
        <v/>
      </c>
      <c r="O296" s="4"/>
      <c r="P296" s="4"/>
      <c r="Q296" s="4"/>
    </row>
    <row r="297" spans="1:17" hidden="1" x14ac:dyDescent="0.2">
      <c r="A297" s="159"/>
      <c r="B297" s="4"/>
      <c r="C297" s="4"/>
      <c r="D297" s="4"/>
      <c r="E297" s="41"/>
      <c r="F297" s="41"/>
      <c r="G297" s="5"/>
      <c r="H297" s="4"/>
      <c r="I297" s="5"/>
      <c r="J297" s="5" t="str">
        <f t="shared" si="18"/>
        <v/>
      </c>
      <c r="K297" s="36"/>
      <c r="L297" s="5" t="str">
        <f t="shared" si="19"/>
        <v/>
      </c>
      <c r="M297" s="5"/>
      <c r="N297" s="5" t="str">
        <f t="shared" si="20"/>
        <v/>
      </c>
      <c r="O297" s="4"/>
      <c r="P297" s="4"/>
      <c r="Q297" s="4"/>
    </row>
    <row r="298" spans="1:17" hidden="1" x14ac:dyDescent="0.2">
      <c r="A298" s="159"/>
      <c r="B298" s="4"/>
      <c r="C298" s="4"/>
      <c r="D298" s="4"/>
      <c r="E298" s="41"/>
      <c r="F298" s="41"/>
      <c r="G298" s="5"/>
      <c r="H298" s="4"/>
      <c r="I298" s="5"/>
      <c r="J298" s="5" t="str">
        <f t="shared" si="18"/>
        <v/>
      </c>
      <c r="K298" s="36"/>
      <c r="L298" s="5" t="str">
        <f t="shared" si="19"/>
        <v/>
      </c>
      <c r="M298" s="5"/>
      <c r="N298" s="5" t="str">
        <f t="shared" si="20"/>
        <v/>
      </c>
      <c r="O298" s="4"/>
      <c r="P298" s="4"/>
      <c r="Q298" s="4"/>
    </row>
    <row r="299" spans="1:17" hidden="1" x14ac:dyDescent="0.2">
      <c r="A299" s="159"/>
      <c r="B299" s="4"/>
      <c r="C299" s="4"/>
      <c r="D299" s="4"/>
      <c r="E299" s="41"/>
      <c r="F299" s="41"/>
      <c r="G299" s="5"/>
      <c r="H299" s="4"/>
      <c r="I299" s="5"/>
      <c r="J299" s="5" t="str">
        <f t="shared" si="18"/>
        <v/>
      </c>
      <c r="K299" s="36"/>
      <c r="L299" s="5" t="str">
        <f t="shared" si="19"/>
        <v/>
      </c>
      <c r="M299" s="5"/>
      <c r="N299" s="5" t="str">
        <f t="shared" si="20"/>
        <v/>
      </c>
      <c r="O299" s="4"/>
      <c r="P299" s="4"/>
      <c r="Q299" s="4"/>
    </row>
    <row r="300" spans="1:17" hidden="1" x14ac:dyDescent="0.2">
      <c r="A300" s="159"/>
      <c r="B300" s="4"/>
      <c r="C300" s="4"/>
      <c r="D300" s="4"/>
      <c r="E300" s="41"/>
      <c r="F300" s="41"/>
      <c r="G300" s="5"/>
      <c r="H300" s="4"/>
      <c r="I300" s="5"/>
      <c r="J300" s="5" t="str">
        <f t="shared" si="18"/>
        <v/>
      </c>
      <c r="K300" s="36"/>
      <c r="L300" s="5" t="str">
        <f t="shared" si="19"/>
        <v/>
      </c>
      <c r="M300" s="5"/>
      <c r="N300" s="5" t="str">
        <f t="shared" si="20"/>
        <v/>
      </c>
      <c r="O300" s="4"/>
      <c r="P300" s="4"/>
      <c r="Q300" s="4"/>
    </row>
    <row r="301" spans="1:17" hidden="1" x14ac:dyDescent="0.2">
      <c r="A301" s="159"/>
      <c r="B301" s="4"/>
      <c r="C301" s="4"/>
      <c r="D301" s="4"/>
      <c r="E301" s="41"/>
      <c r="F301" s="41"/>
      <c r="G301" s="5"/>
      <c r="H301" s="4"/>
      <c r="I301" s="5"/>
      <c r="J301" s="5" t="str">
        <f t="shared" si="18"/>
        <v/>
      </c>
      <c r="K301" s="36"/>
      <c r="L301" s="5" t="str">
        <f t="shared" si="19"/>
        <v/>
      </c>
      <c r="M301" s="5"/>
      <c r="N301" s="5" t="str">
        <f t="shared" si="20"/>
        <v/>
      </c>
      <c r="O301" s="4"/>
      <c r="P301" s="4"/>
      <c r="Q301" s="4"/>
    </row>
    <row r="302" spans="1:17" hidden="1" x14ac:dyDescent="0.2">
      <c r="A302" s="159"/>
      <c r="B302" s="4"/>
      <c r="C302" s="4"/>
      <c r="D302" s="4"/>
      <c r="E302" s="41"/>
      <c r="F302" s="41"/>
      <c r="G302" s="5"/>
      <c r="H302" s="4"/>
      <c r="I302" s="5"/>
      <c r="J302" s="5" t="str">
        <f t="shared" si="18"/>
        <v/>
      </c>
      <c r="K302" s="36"/>
      <c r="L302" s="5" t="str">
        <f t="shared" si="19"/>
        <v/>
      </c>
      <c r="M302" s="5"/>
      <c r="N302" s="5" t="str">
        <f t="shared" si="20"/>
        <v/>
      </c>
      <c r="O302" s="4"/>
      <c r="P302" s="4"/>
      <c r="Q302" s="4"/>
    </row>
    <row r="303" spans="1:17" hidden="1" x14ac:dyDescent="0.2">
      <c r="A303" s="159"/>
      <c r="B303" s="4"/>
      <c r="C303" s="4"/>
      <c r="D303" s="4"/>
      <c r="E303" s="41"/>
      <c r="F303" s="41"/>
      <c r="G303" s="5"/>
      <c r="H303" s="4"/>
      <c r="I303" s="5"/>
      <c r="J303" s="5" t="str">
        <f t="shared" si="18"/>
        <v/>
      </c>
      <c r="K303" s="36"/>
      <c r="L303" s="5" t="str">
        <f t="shared" si="19"/>
        <v/>
      </c>
      <c r="M303" s="5"/>
      <c r="N303" s="5" t="str">
        <f t="shared" si="20"/>
        <v/>
      </c>
      <c r="O303" s="4"/>
      <c r="P303" s="4"/>
      <c r="Q303" s="4"/>
    </row>
    <row r="304" spans="1:17" hidden="1" x14ac:dyDescent="0.2">
      <c r="A304" s="159"/>
      <c r="B304" s="4"/>
      <c r="C304" s="4"/>
      <c r="D304" s="4"/>
      <c r="E304" s="41"/>
      <c r="F304" s="41"/>
      <c r="G304" s="5"/>
      <c r="H304" s="4"/>
      <c r="I304" s="5"/>
      <c r="J304" s="5" t="str">
        <f t="shared" si="18"/>
        <v/>
      </c>
      <c r="K304" s="36"/>
      <c r="L304" s="5" t="str">
        <f t="shared" si="19"/>
        <v/>
      </c>
      <c r="M304" s="5"/>
      <c r="N304" s="5" t="str">
        <f t="shared" si="20"/>
        <v/>
      </c>
      <c r="O304" s="4"/>
      <c r="P304" s="4"/>
      <c r="Q304" s="4"/>
    </row>
    <row r="305" spans="1:17" hidden="1" x14ac:dyDescent="0.2">
      <c r="A305" s="159"/>
      <c r="B305" s="4"/>
      <c r="C305" s="4"/>
      <c r="D305" s="4"/>
      <c r="E305" s="41"/>
      <c r="F305" s="41"/>
      <c r="G305" s="5"/>
      <c r="H305" s="4"/>
      <c r="I305" s="5"/>
      <c r="J305" s="5" t="str">
        <f t="shared" si="18"/>
        <v/>
      </c>
      <c r="K305" s="36"/>
      <c r="L305" s="5" t="str">
        <f t="shared" si="19"/>
        <v/>
      </c>
      <c r="M305" s="5"/>
      <c r="N305" s="5" t="str">
        <f t="shared" si="20"/>
        <v/>
      </c>
      <c r="O305" s="4"/>
      <c r="P305" s="4"/>
      <c r="Q305" s="4"/>
    </row>
    <row r="306" spans="1:17" hidden="1" x14ac:dyDescent="0.2">
      <c r="A306" s="159"/>
      <c r="B306" s="4"/>
      <c r="C306" s="4"/>
      <c r="D306" s="4"/>
      <c r="E306" s="41"/>
      <c r="F306" s="41"/>
      <c r="G306" s="5"/>
      <c r="H306" s="4"/>
      <c r="I306" s="5"/>
      <c r="J306" s="5" t="str">
        <f t="shared" si="18"/>
        <v/>
      </c>
      <c r="K306" s="36"/>
      <c r="L306" s="5" t="str">
        <f t="shared" si="19"/>
        <v/>
      </c>
      <c r="M306" s="5"/>
      <c r="N306" s="5" t="str">
        <f t="shared" si="20"/>
        <v/>
      </c>
      <c r="O306" s="4"/>
      <c r="P306" s="4"/>
      <c r="Q306" s="4"/>
    </row>
    <row r="307" spans="1:17" hidden="1" x14ac:dyDescent="0.2">
      <c r="A307" s="159"/>
      <c r="B307" s="4"/>
      <c r="C307" s="4"/>
      <c r="D307" s="4"/>
      <c r="E307" s="41"/>
      <c r="F307" s="41"/>
      <c r="G307" s="5"/>
      <c r="H307" s="4"/>
      <c r="I307" s="5"/>
      <c r="J307" s="5" t="str">
        <f t="shared" si="18"/>
        <v/>
      </c>
      <c r="K307" s="36"/>
      <c r="L307" s="5" t="str">
        <f t="shared" si="19"/>
        <v/>
      </c>
      <c r="M307" s="5"/>
      <c r="N307" s="5" t="str">
        <f t="shared" si="20"/>
        <v/>
      </c>
      <c r="O307" s="4"/>
      <c r="P307" s="4"/>
      <c r="Q307" s="4"/>
    </row>
    <row r="308" spans="1:17" hidden="1" x14ac:dyDescent="0.2">
      <c r="A308" s="159"/>
      <c r="B308" s="4"/>
      <c r="C308" s="4"/>
      <c r="D308" s="4"/>
      <c r="E308" s="41"/>
      <c r="F308" s="41"/>
      <c r="G308" s="5"/>
      <c r="H308" s="4"/>
      <c r="I308" s="5"/>
      <c r="J308" s="5" t="str">
        <f t="shared" si="18"/>
        <v/>
      </c>
      <c r="K308" s="36"/>
      <c r="L308" s="5" t="str">
        <f t="shared" si="19"/>
        <v/>
      </c>
      <c r="M308" s="5"/>
      <c r="N308" s="5" t="str">
        <f t="shared" si="20"/>
        <v/>
      </c>
      <c r="O308" s="4"/>
      <c r="P308" s="4"/>
      <c r="Q308" s="4"/>
    </row>
    <row r="309" spans="1:17" hidden="1" x14ac:dyDescent="0.2">
      <c r="A309" s="159"/>
      <c r="B309" s="4"/>
      <c r="C309" s="4"/>
      <c r="D309" s="4"/>
      <c r="E309" s="41"/>
      <c r="F309" s="41"/>
      <c r="G309" s="5"/>
      <c r="H309" s="4"/>
      <c r="I309" s="5"/>
      <c r="J309" s="5" t="str">
        <f t="shared" si="18"/>
        <v/>
      </c>
      <c r="K309" s="36"/>
      <c r="L309" s="5" t="str">
        <f t="shared" si="19"/>
        <v/>
      </c>
      <c r="M309" s="5"/>
      <c r="N309" s="5" t="str">
        <f t="shared" si="20"/>
        <v/>
      </c>
      <c r="O309" s="4"/>
      <c r="P309" s="4"/>
      <c r="Q309" s="4"/>
    </row>
    <row r="310" spans="1:17" hidden="1" x14ac:dyDescent="0.2">
      <c r="A310" s="159"/>
      <c r="B310" s="4"/>
      <c r="C310" s="4"/>
      <c r="D310" s="4"/>
      <c r="E310" s="41"/>
      <c r="F310" s="41"/>
      <c r="G310" s="5"/>
      <c r="H310" s="4"/>
      <c r="I310" s="5"/>
      <c r="J310" s="5" t="str">
        <f t="shared" si="18"/>
        <v/>
      </c>
      <c r="K310" s="36"/>
      <c r="L310" s="5" t="str">
        <f t="shared" si="19"/>
        <v/>
      </c>
      <c r="M310" s="5"/>
      <c r="N310" s="5" t="str">
        <f t="shared" si="20"/>
        <v/>
      </c>
      <c r="O310" s="4"/>
      <c r="P310" s="4"/>
      <c r="Q310" s="4"/>
    </row>
    <row r="311" spans="1:17" hidden="1" x14ac:dyDescent="0.2">
      <c r="A311" s="159"/>
      <c r="B311" s="4"/>
      <c r="C311" s="4"/>
      <c r="D311" s="4"/>
      <c r="E311" s="41"/>
      <c r="F311" s="41"/>
      <c r="G311" s="5"/>
      <c r="H311" s="4"/>
      <c r="I311" s="5"/>
      <c r="J311" s="5" t="str">
        <f t="shared" si="18"/>
        <v/>
      </c>
      <c r="K311" s="36"/>
      <c r="L311" s="5" t="str">
        <f t="shared" si="19"/>
        <v/>
      </c>
      <c r="M311" s="5"/>
      <c r="N311" s="5" t="str">
        <f t="shared" si="20"/>
        <v/>
      </c>
      <c r="O311" s="4"/>
      <c r="P311" s="4"/>
      <c r="Q311" s="4"/>
    </row>
    <row r="312" spans="1:17" hidden="1" x14ac:dyDescent="0.2">
      <c r="A312" s="159"/>
      <c r="B312" s="4"/>
      <c r="C312" s="4"/>
      <c r="D312" s="4"/>
      <c r="E312" s="41"/>
      <c r="F312" s="41"/>
      <c r="G312" s="5"/>
      <c r="H312" s="4"/>
      <c r="I312" s="5"/>
      <c r="J312" s="5" t="str">
        <f t="shared" si="18"/>
        <v/>
      </c>
      <c r="K312" s="36"/>
      <c r="L312" s="5" t="str">
        <f t="shared" si="19"/>
        <v/>
      </c>
      <c r="M312" s="5"/>
      <c r="N312" s="5" t="str">
        <f t="shared" si="20"/>
        <v/>
      </c>
      <c r="O312" s="4"/>
      <c r="P312" s="4"/>
      <c r="Q312" s="4"/>
    </row>
    <row r="313" spans="1:17" hidden="1" x14ac:dyDescent="0.2">
      <c r="A313" s="159"/>
      <c r="B313" s="4"/>
      <c r="C313" s="4"/>
      <c r="D313" s="4"/>
      <c r="E313" s="41"/>
      <c r="F313" s="41"/>
      <c r="G313" s="5"/>
      <c r="H313" s="4"/>
      <c r="I313" s="5"/>
      <c r="J313" s="5" t="str">
        <f t="shared" si="18"/>
        <v/>
      </c>
      <c r="K313" s="36"/>
      <c r="L313" s="5" t="str">
        <f t="shared" si="19"/>
        <v/>
      </c>
      <c r="M313" s="5"/>
      <c r="N313" s="5" t="str">
        <f t="shared" si="20"/>
        <v/>
      </c>
      <c r="O313" s="4"/>
      <c r="P313" s="4"/>
      <c r="Q313" s="4"/>
    </row>
    <row r="314" spans="1:17" hidden="1" x14ac:dyDescent="0.2">
      <c r="A314" s="159"/>
      <c r="B314" s="4"/>
      <c r="C314" s="4"/>
      <c r="D314" s="4"/>
      <c r="E314" s="41"/>
      <c r="F314" s="41"/>
      <c r="G314" s="5"/>
      <c r="H314" s="4"/>
      <c r="I314" s="5"/>
      <c r="J314" s="5" t="str">
        <f t="shared" si="18"/>
        <v/>
      </c>
      <c r="K314" s="36"/>
      <c r="L314" s="5" t="str">
        <f t="shared" si="19"/>
        <v/>
      </c>
      <c r="M314" s="5"/>
      <c r="N314" s="5" t="str">
        <f t="shared" si="20"/>
        <v/>
      </c>
      <c r="O314" s="4"/>
      <c r="P314" s="4"/>
      <c r="Q314" s="4"/>
    </row>
    <row r="315" spans="1:17" hidden="1" x14ac:dyDescent="0.2">
      <c r="A315" s="159"/>
      <c r="B315" s="4"/>
      <c r="C315" s="4"/>
      <c r="D315" s="4"/>
      <c r="E315" s="41"/>
      <c r="F315" s="41"/>
      <c r="G315" s="5"/>
      <c r="H315" s="4"/>
      <c r="I315" s="5"/>
      <c r="J315" s="5" t="str">
        <f t="shared" si="18"/>
        <v/>
      </c>
      <c r="K315" s="36"/>
      <c r="L315" s="5" t="str">
        <f t="shared" si="19"/>
        <v/>
      </c>
      <c r="M315" s="5"/>
      <c r="N315" s="5" t="str">
        <f t="shared" si="20"/>
        <v/>
      </c>
      <c r="O315" s="4"/>
      <c r="P315" s="4"/>
      <c r="Q315" s="4"/>
    </row>
    <row r="316" spans="1:17" hidden="1" x14ac:dyDescent="0.2">
      <c r="A316" s="159"/>
      <c r="B316" s="4"/>
      <c r="C316" s="4"/>
      <c r="D316" s="4"/>
      <c r="E316" s="41"/>
      <c r="F316" s="41"/>
      <c r="G316" s="5"/>
      <c r="H316" s="4"/>
      <c r="I316" s="5"/>
      <c r="J316" s="5" t="str">
        <f t="shared" si="18"/>
        <v/>
      </c>
      <c r="K316" s="36"/>
      <c r="L316" s="5" t="str">
        <f t="shared" si="19"/>
        <v/>
      </c>
      <c r="M316" s="5"/>
      <c r="N316" s="5" t="str">
        <f t="shared" si="20"/>
        <v/>
      </c>
      <c r="O316" s="4"/>
      <c r="P316" s="4"/>
      <c r="Q316" s="4"/>
    </row>
    <row r="317" spans="1:17" hidden="1" x14ac:dyDescent="0.2">
      <c r="A317" s="159"/>
      <c r="B317" s="4"/>
      <c r="C317" s="4"/>
      <c r="D317" s="4"/>
      <c r="E317" s="41"/>
      <c r="F317" s="41"/>
      <c r="G317" s="5"/>
      <c r="H317" s="4"/>
      <c r="I317" s="5"/>
      <c r="J317" s="5" t="str">
        <f t="shared" si="18"/>
        <v/>
      </c>
      <c r="K317" s="36"/>
      <c r="L317" s="5" t="str">
        <f t="shared" si="19"/>
        <v/>
      </c>
      <c r="M317" s="5"/>
      <c r="N317" s="5" t="str">
        <f t="shared" si="20"/>
        <v/>
      </c>
      <c r="O317" s="4"/>
      <c r="P317" s="4"/>
      <c r="Q317" s="4"/>
    </row>
    <row r="318" spans="1:17" hidden="1" x14ac:dyDescent="0.2">
      <c r="A318" s="159"/>
      <c r="B318" s="4"/>
      <c r="C318" s="4"/>
      <c r="D318" s="4"/>
      <c r="E318" s="41"/>
      <c r="F318" s="41"/>
      <c r="G318" s="5"/>
      <c r="H318" s="4"/>
      <c r="I318" s="5"/>
      <c r="J318" s="5" t="str">
        <f t="shared" si="18"/>
        <v/>
      </c>
      <c r="K318" s="36"/>
      <c r="L318" s="5" t="str">
        <f t="shared" si="19"/>
        <v/>
      </c>
      <c r="M318" s="5"/>
      <c r="N318" s="5" t="str">
        <f t="shared" si="20"/>
        <v/>
      </c>
      <c r="O318" s="4"/>
      <c r="P318" s="4"/>
      <c r="Q318" s="4"/>
    </row>
    <row r="319" spans="1:17" hidden="1" x14ac:dyDescent="0.2">
      <c r="A319" s="159"/>
      <c r="B319" s="4"/>
      <c r="C319" s="4"/>
      <c r="D319" s="4"/>
      <c r="E319" s="41"/>
      <c r="F319" s="41"/>
      <c r="G319" s="5"/>
      <c r="H319" s="4"/>
      <c r="I319" s="5"/>
      <c r="J319" s="5" t="str">
        <f t="shared" si="18"/>
        <v/>
      </c>
      <c r="K319" s="36"/>
      <c r="L319" s="5" t="str">
        <f t="shared" si="19"/>
        <v/>
      </c>
      <c r="M319" s="5"/>
      <c r="N319" s="5" t="str">
        <f t="shared" si="20"/>
        <v/>
      </c>
      <c r="O319" s="4"/>
      <c r="P319" s="4"/>
      <c r="Q319" s="4"/>
    </row>
    <row r="320" spans="1:17" hidden="1" x14ac:dyDescent="0.2">
      <c r="A320" s="159"/>
      <c r="B320" s="4"/>
      <c r="C320" s="4"/>
      <c r="D320" s="4"/>
      <c r="E320" s="41"/>
      <c r="F320" s="41"/>
      <c r="G320" s="5"/>
      <c r="H320" s="4"/>
      <c r="I320" s="5"/>
      <c r="J320" s="5" t="str">
        <f t="shared" si="18"/>
        <v/>
      </c>
      <c r="K320" s="36"/>
      <c r="L320" s="5" t="str">
        <f t="shared" si="19"/>
        <v/>
      </c>
      <c r="M320" s="5"/>
      <c r="N320" s="5" t="str">
        <f t="shared" si="20"/>
        <v/>
      </c>
      <c r="O320" s="4"/>
      <c r="P320" s="4"/>
      <c r="Q320" s="4"/>
    </row>
    <row r="321" spans="1:17" hidden="1" x14ac:dyDescent="0.2">
      <c r="A321" s="159"/>
      <c r="B321" s="4"/>
      <c r="C321" s="4"/>
      <c r="D321" s="4"/>
      <c r="E321" s="41"/>
      <c r="F321" s="41"/>
      <c r="G321" s="5"/>
      <c r="H321" s="4"/>
      <c r="I321" s="5"/>
      <c r="J321" s="5" t="str">
        <f t="shared" si="18"/>
        <v/>
      </c>
      <c r="K321" s="36"/>
      <c r="L321" s="5" t="str">
        <f t="shared" si="19"/>
        <v/>
      </c>
      <c r="M321" s="5"/>
      <c r="N321" s="5" t="str">
        <f t="shared" si="20"/>
        <v/>
      </c>
      <c r="O321" s="4"/>
      <c r="P321" s="4"/>
      <c r="Q321" s="4"/>
    </row>
    <row r="322" spans="1:17" hidden="1" x14ac:dyDescent="0.2">
      <c r="A322" s="159"/>
      <c r="B322" s="4"/>
      <c r="C322" s="4"/>
      <c r="D322" s="4"/>
      <c r="E322" s="41"/>
      <c r="F322" s="41"/>
      <c r="G322" s="5"/>
      <c r="H322" s="4"/>
      <c r="I322" s="5"/>
      <c r="J322" s="5" t="str">
        <f t="shared" si="18"/>
        <v/>
      </c>
      <c r="K322" s="36"/>
      <c r="L322" s="5" t="str">
        <f t="shared" si="19"/>
        <v/>
      </c>
      <c r="M322" s="5"/>
      <c r="N322" s="5" t="str">
        <f t="shared" si="20"/>
        <v/>
      </c>
      <c r="O322" s="4"/>
      <c r="P322" s="4"/>
      <c r="Q322" s="4"/>
    </row>
    <row r="323" spans="1:17" hidden="1" x14ac:dyDescent="0.2">
      <c r="A323" s="159"/>
      <c r="B323" s="4"/>
      <c r="C323" s="4"/>
      <c r="D323" s="4"/>
      <c r="E323" s="41"/>
      <c r="F323" s="41"/>
      <c r="G323" s="5"/>
      <c r="H323" s="4"/>
      <c r="I323" s="5"/>
      <c r="J323" s="5" t="str">
        <f t="shared" si="18"/>
        <v/>
      </c>
      <c r="K323" s="36"/>
      <c r="L323" s="5" t="str">
        <f t="shared" si="19"/>
        <v/>
      </c>
      <c r="M323" s="5"/>
      <c r="N323" s="5" t="str">
        <f t="shared" si="20"/>
        <v/>
      </c>
      <c r="O323" s="4"/>
      <c r="P323" s="4"/>
      <c r="Q323" s="4"/>
    </row>
    <row r="324" spans="1:17" hidden="1" x14ac:dyDescent="0.2">
      <c r="A324" s="159"/>
      <c r="B324" s="4"/>
      <c r="C324" s="4"/>
      <c r="D324" s="4"/>
      <c r="E324" s="41"/>
      <c r="F324" s="41"/>
      <c r="G324" s="5"/>
      <c r="H324" s="4"/>
      <c r="I324" s="5"/>
      <c r="J324" s="5" t="str">
        <f t="shared" si="18"/>
        <v/>
      </c>
      <c r="K324" s="36"/>
      <c r="L324" s="5" t="str">
        <f t="shared" si="19"/>
        <v/>
      </c>
      <c r="M324" s="5"/>
      <c r="N324" s="5" t="str">
        <f t="shared" si="20"/>
        <v/>
      </c>
      <c r="O324" s="4"/>
      <c r="P324" s="4"/>
      <c r="Q324" s="4"/>
    </row>
    <row r="325" spans="1:17" hidden="1" x14ac:dyDescent="0.2">
      <c r="A325" s="159"/>
      <c r="B325" s="4"/>
      <c r="C325" s="4"/>
      <c r="D325" s="4"/>
      <c r="E325" s="41"/>
      <c r="F325" s="41"/>
      <c r="G325" s="5"/>
      <c r="H325" s="4"/>
      <c r="I325" s="5"/>
      <c r="J325" s="5" t="str">
        <f t="shared" si="18"/>
        <v/>
      </c>
      <c r="K325" s="36"/>
      <c r="L325" s="5" t="str">
        <f t="shared" si="19"/>
        <v/>
      </c>
      <c r="M325" s="5"/>
      <c r="N325" s="5" t="str">
        <f t="shared" si="20"/>
        <v/>
      </c>
      <c r="O325" s="4"/>
      <c r="P325" s="4"/>
      <c r="Q325" s="4"/>
    </row>
    <row r="326" spans="1:17" hidden="1" x14ac:dyDescent="0.2">
      <c r="A326" s="159"/>
      <c r="B326" s="4"/>
      <c r="C326" s="4"/>
      <c r="D326" s="4"/>
      <c r="E326" s="41"/>
      <c r="F326" s="41"/>
      <c r="G326" s="5"/>
      <c r="H326" s="4"/>
      <c r="I326" s="5"/>
      <c r="J326" s="5" t="str">
        <f t="shared" si="18"/>
        <v/>
      </c>
      <c r="K326" s="36"/>
      <c r="L326" s="5" t="str">
        <f t="shared" si="19"/>
        <v/>
      </c>
      <c r="M326" s="5"/>
      <c r="N326" s="5" t="str">
        <f t="shared" si="20"/>
        <v/>
      </c>
      <c r="O326" s="4"/>
      <c r="P326" s="4"/>
      <c r="Q326" s="4"/>
    </row>
    <row r="327" spans="1:17" hidden="1" x14ac:dyDescent="0.2">
      <c r="A327" s="159"/>
      <c r="B327" s="4"/>
      <c r="C327" s="4"/>
      <c r="D327" s="4"/>
      <c r="E327" s="41"/>
      <c r="F327" s="41"/>
      <c r="G327" s="5"/>
      <c r="H327" s="4"/>
      <c r="I327" s="5"/>
      <c r="J327" s="5" t="str">
        <f t="shared" si="18"/>
        <v/>
      </c>
      <c r="K327" s="36"/>
      <c r="L327" s="5" t="str">
        <f t="shared" si="19"/>
        <v/>
      </c>
      <c r="M327" s="5"/>
      <c r="N327" s="5" t="str">
        <f t="shared" si="20"/>
        <v/>
      </c>
      <c r="O327" s="4"/>
      <c r="P327" s="4"/>
      <c r="Q327" s="4"/>
    </row>
    <row r="328" spans="1:17" hidden="1" x14ac:dyDescent="0.2">
      <c r="A328" s="159"/>
      <c r="B328" s="4"/>
      <c r="C328" s="4"/>
      <c r="D328" s="4"/>
      <c r="E328" s="41"/>
      <c r="F328" s="41"/>
      <c r="G328" s="5"/>
      <c r="H328" s="4"/>
      <c r="I328" s="5"/>
      <c r="J328" s="5" t="str">
        <f t="shared" si="18"/>
        <v/>
      </c>
      <c r="K328" s="36"/>
      <c r="L328" s="5" t="str">
        <f t="shared" si="19"/>
        <v/>
      </c>
      <c r="M328" s="5"/>
      <c r="N328" s="5" t="str">
        <f t="shared" si="20"/>
        <v/>
      </c>
      <c r="O328" s="4"/>
      <c r="P328" s="4"/>
      <c r="Q328" s="4"/>
    </row>
    <row r="329" spans="1:17" hidden="1" x14ac:dyDescent="0.2">
      <c r="A329" s="159"/>
      <c r="B329" s="4"/>
      <c r="C329" s="4"/>
      <c r="D329" s="4"/>
      <c r="E329" s="41"/>
      <c r="F329" s="41"/>
      <c r="G329" s="5"/>
      <c r="H329" s="4"/>
      <c r="I329" s="5"/>
      <c r="J329" s="5" t="str">
        <f t="shared" si="18"/>
        <v/>
      </c>
      <c r="K329" s="36"/>
      <c r="L329" s="5" t="str">
        <f t="shared" si="19"/>
        <v/>
      </c>
      <c r="M329" s="5"/>
      <c r="N329" s="5" t="str">
        <f t="shared" si="20"/>
        <v/>
      </c>
      <c r="O329" s="4"/>
      <c r="P329" s="4"/>
      <c r="Q329" s="4"/>
    </row>
    <row r="330" spans="1:17" hidden="1" x14ac:dyDescent="0.2">
      <c r="A330" s="159"/>
      <c r="B330" s="4"/>
      <c r="C330" s="4"/>
      <c r="D330" s="4"/>
      <c r="E330" s="41"/>
      <c r="F330" s="41"/>
      <c r="G330" s="5"/>
      <c r="H330" s="4"/>
      <c r="I330" s="5"/>
      <c r="J330" s="5" t="str">
        <f t="shared" si="18"/>
        <v/>
      </c>
      <c r="K330" s="36"/>
      <c r="L330" s="5" t="str">
        <f t="shared" si="19"/>
        <v/>
      </c>
      <c r="M330" s="5"/>
      <c r="N330" s="5" t="str">
        <f t="shared" si="20"/>
        <v/>
      </c>
      <c r="O330" s="4"/>
      <c r="P330" s="4"/>
      <c r="Q330" s="4"/>
    </row>
    <row r="331" spans="1:17" hidden="1" x14ac:dyDescent="0.2">
      <c r="A331" s="159"/>
      <c r="B331" s="4"/>
      <c r="C331" s="4"/>
      <c r="D331" s="4"/>
      <c r="E331" s="41"/>
      <c r="F331" s="41"/>
      <c r="G331" s="5"/>
      <c r="H331" s="4"/>
      <c r="I331" s="5"/>
      <c r="J331" s="5" t="str">
        <f t="shared" si="18"/>
        <v/>
      </c>
      <c r="K331" s="36"/>
      <c r="L331" s="5" t="str">
        <f t="shared" si="19"/>
        <v/>
      </c>
      <c r="M331" s="5"/>
      <c r="N331" s="5" t="str">
        <f t="shared" si="20"/>
        <v/>
      </c>
      <c r="O331" s="4"/>
      <c r="P331" s="4"/>
      <c r="Q331" s="4"/>
    </row>
    <row r="332" spans="1:17" hidden="1" x14ac:dyDescent="0.2">
      <c r="A332" s="159"/>
      <c r="B332" s="4"/>
      <c r="C332" s="4"/>
      <c r="D332" s="4"/>
      <c r="E332" s="41"/>
      <c r="F332" s="41"/>
      <c r="G332" s="5"/>
      <c r="H332" s="4"/>
      <c r="I332" s="5"/>
      <c r="J332" s="5" t="str">
        <f t="shared" si="18"/>
        <v/>
      </c>
      <c r="K332" s="36"/>
      <c r="L332" s="5" t="str">
        <f t="shared" si="19"/>
        <v/>
      </c>
      <c r="M332" s="5"/>
      <c r="N332" s="5" t="str">
        <f t="shared" si="20"/>
        <v/>
      </c>
      <c r="O332" s="4"/>
      <c r="P332" s="4"/>
      <c r="Q332" s="4"/>
    </row>
    <row r="333" spans="1:17" hidden="1" x14ac:dyDescent="0.2">
      <c r="A333" s="159"/>
      <c r="B333" s="4"/>
      <c r="C333" s="4"/>
      <c r="D333" s="4"/>
      <c r="E333" s="41"/>
      <c r="F333" s="41"/>
      <c r="G333" s="5"/>
      <c r="H333" s="4"/>
      <c r="I333" s="5"/>
      <c r="J333" s="5" t="str">
        <f t="shared" si="18"/>
        <v/>
      </c>
      <c r="K333" s="36"/>
      <c r="L333" s="5" t="str">
        <f t="shared" si="19"/>
        <v/>
      </c>
      <c r="M333" s="5"/>
      <c r="N333" s="5" t="str">
        <f t="shared" si="20"/>
        <v/>
      </c>
      <c r="O333" s="4"/>
      <c r="P333" s="4"/>
      <c r="Q333" s="4"/>
    </row>
    <row r="334" spans="1:17" hidden="1" x14ac:dyDescent="0.2">
      <c r="A334" s="159"/>
      <c r="B334" s="4"/>
      <c r="C334" s="4"/>
      <c r="D334" s="4"/>
      <c r="E334" s="41"/>
      <c r="F334" s="41"/>
      <c r="G334" s="5"/>
      <c r="H334" s="4"/>
      <c r="I334" s="5"/>
      <c r="J334" s="5" t="str">
        <f t="shared" si="18"/>
        <v/>
      </c>
      <c r="K334" s="36"/>
      <c r="L334" s="5" t="str">
        <f t="shared" si="19"/>
        <v/>
      </c>
      <c r="M334" s="5"/>
      <c r="N334" s="5" t="str">
        <f t="shared" si="20"/>
        <v/>
      </c>
      <c r="O334" s="4"/>
      <c r="P334" s="4"/>
      <c r="Q334" s="4"/>
    </row>
    <row r="335" spans="1:17" hidden="1" x14ac:dyDescent="0.2">
      <c r="A335" s="159"/>
      <c r="B335" s="4"/>
      <c r="C335" s="4"/>
      <c r="D335" s="4"/>
      <c r="E335" s="41"/>
      <c r="F335" s="41"/>
      <c r="G335" s="5"/>
      <c r="H335" s="4"/>
      <c r="I335" s="5"/>
      <c r="J335" s="5" t="str">
        <f t="shared" si="18"/>
        <v/>
      </c>
      <c r="K335" s="36"/>
      <c r="L335" s="5" t="str">
        <f t="shared" si="19"/>
        <v/>
      </c>
      <c r="M335" s="5"/>
      <c r="N335" s="5" t="str">
        <f t="shared" si="20"/>
        <v/>
      </c>
      <c r="O335" s="4"/>
      <c r="P335" s="4"/>
      <c r="Q335" s="4"/>
    </row>
    <row r="336" spans="1:17" hidden="1" x14ac:dyDescent="0.2">
      <c r="A336" s="159"/>
      <c r="B336" s="4"/>
      <c r="C336" s="4"/>
      <c r="D336" s="4"/>
      <c r="E336" s="41"/>
      <c r="F336" s="41"/>
      <c r="G336" s="5"/>
      <c r="H336" s="4"/>
      <c r="I336" s="5"/>
      <c r="J336" s="5" t="str">
        <f t="shared" si="18"/>
        <v/>
      </c>
      <c r="K336" s="36"/>
      <c r="L336" s="5" t="str">
        <f t="shared" si="19"/>
        <v/>
      </c>
      <c r="M336" s="5"/>
      <c r="N336" s="5" t="str">
        <f t="shared" si="20"/>
        <v/>
      </c>
      <c r="O336" s="4"/>
      <c r="P336" s="4"/>
      <c r="Q336" s="4"/>
    </row>
    <row r="337" spans="1:17" hidden="1" x14ac:dyDescent="0.2">
      <c r="A337" s="159"/>
      <c r="B337" s="4"/>
      <c r="C337" s="4"/>
      <c r="D337" s="4"/>
      <c r="E337" s="41"/>
      <c r="F337" s="41"/>
      <c r="G337" s="5"/>
      <c r="H337" s="4"/>
      <c r="I337" s="5"/>
      <c r="J337" s="5" t="str">
        <f t="shared" si="18"/>
        <v/>
      </c>
      <c r="K337" s="36"/>
      <c r="L337" s="5" t="str">
        <f t="shared" si="19"/>
        <v/>
      </c>
      <c r="M337" s="5"/>
      <c r="N337" s="5" t="str">
        <f t="shared" si="20"/>
        <v/>
      </c>
      <c r="O337" s="4"/>
      <c r="P337" s="4"/>
      <c r="Q337" s="4"/>
    </row>
    <row r="338" spans="1:17" hidden="1" x14ac:dyDescent="0.2">
      <c r="A338" s="159"/>
      <c r="B338" s="4"/>
      <c r="C338" s="4"/>
      <c r="D338" s="4"/>
      <c r="E338" s="41"/>
      <c r="F338" s="41"/>
      <c r="G338" s="5"/>
      <c r="H338" s="4"/>
      <c r="I338" s="5"/>
      <c r="J338" s="5" t="str">
        <f t="shared" si="18"/>
        <v/>
      </c>
      <c r="K338" s="36"/>
      <c r="L338" s="5" t="str">
        <f t="shared" si="19"/>
        <v/>
      </c>
      <c r="M338" s="5"/>
      <c r="N338" s="5" t="str">
        <f t="shared" si="20"/>
        <v/>
      </c>
      <c r="O338" s="4"/>
      <c r="P338" s="4"/>
      <c r="Q338" s="4"/>
    </row>
    <row r="339" spans="1:17" hidden="1" x14ac:dyDescent="0.2">
      <c r="A339" s="159"/>
      <c r="B339" s="4"/>
      <c r="C339" s="4"/>
      <c r="D339" s="4"/>
      <c r="E339" s="41"/>
      <c r="F339" s="41"/>
      <c r="G339" s="5"/>
      <c r="H339" s="4"/>
      <c r="I339" s="5"/>
      <c r="J339" s="5" t="str">
        <f t="shared" si="18"/>
        <v/>
      </c>
      <c r="K339" s="36"/>
      <c r="L339" s="5" t="str">
        <f t="shared" si="19"/>
        <v/>
      </c>
      <c r="M339" s="5"/>
      <c r="N339" s="5" t="str">
        <f t="shared" si="20"/>
        <v/>
      </c>
      <c r="O339" s="4"/>
      <c r="P339" s="4"/>
      <c r="Q339" s="4"/>
    </row>
    <row r="340" spans="1:17" hidden="1" x14ac:dyDescent="0.2">
      <c r="A340" s="159"/>
      <c r="B340" s="4"/>
      <c r="C340" s="4"/>
      <c r="D340" s="4"/>
      <c r="E340" s="41"/>
      <c r="F340" s="41"/>
      <c r="G340" s="5"/>
      <c r="H340" s="4"/>
      <c r="I340" s="5"/>
      <c r="J340" s="5" t="str">
        <f t="shared" si="18"/>
        <v/>
      </c>
      <c r="K340" s="36"/>
      <c r="L340" s="5" t="str">
        <f t="shared" si="19"/>
        <v/>
      </c>
      <c r="M340" s="5"/>
      <c r="N340" s="5" t="str">
        <f t="shared" si="20"/>
        <v/>
      </c>
      <c r="O340" s="4"/>
      <c r="P340" s="4"/>
      <c r="Q340" s="4"/>
    </row>
    <row r="341" spans="1:17" hidden="1" x14ac:dyDescent="0.2">
      <c r="A341" s="159"/>
      <c r="B341" s="4"/>
      <c r="C341" s="4"/>
      <c r="D341" s="4"/>
      <c r="E341" s="41"/>
      <c r="F341" s="41"/>
      <c r="G341" s="5"/>
      <c r="H341" s="4"/>
      <c r="I341" s="5"/>
      <c r="J341" s="5" t="str">
        <f t="shared" si="18"/>
        <v/>
      </c>
      <c r="K341" s="36"/>
      <c r="L341" s="5" t="str">
        <f t="shared" si="19"/>
        <v/>
      </c>
      <c r="M341" s="5"/>
      <c r="N341" s="5" t="str">
        <f t="shared" si="20"/>
        <v/>
      </c>
      <c r="O341" s="4"/>
      <c r="P341" s="4"/>
      <c r="Q341" s="4"/>
    </row>
    <row r="342" spans="1:17" hidden="1" x14ac:dyDescent="0.2">
      <c r="A342" s="159"/>
      <c r="B342" s="4"/>
      <c r="C342" s="4"/>
      <c r="D342" s="4"/>
      <c r="E342" s="41"/>
      <c r="F342" s="41"/>
      <c r="G342" s="5"/>
      <c r="H342" s="4"/>
      <c r="I342" s="5"/>
      <c r="J342" s="5" t="str">
        <f t="shared" si="18"/>
        <v/>
      </c>
      <c r="K342" s="36"/>
      <c r="L342" s="5" t="str">
        <f t="shared" si="19"/>
        <v/>
      </c>
      <c r="M342" s="5"/>
      <c r="N342" s="5" t="str">
        <f t="shared" si="20"/>
        <v/>
      </c>
      <c r="O342" s="4"/>
      <c r="P342" s="4"/>
      <c r="Q342" s="4"/>
    </row>
    <row r="343" spans="1:17" hidden="1" x14ac:dyDescent="0.2">
      <c r="A343" s="159"/>
      <c r="B343" s="4"/>
      <c r="C343" s="4"/>
      <c r="D343" s="4"/>
      <c r="E343" s="41"/>
      <c r="F343" s="41"/>
      <c r="G343" s="5"/>
      <c r="H343" s="4"/>
      <c r="I343" s="5"/>
      <c r="J343" s="5" t="str">
        <f t="shared" si="18"/>
        <v/>
      </c>
      <c r="K343" s="36"/>
      <c r="L343" s="5" t="str">
        <f t="shared" si="19"/>
        <v/>
      </c>
      <c r="M343" s="5"/>
      <c r="N343" s="5" t="str">
        <f t="shared" si="20"/>
        <v/>
      </c>
      <c r="O343" s="4"/>
      <c r="P343" s="4"/>
      <c r="Q343" s="4"/>
    </row>
    <row r="344" spans="1:17" hidden="1" x14ac:dyDescent="0.2">
      <c r="A344" s="159"/>
      <c r="B344" s="4"/>
      <c r="C344" s="4"/>
      <c r="D344" s="4"/>
      <c r="E344" s="41"/>
      <c r="F344" s="41"/>
      <c r="G344" s="5"/>
      <c r="H344" s="4"/>
      <c r="I344" s="5"/>
      <c r="J344" s="5" t="str">
        <f t="shared" si="18"/>
        <v/>
      </c>
      <c r="K344" s="36"/>
      <c r="L344" s="5" t="str">
        <f t="shared" si="19"/>
        <v/>
      </c>
      <c r="M344" s="5"/>
      <c r="N344" s="5" t="str">
        <f t="shared" si="20"/>
        <v/>
      </c>
      <c r="O344" s="4"/>
      <c r="P344" s="4"/>
      <c r="Q344" s="4"/>
    </row>
    <row r="345" spans="1:17" hidden="1" x14ac:dyDescent="0.2">
      <c r="A345" s="159"/>
      <c r="B345" s="4"/>
      <c r="C345" s="4"/>
      <c r="D345" s="4"/>
      <c r="E345" s="41"/>
      <c r="F345" s="41"/>
      <c r="G345" s="5"/>
      <c r="H345" s="4"/>
      <c r="I345" s="5"/>
      <c r="J345" s="5" t="str">
        <f t="shared" ref="J345:J408" si="21">IF($D345="","",IF($H345="FIXED",$I345,($E345*FAT_MULT)+($F345*SNF_MULT)+$G345))</f>
        <v/>
      </c>
      <c r="K345" s="36"/>
      <c r="L345" s="5" t="str">
        <f t="shared" ref="L345:L408" si="22">IF($K345="","",$K345*$J345)</f>
        <v/>
      </c>
      <c r="M345" s="5"/>
      <c r="N345" s="5" t="str">
        <f t="shared" ref="N345:N408" si="23">IF($K345="","",$L345+$M345)</f>
        <v/>
      </c>
      <c r="O345" s="4"/>
      <c r="P345" s="4"/>
      <c r="Q345" s="4"/>
    </row>
    <row r="346" spans="1:17" hidden="1" x14ac:dyDescent="0.2">
      <c r="A346" s="159"/>
      <c r="B346" s="4"/>
      <c r="C346" s="4"/>
      <c r="D346" s="4"/>
      <c r="E346" s="41"/>
      <c r="F346" s="41"/>
      <c r="G346" s="5"/>
      <c r="H346" s="4"/>
      <c r="I346" s="5"/>
      <c r="J346" s="5" t="str">
        <f t="shared" si="21"/>
        <v/>
      </c>
      <c r="K346" s="36"/>
      <c r="L346" s="5" t="str">
        <f t="shared" si="22"/>
        <v/>
      </c>
      <c r="M346" s="5"/>
      <c r="N346" s="5" t="str">
        <f t="shared" si="23"/>
        <v/>
      </c>
      <c r="O346" s="4"/>
      <c r="P346" s="4"/>
      <c r="Q346" s="4"/>
    </row>
    <row r="347" spans="1:17" hidden="1" x14ac:dyDescent="0.2">
      <c r="A347" s="159"/>
      <c r="B347" s="4"/>
      <c r="C347" s="4"/>
      <c r="D347" s="4"/>
      <c r="E347" s="41"/>
      <c r="F347" s="41"/>
      <c r="G347" s="5"/>
      <c r="H347" s="4"/>
      <c r="I347" s="5"/>
      <c r="J347" s="5" t="str">
        <f t="shared" si="21"/>
        <v/>
      </c>
      <c r="K347" s="36"/>
      <c r="L347" s="5" t="str">
        <f t="shared" si="22"/>
        <v/>
      </c>
      <c r="M347" s="5"/>
      <c r="N347" s="5" t="str">
        <f t="shared" si="23"/>
        <v/>
      </c>
      <c r="O347" s="4"/>
      <c r="P347" s="4"/>
      <c r="Q347" s="4"/>
    </row>
    <row r="348" spans="1:17" hidden="1" x14ac:dyDescent="0.2">
      <c r="A348" s="159"/>
      <c r="B348" s="4"/>
      <c r="C348" s="4"/>
      <c r="D348" s="4"/>
      <c r="E348" s="41"/>
      <c r="F348" s="41"/>
      <c r="G348" s="5"/>
      <c r="H348" s="4"/>
      <c r="I348" s="5"/>
      <c r="J348" s="5" t="str">
        <f t="shared" si="21"/>
        <v/>
      </c>
      <c r="K348" s="36"/>
      <c r="L348" s="5" t="str">
        <f t="shared" si="22"/>
        <v/>
      </c>
      <c r="M348" s="5"/>
      <c r="N348" s="5" t="str">
        <f t="shared" si="23"/>
        <v/>
      </c>
      <c r="O348" s="4"/>
      <c r="P348" s="4"/>
      <c r="Q348" s="4"/>
    </row>
    <row r="349" spans="1:17" hidden="1" x14ac:dyDescent="0.2">
      <c r="A349" s="159"/>
      <c r="B349" s="4"/>
      <c r="C349" s="4"/>
      <c r="D349" s="4"/>
      <c r="E349" s="41"/>
      <c r="F349" s="41"/>
      <c r="G349" s="5"/>
      <c r="H349" s="4"/>
      <c r="I349" s="5"/>
      <c r="J349" s="5" t="str">
        <f t="shared" si="21"/>
        <v/>
      </c>
      <c r="K349" s="36"/>
      <c r="L349" s="5" t="str">
        <f t="shared" si="22"/>
        <v/>
      </c>
      <c r="M349" s="5"/>
      <c r="N349" s="5" t="str">
        <f t="shared" si="23"/>
        <v/>
      </c>
      <c r="O349" s="4"/>
      <c r="P349" s="4"/>
      <c r="Q349" s="4"/>
    </row>
    <row r="350" spans="1:17" hidden="1" x14ac:dyDescent="0.2">
      <c r="A350" s="159"/>
      <c r="B350" s="4"/>
      <c r="C350" s="4"/>
      <c r="D350" s="4"/>
      <c r="E350" s="41"/>
      <c r="F350" s="41"/>
      <c r="G350" s="5"/>
      <c r="H350" s="4"/>
      <c r="I350" s="5"/>
      <c r="J350" s="5" t="str">
        <f t="shared" si="21"/>
        <v/>
      </c>
      <c r="K350" s="36"/>
      <c r="L350" s="5" t="str">
        <f t="shared" si="22"/>
        <v/>
      </c>
      <c r="M350" s="5"/>
      <c r="N350" s="5" t="str">
        <f t="shared" si="23"/>
        <v/>
      </c>
      <c r="O350" s="4"/>
      <c r="P350" s="4"/>
      <c r="Q350" s="4"/>
    </row>
    <row r="351" spans="1:17" hidden="1" x14ac:dyDescent="0.2">
      <c r="A351" s="159"/>
      <c r="B351" s="4"/>
      <c r="C351" s="4"/>
      <c r="D351" s="4"/>
      <c r="E351" s="41"/>
      <c r="F351" s="41"/>
      <c r="G351" s="5"/>
      <c r="H351" s="4"/>
      <c r="I351" s="5"/>
      <c r="J351" s="5" t="str">
        <f t="shared" si="21"/>
        <v/>
      </c>
      <c r="K351" s="36"/>
      <c r="L351" s="5" t="str">
        <f t="shared" si="22"/>
        <v/>
      </c>
      <c r="M351" s="5"/>
      <c r="N351" s="5" t="str">
        <f t="shared" si="23"/>
        <v/>
      </c>
      <c r="O351" s="4"/>
      <c r="P351" s="4"/>
      <c r="Q351" s="4"/>
    </row>
    <row r="352" spans="1:17" hidden="1" x14ac:dyDescent="0.2">
      <c r="A352" s="159"/>
      <c r="B352" s="4"/>
      <c r="C352" s="4"/>
      <c r="D352" s="4"/>
      <c r="E352" s="41"/>
      <c r="F352" s="41"/>
      <c r="G352" s="5"/>
      <c r="H352" s="4"/>
      <c r="I352" s="5"/>
      <c r="J352" s="5" t="str">
        <f t="shared" si="21"/>
        <v/>
      </c>
      <c r="K352" s="36"/>
      <c r="L352" s="5" t="str">
        <f t="shared" si="22"/>
        <v/>
      </c>
      <c r="M352" s="5"/>
      <c r="N352" s="5" t="str">
        <f t="shared" si="23"/>
        <v/>
      </c>
      <c r="O352" s="4"/>
      <c r="P352" s="4"/>
      <c r="Q352" s="4"/>
    </row>
    <row r="353" spans="1:17" hidden="1" x14ac:dyDescent="0.2">
      <c r="A353" s="159"/>
      <c r="B353" s="4"/>
      <c r="C353" s="4"/>
      <c r="D353" s="4"/>
      <c r="E353" s="41"/>
      <c r="F353" s="41"/>
      <c r="G353" s="5"/>
      <c r="H353" s="4"/>
      <c r="I353" s="5"/>
      <c r="J353" s="5" t="str">
        <f t="shared" si="21"/>
        <v/>
      </c>
      <c r="K353" s="36"/>
      <c r="L353" s="5" t="str">
        <f t="shared" si="22"/>
        <v/>
      </c>
      <c r="M353" s="5"/>
      <c r="N353" s="5" t="str">
        <f t="shared" si="23"/>
        <v/>
      </c>
      <c r="O353" s="4"/>
      <c r="P353" s="4"/>
      <c r="Q353" s="4"/>
    </row>
    <row r="354" spans="1:17" hidden="1" x14ac:dyDescent="0.2">
      <c r="A354" s="159"/>
      <c r="B354" s="4"/>
      <c r="C354" s="4"/>
      <c r="D354" s="4"/>
      <c r="E354" s="41"/>
      <c r="F354" s="41"/>
      <c r="G354" s="5"/>
      <c r="H354" s="4"/>
      <c r="I354" s="5"/>
      <c r="J354" s="5" t="str">
        <f t="shared" si="21"/>
        <v/>
      </c>
      <c r="K354" s="36"/>
      <c r="L354" s="5" t="str">
        <f t="shared" si="22"/>
        <v/>
      </c>
      <c r="M354" s="5"/>
      <c r="N354" s="5" t="str">
        <f t="shared" si="23"/>
        <v/>
      </c>
      <c r="O354" s="4"/>
      <c r="P354" s="4"/>
      <c r="Q354" s="4"/>
    </row>
    <row r="355" spans="1:17" hidden="1" x14ac:dyDescent="0.2">
      <c r="A355" s="159"/>
      <c r="B355" s="4"/>
      <c r="C355" s="4"/>
      <c r="D355" s="4"/>
      <c r="E355" s="41"/>
      <c r="F355" s="41"/>
      <c r="G355" s="5"/>
      <c r="H355" s="4"/>
      <c r="I355" s="5"/>
      <c r="J355" s="5" t="str">
        <f t="shared" si="21"/>
        <v/>
      </c>
      <c r="K355" s="36"/>
      <c r="L355" s="5" t="str">
        <f t="shared" si="22"/>
        <v/>
      </c>
      <c r="M355" s="5"/>
      <c r="N355" s="5" t="str">
        <f t="shared" si="23"/>
        <v/>
      </c>
      <c r="O355" s="4"/>
      <c r="P355" s="4"/>
      <c r="Q355" s="4"/>
    </row>
    <row r="356" spans="1:17" hidden="1" x14ac:dyDescent="0.2">
      <c r="A356" s="159"/>
      <c r="B356" s="4"/>
      <c r="C356" s="4"/>
      <c r="D356" s="4"/>
      <c r="E356" s="41"/>
      <c r="F356" s="41"/>
      <c r="G356" s="5"/>
      <c r="H356" s="4"/>
      <c r="I356" s="5"/>
      <c r="J356" s="5" t="str">
        <f t="shared" si="21"/>
        <v/>
      </c>
      <c r="K356" s="36"/>
      <c r="L356" s="5" t="str">
        <f t="shared" si="22"/>
        <v/>
      </c>
      <c r="M356" s="5"/>
      <c r="N356" s="5" t="str">
        <f t="shared" si="23"/>
        <v/>
      </c>
      <c r="O356" s="4"/>
      <c r="P356" s="4"/>
      <c r="Q356" s="4"/>
    </row>
    <row r="357" spans="1:17" hidden="1" x14ac:dyDescent="0.2">
      <c r="A357" s="159"/>
      <c r="B357" s="4"/>
      <c r="C357" s="4"/>
      <c r="D357" s="4"/>
      <c r="E357" s="41"/>
      <c r="F357" s="41"/>
      <c r="G357" s="5"/>
      <c r="H357" s="4"/>
      <c r="I357" s="5"/>
      <c r="J357" s="5" t="str">
        <f t="shared" si="21"/>
        <v/>
      </c>
      <c r="K357" s="36"/>
      <c r="L357" s="5" t="str">
        <f t="shared" si="22"/>
        <v/>
      </c>
      <c r="M357" s="5"/>
      <c r="N357" s="5" t="str">
        <f t="shared" si="23"/>
        <v/>
      </c>
      <c r="O357" s="4"/>
      <c r="P357" s="4"/>
      <c r="Q357" s="4"/>
    </row>
    <row r="358" spans="1:17" hidden="1" x14ac:dyDescent="0.2">
      <c r="A358" s="159"/>
      <c r="B358" s="4"/>
      <c r="C358" s="4"/>
      <c r="D358" s="4"/>
      <c r="E358" s="41"/>
      <c r="F358" s="41"/>
      <c r="G358" s="5"/>
      <c r="H358" s="4"/>
      <c r="I358" s="5"/>
      <c r="J358" s="5" t="str">
        <f t="shared" si="21"/>
        <v/>
      </c>
      <c r="K358" s="36"/>
      <c r="L358" s="5" t="str">
        <f t="shared" si="22"/>
        <v/>
      </c>
      <c r="M358" s="5"/>
      <c r="N358" s="5" t="str">
        <f t="shared" si="23"/>
        <v/>
      </c>
      <c r="O358" s="4"/>
      <c r="P358" s="4"/>
      <c r="Q358" s="4"/>
    </row>
    <row r="359" spans="1:17" hidden="1" x14ac:dyDescent="0.2">
      <c r="A359" s="159"/>
      <c r="B359" s="4"/>
      <c r="C359" s="4"/>
      <c r="D359" s="4"/>
      <c r="E359" s="41"/>
      <c r="F359" s="41"/>
      <c r="G359" s="5"/>
      <c r="H359" s="4"/>
      <c r="I359" s="5"/>
      <c r="J359" s="5" t="str">
        <f t="shared" si="21"/>
        <v/>
      </c>
      <c r="K359" s="36"/>
      <c r="L359" s="5" t="str">
        <f t="shared" si="22"/>
        <v/>
      </c>
      <c r="M359" s="5"/>
      <c r="N359" s="5" t="str">
        <f t="shared" si="23"/>
        <v/>
      </c>
      <c r="O359" s="4"/>
      <c r="P359" s="4"/>
      <c r="Q359" s="4"/>
    </row>
    <row r="360" spans="1:17" hidden="1" x14ac:dyDescent="0.2">
      <c r="A360" s="159"/>
      <c r="B360" s="4"/>
      <c r="C360" s="4"/>
      <c r="D360" s="4"/>
      <c r="E360" s="41"/>
      <c r="F360" s="41"/>
      <c r="G360" s="5"/>
      <c r="H360" s="4"/>
      <c r="I360" s="5"/>
      <c r="J360" s="5" t="str">
        <f t="shared" si="21"/>
        <v/>
      </c>
      <c r="K360" s="36"/>
      <c r="L360" s="5" t="str">
        <f t="shared" si="22"/>
        <v/>
      </c>
      <c r="M360" s="5"/>
      <c r="N360" s="5" t="str">
        <f t="shared" si="23"/>
        <v/>
      </c>
      <c r="O360" s="4"/>
      <c r="P360" s="4"/>
      <c r="Q360" s="4"/>
    </row>
    <row r="361" spans="1:17" hidden="1" x14ac:dyDescent="0.2">
      <c r="A361" s="159"/>
      <c r="B361" s="4"/>
      <c r="C361" s="4"/>
      <c r="D361" s="4"/>
      <c r="E361" s="41"/>
      <c r="F361" s="41"/>
      <c r="G361" s="5"/>
      <c r="H361" s="4"/>
      <c r="I361" s="5"/>
      <c r="J361" s="5" t="str">
        <f t="shared" si="21"/>
        <v/>
      </c>
      <c r="K361" s="36"/>
      <c r="L361" s="5" t="str">
        <f t="shared" si="22"/>
        <v/>
      </c>
      <c r="M361" s="5"/>
      <c r="N361" s="5" t="str">
        <f t="shared" si="23"/>
        <v/>
      </c>
      <c r="O361" s="4"/>
      <c r="P361" s="4"/>
      <c r="Q361" s="4"/>
    </row>
    <row r="362" spans="1:17" hidden="1" x14ac:dyDescent="0.2">
      <c r="A362" s="159"/>
      <c r="B362" s="4"/>
      <c r="C362" s="4"/>
      <c r="D362" s="4"/>
      <c r="E362" s="41"/>
      <c r="F362" s="41"/>
      <c r="G362" s="5"/>
      <c r="H362" s="4"/>
      <c r="I362" s="5"/>
      <c r="J362" s="5" t="str">
        <f t="shared" si="21"/>
        <v/>
      </c>
      <c r="K362" s="36"/>
      <c r="L362" s="5" t="str">
        <f t="shared" si="22"/>
        <v/>
      </c>
      <c r="M362" s="5"/>
      <c r="N362" s="5" t="str">
        <f t="shared" si="23"/>
        <v/>
      </c>
      <c r="O362" s="4"/>
      <c r="P362" s="4"/>
      <c r="Q362" s="4"/>
    </row>
    <row r="363" spans="1:17" hidden="1" x14ac:dyDescent="0.2">
      <c r="A363" s="159"/>
      <c r="B363" s="4"/>
      <c r="C363" s="4"/>
      <c r="D363" s="4"/>
      <c r="E363" s="41"/>
      <c r="F363" s="41"/>
      <c r="G363" s="5"/>
      <c r="H363" s="4"/>
      <c r="I363" s="5"/>
      <c r="J363" s="5" t="str">
        <f t="shared" si="21"/>
        <v/>
      </c>
      <c r="K363" s="36"/>
      <c r="L363" s="5" t="str">
        <f t="shared" si="22"/>
        <v/>
      </c>
      <c r="M363" s="5"/>
      <c r="N363" s="5" t="str">
        <f t="shared" si="23"/>
        <v/>
      </c>
      <c r="O363" s="4"/>
      <c r="P363" s="4"/>
      <c r="Q363" s="4"/>
    </row>
    <row r="364" spans="1:17" hidden="1" x14ac:dyDescent="0.2">
      <c r="A364" s="159"/>
      <c r="B364" s="4"/>
      <c r="C364" s="4"/>
      <c r="D364" s="4"/>
      <c r="E364" s="41"/>
      <c r="F364" s="41"/>
      <c r="G364" s="5"/>
      <c r="H364" s="4"/>
      <c r="I364" s="5"/>
      <c r="J364" s="5" t="str">
        <f t="shared" si="21"/>
        <v/>
      </c>
      <c r="K364" s="36"/>
      <c r="L364" s="5" t="str">
        <f t="shared" si="22"/>
        <v/>
      </c>
      <c r="M364" s="5"/>
      <c r="N364" s="5" t="str">
        <f t="shared" si="23"/>
        <v/>
      </c>
      <c r="O364" s="4"/>
      <c r="P364" s="4"/>
      <c r="Q364" s="4"/>
    </row>
    <row r="365" spans="1:17" hidden="1" x14ac:dyDescent="0.2">
      <c r="A365" s="159"/>
      <c r="B365" s="4"/>
      <c r="C365" s="4"/>
      <c r="D365" s="4"/>
      <c r="E365" s="41"/>
      <c r="F365" s="41"/>
      <c r="G365" s="5"/>
      <c r="H365" s="4"/>
      <c r="I365" s="5"/>
      <c r="J365" s="5" t="str">
        <f t="shared" si="21"/>
        <v/>
      </c>
      <c r="K365" s="36"/>
      <c r="L365" s="5" t="str">
        <f t="shared" si="22"/>
        <v/>
      </c>
      <c r="M365" s="5"/>
      <c r="N365" s="5" t="str">
        <f t="shared" si="23"/>
        <v/>
      </c>
      <c r="O365" s="4"/>
      <c r="P365" s="4"/>
      <c r="Q365" s="4"/>
    </row>
    <row r="366" spans="1:17" hidden="1" x14ac:dyDescent="0.2">
      <c r="A366" s="159"/>
      <c r="B366" s="4"/>
      <c r="C366" s="4"/>
      <c r="D366" s="4"/>
      <c r="E366" s="41"/>
      <c r="F366" s="41"/>
      <c r="G366" s="5"/>
      <c r="H366" s="4"/>
      <c r="I366" s="5"/>
      <c r="J366" s="5" t="str">
        <f t="shared" si="21"/>
        <v/>
      </c>
      <c r="K366" s="36"/>
      <c r="L366" s="5" t="str">
        <f t="shared" si="22"/>
        <v/>
      </c>
      <c r="M366" s="5"/>
      <c r="N366" s="5" t="str">
        <f t="shared" si="23"/>
        <v/>
      </c>
      <c r="O366" s="4"/>
      <c r="P366" s="4"/>
      <c r="Q366" s="4"/>
    </row>
    <row r="367" spans="1:17" hidden="1" x14ac:dyDescent="0.2">
      <c r="A367" s="159"/>
      <c r="B367" s="4"/>
      <c r="C367" s="4"/>
      <c r="D367" s="4"/>
      <c r="E367" s="41"/>
      <c r="F367" s="41"/>
      <c r="G367" s="5"/>
      <c r="H367" s="4"/>
      <c r="I367" s="5"/>
      <c r="J367" s="5" t="str">
        <f t="shared" si="21"/>
        <v/>
      </c>
      <c r="K367" s="36"/>
      <c r="L367" s="5" t="str">
        <f t="shared" si="22"/>
        <v/>
      </c>
      <c r="M367" s="5"/>
      <c r="N367" s="5" t="str">
        <f t="shared" si="23"/>
        <v/>
      </c>
      <c r="O367" s="4"/>
      <c r="P367" s="4"/>
      <c r="Q367" s="4"/>
    </row>
    <row r="368" spans="1:17" hidden="1" x14ac:dyDescent="0.2">
      <c r="A368" s="159"/>
      <c r="B368" s="4"/>
      <c r="C368" s="4"/>
      <c r="D368" s="4"/>
      <c r="E368" s="41"/>
      <c r="F368" s="41"/>
      <c r="G368" s="5"/>
      <c r="H368" s="4"/>
      <c r="I368" s="5"/>
      <c r="J368" s="5" t="str">
        <f t="shared" si="21"/>
        <v/>
      </c>
      <c r="K368" s="36"/>
      <c r="L368" s="5" t="str">
        <f t="shared" si="22"/>
        <v/>
      </c>
      <c r="M368" s="5"/>
      <c r="N368" s="5" t="str">
        <f t="shared" si="23"/>
        <v/>
      </c>
      <c r="O368" s="4"/>
      <c r="P368" s="4"/>
      <c r="Q368" s="4"/>
    </row>
    <row r="369" spans="1:17" hidden="1" x14ac:dyDescent="0.2">
      <c r="A369" s="159"/>
      <c r="B369" s="4"/>
      <c r="C369" s="4"/>
      <c r="D369" s="4"/>
      <c r="E369" s="41"/>
      <c r="F369" s="41"/>
      <c r="G369" s="5"/>
      <c r="H369" s="4"/>
      <c r="I369" s="5"/>
      <c r="J369" s="5" t="str">
        <f t="shared" si="21"/>
        <v/>
      </c>
      <c r="K369" s="36"/>
      <c r="L369" s="5" t="str">
        <f t="shared" si="22"/>
        <v/>
      </c>
      <c r="M369" s="5"/>
      <c r="N369" s="5" t="str">
        <f t="shared" si="23"/>
        <v/>
      </c>
      <c r="O369" s="4"/>
      <c r="P369" s="4"/>
      <c r="Q369" s="4"/>
    </row>
    <row r="370" spans="1:17" hidden="1" x14ac:dyDescent="0.2">
      <c r="A370" s="159"/>
      <c r="B370" s="4"/>
      <c r="C370" s="4"/>
      <c r="D370" s="4"/>
      <c r="E370" s="41"/>
      <c r="F370" s="41"/>
      <c r="G370" s="5"/>
      <c r="H370" s="4"/>
      <c r="I370" s="5"/>
      <c r="J370" s="5" t="str">
        <f t="shared" si="21"/>
        <v/>
      </c>
      <c r="K370" s="36"/>
      <c r="L370" s="5" t="str">
        <f t="shared" si="22"/>
        <v/>
      </c>
      <c r="M370" s="5"/>
      <c r="N370" s="5" t="str">
        <f t="shared" si="23"/>
        <v/>
      </c>
      <c r="O370" s="4"/>
      <c r="P370" s="4"/>
      <c r="Q370" s="4"/>
    </row>
    <row r="371" spans="1:17" hidden="1" x14ac:dyDescent="0.2">
      <c r="A371" s="159"/>
      <c r="B371" s="4"/>
      <c r="C371" s="4"/>
      <c r="D371" s="4"/>
      <c r="E371" s="41"/>
      <c r="F371" s="41"/>
      <c r="G371" s="5"/>
      <c r="H371" s="4"/>
      <c r="I371" s="5"/>
      <c r="J371" s="5" t="str">
        <f t="shared" si="21"/>
        <v/>
      </c>
      <c r="K371" s="36"/>
      <c r="L371" s="5" t="str">
        <f t="shared" si="22"/>
        <v/>
      </c>
      <c r="M371" s="5"/>
      <c r="N371" s="5" t="str">
        <f t="shared" si="23"/>
        <v/>
      </c>
      <c r="O371" s="4"/>
      <c r="P371" s="4"/>
      <c r="Q371" s="4"/>
    </row>
    <row r="372" spans="1:17" hidden="1" x14ac:dyDescent="0.2">
      <c r="A372" s="159"/>
      <c r="B372" s="4"/>
      <c r="C372" s="4"/>
      <c r="D372" s="4"/>
      <c r="E372" s="41"/>
      <c r="F372" s="41"/>
      <c r="G372" s="5"/>
      <c r="H372" s="4"/>
      <c r="I372" s="5"/>
      <c r="J372" s="5" t="str">
        <f t="shared" si="21"/>
        <v/>
      </c>
      <c r="K372" s="36"/>
      <c r="L372" s="5" t="str">
        <f t="shared" si="22"/>
        <v/>
      </c>
      <c r="M372" s="5"/>
      <c r="N372" s="5" t="str">
        <f t="shared" si="23"/>
        <v/>
      </c>
      <c r="O372" s="4"/>
      <c r="P372" s="4"/>
      <c r="Q372" s="4"/>
    </row>
    <row r="373" spans="1:17" hidden="1" x14ac:dyDescent="0.2">
      <c r="A373" s="159"/>
      <c r="B373" s="4"/>
      <c r="C373" s="4"/>
      <c r="D373" s="4"/>
      <c r="E373" s="41"/>
      <c r="F373" s="41"/>
      <c r="G373" s="5"/>
      <c r="H373" s="4"/>
      <c r="I373" s="5"/>
      <c r="J373" s="5" t="str">
        <f t="shared" si="21"/>
        <v/>
      </c>
      <c r="K373" s="36"/>
      <c r="L373" s="5" t="str">
        <f t="shared" si="22"/>
        <v/>
      </c>
      <c r="M373" s="5"/>
      <c r="N373" s="5" t="str">
        <f t="shared" si="23"/>
        <v/>
      </c>
      <c r="O373" s="4"/>
      <c r="P373" s="4"/>
      <c r="Q373" s="4"/>
    </row>
    <row r="374" spans="1:17" hidden="1" x14ac:dyDescent="0.2">
      <c r="A374" s="159"/>
      <c r="B374" s="4"/>
      <c r="C374" s="4"/>
      <c r="D374" s="4"/>
      <c r="E374" s="41"/>
      <c r="F374" s="41"/>
      <c r="G374" s="5"/>
      <c r="H374" s="4"/>
      <c r="I374" s="5"/>
      <c r="J374" s="5" t="str">
        <f t="shared" si="21"/>
        <v/>
      </c>
      <c r="K374" s="36"/>
      <c r="L374" s="5" t="str">
        <f t="shared" si="22"/>
        <v/>
      </c>
      <c r="M374" s="5"/>
      <c r="N374" s="5" t="str">
        <f t="shared" si="23"/>
        <v/>
      </c>
      <c r="O374" s="4"/>
      <c r="P374" s="4"/>
      <c r="Q374" s="4"/>
    </row>
    <row r="375" spans="1:17" hidden="1" x14ac:dyDescent="0.2">
      <c r="A375" s="159"/>
      <c r="B375" s="4"/>
      <c r="C375" s="4"/>
      <c r="D375" s="4"/>
      <c r="E375" s="41"/>
      <c r="F375" s="41"/>
      <c r="G375" s="5"/>
      <c r="H375" s="4"/>
      <c r="I375" s="5"/>
      <c r="J375" s="5" t="str">
        <f t="shared" si="21"/>
        <v/>
      </c>
      <c r="K375" s="36"/>
      <c r="L375" s="5" t="str">
        <f t="shared" si="22"/>
        <v/>
      </c>
      <c r="M375" s="5"/>
      <c r="N375" s="5" t="str">
        <f t="shared" si="23"/>
        <v/>
      </c>
      <c r="O375" s="4"/>
      <c r="P375" s="4"/>
      <c r="Q375" s="4"/>
    </row>
    <row r="376" spans="1:17" hidden="1" x14ac:dyDescent="0.2">
      <c r="A376" s="159"/>
      <c r="B376" s="4"/>
      <c r="C376" s="4"/>
      <c r="D376" s="4"/>
      <c r="E376" s="41"/>
      <c r="F376" s="41"/>
      <c r="G376" s="5"/>
      <c r="H376" s="4"/>
      <c r="I376" s="5"/>
      <c r="J376" s="5" t="str">
        <f t="shared" si="21"/>
        <v/>
      </c>
      <c r="K376" s="36"/>
      <c r="L376" s="5" t="str">
        <f t="shared" si="22"/>
        <v/>
      </c>
      <c r="M376" s="5"/>
      <c r="N376" s="5" t="str">
        <f t="shared" si="23"/>
        <v/>
      </c>
      <c r="O376" s="4"/>
      <c r="P376" s="4"/>
      <c r="Q376" s="4"/>
    </row>
    <row r="377" spans="1:17" hidden="1" x14ac:dyDescent="0.2">
      <c r="A377" s="159"/>
      <c r="B377" s="4"/>
      <c r="C377" s="4"/>
      <c r="D377" s="4"/>
      <c r="E377" s="41"/>
      <c r="F377" s="41"/>
      <c r="G377" s="5"/>
      <c r="H377" s="4"/>
      <c r="I377" s="5"/>
      <c r="J377" s="5" t="str">
        <f t="shared" si="21"/>
        <v/>
      </c>
      <c r="K377" s="36"/>
      <c r="L377" s="5" t="str">
        <f t="shared" si="22"/>
        <v/>
      </c>
      <c r="M377" s="5"/>
      <c r="N377" s="5" t="str">
        <f t="shared" si="23"/>
        <v/>
      </c>
      <c r="O377" s="4"/>
      <c r="P377" s="4"/>
      <c r="Q377" s="4"/>
    </row>
    <row r="378" spans="1:17" hidden="1" x14ac:dyDescent="0.2">
      <c r="A378" s="159"/>
      <c r="B378" s="4"/>
      <c r="C378" s="4"/>
      <c r="D378" s="4"/>
      <c r="E378" s="41"/>
      <c r="F378" s="41"/>
      <c r="G378" s="5"/>
      <c r="H378" s="4"/>
      <c r="I378" s="5"/>
      <c r="J378" s="5" t="str">
        <f t="shared" si="21"/>
        <v/>
      </c>
      <c r="K378" s="36"/>
      <c r="L378" s="5" t="str">
        <f t="shared" si="22"/>
        <v/>
      </c>
      <c r="M378" s="5"/>
      <c r="N378" s="5" t="str">
        <f t="shared" si="23"/>
        <v/>
      </c>
      <c r="O378" s="4"/>
      <c r="P378" s="4"/>
      <c r="Q378" s="4"/>
    </row>
    <row r="379" spans="1:17" hidden="1" x14ac:dyDescent="0.2">
      <c r="A379" s="159"/>
      <c r="B379" s="4"/>
      <c r="C379" s="4"/>
      <c r="D379" s="4"/>
      <c r="E379" s="41"/>
      <c r="F379" s="41"/>
      <c r="G379" s="5"/>
      <c r="H379" s="4"/>
      <c r="I379" s="5"/>
      <c r="J379" s="5" t="str">
        <f t="shared" si="21"/>
        <v/>
      </c>
      <c r="K379" s="36"/>
      <c r="L379" s="5" t="str">
        <f t="shared" si="22"/>
        <v/>
      </c>
      <c r="M379" s="5"/>
      <c r="N379" s="5" t="str">
        <f t="shared" si="23"/>
        <v/>
      </c>
      <c r="O379" s="4"/>
      <c r="P379" s="4"/>
      <c r="Q379" s="4"/>
    </row>
    <row r="380" spans="1:17" hidden="1" x14ac:dyDescent="0.2">
      <c r="A380" s="159"/>
      <c r="B380" s="4"/>
      <c r="C380" s="4"/>
      <c r="D380" s="4"/>
      <c r="E380" s="41"/>
      <c r="F380" s="41"/>
      <c r="G380" s="5"/>
      <c r="H380" s="4"/>
      <c r="I380" s="5"/>
      <c r="J380" s="5" t="str">
        <f t="shared" si="21"/>
        <v/>
      </c>
      <c r="K380" s="36"/>
      <c r="L380" s="5" t="str">
        <f t="shared" si="22"/>
        <v/>
      </c>
      <c r="M380" s="5"/>
      <c r="N380" s="5" t="str">
        <f t="shared" si="23"/>
        <v/>
      </c>
      <c r="O380" s="4"/>
      <c r="P380" s="4"/>
      <c r="Q380" s="4"/>
    </row>
    <row r="381" spans="1:17" hidden="1" x14ac:dyDescent="0.2">
      <c r="A381" s="159"/>
      <c r="B381" s="4"/>
      <c r="C381" s="4"/>
      <c r="D381" s="4"/>
      <c r="E381" s="41"/>
      <c r="F381" s="41"/>
      <c r="G381" s="5"/>
      <c r="H381" s="4"/>
      <c r="I381" s="5"/>
      <c r="J381" s="5" t="str">
        <f t="shared" si="21"/>
        <v/>
      </c>
      <c r="K381" s="36"/>
      <c r="L381" s="5" t="str">
        <f t="shared" si="22"/>
        <v/>
      </c>
      <c r="M381" s="5"/>
      <c r="N381" s="5" t="str">
        <f t="shared" si="23"/>
        <v/>
      </c>
      <c r="O381" s="4"/>
      <c r="P381" s="4"/>
      <c r="Q381" s="4"/>
    </row>
    <row r="382" spans="1:17" hidden="1" x14ac:dyDescent="0.2">
      <c r="A382" s="159"/>
      <c r="B382" s="4"/>
      <c r="C382" s="4"/>
      <c r="D382" s="4"/>
      <c r="E382" s="41"/>
      <c r="F382" s="41"/>
      <c r="G382" s="5"/>
      <c r="H382" s="4"/>
      <c r="I382" s="5"/>
      <c r="J382" s="5" t="str">
        <f t="shared" si="21"/>
        <v/>
      </c>
      <c r="K382" s="36"/>
      <c r="L382" s="5" t="str">
        <f t="shared" si="22"/>
        <v/>
      </c>
      <c r="M382" s="5"/>
      <c r="N382" s="5" t="str">
        <f t="shared" si="23"/>
        <v/>
      </c>
      <c r="O382" s="4"/>
      <c r="P382" s="4"/>
      <c r="Q382" s="4"/>
    </row>
    <row r="383" spans="1:17" hidden="1" x14ac:dyDescent="0.2">
      <c r="A383" s="159"/>
      <c r="B383" s="4"/>
      <c r="C383" s="4"/>
      <c r="D383" s="4"/>
      <c r="E383" s="41"/>
      <c r="F383" s="41"/>
      <c r="G383" s="5"/>
      <c r="H383" s="4"/>
      <c r="I383" s="5"/>
      <c r="J383" s="5" t="str">
        <f t="shared" si="21"/>
        <v/>
      </c>
      <c r="K383" s="36"/>
      <c r="L383" s="5" t="str">
        <f t="shared" si="22"/>
        <v/>
      </c>
      <c r="M383" s="5"/>
      <c r="N383" s="5" t="str">
        <f t="shared" si="23"/>
        <v/>
      </c>
      <c r="O383" s="4"/>
      <c r="P383" s="4"/>
      <c r="Q383" s="4"/>
    </row>
    <row r="384" spans="1:17" hidden="1" x14ac:dyDescent="0.2">
      <c r="A384" s="159"/>
      <c r="B384" s="4"/>
      <c r="C384" s="4"/>
      <c r="D384" s="4"/>
      <c r="E384" s="41"/>
      <c r="F384" s="41"/>
      <c r="G384" s="5"/>
      <c r="H384" s="4"/>
      <c r="I384" s="5"/>
      <c r="J384" s="5" t="str">
        <f t="shared" si="21"/>
        <v/>
      </c>
      <c r="K384" s="36"/>
      <c r="L384" s="5" t="str">
        <f t="shared" si="22"/>
        <v/>
      </c>
      <c r="M384" s="5"/>
      <c r="N384" s="5" t="str">
        <f t="shared" si="23"/>
        <v/>
      </c>
      <c r="O384" s="4"/>
      <c r="P384" s="4"/>
      <c r="Q384" s="4"/>
    </row>
    <row r="385" spans="1:17" hidden="1" x14ac:dyDescent="0.2">
      <c r="A385" s="159"/>
      <c r="B385" s="4"/>
      <c r="C385" s="4"/>
      <c r="D385" s="4"/>
      <c r="E385" s="41"/>
      <c r="F385" s="41"/>
      <c r="G385" s="5"/>
      <c r="H385" s="4"/>
      <c r="I385" s="5"/>
      <c r="J385" s="5" t="str">
        <f t="shared" si="21"/>
        <v/>
      </c>
      <c r="K385" s="36"/>
      <c r="L385" s="5" t="str">
        <f t="shared" si="22"/>
        <v/>
      </c>
      <c r="M385" s="5"/>
      <c r="N385" s="5" t="str">
        <f t="shared" si="23"/>
        <v/>
      </c>
      <c r="O385" s="4"/>
      <c r="P385" s="4"/>
      <c r="Q385" s="4"/>
    </row>
    <row r="386" spans="1:17" hidden="1" x14ac:dyDescent="0.2">
      <c r="A386" s="159"/>
      <c r="B386" s="4"/>
      <c r="C386" s="4"/>
      <c r="D386" s="4"/>
      <c r="E386" s="41"/>
      <c r="F386" s="41"/>
      <c r="G386" s="5"/>
      <c r="H386" s="4"/>
      <c r="I386" s="5"/>
      <c r="J386" s="5" t="str">
        <f t="shared" si="21"/>
        <v/>
      </c>
      <c r="K386" s="36"/>
      <c r="L386" s="5" t="str">
        <f t="shared" si="22"/>
        <v/>
      </c>
      <c r="M386" s="5"/>
      <c r="N386" s="5" t="str">
        <f t="shared" si="23"/>
        <v/>
      </c>
      <c r="O386" s="4"/>
      <c r="P386" s="4"/>
      <c r="Q386" s="4"/>
    </row>
    <row r="387" spans="1:17" hidden="1" x14ac:dyDescent="0.2">
      <c r="A387" s="159"/>
      <c r="B387" s="4"/>
      <c r="C387" s="4"/>
      <c r="D387" s="4"/>
      <c r="E387" s="41"/>
      <c r="F387" s="41"/>
      <c r="G387" s="5"/>
      <c r="H387" s="4"/>
      <c r="I387" s="5"/>
      <c r="J387" s="5" t="str">
        <f t="shared" si="21"/>
        <v/>
      </c>
      <c r="K387" s="36"/>
      <c r="L387" s="5" t="str">
        <f t="shared" si="22"/>
        <v/>
      </c>
      <c r="M387" s="5"/>
      <c r="N387" s="5" t="str">
        <f t="shared" si="23"/>
        <v/>
      </c>
      <c r="O387" s="4"/>
      <c r="P387" s="4"/>
      <c r="Q387" s="4"/>
    </row>
    <row r="388" spans="1:17" hidden="1" x14ac:dyDescent="0.2">
      <c r="A388" s="159"/>
      <c r="B388" s="4"/>
      <c r="C388" s="4"/>
      <c r="D388" s="4"/>
      <c r="E388" s="41"/>
      <c r="F388" s="41"/>
      <c r="G388" s="5"/>
      <c r="H388" s="4"/>
      <c r="I388" s="5"/>
      <c r="J388" s="5" t="str">
        <f t="shared" si="21"/>
        <v/>
      </c>
      <c r="K388" s="36"/>
      <c r="L388" s="5" t="str">
        <f t="shared" si="22"/>
        <v/>
      </c>
      <c r="M388" s="5"/>
      <c r="N388" s="5" t="str">
        <f t="shared" si="23"/>
        <v/>
      </c>
      <c r="O388" s="4"/>
      <c r="P388" s="4"/>
      <c r="Q388" s="4"/>
    </row>
    <row r="389" spans="1:17" hidden="1" x14ac:dyDescent="0.2">
      <c r="A389" s="159"/>
      <c r="B389" s="4"/>
      <c r="C389" s="4"/>
      <c r="D389" s="4"/>
      <c r="E389" s="41"/>
      <c r="F389" s="41"/>
      <c r="G389" s="5"/>
      <c r="H389" s="4"/>
      <c r="I389" s="5"/>
      <c r="J389" s="5" t="str">
        <f t="shared" si="21"/>
        <v/>
      </c>
      <c r="K389" s="36"/>
      <c r="L389" s="5" t="str">
        <f t="shared" si="22"/>
        <v/>
      </c>
      <c r="M389" s="5"/>
      <c r="N389" s="5" t="str">
        <f t="shared" si="23"/>
        <v/>
      </c>
      <c r="O389" s="4"/>
      <c r="P389" s="4"/>
      <c r="Q389" s="4"/>
    </row>
    <row r="390" spans="1:17" hidden="1" x14ac:dyDescent="0.2">
      <c r="A390" s="159"/>
      <c r="B390" s="4"/>
      <c r="C390" s="4"/>
      <c r="D390" s="4"/>
      <c r="E390" s="41"/>
      <c r="F390" s="41"/>
      <c r="G390" s="5"/>
      <c r="H390" s="4"/>
      <c r="I390" s="5"/>
      <c r="J390" s="5" t="str">
        <f t="shared" si="21"/>
        <v/>
      </c>
      <c r="K390" s="36"/>
      <c r="L390" s="5" t="str">
        <f t="shared" si="22"/>
        <v/>
      </c>
      <c r="M390" s="5"/>
      <c r="N390" s="5" t="str">
        <f t="shared" si="23"/>
        <v/>
      </c>
      <c r="O390" s="4"/>
      <c r="P390" s="4"/>
      <c r="Q390" s="4"/>
    </row>
    <row r="391" spans="1:17" hidden="1" x14ac:dyDescent="0.2">
      <c r="A391" s="159"/>
      <c r="B391" s="4"/>
      <c r="C391" s="4"/>
      <c r="D391" s="4"/>
      <c r="E391" s="41"/>
      <c r="F391" s="41"/>
      <c r="G391" s="5"/>
      <c r="H391" s="4"/>
      <c r="I391" s="5"/>
      <c r="J391" s="5" t="str">
        <f t="shared" si="21"/>
        <v/>
      </c>
      <c r="K391" s="36"/>
      <c r="L391" s="5" t="str">
        <f t="shared" si="22"/>
        <v/>
      </c>
      <c r="M391" s="5"/>
      <c r="N391" s="5" t="str">
        <f t="shared" si="23"/>
        <v/>
      </c>
      <c r="O391" s="4"/>
      <c r="P391" s="4"/>
      <c r="Q391" s="4"/>
    </row>
    <row r="392" spans="1:17" hidden="1" x14ac:dyDescent="0.2">
      <c r="A392" s="159"/>
      <c r="B392" s="4"/>
      <c r="C392" s="4"/>
      <c r="D392" s="4"/>
      <c r="E392" s="41"/>
      <c r="F392" s="41"/>
      <c r="G392" s="5"/>
      <c r="H392" s="4"/>
      <c r="I392" s="5"/>
      <c r="J392" s="5" t="str">
        <f t="shared" si="21"/>
        <v/>
      </c>
      <c r="K392" s="36"/>
      <c r="L392" s="5" t="str">
        <f t="shared" si="22"/>
        <v/>
      </c>
      <c r="M392" s="5"/>
      <c r="N392" s="5" t="str">
        <f t="shared" si="23"/>
        <v/>
      </c>
      <c r="O392" s="4"/>
      <c r="P392" s="4"/>
      <c r="Q392" s="4"/>
    </row>
    <row r="393" spans="1:17" hidden="1" x14ac:dyDescent="0.2">
      <c r="A393" s="159"/>
      <c r="B393" s="4"/>
      <c r="C393" s="4"/>
      <c r="D393" s="4"/>
      <c r="E393" s="41"/>
      <c r="F393" s="41"/>
      <c r="G393" s="5"/>
      <c r="H393" s="4"/>
      <c r="I393" s="5"/>
      <c r="J393" s="5" t="str">
        <f t="shared" si="21"/>
        <v/>
      </c>
      <c r="K393" s="36"/>
      <c r="L393" s="5" t="str">
        <f t="shared" si="22"/>
        <v/>
      </c>
      <c r="M393" s="5"/>
      <c r="N393" s="5" t="str">
        <f t="shared" si="23"/>
        <v/>
      </c>
      <c r="O393" s="4"/>
      <c r="P393" s="4"/>
      <c r="Q393" s="4"/>
    </row>
    <row r="394" spans="1:17" hidden="1" x14ac:dyDescent="0.2">
      <c r="A394" s="159"/>
      <c r="B394" s="4"/>
      <c r="C394" s="4"/>
      <c r="D394" s="4"/>
      <c r="E394" s="41"/>
      <c r="F394" s="41"/>
      <c r="G394" s="5"/>
      <c r="H394" s="4"/>
      <c r="I394" s="5"/>
      <c r="J394" s="5" t="str">
        <f t="shared" si="21"/>
        <v/>
      </c>
      <c r="K394" s="36"/>
      <c r="L394" s="5" t="str">
        <f t="shared" si="22"/>
        <v/>
      </c>
      <c r="M394" s="5"/>
      <c r="N394" s="5" t="str">
        <f t="shared" si="23"/>
        <v/>
      </c>
      <c r="O394" s="4"/>
      <c r="P394" s="4"/>
      <c r="Q394" s="4"/>
    </row>
    <row r="395" spans="1:17" hidden="1" x14ac:dyDescent="0.2">
      <c r="A395" s="159"/>
      <c r="B395" s="4"/>
      <c r="C395" s="4"/>
      <c r="D395" s="4"/>
      <c r="E395" s="41"/>
      <c r="F395" s="41"/>
      <c r="G395" s="5"/>
      <c r="H395" s="4"/>
      <c r="I395" s="5"/>
      <c r="J395" s="5" t="str">
        <f t="shared" si="21"/>
        <v/>
      </c>
      <c r="K395" s="36"/>
      <c r="L395" s="5" t="str">
        <f t="shared" si="22"/>
        <v/>
      </c>
      <c r="M395" s="5"/>
      <c r="N395" s="5" t="str">
        <f t="shared" si="23"/>
        <v/>
      </c>
      <c r="O395" s="4"/>
      <c r="P395" s="4"/>
      <c r="Q395" s="4"/>
    </row>
    <row r="396" spans="1:17" hidden="1" x14ac:dyDescent="0.2">
      <c r="A396" s="159"/>
      <c r="B396" s="4"/>
      <c r="C396" s="4"/>
      <c r="D396" s="4"/>
      <c r="E396" s="41"/>
      <c r="F396" s="41"/>
      <c r="G396" s="5"/>
      <c r="H396" s="4"/>
      <c r="I396" s="5"/>
      <c r="J396" s="5" t="str">
        <f t="shared" si="21"/>
        <v/>
      </c>
      <c r="K396" s="36"/>
      <c r="L396" s="5" t="str">
        <f t="shared" si="22"/>
        <v/>
      </c>
      <c r="M396" s="5"/>
      <c r="N396" s="5" t="str">
        <f t="shared" si="23"/>
        <v/>
      </c>
      <c r="O396" s="4"/>
      <c r="P396" s="4"/>
      <c r="Q396" s="4"/>
    </row>
    <row r="397" spans="1:17" hidden="1" x14ac:dyDescent="0.2">
      <c r="A397" s="159"/>
      <c r="B397" s="4"/>
      <c r="C397" s="4"/>
      <c r="D397" s="4"/>
      <c r="E397" s="41"/>
      <c r="F397" s="41"/>
      <c r="G397" s="5"/>
      <c r="H397" s="4"/>
      <c r="I397" s="5"/>
      <c r="J397" s="5" t="str">
        <f t="shared" si="21"/>
        <v/>
      </c>
      <c r="K397" s="36"/>
      <c r="L397" s="5" t="str">
        <f t="shared" si="22"/>
        <v/>
      </c>
      <c r="M397" s="5"/>
      <c r="N397" s="5" t="str">
        <f t="shared" si="23"/>
        <v/>
      </c>
      <c r="O397" s="4"/>
      <c r="P397" s="4"/>
      <c r="Q397" s="4"/>
    </row>
    <row r="398" spans="1:17" hidden="1" x14ac:dyDescent="0.2">
      <c r="A398" s="159"/>
      <c r="B398" s="4"/>
      <c r="C398" s="4"/>
      <c r="D398" s="4"/>
      <c r="E398" s="41"/>
      <c r="F398" s="41"/>
      <c r="G398" s="5"/>
      <c r="H398" s="4"/>
      <c r="I398" s="5"/>
      <c r="J398" s="5" t="str">
        <f t="shared" si="21"/>
        <v/>
      </c>
      <c r="K398" s="36"/>
      <c r="L398" s="5" t="str">
        <f t="shared" si="22"/>
        <v/>
      </c>
      <c r="M398" s="5"/>
      <c r="N398" s="5" t="str">
        <f t="shared" si="23"/>
        <v/>
      </c>
      <c r="O398" s="4"/>
      <c r="P398" s="4"/>
      <c r="Q398" s="4"/>
    </row>
    <row r="399" spans="1:17" hidden="1" x14ac:dyDescent="0.2">
      <c r="A399" s="159"/>
      <c r="B399" s="4"/>
      <c r="C399" s="4"/>
      <c r="D399" s="4"/>
      <c r="E399" s="41"/>
      <c r="F399" s="41"/>
      <c r="G399" s="5"/>
      <c r="H399" s="4"/>
      <c r="I399" s="5"/>
      <c r="J399" s="5" t="str">
        <f t="shared" si="21"/>
        <v/>
      </c>
      <c r="K399" s="36"/>
      <c r="L399" s="5" t="str">
        <f t="shared" si="22"/>
        <v/>
      </c>
      <c r="M399" s="5"/>
      <c r="N399" s="5" t="str">
        <f t="shared" si="23"/>
        <v/>
      </c>
      <c r="O399" s="4"/>
      <c r="P399" s="4"/>
      <c r="Q399" s="4"/>
    </row>
    <row r="400" spans="1:17" hidden="1" x14ac:dyDescent="0.2">
      <c r="A400" s="159"/>
      <c r="B400" s="4"/>
      <c r="C400" s="4"/>
      <c r="D400" s="4"/>
      <c r="E400" s="41"/>
      <c r="F400" s="41"/>
      <c r="G400" s="5"/>
      <c r="H400" s="4"/>
      <c r="I400" s="5"/>
      <c r="J400" s="5" t="str">
        <f t="shared" si="21"/>
        <v/>
      </c>
      <c r="K400" s="36"/>
      <c r="L400" s="5" t="str">
        <f t="shared" si="22"/>
        <v/>
      </c>
      <c r="M400" s="5"/>
      <c r="N400" s="5" t="str">
        <f t="shared" si="23"/>
        <v/>
      </c>
      <c r="O400" s="4"/>
      <c r="P400" s="4"/>
      <c r="Q400" s="4"/>
    </row>
    <row r="401" spans="1:17" hidden="1" x14ac:dyDescent="0.2">
      <c r="A401" s="159"/>
      <c r="B401" s="4"/>
      <c r="C401" s="4"/>
      <c r="D401" s="4"/>
      <c r="E401" s="41"/>
      <c r="F401" s="41"/>
      <c r="G401" s="5"/>
      <c r="H401" s="4"/>
      <c r="I401" s="5"/>
      <c r="J401" s="5" t="str">
        <f t="shared" si="21"/>
        <v/>
      </c>
      <c r="K401" s="36"/>
      <c r="L401" s="5" t="str">
        <f t="shared" si="22"/>
        <v/>
      </c>
      <c r="M401" s="5"/>
      <c r="N401" s="5" t="str">
        <f t="shared" si="23"/>
        <v/>
      </c>
      <c r="O401" s="4"/>
      <c r="P401" s="4"/>
      <c r="Q401" s="4"/>
    </row>
    <row r="402" spans="1:17" hidden="1" x14ac:dyDescent="0.2">
      <c r="A402" s="159"/>
      <c r="B402" s="4"/>
      <c r="C402" s="4"/>
      <c r="D402" s="4"/>
      <c r="E402" s="41"/>
      <c r="F402" s="41"/>
      <c r="G402" s="5"/>
      <c r="H402" s="4"/>
      <c r="I402" s="5"/>
      <c r="J402" s="5" t="str">
        <f t="shared" si="21"/>
        <v/>
      </c>
      <c r="K402" s="36"/>
      <c r="L402" s="5" t="str">
        <f t="shared" si="22"/>
        <v/>
      </c>
      <c r="M402" s="5"/>
      <c r="N402" s="5" t="str">
        <f t="shared" si="23"/>
        <v/>
      </c>
      <c r="O402" s="4"/>
      <c r="P402" s="4"/>
      <c r="Q402" s="4"/>
    </row>
    <row r="403" spans="1:17" hidden="1" x14ac:dyDescent="0.2">
      <c r="A403" s="159"/>
      <c r="B403" s="4"/>
      <c r="C403" s="4"/>
      <c r="D403" s="4"/>
      <c r="E403" s="41"/>
      <c r="F403" s="41"/>
      <c r="G403" s="5"/>
      <c r="H403" s="4"/>
      <c r="I403" s="5"/>
      <c r="J403" s="5" t="str">
        <f t="shared" si="21"/>
        <v/>
      </c>
      <c r="K403" s="36"/>
      <c r="L403" s="5" t="str">
        <f t="shared" si="22"/>
        <v/>
      </c>
      <c r="M403" s="5"/>
      <c r="N403" s="5" t="str">
        <f t="shared" si="23"/>
        <v/>
      </c>
      <c r="O403" s="4"/>
      <c r="P403" s="4"/>
      <c r="Q403" s="4"/>
    </row>
    <row r="404" spans="1:17" hidden="1" x14ac:dyDescent="0.2">
      <c r="A404" s="159"/>
      <c r="B404" s="4"/>
      <c r="C404" s="4"/>
      <c r="D404" s="4"/>
      <c r="E404" s="41"/>
      <c r="F404" s="41"/>
      <c r="G404" s="5"/>
      <c r="H404" s="4"/>
      <c r="I404" s="5"/>
      <c r="J404" s="5" t="str">
        <f t="shared" si="21"/>
        <v/>
      </c>
      <c r="K404" s="36"/>
      <c r="L404" s="5" t="str">
        <f t="shared" si="22"/>
        <v/>
      </c>
      <c r="M404" s="5"/>
      <c r="N404" s="5" t="str">
        <f t="shared" si="23"/>
        <v/>
      </c>
      <c r="O404" s="4"/>
      <c r="P404" s="4"/>
      <c r="Q404" s="4"/>
    </row>
    <row r="405" spans="1:17" hidden="1" x14ac:dyDescent="0.2">
      <c r="A405" s="159"/>
      <c r="B405" s="4"/>
      <c r="C405" s="4"/>
      <c r="D405" s="4"/>
      <c r="E405" s="41"/>
      <c r="F405" s="41"/>
      <c r="G405" s="5"/>
      <c r="H405" s="4"/>
      <c r="I405" s="5"/>
      <c r="J405" s="5" t="str">
        <f t="shared" si="21"/>
        <v/>
      </c>
      <c r="K405" s="36"/>
      <c r="L405" s="5" t="str">
        <f t="shared" si="22"/>
        <v/>
      </c>
      <c r="M405" s="5"/>
      <c r="N405" s="5" t="str">
        <f t="shared" si="23"/>
        <v/>
      </c>
      <c r="O405" s="4"/>
      <c r="P405" s="4"/>
      <c r="Q405" s="4"/>
    </row>
    <row r="406" spans="1:17" hidden="1" x14ac:dyDescent="0.2">
      <c r="A406" s="159"/>
      <c r="B406" s="4"/>
      <c r="C406" s="4"/>
      <c r="D406" s="4"/>
      <c r="E406" s="41"/>
      <c r="F406" s="41"/>
      <c r="G406" s="5"/>
      <c r="H406" s="4"/>
      <c r="I406" s="5"/>
      <c r="J406" s="5" t="str">
        <f t="shared" si="21"/>
        <v/>
      </c>
      <c r="K406" s="36"/>
      <c r="L406" s="5" t="str">
        <f t="shared" si="22"/>
        <v/>
      </c>
      <c r="M406" s="5"/>
      <c r="N406" s="5" t="str">
        <f t="shared" si="23"/>
        <v/>
      </c>
      <c r="O406" s="4"/>
      <c r="P406" s="4"/>
      <c r="Q406" s="4"/>
    </row>
    <row r="407" spans="1:17" hidden="1" x14ac:dyDescent="0.2">
      <c r="A407" s="159"/>
      <c r="B407" s="4"/>
      <c r="C407" s="4"/>
      <c r="D407" s="4"/>
      <c r="E407" s="41"/>
      <c r="F407" s="41"/>
      <c r="G407" s="5"/>
      <c r="H407" s="4"/>
      <c r="I407" s="5"/>
      <c r="J407" s="5" t="str">
        <f t="shared" si="21"/>
        <v/>
      </c>
      <c r="K407" s="36"/>
      <c r="L407" s="5" t="str">
        <f t="shared" si="22"/>
        <v/>
      </c>
      <c r="M407" s="5"/>
      <c r="N407" s="5" t="str">
        <f t="shared" si="23"/>
        <v/>
      </c>
      <c r="O407" s="4"/>
      <c r="P407" s="4"/>
      <c r="Q407" s="4"/>
    </row>
    <row r="408" spans="1:17" hidden="1" x14ac:dyDescent="0.2">
      <c r="A408" s="159"/>
      <c r="B408" s="4"/>
      <c r="C408" s="4"/>
      <c r="D408" s="4"/>
      <c r="E408" s="41"/>
      <c r="F408" s="41"/>
      <c r="G408" s="5"/>
      <c r="H408" s="4"/>
      <c r="I408" s="5"/>
      <c r="J408" s="5" t="str">
        <f t="shared" si="21"/>
        <v/>
      </c>
      <c r="K408" s="36"/>
      <c r="L408" s="5" t="str">
        <f t="shared" si="22"/>
        <v/>
      </c>
      <c r="M408" s="5"/>
      <c r="N408" s="5" t="str">
        <f t="shared" si="23"/>
        <v/>
      </c>
      <c r="O408" s="4"/>
      <c r="P408" s="4"/>
      <c r="Q408" s="4"/>
    </row>
    <row r="409" spans="1:17" hidden="1" x14ac:dyDescent="0.2">
      <c r="A409" s="159"/>
      <c r="B409" s="4"/>
      <c r="C409" s="4"/>
      <c r="D409" s="4"/>
      <c r="E409" s="41"/>
      <c r="F409" s="41"/>
      <c r="G409" s="5"/>
      <c r="H409" s="4"/>
      <c r="I409" s="5"/>
      <c r="J409" s="5" t="str">
        <f t="shared" ref="J409:J472" si="24">IF($D409="","",IF($H409="FIXED",$I409,($E409*FAT_MULT)+($F409*SNF_MULT)+$G409))</f>
        <v/>
      </c>
      <c r="K409" s="36"/>
      <c r="L409" s="5" t="str">
        <f t="shared" ref="L409:L472" si="25">IF($K409="","",$K409*$J409)</f>
        <v/>
      </c>
      <c r="M409" s="5"/>
      <c r="N409" s="5" t="str">
        <f t="shared" ref="N409:N472" si="26">IF($K409="","",$L409+$M409)</f>
        <v/>
      </c>
      <c r="O409" s="4"/>
      <c r="P409" s="4"/>
      <c r="Q409" s="4"/>
    </row>
    <row r="410" spans="1:17" hidden="1" x14ac:dyDescent="0.2">
      <c r="A410" s="159"/>
      <c r="B410" s="4"/>
      <c r="C410" s="4"/>
      <c r="D410" s="4"/>
      <c r="E410" s="41"/>
      <c r="F410" s="41"/>
      <c r="G410" s="5"/>
      <c r="H410" s="4"/>
      <c r="I410" s="5"/>
      <c r="J410" s="5" t="str">
        <f t="shared" si="24"/>
        <v/>
      </c>
      <c r="K410" s="36"/>
      <c r="L410" s="5" t="str">
        <f t="shared" si="25"/>
        <v/>
      </c>
      <c r="M410" s="5"/>
      <c r="N410" s="5" t="str">
        <f t="shared" si="26"/>
        <v/>
      </c>
      <c r="O410" s="4"/>
      <c r="P410" s="4"/>
      <c r="Q410" s="4"/>
    </row>
    <row r="411" spans="1:17" hidden="1" x14ac:dyDescent="0.2">
      <c r="A411" s="159"/>
      <c r="B411" s="4"/>
      <c r="C411" s="4"/>
      <c r="D411" s="4"/>
      <c r="E411" s="41"/>
      <c r="F411" s="41"/>
      <c r="G411" s="5"/>
      <c r="H411" s="4"/>
      <c r="I411" s="5"/>
      <c r="J411" s="5" t="str">
        <f t="shared" si="24"/>
        <v/>
      </c>
      <c r="K411" s="36"/>
      <c r="L411" s="5" t="str">
        <f t="shared" si="25"/>
        <v/>
      </c>
      <c r="M411" s="5"/>
      <c r="N411" s="5" t="str">
        <f t="shared" si="26"/>
        <v/>
      </c>
      <c r="O411" s="4"/>
      <c r="P411" s="4"/>
      <c r="Q411" s="4"/>
    </row>
    <row r="412" spans="1:17" hidden="1" x14ac:dyDescent="0.2">
      <c r="A412" s="159"/>
      <c r="B412" s="4"/>
      <c r="C412" s="4"/>
      <c r="D412" s="4"/>
      <c r="E412" s="41"/>
      <c r="F412" s="41"/>
      <c r="G412" s="5"/>
      <c r="H412" s="4"/>
      <c r="I412" s="5"/>
      <c r="J412" s="5" t="str">
        <f t="shared" si="24"/>
        <v/>
      </c>
      <c r="K412" s="36"/>
      <c r="L412" s="5" t="str">
        <f t="shared" si="25"/>
        <v/>
      </c>
      <c r="M412" s="5"/>
      <c r="N412" s="5" t="str">
        <f t="shared" si="26"/>
        <v/>
      </c>
      <c r="O412" s="4"/>
      <c r="P412" s="4"/>
      <c r="Q412" s="4"/>
    </row>
    <row r="413" spans="1:17" hidden="1" x14ac:dyDescent="0.2">
      <c r="A413" s="159"/>
      <c r="B413" s="4"/>
      <c r="C413" s="4"/>
      <c r="D413" s="4"/>
      <c r="E413" s="41"/>
      <c r="F413" s="41"/>
      <c r="G413" s="5"/>
      <c r="H413" s="4"/>
      <c r="I413" s="5"/>
      <c r="J413" s="5" t="str">
        <f t="shared" si="24"/>
        <v/>
      </c>
      <c r="K413" s="36"/>
      <c r="L413" s="5" t="str">
        <f t="shared" si="25"/>
        <v/>
      </c>
      <c r="M413" s="5"/>
      <c r="N413" s="5" t="str">
        <f t="shared" si="26"/>
        <v/>
      </c>
      <c r="O413" s="4"/>
      <c r="P413" s="4"/>
      <c r="Q413" s="4"/>
    </row>
    <row r="414" spans="1:17" hidden="1" x14ac:dyDescent="0.2">
      <c r="A414" s="159"/>
      <c r="B414" s="4"/>
      <c r="C414" s="4"/>
      <c r="D414" s="4"/>
      <c r="E414" s="41"/>
      <c r="F414" s="41"/>
      <c r="G414" s="5"/>
      <c r="H414" s="4"/>
      <c r="I414" s="5"/>
      <c r="J414" s="5" t="str">
        <f t="shared" si="24"/>
        <v/>
      </c>
      <c r="K414" s="36"/>
      <c r="L414" s="5" t="str">
        <f t="shared" si="25"/>
        <v/>
      </c>
      <c r="M414" s="5"/>
      <c r="N414" s="5" t="str">
        <f t="shared" si="26"/>
        <v/>
      </c>
      <c r="O414" s="4"/>
      <c r="P414" s="4"/>
      <c r="Q414" s="4"/>
    </row>
    <row r="415" spans="1:17" hidden="1" x14ac:dyDescent="0.2">
      <c r="A415" s="159"/>
      <c r="B415" s="4"/>
      <c r="C415" s="4"/>
      <c r="D415" s="4"/>
      <c r="E415" s="41"/>
      <c r="F415" s="41"/>
      <c r="G415" s="5"/>
      <c r="H415" s="4"/>
      <c r="I415" s="5"/>
      <c r="J415" s="5" t="str">
        <f t="shared" si="24"/>
        <v/>
      </c>
      <c r="K415" s="36"/>
      <c r="L415" s="5" t="str">
        <f t="shared" si="25"/>
        <v/>
      </c>
      <c r="M415" s="5"/>
      <c r="N415" s="5" t="str">
        <f t="shared" si="26"/>
        <v/>
      </c>
      <c r="O415" s="4"/>
      <c r="P415" s="4"/>
      <c r="Q415" s="4"/>
    </row>
    <row r="416" spans="1:17" hidden="1" x14ac:dyDescent="0.2">
      <c r="A416" s="159"/>
      <c r="B416" s="4"/>
      <c r="C416" s="4"/>
      <c r="D416" s="4"/>
      <c r="E416" s="41"/>
      <c r="F416" s="41"/>
      <c r="G416" s="5"/>
      <c r="H416" s="4"/>
      <c r="I416" s="5"/>
      <c r="J416" s="5" t="str">
        <f t="shared" si="24"/>
        <v/>
      </c>
      <c r="K416" s="36"/>
      <c r="L416" s="5" t="str">
        <f t="shared" si="25"/>
        <v/>
      </c>
      <c r="M416" s="5"/>
      <c r="N416" s="5" t="str">
        <f t="shared" si="26"/>
        <v/>
      </c>
      <c r="O416" s="4"/>
      <c r="P416" s="4"/>
      <c r="Q416" s="4"/>
    </row>
    <row r="417" spans="1:17" hidden="1" x14ac:dyDescent="0.2">
      <c r="A417" s="159"/>
      <c r="B417" s="4"/>
      <c r="C417" s="4"/>
      <c r="D417" s="4"/>
      <c r="E417" s="41"/>
      <c r="F417" s="41"/>
      <c r="G417" s="5"/>
      <c r="H417" s="4"/>
      <c r="I417" s="5"/>
      <c r="J417" s="5" t="str">
        <f t="shared" si="24"/>
        <v/>
      </c>
      <c r="K417" s="36"/>
      <c r="L417" s="5" t="str">
        <f t="shared" si="25"/>
        <v/>
      </c>
      <c r="M417" s="5"/>
      <c r="N417" s="5" t="str">
        <f t="shared" si="26"/>
        <v/>
      </c>
      <c r="O417" s="4"/>
      <c r="P417" s="4"/>
      <c r="Q417" s="4"/>
    </row>
    <row r="418" spans="1:17" hidden="1" x14ac:dyDescent="0.2">
      <c r="A418" s="159"/>
      <c r="B418" s="4"/>
      <c r="C418" s="4"/>
      <c r="D418" s="4"/>
      <c r="E418" s="41"/>
      <c r="F418" s="41"/>
      <c r="G418" s="5"/>
      <c r="H418" s="4"/>
      <c r="I418" s="5"/>
      <c r="J418" s="5" t="str">
        <f t="shared" si="24"/>
        <v/>
      </c>
      <c r="K418" s="36"/>
      <c r="L418" s="5" t="str">
        <f t="shared" si="25"/>
        <v/>
      </c>
      <c r="M418" s="5"/>
      <c r="N418" s="5" t="str">
        <f t="shared" si="26"/>
        <v/>
      </c>
      <c r="O418" s="4"/>
      <c r="P418" s="4"/>
      <c r="Q418" s="4"/>
    </row>
    <row r="419" spans="1:17" hidden="1" x14ac:dyDescent="0.2">
      <c r="A419" s="159"/>
      <c r="B419" s="4"/>
      <c r="C419" s="4"/>
      <c r="D419" s="4"/>
      <c r="E419" s="41"/>
      <c r="F419" s="41"/>
      <c r="G419" s="5"/>
      <c r="H419" s="4"/>
      <c r="I419" s="5"/>
      <c r="J419" s="5" t="str">
        <f t="shared" si="24"/>
        <v/>
      </c>
      <c r="K419" s="36"/>
      <c r="L419" s="5" t="str">
        <f t="shared" si="25"/>
        <v/>
      </c>
      <c r="M419" s="5"/>
      <c r="N419" s="5" t="str">
        <f t="shared" si="26"/>
        <v/>
      </c>
      <c r="O419" s="4"/>
      <c r="P419" s="4"/>
      <c r="Q419" s="4"/>
    </row>
    <row r="420" spans="1:17" hidden="1" x14ac:dyDescent="0.2">
      <c r="A420" s="159"/>
      <c r="B420" s="4"/>
      <c r="C420" s="4"/>
      <c r="D420" s="4"/>
      <c r="E420" s="41"/>
      <c r="F420" s="41"/>
      <c r="G420" s="5"/>
      <c r="H420" s="4"/>
      <c r="I420" s="5"/>
      <c r="J420" s="5" t="str">
        <f t="shared" si="24"/>
        <v/>
      </c>
      <c r="K420" s="36"/>
      <c r="L420" s="5" t="str">
        <f t="shared" si="25"/>
        <v/>
      </c>
      <c r="M420" s="5"/>
      <c r="N420" s="5" t="str">
        <f t="shared" si="26"/>
        <v/>
      </c>
      <c r="O420" s="4"/>
      <c r="P420" s="4"/>
      <c r="Q420" s="4"/>
    </row>
    <row r="421" spans="1:17" hidden="1" x14ac:dyDescent="0.2">
      <c r="A421" s="159"/>
      <c r="B421" s="4"/>
      <c r="C421" s="4"/>
      <c r="D421" s="4"/>
      <c r="E421" s="41"/>
      <c r="F421" s="41"/>
      <c r="G421" s="5"/>
      <c r="H421" s="4"/>
      <c r="I421" s="5"/>
      <c r="J421" s="5" t="str">
        <f t="shared" si="24"/>
        <v/>
      </c>
      <c r="K421" s="36"/>
      <c r="L421" s="5" t="str">
        <f t="shared" si="25"/>
        <v/>
      </c>
      <c r="M421" s="5"/>
      <c r="N421" s="5" t="str">
        <f t="shared" si="26"/>
        <v/>
      </c>
      <c r="O421" s="4"/>
      <c r="P421" s="4"/>
      <c r="Q421" s="4"/>
    </row>
    <row r="422" spans="1:17" hidden="1" x14ac:dyDescent="0.2">
      <c r="A422" s="159"/>
      <c r="B422" s="4"/>
      <c r="C422" s="4"/>
      <c r="D422" s="4"/>
      <c r="E422" s="41"/>
      <c r="F422" s="41"/>
      <c r="G422" s="5"/>
      <c r="H422" s="4"/>
      <c r="I422" s="5"/>
      <c r="J422" s="5" t="str">
        <f t="shared" si="24"/>
        <v/>
      </c>
      <c r="K422" s="36"/>
      <c r="L422" s="5" t="str">
        <f t="shared" si="25"/>
        <v/>
      </c>
      <c r="M422" s="5"/>
      <c r="N422" s="5" t="str">
        <f t="shared" si="26"/>
        <v/>
      </c>
      <c r="O422" s="4"/>
      <c r="P422" s="4"/>
      <c r="Q422" s="4"/>
    </row>
    <row r="423" spans="1:17" hidden="1" x14ac:dyDescent="0.2">
      <c r="A423" s="159"/>
      <c r="B423" s="4"/>
      <c r="C423" s="4"/>
      <c r="D423" s="4"/>
      <c r="E423" s="41"/>
      <c r="F423" s="41"/>
      <c r="G423" s="5"/>
      <c r="H423" s="4"/>
      <c r="I423" s="5"/>
      <c r="J423" s="5" t="str">
        <f t="shared" si="24"/>
        <v/>
      </c>
      <c r="K423" s="36"/>
      <c r="L423" s="5" t="str">
        <f t="shared" si="25"/>
        <v/>
      </c>
      <c r="M423" s="5"/>
      <c r="N423" s="5" t="str">
        <f t="shared" si="26"/>
        <v/>
      </c>
      <c r="O423" s="4"/>
      <c r="P423" s="4"/>
      <c r="Q423" s="4"/>
    </row>
    <row r="424" spans="1:17" hidden="1" x14ac:dyDescent="0.2">
      <c r="A424" s="159"/>
      <c r="B424" s="4"/>
      <c r="C424" s="4"/>
      <c r="D424" s="4"/>
      <c r="E424" s="41"/>
      <c r="F424" s="41"/>
      <c r="G424" s="5"/>
      <c r="H424" s="4"/>
      <c r="I424" s="5"/>
      <c r="J424" s="5" t="str">
        <f t="shared" si="24"/>
        <v/>
      </c>
      <c r="K424" s="36"/>
      <c r="L424" s="5" t="str">
        <f t="shared" si="25"/>
        <v/>
      </c>
      <c r="M424" s="5"/>
      <c r="N424" s="5" t="str">
        <f t="shared" si="26"/>
        <v/>
      </c>
      <c r="O424" s="4"/>
      <c r="P424" s="4"/>
      <c r="Q424" s="4"/>
    </row>
    <row r="425" spans="1:17" hidden="1" x14ac:dyDescent="0.2">
      <c r="A425" s="159"/>
      <c r="B425" s="4"/>
      <c r="C425" s="4"/>
      <c r="D425" s="4"/>
      <c r="E425" s="41"/>
      <c r="F425" s="41"/>
      <c r="G425" s="5"/>
      <c r="H425" s="4"/>
      <c r="I425" s="5"/>
      <c r="J425" s="5" t="str">
        <f t="shared" si="24"/>
        <v/>
      </c>
      <c r="K425" s="36"/>
      <c r="L425" s="5" t="str">
        <f t="shared" si="25"/>
        <v/>
      </c>
      <c r="M425" s="5"/>
      <c r="N425" s="5" t="str">
        <f t="shared" si="26"/>
        <v/>
      </c>
      <c r="O425" s="4"/>
      <c r="P425" s="4"/>
      <c r="Q425" s="4"/>
    </row>
    <row r="426" spans="1:17" hidden="1" x14ac:dyDescent="0.2">
      <c r="A426" s="159"/>
      <c r="B426" s="4"/>
      <c r="C426" s="4"/>
      <c r="D426" s="4"/>
      <c r="E426" s="41"/>
      <c r="F426" s="41"/>
      <c r="G426" s="5"/>
      <c r="H426" s="4"/>
      <c r="I426" s="5"/>
      <c r="J426" s="5" t="str">
        <f t="shared" si="24"/>
        <v/>
      </c>
      <c r="K426" s="36"/>
      <c r="L426" s="5" t="str">
        <f t="shared" si="25"/>
        <v/>
      </c>
      <c r="M426" s="5"/>
      <c r="N426" s="5" t="str">
        <f t="shared" si="26"/>
        <v/>
      </c>
      <c r="O426" s="4"/>
      <c r="P426" s="4"/>
      <c r="Q426" s="4"/>
    </row>
    <row r="427" spans="1:17" hidden="1" x14ac:dyDescent="0.2">
      <c r="A427" s="159"/>
      <c r="B427" s="4"/>
      <c r="C427" s="4"/>
      <c r="D427" s="4"/>
      <c r="E427" s="41"/>
      <c r="F427" s="41"/>
      <c r="G427" s="5"/>
      <c r="H427" s="4"/>
      <c r="I427" s="5"/>
      <c r="J427" s="5" t="str">
        <f t="shared" si="24"/>
        <v/>
      </c>
      <c r="K427" s="36"/>
      <c r="L427" s="5" t="str">
        <f t="shared" si="25"/>
        <v/>
      </c>
      <c r="M427" s="5"/>
      <c r="N427" s="5" t="str">
        <f t="shared" si="26"/>
        <v/>
      </c>
      <c r="O427" s="4"/>
      <c r="P427" s="4"/>
      <c r="Q427" s="4"/>
    </row>
    <row r="428" spans="1:17" hidden="1" x14ac:dyDescent="0.2">
      <c r="A428" s="159"/>
      <c r="B428" s="4"/>
      <c r="C428" s="4"/>
      <c r="D428" s="4"/>
      <c r="E428" s="41"/>
      <c r="F428" s="41"/>
      <c r="G428" s="5"/>
      <c r="H428" s="4"/>
      <c r="I428" s="5"/>
      <c r="J428" s="5" t="str">
        <f t="shared" si="24"/>
        <v/>
      </c>
      <c r="K428" s="36"/>
      <c r="L428" s="5" t="str">
        <f t="shared" si="25"/>
        <v/>
      </c>
      <c r="M428" s="5"/>
      <c r="N428" s="5" t="str">
        <f t="shared" si="26"/>
        <v/>
      </c>
      <c r="O428" s="4"/>
      <c r="P428" s="4"/>
      <c r="Q428" s="4"/>
    </row>
    <row r="429" spans="1:17" hidden="1" x14ac:dyDescent="0.2">
      <c r="A429" s="159"/>
      <c r="B429" s="4"/>
      <c r="C429" s="4"/>
      <c r="D429" s="4"/>
      <c r="E429" s="41"/>
      <c r="F429" s="41"/>
      <c r="G429" s="5"/>
      <c r="H429" s="4"/>
      <c r="I429" s="5"/>
      <c r="J429" s="5" t="str">
        <f t="shared" si="24"/>
        <v/>
      </c>
      <c r="K429" s="36"/>
      <c r="L429" s="5" t="str">
        <f t="shared" si="25"/>
        <v/>
      </c>
      <c r="M429" s="5"/>
      <c r="N429" s="5" t="str">
        <f t="shared" si="26"/>
        <v/>
      </c>
      <c r="O429" s="4"/>
      <c r="P429" s="4"/>
      <c r="Q429" s="4"/>
    </row>
    <row r="430" spans="1:17" hidden="1" x14ac:dyDescent="0.2">
      <c r="A430" s="159"/>
      <c r="B430" s="4"/>
      <c r="C430" s="4"/>
      <c r="D430" s="4"/>
      <c r="E430" s="41"/>
      <c r="F430" s="41"/>
      <c r="G430" s="5"/>
      <c r="H430" s="4"/>
      <c r="I430" s="5"/>
      <c r="J430" s="5" t="str">
        <f t="shared" si="24"/>
        <v/>
      </c>
      <c r="K430" s="36"/>
      <c r="L430" s="5" t="str">
        <f t="shared" si="25"/>
        <v/>
      </c>
      <c r="M430" s="5"/>
      <c r="N430" s="5" t="str">
        <f t="shared" si="26"/>
        <v/>
      </c>
      <c r="O430" s="4"/>
      <c r="P430" s="4"/>
      <c r="Q430" s="4"/>
    </row>
    <row r="431" spans="1:17" hidden="1" x14ac:dyDescent="0.2">
      <c r="A431" s="159"/>
      <c r="B431" s="4"/>
      <c r="C431" s="4"/>
      <c r="D431" s="4"/>
      <c r="E431" s="41"/>
      <c r="F431" s="41"/>
      <c r="G431" s="5"/>
      <c r="H431" s="4"/>
      <c r="I431" s="5"/>
      <c r="J431" s="5" t="str">
        <f t="shared" si="24"/>
        <v/>
      </c>
      <c r="K431" s="36"/>
      <c r="L431" s="5" t="str">
        <f t="shared" si="25"/>
        <v/>
      </c>
      <c r="M431" s="5"/>
      <c r="N431" s="5" t="str">
        <f t="shared" si="26"/>
        <v/>
      </c>
      <c r="O431" s="4"/>
      <c r="P431" s="4"/>
      <c r="Q431" s="4"/>
    </row>
    <row r="432" spans="1:17" hidden="1" x14ac:dyDescent="0.2">
      <c r="A432" s="159"/>
      <c r="B432" s="4"/>
      <c r="C432" s="4"/>
      <c r="D432" s="4"/>
      <c r="E432" s="41"/>
      <c r="F432" s="41"/>
      <c r="G432" s="5"/>
      <c r="H432" s="4"/>
      <c r="I432" s="5"/>
      <c r="J432" s="5" t="str">
        <f t="shared" si="24"/>
        <v/>
      </c>
      <c r="K432" s="36"/>
      <c r="L432" s="5" t="str">
        <f t="shared" si="25"/>
        <v/>
      </c>
      <c r="M432" s="5"/>
      <c r="N432" s="5" t="str">
        <f t="shared" si="26"/>
        <v/>
      </c>
      <c r="O432" s="4"/>
      <c r="P432" s="4"/>
      <c r="Q432" s="4"/>
    </row>
    <row r="433" spans="1:17" hidden="1" x14ac:dyDescent="0.2">
      <c r="A433" s="159"/>
      <c r="B433" s="4"/>
      <c r="C433" s="4"/>
      <c r="D433" s="4"/>
      <c r="E433" s="41"/>
      <c r="F433" s="41"/>
      <c r="G433" s="5"/>
      <c r="H433" s="4"/>
      <c r="I433" s="5"/>
      <c r="J433" s="5" t="str">
        <f t="shared" si="24"/>
        <v/>
      </c>
      <c r="K433" s="36"/>
      <c r="L433" s="5" t="str">
        <f t="shared" si="25"/>
        <v/>
      </c>
      <c r="M433" s="5"/>
      <c r="N433" s="5" t="str">
        <f t="shared" si="26"/>
        <v/>
      </c>
      <c r="O433" s="4"/>
      <c r="P433" s="4"/>
      <c r="Q433" s="4"/>
    </row>
    <row r="434" spans="1:17" hidden="1" x14ac:dyDescent="0.2">
      <c r="A434" s="159"/>
      <c r="B434" s="4"/>
      <c r="C434" s="4"/>
      <c r="D434" s="4"/>
      <c r="E434" s="41"/>
      <c r="F434" s="41"/>
      <c r="G434" s="5"/>
      <c r="H434" s="4"/>
      <c r="I434" s="5"/>
      <c r="J434" s="5" t="str">
        <f t="shared" si="24"/>
        <v/>
      </c>
      <c r="K434" s="36"/>
      <c r="L434" s="5" t="str">
        <f t="shared" si="25"/>
        <v/>
      </c>
      <c r="M434" s="5"/>
      <c r="N434" s="5" t="str">
        <f t="shared" si="26"/>
        <v/>
      </c>
      <c r="O434" s="4"/>
      <c r="P434" s="4"/>
      <c r="Q434" s="4"/>
    </row>
    <row r="435" spans="1:17" hidden="1" x14ac:dyDescent="0.2">
      <c r="A435" s="159"/>
      <c r="B435" s="4"/>
      <c r="C435" s="4"/>
      <c r="D435" s="4"/>
      <c r="E435" s="41"/>
      <c r="F435" s="41"/>
      <c r="G435" s="5"/>
      <c r="H435" s="4"/>
      <c r="I435" s="5"/>
      <c r="J435" s="5" t="str">
        <f t="shared" si="24"/>
        <v/>
      </c>
      <c r="K435" s="36"/>
      <c r="L435" s="5" t="str">
        <f t="shared" si="25"/>
        <v/>
      </c>
      <c r="M435" s="5"/>
      <c r="N435" s="5" t="str">
        <f t="shared" si="26"/>
        <v/>
      </c>
      <c r="O435" s="4"/>
      <c r="P435" s="4"/>
      <c r="Q435" s="4"/>
    </row>
    <row r="436" spans="1:17" hidden="1" x14ac:dyDescent="0.2">
      <c r="A436" s="159"/>
      <c r="B436" s="4"/>
      <c r="C436" s="4"/>
      <c r="D436" s="4"/>
      <c r="E436" s="41"/>
      <c r="F436" s="41"/>
      <c r="G436" s="5"/>
      <c r="H436" s="4"/>
      <c r="I436" s="5"/>
      <c r="J436" s="5" t="str">
        <f t="shared" si="24"/>
        <v/>
      </c>
      <c r="K436" s="36"/>
      <c r="L436" s="5" t="str">
        <f t="shared" si="25"/>
        <v/>
      </c>
      <c r="M436" s="5"/>
      <c r="N436" s="5" t="str">
        <f t="shared" si="26"/>
        <v/>
      </c>
      <c r="O436" s="4"/>
      <c r="P436" s="4"/>
      <c r="Q436" s="4"/>
    </row>
    <row r="437" spans="1:17" hidden="1" x14ac:dyDescent="0.2">
      <c r="A437" s="159"/>
      <c r="B437" s="4"/>
      <c r="C437" s="4"/>
      <c r="D437" s="4"/>
      <c r="E437" s="41"/>
      <c r="F437" s="41"/>
      <c r="G437" s="5"/>
      <c r="H437" s="4"/>
      <c r="I437" s="5"/>
      <c r="J437" s="5" t="str">
        <f t="shared" si="24"/>
        <v/>
      </c>
      <c r="K437" s="36"/>
      <c r="L437" s="5" t="str">
        <f t="shared" si="25"/>
        <v/>
      </c>
      <c r="M437" s="5"/>
      <c r="N437" s="5" t="str">
        <f t="shared" si="26"/>
        <v/>
      </c>
      <c r="O437" s="4"/>
      <c r="P437" s="4"/>
      <c r="Q437" s="4"/>
    </row>
    <row r="438" spans="1:17" hidden="1" x14ac:dyDescent="0.2">
      <c r="A438" s="159"/>
      <c r="B438" s="4"/>
      <c r="C438" s="4"/>
      <c r="D438" s="4"/>
      <c r="E438" s="41"/>
      <c r="F438" s="41"/>
      <c r="G438" s="5"/>
      <c r="H438" s="4"/>
      <c r="I438" s="5"/>
      <c r="J438" s="5" t="str">
        <f t="shared" si="24"/>
        <v/>
      </c>
      <c r="K438" s="36"/>
      <c r="L438" s="5" t="str">
        <f t="shared" si="25"/>
        <v/>
      </c>
      <c r="M438" s="5"/>
      <c r="N438" s="5" t="str">
        <f t="shared" si="26"/>
        <v/>
      </c>
      <c r="O438" s="4"/>
      <c r="P438" s="4"/>
      <c r="Q438" s="4"/>
    </row>
    <row r="439" spans="1:17" hidden="1" x14ac:dyDescent="0.2">
      <c r="A439" s="159"/>
      <c r="B439" s="4"/>
      <c r="C439" s="4"/>
      <c r="D439" s="4"/>
      <c r="E439" s="41"/>
      <c r="F439" s="41"/>
      <c r="G439" s="5"/>
      <c r="H439" s="4"/>
      <c r="I439" s="5"/>
      <c r="J439" s="5" t="str">
        <f t="shared" si="24"/>
        <v/>
      </c>
      <c r="K439" s="36"/>
      <c r="L439" s="5" t="str">
        <f t="shared" si="25"/>
        <v/>
      </c>
      <c r="M439" s="5"/>
      <c r="N439" s="5" t="str">
        <f t="shared" si="26"/>
        <v/>
      </c>
      <c r="O439" s="4"/>
      <c r="P439" s="4"/>
      <c r="Q439" s="4"/>
    </row>
    <row r="440" spans="1:17" hidden="1" x14ac:dyDescent="0.2">
      <c r="A440" s="159"/>
      <c r="B440" s="4"/>
      <c r="C440" s="4"/>
      <c r="D440" s="4"/>
      <c r="E440" s="41"/>
      <c r="F440" s="41"/>
      <c r="G440" s="5"/>
      <c r="H440" s="4"/>
      <c r="I440" s="5"/>
      <c r="J440" s="5" t="str">
        <f t="shared" si="24"/>
        <v/>
      </c>
      <c r="K440" s="36"/>
      <c r="L440" s="5" t="str">
        <f t="shared" si="25"/>
        <v/>
      </c>
      <c r="M440" s="5"/>
      <c r="N440" s="5" t="str">
        <f t="shared" si="26"/>
        <v/>
      </c>
      <c r="O440" s="4"/>
      <c r="P440" s="4"/>
      <c r="Q440" s="4"/>
    </row>
    <row r="441" spans="1:17" hidden="1" x14ac:dyDescent="0.2">
      <c r="A441" s="159"/>
      <c r="B441" s="4"/>
      <c r="C441" s="4"/>
      <c r="D441" s="4"/>
      <c r="E441" s="41"/>
      <c r="F441" s="41"/>
      <c r="G441" s="5"/>
      <c r="H441" s="4"/>
      <c r="I441" s="5"/>
      <c r="J441" s="5" t="str">
        <f t="shared" si="24"/>
        <v/>
      </c>
      <c r="K441" s="36"/>
      <c r="L441" s="5" t="str">
        <f t="shared" si="25"/>
        <v/>
      </c>
      <c r="M441" s="5"/>
      <c r="N441" s="5" t="str">
        <f t="shared" si="26"/>
        <v/>
      </c>
      <c r="O441" s="4"/>
      <c r="P441" s="4"/>
      <c r="Q441" s="4"/>
    </row>
    <row r="442" spans="1:17" hidden="1" x14ac:dyDescent="0.2">
      <c r="A442" s="159"/>
      <c r="B442" s="4"/>
      <c r="C442" s="4"/>
      <c r="D442" s="4"/>
      <c r="E442" s="41"/>
      <c r="F442" s="41"/>
      <c r="G442" s="5"/>
      <c r="H442" s="4"/>
      <c r="I442" s="5"/>
      <c r="J442" s="5" t="str">
        <f t="shared" si="24"/>
        <v/>
      </c>
      <c r="K442" s="36"/>
      <c r="L442" s="5" t="str">
        <f t="shared" si="25"/>
        <v/>
      </c>
      <c r="M442" s="5"/>
      <c r="N442" s="5" t="str">
        <f t="shared" si="26"/>
        <v/>
      </c>
      <c r="O442" s="4"/>
      <c r="P442" s="4"/>
      <c r="Q442" s="4"/>
    </row>
    <row r="443" spans="1:17" hidden="1" x14ac:dyDescent="0.2">
      <c r="A443" s="159"/>
      <c r="B443" s="4"/>
      <c r="C443" s="4"/>
      <c r="D443" s="4"/>
      <c r="E443" s="41"/>
      <c r="F443" s="41"/>
      <c r="G443" s="5"/>
      <c r="H443" s="4"/>
      <c r="I443" s="5"/>
      <c r="J443" s="5" t="str">
        <f t="shared" si="24"/>
        <v/>
      </c>
      <c r="K443" s="36"/>
      <c r="L443" s="5" t="str">
        <f t="shared" si="25"/>
        <v/>
      </c>
      <c r="M443" s="5"/>
      <c r="N443" s="5" t="str">
        <f t="shared" si="26"/>
        <v/>
      </c>
      <c r="O443" s="4"/>
      <c r="P443" s="4"/>
      <c r="Q443" s="4"/>
    </row>
    <row r="444" spans="1:17" hidden="1" x14ac:dyDescent="0.2">
      <c r="A444" s="159"/>
      <c r="B444" s="4"/>
      <c r="C444" s="4"/>
      <c r="D444" s="4"/>
      <c r="E444" s="41"/>
      <c r="F444" s="41"/>
      <c r="G444" s="5"/>
      <c r="H444" s="4"/>
      <c r="I444" s="5"/>
      <c r="J444" s="5" t="str">
        <f t="shared" si="24"/>
        <v/>
      </c>
      <c r="K444" s="36"/>
      <c r="L444" s="5" t="str">
        <f t="shared" si="25"/>
        <v/>
      </c>
      <c r="M444" s="5"/>
      <c r="N444" s="5" t="str">
        <f t="shared" si="26"/>
        <v/>
      </c>
      <c r="O444" s="4"/>
      <c r="P444" s="4"/>
      <c r="Q444" s="4"/>
    </row>
    <row r="445" spans="1:17" hidden="1" x14ac:dyDescent="0.2">
      <c r="A445" s="159"/>
      <c r="B445" s="4"/>
      <c r="C445" s="4"/>
      <c r="D445" s="4"/>
      <c r="E445" s="41"/>
      <c r="F445" s="41"/>
      <c r="G445" s="5"/>
      <c r="H445" s="4"/>
      <c r="I445" s="5"/>
      <c r="J445" s="5" t="str">
        <f t="shared" si="24"/>
        <v/>
      </c>
      <c r="K445" s="36"/>
      <c r="L445" s="5" t="str">
        <f t="shared" si="25"/>
        <v/>
      </c>
      <c r="M445" s="5"/>
      <c r="N445" s="5" t="str">
        <f t="shared" si="26"/>
        <v/>
      </c>
      <c r="O445" s="4"/>
      <c r="P445" s="4"/>
      <c r="Q445" s="4"/>
    </row>
    <row r="446" spans="1:17" hidden="1" x14ac:dyDescent="0.2">
      <c r="A446" s="159"/>
      <c r="B446" s="4"/>
      <c r="C446" s="4"/>
      <c r="D446" s="4"/>
      <c r="E446" s="41"/>
      <c r="F446" s="41"/>
      <c r="G446" s="5"/>
      <c r="H446" s="4"/>
      <c r="I446" s="5"/>
      <c r="J446" s="5" t="str">
        <f t="shared" si="24"/>
        <v/>
      </c>
      <c r="K446" s="36"/>
      <c r="L446" s="5" t="str">
        <f t="shared" si="25"/>
        <v/>
      </c>
      <c r="M446" s="5"/>
      <c r="N446" s="5" t="str">
        <f t="shared" si="26"/>
        <v/>
      </c>
      <c r="O446" s="4"/>
      <c r="P446" s="4"/>
      <c r="Q446" s="4"/>
    </row>
    <row r="447" spans="1:17" hidden="1" x14ac:dyDescent="0.2">
      <c r="A447" s="159"/>
      <c r="B447" s="4"/>
      <c r="C447" s="4"/>
      <c r="D447" s="4"/>
      <c r="E447" s="41"/>
      <c r="F447" s="41"/>
      <c r="G447" s="5"/>
      <c r="H447" s="4"/>
      <c r="I447" s="5"/>
      <c r="J447" s="5" t="str">
        <f t="shared" si="24"/>
        <v/>
      </c>
      <c r="K447" s="36"/>
      <c r="L447" s="5" t="str">
        <f t="shared" si="25"/>
        <v/>
      </c>
      <c r="M447" s="5"/>
      <c r="N447" s="5" t="str">
        <f t="shared" si="26"/>
        <v/>
      </c>
      <c r="O447" s="4"/>
      <c r="P447" s="4"/>
      <c r="Q447" s="4"/>
    </row>
    <row r="448" spans="1:17" hidden="1" x14ac:dyDescent="0.2">
      <c r="A448" s="159"/>
      <c r="B448" s="4"/>
      <c r="C448" s="4"/>
      <c r="D448" s="4"/>
      <c r="E448" s="41"/>
      <c r="F448" s="41"/>
      <c r="G448" s="5"/>
      <c r="H448" s="4"/>
      <c r="I448" s="5"/>
      <c r="J448" s="5" t="str">
        <f t="shared" si="24"/>
        <v/>
      </c>
      <c r="K448" s="36"/>
      <c r="L448" s="5" t="str">
        <f t="shared" si="25"/>
        <v/>
      </c>
      <c r="M448" s="5"/>
      <c r="N448" s="5" t="str">
        <f t="shared" si="26"/>
        <v/>
      </c>
      <c r="O448" s="4"/>
      <c r="P448" s="4"/>
      <c r="Q448" s="4"/>
    </row>
    <row r="449" spans="1:17" hidden="1" x14ac:dyDescent="0.2">
      <c r="A449" s="159"/>
      <c r="B449" s="4"/>
      <c r="C449" s="4"/>
      <c r="D449" s="4"/>
      <c r="E449" s="41"/>
      <c r="F449" s="41"/>
      <c r="G449" s="5"/>
      <c r="H449" s="4"/>
      <c r="I449" s="5"/>
      <c r="J449" s="5" t="str">
        <f t="shared" si="24"/>
        <v/>
      </c>
      <c r="K449" s="36"/>
      <c r="L449" s="5" t="str">
        <f t="shared" si="25"/>
        <v/>
      </c>
      <c r="M449" s="5"/>
      <c r="N449" s="5" t="str">
        <f t="shared" si="26"/>
        <v/>
      </c>
      <c r="O449" s="4"/>
      <c r="P449" s="4"/>
      <c r="Q449" s="4"/>
    </row>
    <row r="450" spans="1:17" hidden="1" x14ac:dyDescent="0.2">
      <c r="A450" s="159"/>
      <c r="B450" s="4"/>
      <c r="C450" s="4"/>
      <c r="D450" s="4"/>
      <c r="E450" s="41"/>
      <c r="F450" s="41"/>
      <c r="G450" s="5"/>
      <c r="H450" s="4"/>
      <c r="I450" s="5"/>
      <c r="J450" s="5" t="str">
        <f t="shared" si="24"/>
        <v/>
      </c>
      <c r="K450" s="36"/>
      <c r="L450" s="5" t="str">
        <f t="shared" si="25"/>
        <v/>
      </c>
      <c r="M450" s="5"/>
      <c r="N450" s="5" t="str">
        <f t="shared" si="26"/>
        <v/>
      </c>
      <c r="O450" s="4"/>
      <c r="P450" s="4"/>
      <c r="Q450" s="4"/>
    </row>
    <row r="451" spans="1:17" hidden="1" x14ac:dyDescent="0.2">
      <c r="A451" s="159"/>
      <c r="B451" s="4"/>
      <c r="C451" s="4"/>
      <c r="D451" s="4"/>
      <c r="E451" s="41"/>
      <c r="F451" s="41"/>
      <c r="G451" s="5"/>
      <c r="H451" s="4"/>
      <c r="I451" s="5"/>
      <c r="J451" s="5" t="str">
        <f t="shared" si="24"/>
        <v/>
      </c>
      <c r="K451" s="36"/>
      <c r="L451" s="5" t="str">
        <f t="shared" si="25"/>
        <v/>
      </c>
      <c r="M451" s="5"/>
      <c r="N451" s="5" t="str">
        <f t="shared" si="26"/>
        <v/>
      </c>
      <c r="O451" s="4"/>
      <c r="P451" s="4"/>
      <c r="Q451" s="4"/>
    </row>
    <row r="452" spans="1:17" hidden="1" x14ac:dyDescent="0.2">
      <c r="A452" s="159"/>
      <c r="B452" s="4"/>
      <c r="C452" s="4"/>
      <c r="D452" s="4"/>
      <c r="E452" s="41"/>
      <c r="F452" s="41"/>
      <c r="G452" s="5"/>
      <c r="H452" s="4"/>
      <c r="I452" s="5"/>
      <c r="J452" s="5" t="str">
        <f t="shared" si="24"/>
        <v/>
      </c>
      <c r="K452" s="36"/>
      <c r="L452" s="5" t="str">
        <f t="shared" si="25"/>
        <v/>
      </c>
      <c r="M452" s="5"/>
      <c r="N452" s="5" t="str">
        <f t="shared" si="26"/>
        <v/>
      </c>
      <c r="O452" s="4"/>
      <c r="P452" s="4"/>
      <c r="Q452" s="4"/>
    </row>
    <row r="453" spans="1:17" hidden="1" x14ac:dyDescent="0.2">
      <c r="A453" s="159"/>
      <c r="B453" s="4"/>
      <c r="C453" s="4"/>
      <c r="D453" s="4"/>
      <c r="E453" s="41"/>
      <c r="F453" s="41"/>
      <c r="G453" s="5"/>
      <c r="H453" s="4"/>
      <c r="I453" s="5"/>
      <c r="J453" s="5" t="str">
        <f t="shared" si="24"/>
        <v/>
      </c>
      <c r="K453" s="36"/>
      <c r="L453" s="5" t="str">
        <f t="shared" si="25"/>
        <v/>
      </c>
      <c r="M453" s="5"/>
      <c r="N453" s="5" t="str">
        <f t="shared" si="26"/>
        <v/>
      </c>
      <c r="O453" s="4"/>
      <c r="P453" s="4"/>
      <c r="Q453" s="4"/>
    </row>
    <row r="454" spans="1:17" hidden="1" x14ac:dyDescent="0.2">
      <c r="A454" s="159"/>
      <c r="B454" s="4"/>
      <c r="C454" s="4"/>
      <c r="D454" s="4"/>
      <c r="E454" s="41"/>
      <c r="F454" s="41"/>
      <c r="G454" s="5"/>
      <c r="H454" s="4"/>
      <c r="I454" s="5"/>
      <c r="J454" s="5" t="str">
        <f t="shared" si="24"/>
        <v/>
      </c>
      <c r="K454" s="36"/>
      <c r="L454" s="5" t="str">
        <f t="shared" si="25"/>
        <v/>
      </c>
      <c r="M454" s="5"/>
      <c r="N454" s="5" t="str">
        <f t="shared" si="26"/>
        <v/>
      </c>
      <c r="O454" s="4"/>
      <c r="P454" s="4"/>
      <c r="Q454" s="4"/>
    </row>
    <row r="455" spans="1:17" hidden="1" x14ac:dyDescent="0.2">
      <c r="A455" s="159"/>
      <c r="B455" s="4"/>
      <c r="C455" s="4"/>
      <c r="D455" s="4"/>
      <c r="E455" s="41"/>
      <c r="F455" s="41"/>
      <c r="G455" s="5"/>
      <c r="H455" s="4"/>
      <c r="I455" s="5"/>
      <c r="J455" s="5" t="str">
        <f t="shared" si="24"/>
        <v/>
      </c>
      <c r="K455" s="36"/>
      <c r="L455" s="5" t="str">
        <f t="shared" si="25"/>
        <v/>
      </c>
      <c r="M455" s="5"/>
      <c r="N455" s="5" t="str">
        <f t="shared" si="26"/>
        <v/>
      </c>
      <c r="O455" s="4"/>
      <c r="P455" s="4"/>
      <c r="Q455" s="4"/>
    </row>
    <row r="456" spans="1:17" hidden="1" x14ac:dyDescent="0.2">
      <c r="A456" s="159"/>
      <c r="B456" s="4"/>
      <c r="C456" s="4"/>
      <c r="D456" s="4"/>
      <c r="E456" s="41"/>
      <c r="F456" s="41"/>
      <c r="G456" s="5"/>
      <c r="H456" s="4"/>
      <c r="I456" s="5"/>
      <c r="J456" s="5" t="str">
        <f t="shared" si="24"/>
        <v/>
      </c>
      <c r="K456" s="36"/>
      <c r="L456" s="5" t="str">
        <f t="shared" si="25"/>
        <v/>
      </c>
      <c r="M456" s="5"/>
      <c r="N456" s="5" t="str">
        <f t="shared" si="26"/>
        <v/>
      </c>
      <c r="O456" s="4"/>
      <c r="P456" s="4"/>
      <c r="Q456" s="4"/>
    </row>
    <row r="457" spans="1:17" hidden="1" x14ac:dyDescent="0.2">
      <c r="A457" s="159"/>
      <c r="B457" s="4"/>
      <c r="C457" s="4"/>
      <c r="D457" s="4"/>
      <c r="E457" s="41"/>
      <c r="F457" s="41"/>
      <c r="G457" s="5"/>
      <c r="H457" s="4"/>
      <c r="I457" s="5"/>
      <c r="J457" s="5" t="str">
        <f t="shared" si="24"/>
        <v/>
      </c>
      <c r="K457" s="36"/>
      <c r="L457" s="5" t="str">
        <f t="shared" si="25"/>
        <v/>
      </c>
      <c r="M457" s="5"/>
      <c r="N457" s="5" t="str">
        <f t="shared" si="26"/>
        <v/>
      </c>
      <c r="O457" s="4"/>
      <c r="P457" s="4"/>
      <c r="Q457" s="4"/>
    </row>
    <row r="458" spans="1:17" hidden="1" x14ac:dyDescent="0.2">
      <c r="A458" s="159"/>
      <c r="B458" s="4"/>
      <c r="C458" s="4"/>
      <c r="D458" s="4"/>
      <c r="E458" s="41"/>
      <c r="F458" s="41"/>
      <c r="G458" s="5"/>
      <c r="H458" s="4"/>
      <c r="I458" s="5"/>
      <c r="J458" s="5" t="str">
        <f t="shared" si="24"/>
        <v/>
      </c>
      <c r="K458" s="36"/>
      <c r="L458" s="5" t="str">
        <f t="shared" si="25"/>
        <v/>
      </c>
      <c r="M458" s="5"/>
      <c r="N458" s="5" t="str">
        <f t="shared" si="26"/>
        <v/>
      </c>
      <c r="O458" s="4"/>
      <c r="P458" s="4"/>
      <c r="Q458" s="4"/>
    </row>
    <row r="459" spans="1:17" hidden="1" x14ac:dyDescent="0.2">
      <c r="A459" s="159"/>
      <c r="B459" s="4"/>
      <c r="C459" s="4"/>
      <c r="D459" s="4"/>
      <c r="E459" s="41"/>
      <c r="F459" s="41"/>
      <c r="G459" s="5"/>
      <c r="H459" s="4"/>
      <c r="I459" s="5"/>
      <c r="J459" s="5" t="str">
        <f t="shared" si="24"/>
        <v/>
      </c>
      <c r="K459" s="36"/>
      <c r="L459" s="5" t="str">
        <f t="shared" si="25"/>
        <v/>
      </c>
      <c r="M459" s="5"/>
      <c r="N459" s="5" t="str">
        <f t="shared" si="26"/>
        <v/>
      </c>
      <c r="O459" s="4"/>
      <c r="P459" s="4"/>
      <c r="Q459" s="4"/>
    </row>
    <row r="460" spans="1:17" hidden="1" x14ac:dyDescent="0.2">
      <c r="A460" s="159"/>
      <c r="B460" s="4"/>
      <c r="C460" s="4"/>
      <c r="D460" s="4"/>
      <c r="E460" s="41"/>
      <c r="F460" s="41"/>
      <c r="G460" s="5"/>
      <c r="H460" s="4"/>
      <c r="I460" s="5"/>
      <c r="J460" s="5" t="str">
        <f t="shared" si="24"/>
        <v/>
      </c>
      <c r="K460" s="36"/>
      <c r="L460" s="5" t="str">
        <f t="shared" si="25"/>
        <v/>
      </c>
      <c r="M460" s="5"/>
      <c r="N460" s="5" t="str">
        <f t="shared" si="26"/>
        <v/>
      </c>
      <c r="O460" s="4"/>
      <c r="P460" s="4"/>
      <c r="Q460" s="4"/>
    </row>
    <row r="461" spans="1:17" hidden="1" x14ac:dyDescent="0.2">
      <c r="A461" s="159"/>
      <c r="B461" s="4"/>
      <c r="C461" s="4"/>
      <c r="D461" s="4"/>
      <c r="E461" s="41"/>
      <c r="F461" s="41"/>
      <c r="G461" s="5"/>
      <c r="H461" s="4"/>
      <c r="I461" s="5"/>
      <c r="J461" s="5" t="str">
        <f t="shared" si="24"/>
        <v/>
      </c>
      <c r="K461" s="36"/>
      <c r="L461" s="5" t="str">
        <f t="shared" si="25"/>
        <v/>
      </c>
      <c r="M461" s="5"/>
      <c r="N461" s="5" t="str">
        <f t="shared" si="26"/>
        <v/>
      </c>
      <c r="O461" s="4"/>
      <c r="P461" s="4"/>
      <c r="Q461" s="4"/>
    </row>
    <row r="462" spans="1:17" hidden="1" x14ac:dyDescent="0.2">
      <c r="A462" s="159"/>
      <c r="B462" s="4"/>
      <c r="C462" s="4"/>
      <c r="D462" s="4"/>
      <c r="E462" s="41"/>
      <c r="F462" s="41"/>
      <c r="G462" s="5"/>
      <c r="H462" s="4"/>
      <c r="I462" s="5"/>
      <c r="J462" s="5" t="str">
        <f t="shared" si="24"/>
        <v/>
      </c>
      <c r="K462" s="36"/>
      <c r="L462" s="5" t="str">
        <f t="shared" si="25"/>
        <v/>
      </c>
      <c r="M462" s="5"/>
      <c r="N462" s="5" t="str">
        <f t="shared" si="26"/>
        <v/>
      </c>
      <c r="O462" s="4"/>
      <c r="P462" s="4"/>
      <c r="Q462" s="4"/>
    </row>
    <row r="463" spans="1:17" hidden="1" x14ac:dyDescent="0.2">
      <c r="A463" s="159"/>
      <c r="B463" s="4"/>
      <c r="C463" s="4"/>
      <c r="D463" s="4"/>
      <c r="E463" s="41"/>
      <c r="F463" s="41"/>
      <c r="G463" s="5"/>
      <c r="H463" s="4"/>
      <c r="I463" s="5"/>
      <c r="J463" s="5" t="str">
        <f t="shared" si="24"/>
        <v/>
      </c>
      <c r="K463" s="36"/>
      <c r="L463" s="5" t="str">
        <f t="shared" si="25"/>
        <v/>
      </c>
      <c r="M463" s="5"/>
      <c r="N463" s="5" t="str">
        <f t="shared" si="26"/>
        <v/>
      </c>
      <c r="O463" s="4"/>
      <c r="P463" s="4"/>
      <c r="Q463" s="4"/>
    </row>
    <row r="464" spans="1:17" hidden="1" x14ac:dyDescent="0.2">
      <c r="A464" s="159"/>
      <c r="B464" s="4"/>
      <c r="C464" s="4"/>
      <c r="D464" s="4"/>
      <c r="E464" s="41"/>
      <c r="F464" s="41"/>
      <c r="G464" s="5"/>
      <c r="H464" s="4"/>
      <c r="I464" s="5"/>
      <c r="J464" s="5" t="str">
        <f t="shared" si="24"/>
        <v/>
      </c>
      <c r="K464" s="36"/>
      <c r="L464" s="5" t="str">
        <f t="shared" si="25"/>
        <v/>
      </c>
      <c r="M464" s="5"/>
      <c r="N464" s="5" t="str">
        <f t="shared" si="26"/>
        <v/>
      </c>
      <c r="O464" s="4"/>
      <c r="P464" s="4"/>
      <c r="Q464" s="4"/>
    </row>
    <row r="465" spans="1:17" hidden="1" x14ac:dyDescent="0.2">
      <c r="A465" s="159"/>
      <c r="B465" s="4"/>
      <c r="C465" s="4"/>
      <c r="D465" s="4"/>
      <c r="E465" s="41"/>
      <c r="F465" s="41"/>
      <c r="G465" s="5"/>
      <c r="H465" s="4"/>
      <c r="I465" s="5"/>
      <c r="J465" s="5" t="str">
        <f t="shared" si="24"/>
        <v/>
      </c>
      <c r="K465" s="36"/>
      <c r="L465" s="5" t="str">
        <f t="shared" si="25"/>
        <v/>
      </c>
      <c r="M465" s="5"/>
      <c r="N465" s="5" t="str">
        <f t="shared" si="26"/>
        <v/>
      </c>
      <c r="O465" s="4"/>
      <c r="P465" s="4"/>
      <c r="Q465" s="4"/>
    </row>
    <row r="466" spans="1:17" hidden="1" x14ac:dyDescent="0.2">
      <c r="A466" s="159"/>
      <c r="B466" s="4"/>
      <c r="C466" s="4"/>
      <c r="D466" s="4"/>
      <c r="E466" s="41"/>
      <c r="F466" s="41"/>
      <c r="G466" s="5"/>
      <c r="H466" s="4"/>
      <c r="I466" s="5"/>
      <c r="J466" s="5" t="str">
        <f t="shared" si="24"/>
        <v/>
      </c>
      <c r="K466" s="36"/>
      <c r="L466" s="5" t="str">
        <f t="shared" si="25"/>
        <v/>
      </c>
      <c r="M466" s="5"/>
      <c r="N466" s="5" t="str">
        <f t="shared" si="26"/>
        <v/>
      </c>
      <c r="O466" s="4"/>
      <c r="P466" s="4"/>
      <c r="Q466" s="4"/>
    </row>
    <row r="467" spans="1:17" hidden="1" x14ac:dyDescent="0.2">
      <c r="A467" s="159"/>
      <c r="B467" s="4"/>
      <c r="C467" s="4"/>
      <c r="D467" s="4"/>
      <c r="E467" s="41"/>
      <c r="F467" s="41"/>
      <c r="G467" s="5"/>
      <c r="H467" s="4"/>
      <c r="I467" s="5"/>
      <c r="J467" s="5" t="str">
        <f t="shared" si="24"/>
        <v/>
      </c>
      <c r="K467" s="36"/>
      <c r="L467" s="5" t="str">
        <f t="shared" si="25"/>
        <v/>
      </c>
      <c r="M467" s="5"/>
      <c r="N467" s="5" t="str">
        <f t="shared" si="26"/>
        <v/>
      </c>
      <c r="O467" s="4"/>
      <c r="P467" s="4"/>
      <c r="Q467" s="4"/>
    </row>
    <row r="468" spans="1:17" hidden="1" x14ac:dyDescent="0.2">
      <c r="A468" s="159"/>
      <c r="B468" s="4"/>
      <c r="C468" s="4"/>
      <c r="D468" s="4"/>
      <c r="E468" s="41"/>
      <c r="F468" s="41"/>
      <c r="G468" s="5"/>
      <c r="H468" s="4"/>
      <c r="I468" s="5"/>
      <c r="J468" s="5" t="str">
        <f t="shared" si="24"/>
        <v/>
      </c>
      <c r="K468" s="36"/>
      <c r="L468" s="5" t="str">
        <f t="shared" si="25"/>
        <v/>
      </c>
      <c r="M468" s="5"/>
      <c r="N468" s="5" t="str">
        <f t="shared" si="26"/>
        <v/>
      </c>
      <c r="O468" s="4"/>
      <c r="P468" s="4"/>
      <c r="Q468" s="4"/>
    </row>
    <row r="469" spans="1:17" hidden="1" x14ac:dyDescent="0.2">
      <c r="A469" s="159"/>
      <c r="B469" s="4"/>
      <c r="C469" s="4"/>
      <c r="D469" s="4"/>
      <c r="E469" s="41"/>
      <c r="F469" s="41"/>
      <c r="G469" s="5"/>
      <c r="H469" s="4"/>
      <c r="I469" s="5"/>
      <c r="J469" s="5" t="str">
        <f t="shared" si="24"/>
        <v/>
      </c>
      <c r="K469" s="36"/>
      <c r="L469" s="5" t="str">
        <f t="shared" si="25"/>
        <v/>
      </c>
      <c r="M469" s="5"/>
      <c r="N469" s="5" t="str">
        <f t="shared" si="26"/>
        <v/>
      </c>
      <c r="O469" s="4"/>
      <c r="P469" s="4"/>
      <c r="Q469" s="4"/>
    </row>
    <row r="470" spans="1:17" hidden="1" x14ac:dyDescent="0.2">
      <c r="A470" s="159"/>
      <c r="B470" s="4"/>
      <c r="C470" s="4"/>
      <c r="D470" s="4"/>
      <c r="E470" s="41"/>
      <c r="F470" s="41"/>
      <c r="G470" s="5"/>
      <c r="H470" s="4"/>
      <c r="I470" s="5"/>
      <c r="J470" s="5" t="str">
        <f t="shared" si="24"/>
        <v/>
      </c>
      <c r="K470" s="36"/>
      <c r="L470" s="5" t="str">
        <f t="shared" si="25"/>
        <v/>
      </c>
      <c r="M470" s="5"/>
      <c r="N470" s="5" t="str">
        <f t="shared" si="26"/>
        <v/>
      </c>
      <c r="O470" s="4"/>
      <c r="P470" s="4"/>
      <c r="Q470" s="4"/>
    </row>
    <row r="471" spans="1:17" hidden="1" x14ac:dyDescent="0.2">
      <c r="A471" s="159"/>
      <c r="B471" s="4"/>
      <c r="C471" s="4"/>
      <c r="D471" s="4"/>
      <c r="E471" s="41"/>
      <c r="F471" s="41"/>
      <c r="G471" s="5"/>
      <c r="H471" s="4"/>
      <c r="I471" s="5"/>
      <c r="J471" s="5" t="str">
        <f t="shared" si="24"/>
        <v/>
      </c>
      <c r="K471" s="36"/>
      <c r="L471" s="5" t="str">
        <f t="shared" si="25"/>
        <v/>
      </c>
      <c r="M471" s="5"/>
      <c r="N471" s="5" t="str">
        <f t="shared" si="26"/>
        <v/>
      </c>
      <c r="O471" s="4"/>
      <c r="P471" s="4"/>
      <c r="Q471" s="4"/>
    </row>
    <row r="472" spans="1:17" hidden="1" x14ac:dyDescent="0.2">
      <c r="A472" s="159"/>
      <c r="B472" s="4"/>
      <c r="C472" s="4"/>
      <c r="D472" s="4"/>
      <c r="E472" s="41"/>
      <c r="F472" s="41"/>
      <c r="G472" s="5"/>
      <c r="H472" s="4"/>
      <c r="I472" s="5"/>
      <c r="J472" s="5" t="str">
        <f t="shared" si="24"/>
        <v/>
      </c>
      <c r="K472" s="36"/>
      <c r="L472" s="5" t="str">
        <f t="shared" si="25"/>
        <v/>
      </c>
      <c r="M472" s="5"/>
      <c r="N472" s="5" t="str">
        <f t="shared" si="26"/>
        <v/>
      </c>
      <c r="O472" s="4"/>
      <c r="P472" s="4"/>
      <c r="Q472" s="4"/>
    </row>
    <row r="473" spans="1:17" hidden="1" x14ac:dyDescent="0.2">
      <c r="A473" s="159"/>
      <c r="B473" s="4"/>
      <c r="C473" s="4"/>
      <c r="D473" s="4"/>
      <c r="E473" s="41"/>
      <c r="F473" s="41"/>
      <c r="G473" s="5"/>
      <c r="H473" s="4"/>
      <c r="I473" s="5"/>
      <c r="J473" s="5" t="str">
        <f t="shared" ref="J473:J536" si="27">IF($D473="","",IF($H473="FIXED",$I473,($E473*FAT_MULT)+($F473*SNF_MULT)+$G473))</f>
        <v/>
      </c>
      <c r="K473" s="36"/>
      <c r="L473" s="5" t="str">
        <f t="shared" ref="L473:L536" si="28">IF($K473="","",$K473*$J473)</f>
        <v/>
      </c>
      <c r="M473" s="5"/>
      <c r="N473" s="5" t="str">
        <f t="shared" ref="N473:N536" si="29">IF($K473="","",$L473+$M473)</f>
        <v/>
      </c>
      <c r="O473" s="4"/>
      <c r="P473" s="4"/>
      <c r="Q473" s="4"/>
    </row>
    <row r="474" spans="1:17" hidden="1" x14ac:dyDescent="0.2">
      <c r="A474" s="159"/>
      <c r="B474" s="4"/>
      <c r="C474" s="4"/>
      <c r="D474" s="4"/>
      <c r="E474" s="41"/>
      <c r="F474" s="41"/>
      <c r="G474" s="5"/>
      <c r="H474" s="4"/>
      <c r="I474" s="5"/>
      <c r="J474" s="5" t="str">
        <f t="shared" si="27"/>
        <v/>
      </c>
      <c r="K474" s="36"/>
      <c r="L474" s="5" t="str">
        <f t="shared" si="28"/>
        <v/>
      </c>
      <c r="M474" s="5"/>
      <c r="N474" s="5" t="str">
        <f t="shared" si="29"/>
        <v/>
      </c>
      <c r="O474" s="4"/>
      <c r="P474" s="4"/>
      <c r="Q474" s="4"/>
    </row>
    <row r="475" spans="1:17" hidden="1" x14ac:dyDescent="0.2">
      <c r="A475" s="159"/>
      <c r="B475" s="4"/>
      <c r="C475" s="4"/>
      <c r="D475" s="4"/>
      <c r="E475" s="41"/>
      <c r="F475" s="41"/>
      <c r="G475" s="5"/>
      <c r="H475" s="4"/>
      <c r="I475" s="5"/>
      <c r="J475" s="5" t="str">
        <f t="shared" si="27"/>
        <v/>
      </c>
      <c r="K475" s="36"/>
      <c r="L475" s="5" t="str">
        <f t="shared" si="28"/>
        <v/>
      </c>
      <c r="M475" s="5"/>
      <c r="N475" s="5" t="str">
        <f t="shared" si="29"/>
        <v/>
      </c>
      <c r="O475" s="4"/>
      <c r="P475" s="4"/>
      <c r="Q475" s="4"/>
    </row>
    <row r="476" spans="1:17" hidden="1" x14ac:dyDescent="0.2">
      <c r="A476" s="159"/>
      <c r="B476" s="4"/>
      <c r="C476" s="4"/>
      <c r="D476" s="4"/>
      <c r="E476" s="41"/>
      <c r="F476" s="41"/>
      <c r="G476" s="5"/>
      <c r="H476" s="4"/>
      <c r="I476" s="5"/>
      <c r="J476" s="5" t="str">
        <f t="shared" si="27"/>
        <v/>
      </c>
      <c r="K476" s="36"/>
      <c r="L476" s="5" t="str">
        <f t="shared" si="28"/>
        <v/>
      </c>
      <c r="M476" s="5"/>
      <c r="N476" s="5" t="str">
        <f t="shared" si="29"/>
        <v/>
      </c>
      <c r="O476" s="4"/>
      <c r="P476" s="4"/>
      <c r="Q476" s="4"/>
    </row>
    <row r="477" spans="1:17" hidden="1" x14ac:dyDescent="0.2">
      <c r="A477" s="159"/>
      <c r="B477" s="4"/>
      <c r="C477" s="4"/>
      <c r="D477" s="4"/>
      <c r="E477" s="41"/>
      <c r="F477" s="41"/>
      <c r="G477" s="5"/>
      <c r="H477" s="4"/>
      <c r="I477" s="5"/>
      <c r="J477" s="5" t="str">
        <f t="shared" si="27"/>
        <v/>
      </c>
      <c r="K477" s="36"/>
      <c r="L477" s="5" t="str">
        <f t="shared" si="28"/>
        <v/>
      </c>
      <c r="M477" s="5"/>
      <c r="N477" s="5" t="str">
        <f t="shared" si="29"/>
        <v/>
      </c>
      <c r="O477" s="4"/>
      <c r="P477" s="4"/>
      <c r="Q477" s="4"/>
    </row>
    <row r="478" spans="1:17" hidden="1" x14ac:dyDescent="0.2">
      <c r="A478" s="159"/>
      <c r="B478" s="4"/>
      <c r="C478" s="4"/>
      <c r="D478" s="4"/>
      <c r="E478" s="41"/>
      <c r="F478" s="41"/>
      <c r="G478" s="5"/>
      <c r="H478" s="4"/>
      <c r="I478" s="5"/>
      <c r="J478" s="5" t="str">
        <f t="shared" si="27"/>
        <v/>
      </c>
      <c r="K478" s="36"/>
      <c r="L478" s="5" t="str">
        <f t="shared" si="28"/>
        <v/>
      </c>
      <c r="M478" s="5"/>
      <c r="N478" s="5" t="str">
        <f t="shared" si="29"/>
        <v/>
      </c>
      <c r="O478" s="4"/>
      <c r="P478" s="4"/>
      <c r="Q478" s="4"/>
    </row>
    <row r="479" spans="1:17" hidden="1" x14ac:dyDescent="0.2">
      <c r="A479" s="159"/>
      <c r="B479" s="4"/>
      <c r="C479" s="4"/>
      <c r="D479" s="4"/>
      <c r="E479" s="41"/>
      <c r="F479" s="41"/>
      <c r="G479" s="5"/>
      <c r="H479" s="4"/>
      <c r="I479" s="5"/>
      <c r="J479" s="5" t="str">
        <f t="shared" si="27"/>
        <v/>
      </c>
      <c r="K479" s="36"/>
      <c r="L479" s="5" t="str">
        <f t="shared" si="28"/>
        <v/>
      </c>
      <c r="M479" s="5"/>
      <c r="N479" s="5" t="str">
        <f t="shared" si="29"/>
        <v/>
      </c>
      <c r="O479" s="4"/>
      <c r="P479" s="4"/>
      <c r="Q479" s="4"/>
    </row>
    <row r="480" spans="1:17" hidden="1" x14ac:dyDescent="0.2">
      <c r="A480" s="159"/>
      <c r="B480" s="4"/>
      <c r="C480" s="4"/>
      <c r="D480" s="4"/>
      <c r="E480" s="41"/>
      <c r="F480" s="41"/>
      <c r="G480" s="5"/>
      <c r="H480" s="4"/>
      <c r="I480" s="5"/>
      <c r="J480" s="5" t="str">
        <f t="shared" si="27"/>
        <v/>
      </c>
      <c r="K480" s="36"/>
      <c r="L480" s="5" t="str">
        <f t="shared" si="28"/>
        <v/>
      </c>
      <c r="M480" s="5"/>
      <c r="N480" s="5" t="str">
        <f t="shared" si="29"/>
        <v/>
      </c>
      <c r="O480" s="4"/>
      <c r="P480" s="4"/>
      <c r="Q480" s="4"/>
    </row>
    <row r="481" spans="1:17" hidden="1" x14ac:dyDescent="0.2">
      <c r="A481" s="159"/>
      <c r="B481" s="4"/>
      <c r="C481" s="4"/>
      <c r="D481" s="4"/>
      <c r="E481" s="41"/>
      <c r="F481" s="41"/>
      <c r="G481" s="5"/>
      <c r="H481" s="4"/>
      <c r="I481" s="5"/>
      <c r="J481" s="5" t="str">
        <f t="shared" si="27"/>
        <v/>
      </c>
      <c r="K481" s="36"/>
      <c r="L481" s="5" t="str">
        <f t="shared" si="28"/>
        <v/>
      </c>
      <c r="M481" s="5"/>
      <c r="N481" s="5" t="str">
        <f t="shared" si="29"/>
        <v/>
      </c>
      <c r="O481" s="4"/>
      <c r="P481" s="4"/>
      <c r="Q481" s="4"/>
    </row>
    <row r="482" spans="1:17" hidden="1" x14ac:dyDescent="0.2">
      <c r="A482" s="159"/>
      <c r="B482" s="4"/>
      <c r="C482" s="4"/>
      <c r="D482" s="4"/>
      <c r="E482" s="41"/>
      <c r="F482" s="41"/>
      <c r="G482" s="5"/>
      <c r="H482" s="4"/>
      <c r="I482" s="5"/>
      <c r="J482" s="5" t="str">
        <f t="shared" si="27"/>
        <v/>
      </c>
      <c r="K482" s="36"/>
      <c r="L482" s="5" t="str">
        <f t="shared" si="28"/>
        <v/>
      </c>
      <c r="M482" s="5"/>
      <c r="N482" s="5" t="str">
        <f t="shared" si="29"/>
        <v/>
      </c>
      <c r="O482" s="4"/>
      <c r="P482" s="4"/>
      <c r="Q482" s="4"/>
    </row>
    <row r="483" spans="1:17" hidden="1" x14ac:dyDescent="0.2">
      <c r="A483" s="159"/>
      <c r="B483" s="4"/>
      <c r="C483" s="4"/>
      <c r="D483" s="4"/>
      <c r="E483" s="41"/>
      <c r="F483" s="41"/>
      <c r="G483" s="5"/>
      <c r="H483" s="4"/>
      <c r="I483" s="5"/>
      <c r="J483" s="5" t="str">
        <f t="shared" si="27"/>
        <v/>
      </c>
      <c r="K483" s="36"/>
      <c r="L483" s="5" t="str">
        <f t="shared" si="28"/>
        <v/>
      </c>
      <c r="M483" s="5"/>
      <c r="N483" s="5" t="str">
        <f t="shared" si="29"/>
        <v/>
      </c>
      <c r="O483" s="4"/>
      <c r="P483" s="4"/>
      <c r="Q483" s="4"/>
    </row>
    <row r="484" spans="1:17" hidden="1" x14ac:dyDescent="0.2">
      <c r="A484" s="159"/>
      <c r="B484" s="4"/>
      <c r="C484" s="4"/>
      <c r="D484" s="4"/>
      <c r="E484" s="41"/>
      <c r="F484" s="41"/>
      <c r="G484" s="5"/>
      <c r="H484" s="4"/>
      <c r="I484" s="5"/>
      <c r="J484" s="5" t="str">
        <f t="shared" si="27"/>
        <v/>
      </c>
      <c r="K484" s="36"/>
      <c r="L484" s="5" t="str">
        <f t="shared" si="28"/>
        <v/>
      </c>
      <c r="M484" s="5"/>
      <c r="N484" s="5" t="str">
        <f t="shared" si="29"/>
        <v/>
      </c>
      <c r="O484" s="4"/>
      <c r="P484" s="4"/>
      <c r="Q484" s="4"/>
    </row>
    <row r="485" spans="1:17" hidden="1" x14ac:dyDescent="0.2">
      <c r="A485" s="159"/>
      <c r="B485" s="4"/>
      <c r="C485" s="4"/>
      <c r="D485" s="4"/>
      <c r="E485" s="41"/>
      <c r="F485" s="41"/>
      <c r="G485" s="5"/>
      <c r="H485" s="4"/>
      <c r="I485" s="5"/>
      <c r="J485" s="5" t="str">
        <f t="shared" si="27"/>
        <v/>
      </c>
      <c r="K485" s="36"/>
      <c r="L485" s="5" t="str">
        <f t="shared" si="28"/>
        <v/>
      </c>
      <c r="M485" s="5"/>
      <c r="N485" s="5" t="str">
        <f t="shared" si="29"/>
        <v/>
      </c>
      <c r="O485" s="4"/>
      <c r="P485" s="4"/>
      <c r="Q485" s="4"/>
    </row>
    <row r="486" spans="1:17" hidden="1" x14ac:dyDescent="0.2">
      <c r="A486" s="159"/>
      <c r="B486" s="4"/>
      <c r="C486" s="4"/>
      <c r="D486" s="4"/>
      <c r="E486" s="41"/>
      <c r="F486" s="41"/>
      <c r="G486" s="5"/>
      <c r="H486" s="4"/>
      <c r="I486" s="5"/>
      <c r="J486" s="5" t="str">
        <f t="shared" si="27"/>
        <v/>
      </c>
      <c r="K486" s="36"/>
      <c r="L486" s="5" t="str">
        <f t="shared" si="28"/>
        <v/>
      </c>
      <c r="M486" s="5"/>
      <c r="N486" s="5" t="str">
        <f t="shared" si="29"/>
        <v/>
      </c>
      <c r="O486" s="4"/>
      <c r="P486" s="4"/>
      <c r="Q486" s="4"/>
    </row>
    <row r="487" spans="1:17" hidden="1" x14ac:dyDescent="0.2">
      <c r="A487" s="159"/>
      <c r="B487" s="4"/>
      <c r="C487" s="4"/>
      <c r="D487" s="4"/>
      <c r="E487" s="41"/>
      <c r="F487" s="41"/>
      <c r="G487" s="5"/>
      <c r="H487" s="4"/>
      <c r="I487" s="5"/>
      <c r="J487" s="5" t="str">
        <f t="shared" si="27"/>
        <v/>
      </c>
      <c r="K487" s="36"/>
      <c r="L487" s="5" t="str">
        <f t="shared" si="28"/>
        <v/>
      </c>
      <c r="M487" s="5"/>
      <c r="N487" s="5" t="str">
        <f t="shared" si="29"/>
        <v/>
      </c>
      <c r="O487" s="4"/>
      <c r="P487" s="4"/>
      <c r="Q487" s="4"/>
    </row>
    <row r="488" spans="1:17" hidden="1" x14ac:dyDescent="0.2">
      <c r="A488" s="159"/>
      <c r="B488" s="4"/>
      <c r="C488" s="4"/>
      <c r="D488" s="4"/>
      <c r="E488" s="41"/>
      <c r="F488" s="41"/>
      <c r="G488" s="5"/>
      <c r="H488" s="4"/>
      <c r="I488" s="5"/>
      <c r="J488" s="5" t="str">
        <f t="shared" si="27"/>
        <v/>
      </c>
      <c r="K488" s="36"/>
      <c r="L488" s="5" t="str">
        <f t="shared" si="28"/>
        <v/>
      </c>
      <c r="M488" s="5"/>
      <c r="N488" s="5" t="str">
        <f t="shared" si="29"/>
        <v/>
      </c>
      <c r="O488" s="4"/>
      <c r="P488" s="4"/>
      <c r="Q488" s="4"/>
    </row>
    <row r="489" spans="1:17" hidden="1" x14ac:dyDescent="0.2">
      <c r="A489" s="159"/>
      <c r="B489" s="4"/>
      <c r="C489" s="4"/>
      <c r="D489" s="4"/>
      <c r="E489" s="41"/>
      <c r="F489" s="41"/>
      <c r="G489" s="5"/>
      <c r="H489" s="4"/>
      <c r="I489" s="5"/>
      <c r="J489" s="5" t="str">
        <f t="shared" si="27"/>
        <v/>
      </c>
      <c r="K489" s="36"/>
      <c r="L489" s="5" t="str">
        <f t="shared" si="28"/>
        <v/>
      </c>
      <c r="M489" s="5"/>
      <c r="N489" s="5" t="str">
        <f t="shared" si="29"/>
        <v/>
      </c>
      <c r="O489" s="4"/>
      <c r="P489" s="4"/>
      <c r="Q489" s="4"/>
    </row>
    <row r="490" spans="1:17" hidden="1" x14ac:dyDescent="0.2">
      <c r="A490" s="159"/>
      <c r="B490" s="4"/>
      <c r="C490" s="4"/>
      <c r="D490" s="4"/>
      <c r="E490" s="41"/>
      <c r="F490" s="41"/>
      <c r="G490" s="5"/>
      <c r="H490" s="4"/>
      <c r="I490" s="5"/>
      <c r="J490" s="5" t="str">
        <f t="shared" si="27"/>
        <v/>
      </c>
      <c r="K490" s="36"/>
      <c r="L490" s="5" t="str">
        <f t="shared" si="28"/>
        <v/>
      </c>
      <c r="M490" s="5"/>
      <c r="N490" s="5" t="str">
        <f t="shared" si="29"/>
        <v/>
      </c>
      <c r="O490" s="4"/>
      <c r="P490" s="4"/>
      <c r="Q490" s="4"/>
    </row>
    <row r="491" spans="1:17" hidden="1" x14ac:dyDescent="0.2">
      <c r="A491" s="159"/>
      <c r="B491" s="4"/>
      <c r="C491" s="4"/>
      <c r="D491" s="4"/>
      <c r="E491" s="41"/>
      <c r="F491" s="41"/>
      <c r="G491" s="5"/>
      <c r="H491" s="4"/>
      <c r="I491" s="5"/>
      <c r="J491" s="5" t="str">
        <f t="shared" si="27"/>
        <v/>
      </c>
      <c r="K491" s="36"/>
      <c r="L491" s="5" t="str">
        <f t="shared" si="28"/>
        <v/>
      </c>
      <c r="M491" s="5"/>
      <c r="N491" s="5" t="str">
        <f t="shared" si="29"/>
        <v/>
      </c>
      <c r="O491" s="4"/>
      <c r="P491" s="4"/>
      <c r="Q491" s="4"/>
    </row>
    <row r="492" spans="1:17" hidden="1" x14ac:dyDescent="0.2">
      <c r="A492" s="159"/>
      <c r="B492" s="4"/>
      <c r="C492" s="4"/>
      <c r="D492" s="4"/>
      <c r="E492" s="41"/>
      <c r="F492" s="41"/>
      <c r="G492" s="5"/>
      <c r="H492" s="4"/>
      <c r="I492" s="5"/>
      <c r="J492" s="5" t="str">
        <f t="shared" si="27"/>
        <v/>
      </c>
      <c r="K492" s="36"/>
      <c r="L492" s="5" t="str">
        <f t="shared" si="28"/>
        <v/>
      </c>
      <c r="M492" s="5"/>
      <c r="N492" s="5" t="str">
        <f t="shared" si="29"/>
        <v/>
      </c>
      <c r="O492" s="4"/>
      <c r="P492" s="4"/>
      <c r="Q492" s="4"/>
    </row>
    <row r="493" spans="1:17" hidden="1" x14ac:dyDescent="0.2">
      <c r="A493" s="159"/>
      <c r="B493" s="4"/>
      <c r="C493" s="4"/>
      <c r="D493" s="4"/>
      <c r="E493" s="41"/>
      <c r="F493" s="41"/>
      <c r="G493" s="5"/>
      <c r="H493" s="4"/>
      <c r="I493" s="5"/>
      <c r="J493" s="5" t="str">
        <f t="shared" si="27"/>
        <v/>
      </c>
      <c r="K493" s="36"/>
      <c r="L493" s="5" t="str">
        <f t="shared" si="28"/>
        <v/>
      </c>
      <c r="M493" s="5"/>
      <c r="N493" s="5" t="str">
        <f t="shared" si="29"/>
        <v/>
      </c>
      <c r="O493" s="4"/>
      <c r="P493" s="4"/>
      <c r="Q493" s="4"/>
    </row>
    <row r="494" spans="1:17" hidden="1" x14ac:dyDescent="0.2">
      <c r="A494" s="159"/>
      <c r="B494" s="4"/>
      <c r="C494" s="4"/>
      <c r="D494" s="4"/>
      <c r="E494" s="41"/>
      <c r="F494" s="41"/>
      <c r="G494" s="5"/>
      <c r="H494" s="4"/>
      <c r="I494" s="5"/>
      <c r="J494" s="5" t="str">
        <f t="shared" si="27"/>
        <v/>
      </c>
      <c r="K494" s="36"/>
      <c r="L494" s="5" t="str">
        <f t="shared" si="28"/>
        <v/>
      </c>
      <c r="M494" s="5"/>
      <c r="N494" s="5" t="str">
        <f t="shared" si="29"/>
        <v/>
      </c>
      <c r="O494" s="4"/>
      <c r="P494" s="4"/>
      <c r="Q494" s="4"/>
    </row>
    <row r="495" spans="1:17" hidden="1" x14ac:dyDescent="0.2">
      <c r="A495" s="159"/>
      <c r="B495" s="4"/>
      <c r="C495" s="4"/>
      <c r="D495" s="4"/>
      <c r="E495" s="41"/>
      <c r="F495" s="41"/>
      <c r="G495" s="5"/>
      <c r="H495" s="4"/>
      <c r="I495" s="5"/>
      <c r="J495" s="5" t="str">
        <f t="shared" si="27"/>
        <v/>
      </c>
      <c r="K495" s="36"/>
      <c r="L495" s="5" t="str">
        <f t="shared" si="28"/>
        <v/>
      </c>
      <c r="M495" s="5"/>
      <c r="N495" s="5" t="str">
        <f t="shared" si="29"/>
        <v/>
      </c>
      <c r="O495" s="4"/>
      <c r="P495" s="4"/>
      <c r="Q495" s="4"/>
    </row>
    <row r="496" spans="1:17" hidden="1" x14ac:dyDescent="0.2">
      <c r="A496" s="159"/>
      <c r="B496" s="4"/>
      <c r="C496" s="4"/>
      <c r="D496" s="4"/>
      <c r="E496" s="41"/>
      <c r="F496" s="41"/>
      <c r="G496" s="5"/>
      <c r="H496" s="4"/>
      <c r="I496" s="5"/>
      <c r="J496" s="5" t="str">
        <f t="shared" si="27"/>
        <v/>
      </c>
      <c r="K496" s="36"/>
      <c r="L496" s="5" t="str">
        <f t="shared" si="28"/>
        <v/>
      </c>
      <c r="M496" s="5"/>
      <c r="N496" s="5" t="str">
        <f t="shared" si="29"/>
        <v/>
      </c>
      <c r="O496" s="4"/>
      <c r="P496" s="4"/>
      <c r="Q496" s="4"/>
    </row>
    <row r="497" spans="1:17" hidden="1" x14ac:dyDescent="0.2">
      <c r="A497" s="159"/>
      <c r="B497" s="4"/>
      <c r="C497" s="4"/>
      <c r="D497" s="4"/>
      <c r="E497" s="41"/>
      <c r="F497" s="41"/>
      <c r="G497" s="5"/>
      <c r="H497" s="4"/>
      <c r="I497" s="5"/>
      <c r="J497" s="5" t="str">
        <f t="shared" si="27"/>
        <v/>
      </c>
      <c r="K497" s="36"/>
      <c r="L497" s="5" t="str">
        <f t="shared" si="28"/>
        <v/>
      </c>
      <c r="M497" s="5"/>
      <c r="N497" s="5" t="str">
        <f t="shared" si="29"/>
        <v/>
      </c>
      <c r="O497" s="4"/>
      <c r="P497" s="4"/>
      <c r="Q497" s="4"/>
    </row>
    <row r="498" spans="1:17" hidden="1" x14ac:dyDescent="0.2">
      <c r="A498" s="159"/>
      <c r="B498" s="4"/>
      <c r="C498" s="4"/>
      <c r="D498" s="4"/>
      <c r="E498" s="41"/>
      <c r="F498" s="41"/>
      <c r="G498" s="5"/>
      <c r="H498" s="4"/>
      <c r="I498" s="5"/>
      <c r="J498" s="5" t="str">
        <f t="shared" si="27"/>
        <v/>
      </c>
      <c r="K498" s="36"/>
      <c r="L498" s="5" t="str">
        <f t="shared" si="28"/>
        <v/>
      </c>
      <c r="M498" s="5"/>
      <c r="N498" s="5" t="str">
        <f t="shared" si="29"/>
        <v/>
      </c>
      <c r="O498" s="4"/>
      <c r="P498" s="4"/>
      <c r="Q498" s="4"/>
    </row>
    <row r="499" spans="1:17" hidden="1" x14ac:dyDescent="0.2">
      <c r="A499" s="159"/>
      <c r="B499" s="4"/>
      <c r="C499" s="4"/>
      <c r="D499" s="4"/>
      <c r="E499" s="41"/>
      <c r="F499" s="41"/>
      <c r="G499" s="5"/>
      <c r="H499" s="4"/>
      <c r="I499" s="5"/>
      <c r="J499" s="5" t="str">
        <f t="shared" si="27"/>
        <v/>
      </c>
      <c r="K499" s="36"/>
      <c r="L499" s="5" t="str">
        <f t="shared" si="28"/>
        <v/>
      </c>
      <c r="M499" s="5"/>
      <c r="N499" s="5" t="str">
        <f t="shared" si="29"/>
        <v/>
      </c>
      <c r="O499" s="4"/>
      <c r="P499" s="4"/>
      <c r="Q499" s="4"/>
    </row>
    <row r="500" spans="1:17" hidden="1" x14ac:dyDescent="0.2">
      <c r="A500" s="159"/>
      <c r="B500" s="4"/>
      <c r="C500" s="4"/>
      <c r="D500" s="4"/>
      <c r="E500" s="41"/>
      <c r="F500" s="41"/>
      <c r="G500" s="5"/>
      <c r="H500" s="4"/>
      <c r="I500" s="5"/>
      <c r="J500" s="5" t="str">
        <f t="shared" si="27"/>
        <v/>
      </c>
      <c r="K500" s="36"/>
      <c r="L500" s="5" t="str">
        <f t="shared" si="28"/>
        <v/>
      </c>
      <c r="M500" s="5"/>
      <c r="N500" s="5" t="str">
        <f t="shared" si="29"/>
        <v/>
      </c>
      <c r="O500" s="4"/>
      <c r="P500" s="4"/>
      <c r="Q500" s="4"/>
    </row>
    <row r="501" spans="1:17" hidden="1" x14ac:dyDescent="0.2">
      <c r="A501" s="159"/>
      <c r="B501" s="4"/>
      <c r="C501" s="4"/>
      <c r="D501" s="4"/>
      <c r="E501" s="41"/>
      <c r="F501" s="41"/>
      <c r="G501" s="5"/>
      <c r="H501" s="4"/>
      <c r="I501" s="5"/>
      <c r="J501" s="5" t="str">
        <f t="shared" si="27"/>
        <v/>
      </c>
      <c r="K501" s="36"/>
      <c r="L501" s="5" t="str">
        <f t="shared" si="28"/>
        <v/>
      </c>
      <c r="M501" s="5"/>
      <c r="N501" s="5" t="str">
        <f t="shared" si="29"/>
        <v/>
      </c>
      <c r="O501" s="4"/>
      <c r="P501" s="4"/>
      <c r="Q501" s="4"/>
    </row>
    <row r="502" spans="1:17" hidden="1" x14ac:dyDescent="0.2">
      <c r="A502" s="159"/>
      <c r="B502" s="4"/>
      <c r="C502" s="4"/>
      <c r="D502" s="4"/>
      <c r="E502" s="41"/>
      <c r="F502" s="41"/>
      <c r="G502" s="5"/>
      <c r="H502" s="4"/>
      <c r="I502" s="5"/>
      <c r="J502" s="5" t="str">
        <f t="shared" si="27"/>
        <v/>
      </c>
      <c r="K502" s="36"/>
      <c r="L502" s="5" t="str">
        <f t="shared" si="28"/>
        <v/>
      </c>
      <c r="M502" s="5"/>
      <c r="N502" s="5" t="str">
        <f t="shared" si="29"/>
        <v/>
      </c>
      <c r="O502" s="4"/>
      <c r="P502" s="4"/>
      <c r="Q502" s="4"/>
    </row>
    <row r="503" spans="1:17" hidden="1" x14ac:dyDescent="0.2">
      <c r="A503" s="159"/>
      <c r="B503" s="4"/>
      <c r="C503" s="4"/>
      <c r="D503" s="4"/>
      <c r="E503" s="41"/>
      <c r="F503" s="41"/>
      <c r="G503" s="5"/>
      <c r="H503" s="4"/>
      <c r="I503" s="5"/>
      <c r="J503" s="5" t="str">
        <f t="shared" si="27"/>
        <v/>
      </c>
      <c r="K503" s="36"/>
      <c r="L503" s="5" t="str">
        <f t="shared" si="28"/>
        <v/>
      </c>
      <c r="M503" s="5"/>
      <c r="N503" s="5" t="str">
        <f t="shared" si="29"/>
        <v/>
      </c>
      <c r="O503" s="4"/>
      <c r="P503" s="4"/>
      <c r="Q503" s="4"/>
    </row>
    <row r="504" spans="1:17" hidden="1" x14ac:dyDescent="0.2">
      <c r="A504" s="159"/>
      <c r="B504" s="4"/>
      <c r="C504" s="4"/>
      <c r="D504" s="4"/>
      <c r="E504" s="41"/>
      <c r="F504" s="41"/>
      <c r="G504" s="5"/>
      <c r="H504" s="4"/>
      <c r="I504" s="5"/>
      <c r="J504" s="5" t="str">
        <f t="shared" si="27"/>
        <v/>
      </c>
      <c r="K504" s="36"/>
      <c r="L504" s="5" t="str">
        <f t="shared" si="28"/>
        <v/>
      </c>
      <c r="M504" s="5"/>
      <c r="N504" s="5" t="str">
        <f t="shared" si="29"/>
        <v/>
      </c>
      <c r="O504" s="4"/>
      <c r="P504" s="4"/>
      <c r="Q504" s="4"/>
    </row>
    <row r="505" spans="1:17" hidden="1" x14ac:dyDescent="0.2">
      <c r="A505" s="159"/>
      <c r="B505" s="4"/>
      <c r="C505" s="4"/>
      <c r="D505" s="4"/>
      <c r="E505" s="41"/>
      <c r="F505" s="41"/>
      <c r="G505" s="5"/>
      <c r="H505" s="4"/>
      <c r="I505" s="5"/>
      <c r="J505" s="5" t="str">
        <f t="shared" si="27"/>
        <v/>
      </c>
      <c r="K505" s="36"/>
      <c r="L505" s="5" t="str">
        <f t="shared" si="28"/>
        <v/>
      </c>
      <c r="M505" s="5"/>
      <c r="N505" s="5" t="str">
        <f t="shared" si="29"/>
        <v/>
      </c>
      <c r="O505" s="4"/>
      <c r="P505" s="4"/>
      <c r="Q505" s="4"/>
    </row>
    <row r="506" spans="1:17" hidden="1" x14ac:dyDescent="0.2">
      <c r="A506" s="159"/>
      <c r="B506" s="4"/>
      <c r="C506" s="4"/>
      <c r="D506" s="4"/>
      <c r="E506" s="41"/>
      <c r="F506" s="41"/>
      <c r="G506" s="5"/>
      <c r="H506" s="4"/>
      <c r="I506" s="5"/>
      <c r="J506" s="5" t="str">
        <f t="shared" si="27"/>
        <v/>
      </c>
      <c r="K506" s="36"/>
      <c r="L506" s="5" t="str">
        <f t="shared" si="28"/>
        <v/>
      </c>
      <c r="M506" s="5"/>
      <c r="N506" s="5" t="str">
        <f t="shared" si="29"/>
        <v/>
      </c>
      <c r="O506" s="4"/>
      <c r="P506" s="4"/>
      <c r="Q506" s="4"/>
    </row>
    <row r="507" spans="1:17" hidden="1" x14ac:dyDescent="0.2">
      <c r="A507" s="159"/>
      <c r="B507" s="4"/>
      <c r="C507" s="4"/>
      <c r="D507" s="4"/>
      <c r="E507" s="41"/>
      <c r="F507" s="41"/>
      <c r="G507" s="5"/>
      <c r="H507" s="4"/>
      <c r="I507" s="5"/>
      <c r="J507" s="5" t="str">
        <f t="shared" si="27"/>
        <v/>
      </c>
      <c r="K507" s="36"/>
      <c r="L507" s="5" t="str">
        <f t="shared" si="28"/>
        <v/>
      </c>
      <c r="M507" s="5"/>
      <c r="N507" s="5" t="str">
        <f t="shared" si="29"/>
        <v/>
      </c>
      <c r="O507" s="4"/>
      <c r="P507" s="4"/>
      <c r="Q507" s="4"/>
    </row>
    <row r="508" spans="1:17" hidden="1" x14ac:dyDescent="0.2">
      <c r="A508" s="159"/>
      <c r="B508" s="4"/>
      <c r="C508" s="4"/>
      <c r="D508" s="4"/>
      <c r="E508" s="41"/>
      <c r="F508" s="41"/>
      <c r="G508" s="5"/>
      <c r="H508" s="4"/>
      <c r="I508" s="5"/>
      <c r="J508" s="5" t="str">
        <f t="shared" si="27"/>
        <v/>
      </c>
      <c r="K508" s="36"/>
      <c r="L508" s="5" t="str">
        <f t="shared" si="28"/>
        <v/>
      </c>
      <c r="M508" s="5"/>
      <c r="N508" s="5" t="str">
        <f t="shared" si="29"/>
        <v/>
      </c>
      <c r="O508" s="4"/>
      <c r="P508" s="4"/>
      <c r="Q508" s="4"/>
    </row>
    <row r="509" spans="1:17" hidden="1" x14ac:dyDescent="0.2">
      <c r="A509" s="159"/>
      <c r="B509" s="4"/>
      <c r="C509" s="4"/>
      <c r="D509" s="4"/>
      <c r="E509" s="41"/>
      <c r="F509" s="41"/>
      <c r="G509" s="5"/>
      <c r="H509" s="4"/>
      <c r="I509" s="5"/>
      <c r="J509" s="5" t="str">
        <f t="shared" si="27"/>
        <v/>
      </c>
      <c r="K509" s="36"/>
      <c r="L509" s="5" t="str">
        <f t="shared" si="28"/>
        <v/>
      </c>
      <c r="M509" s="5"/>
      <c r="N509" s="5" t="str">
        <f t="shared" si="29"/>
        <v/>
      </c>
      <c r="O509" s="4"/>
      <c r="P509" s="4"/>
      <c r="Q509" s="4"/>
    </row>
    <row r="510" spans="1:17" hidden="1" x14ac:dyDescent="0.2">
      <c r="A510" s="159"/>
      <c r="B510" s="4"/>
      <c r="C510" s="4"/>
      <c r="D510" s="4"/>
      <c r="E510" s="41"/>
      <c r="F510" s="41"/>
      <c r="G510" s="5"/>
      <c r="H510" s="4"/>
      <c r="I510" s="5"/>
      <c r="J510" s="5" t="str">
        <f t="shared" si="27"/>
        <v/>
      </c>
      <c r="K510" s="36"/>
      <c r="L510" s="5" t="str">
        <f t="shared" si="28"/>
        <v/>
      </c>
      <c r="M510" s="5"/>
      <c r="N510" s="5" t="str">
        <f t="shared" si="29"/>
        <v/>
      </c>
      <c r="O510" s="4"/>
      <c r="P510" s="4"/>
      <c r="Q510" s="4"/>
    </row>
    <row r="511" spans="1:17" hidden="1" x14ac:dyDescent="0.2">
      <c r="A511" s="159"/>
      <c r="B511" s="4"/>
      <c r="C511" s="4"/>
      <c r="D511" s="4"/>
      <c r="E511" s="41"/>
      <c r="F511" s="41"/>
      <c r="G511" s="5"/>
      <c r="H511" s="4"/>
      <c r="I511" s="5"/>
      <c r="J511" s="5" t="str">
        <f t="shared" si="27"/>
        <v/>
      </c>
      <c r="K511" s="36"/>
      <c r="L511" s="5" t="str">
        <f t="shared" si="28"/>
        <v/>
      </c>
      <c r="M511" s="5"/>
      <c r="N511" s="5" t="str">
        <f t="shared" si="29"/>
        <v/>
      </c>
      <c r="O511" s="4"/>
      <c r="P511" s="4"/>
      <c r="Q511" s="4"/>
    </row>
    <row r="512" spans="1:17" hidden="1" x14ac:dyDescent="0.2">
      <c r="A512" s="159"/>
      <c r="B512" s="4"/>
      <c r="C512" s="4"/>
      <c r="D512" s="4"/>
      <c r="E512" s="41"/>
      <c r="F512" s="41"/>
      <c r="G512" s="5"/>
      <c r="H512" s="4"/>
      <c r="I512" s="5"/>
      <c r="J512" s="5" t="str">
        <f t="shared" si="27"/>
        <v/>
      </c>
      <c r="K512" s="36"/>
      <c r="L512" s="5" t="str">
        <f t="shared" si="28"/>
        <v/>
      </c>
      <c r="M512" s="5"/>
      <c r="N512" s="5" t="str">
        <f t="shared" si="29"/>
        <v/>
      </c>
      <c r="O512" s="4"/>
      <c r="P512" s="4"/>
      <c r="Q512" s="4"/>
    </row>
    <row r="513" spans="1:17" hidden="1" x14ac:dyDescent="0.2">
      <c r="A513" s="159"/>
      <c r="B513" s="4"/>
      <c r="C513" s="4"/>
      <c r="D513" s="4"/>
      <c r="E513" s="41"/>
      <c r="F513" s="41"/>
      <c r="G513" s="5"/>
      <c r="H513" s="4"/>
      <c r="I513" s="5"/>
      <c r="J513" s="5" t="str">
        <f t="shared" si="27"/>
        <v/>
      </c>
      <c r="K513" s="36"/>
      <c r="L513" s="5" t="str">
        <f t="shared" si="28"/>
        <v/>
      </c>
      <c r="M513" s="5"/>
      <c r="N513" s="5" t="str">
        <f t="shared" si="29"/>
        <v/>
      </c>
      <c r="O513" s="4"/>
      <c r="P513" s="4"/>
      <c r="Q513" s="4"/>
    </row>
    <row r="514" spans="1:17" hidden="1" x14ac:dyDescent="0.2">
      <c r="A514" s="159"/>
      <c r="B514" s="4"/>
      <c r="C514" s="4"/>
      <c r="D514" s="4"/>
      <c r="E514" s="41"/>
      <c r="F514" s="41"/>
      <c r="G514" s="5"/>
      <c r="H514" s="4"/>
      <c r="I514" s="5"/>
      <c r="J514" s="5" t="str">
        <f t="shared" si="27"/>
        <v/>
      </c>
      <c r="K514" s="36"/>
      <c r="L514" s="5" t="str">
        <f t="shared" si="28"/>
        <v/>
      </c>
      <c r="M514" s="5"/>
      <c r="N514" s="5" t="str">
        <f t="shared" si="29"/>
        <v/>
      </c>
      <c r="O514" s="4"/>
      <c r="P514" s="4"/>
      <c r="Q514" s="4"/>
    </row>
    <row r="515" spans="1:17" hidden="1" x14ac:dyDescent="0.2">
      <c r="A515" s="159"/>
      <c r="B515" s="4"/>
      <c r="C515" s="4"/>
      <c r="D515" s="4"/>
      <c r="E515" s="41"/>
      <c r="F515" s="41"/>
      <c r="G515" s="5"/>
      <c r="H515" s="4"/>
      <c r="I515" s="5"/>
      <c r="J515" s="5" t="str">
        <f t="shared" si="27"/>
        <v/>
      </c>
      <c r="K515" s="36"/>
      <c r="L515" s="5" t="str">
        <f t="shared" si="28"/>
        <v/>
      </c>
      <c r="M515" s="5"/>
      <c r="N515" s="5" t="str">
        <f t="shared" si="29"/>
        <v/>
      </c>
      <c r="O515" s="4"/>
      <c r="P515" s="4"/>
      <c r="Q515" s="4"/>
    </row>
    <row r="516" spans="1:17" hidden="1" x14ac:dyDescent="0.2">
      <c r="A516" s="159"/>
      <c r="B516" s="4"/>
      <c r="C516" s="4"/>
      <c r="D516" s="4"/>
      <c r="E516" s="41"/>
      <c r="F516" s="41"/>
      <c r="G516" s="5"/>
      <c r="H516" s="4"/>
      <c r="I516" s="5"/>
      <c r="J516" s="5" t="str">
        <f t="shared" si="27"/>
        <v/>
      </c>
      <c r="K516" s="36"/>
      <c r="L516" s="5" t="str">
        <f t="shared" si="28"/>
        <v/>
      </c>
      <c r="M516" s="5"/>
      <c r="N516" s="5" t="str">
        <f t="shared" si="29"/>
        <v/>
      </c>
      <c r="O516" s="4"/>
      <c r="P516" s="4"/>
      <c r="Q516" s="4"/>
    </row>
    <row r="517" spans="1:17" hidden="1" x14ac:dyDescent="0.2">
      <c r="A517" s="159"/>
      <c r="B517" s="4"/>
      <c r="C517" s="4"/>
      <c r="D517" s="4"/>
      <c r="E517" s="41"/>
      <c r="F517" s="41"/>
      <c r="G517" s="5"/>
      <c r="H517" s="4"/>
      <c r="I517" s="5"/>
      <c r="J517" s="5" t="str">
        <f t="shared" si="27"/>
        <v/>
      </c>
      <c r="K517" s="36"/>
      <c r="L517" s="5" t="str">
        <f t="shared" si="28"/>
        <v/>
      </c>
      <c r="M517" s="5"/>
      <c r="N517" s="5" t="str">
        <f t="shared" si="29"/>
        <v/>
      </c>
      <c r="O517" s="4"/>
      <c r="P517" s="4"/>
      <c r="Q517" s="4"/>
    </row>
    <row r="518" spans="1:17" hidden="1" x14ac:dyDescent="0.2">
      <c r="A518" s="159"/>
      <c r="B518" s="4"/>
      <c r="C518" s="4"/>
      <c r="D518" s="4"/>
      <c r="E518" s="41"/>
      <c r="F518" s="41"/>
      <c r="G518" s="5"/>
      <c r="H518" s="4"/>
      <c r="I518" s="5"/>
      <c r="J518" s="5" t="str">
        <f t="shared" si="27"/>
        <v/>
      </c>
      <c r="K518" s="36"/>
      <c r="L518" s="5" t="str">
        <f t="shared" si="28"/>
        <v/>
      </c>
      <c r="M518" s="5"/>
      <c r="N518" s="5" t="str">
        <f t="shared" si="29"/>
        <v/>
      </c>
      <c r="O518" s="4"/>
      <c r="P518" s="4"/>
      <c r="Q518" s="4"/>
    </row>
    <row r="519" spans="1:17" hidden="1" x14ac:dyDescent="0.2">
      <c r="A519" s="159"/>
      <c r="B519" s="4"/>
      <c r="C519" s="4"/>
      <c r="D519" s="4"/>
      <c r="E519" s="41"/>
      <c r="F519" s="41"/>
      <c r="G519" s="5"/>
      <c r="H519" s="4"/>
      <c r="I519" s="5"/>
      <c r="J519" s="5" t="str">
        <f t="shared" si="27"/>
        <v/>
      </c>
      <c r="K519" s="36"/>
      <c r="L519" s="5" t="str">
        <f t="shared" si="28"/>
        <v/>
      </c>
      <c r="M519" s="5"/>
      <c r="N519" s="5" t="str">
        <f t="shared" si="29"/>
        <v/>
      </c>
      <c r="O519" s="4"/>
      <c r="P519" s="4"/>
      <c r="Q519" s="4"/>
    </row>
    <row r="520" spans="1:17" hidden="1" x14ac:dyDescent="0.2">
      <c r="A520" s="159"/>
      <c r="B520" s="4"/>
      <c r="C520" s="4"/>
      <c r="D520" s="4"/>
      <c r="E520" s="41"/>
      <c r="F520" s="41"/>
      <c r="G520" s="5"/>
      <c r="H520" s="4"/>
      <c r="I520" s="5"/>
      <c r="J520" s="5" t="str">
        <f t="shared" si="27"/>
        <v/>
      </c>
      <c r="K520" s="36"/>
      <c r="L520" s="5" t="str">
        <f t="shared" si="28"/>
        <v/>
      </c>
      <c r="M520" s="5"/>
      <c r="N520" s="5" t="str">
        <f t="shared" si="29"/>
        <v/>
      </c>
      <c r="O520" s="4"/>
      <c r="P520" s="4"/>
      <c r="Q520" s="4"/>
    </row>
    <row r="521" spans="1:17" hidden="1" x14ac:dyDescent="0.2">
      <c r="A521" s="159"/>
      <c r="B521" s="4"/>
      <c r="C521" s="4"/>
      <c r="D521" s="4"/>
      <c r="E521" s="41"/>
      <c r="F521" s="41"/>
      <c r="G521" s="5"/>
      <c r="H521" s="4"/>
      <c r="I521" s="5"/>
      <c r="J521" s="5" t="str">
        <f t="shared" si="27"/>
        <v/>
      </c>
      <c r="K521" s="36"/>
      <c r="L521" s="5" t="str">
        <f t="shared" si="28"/>
        <v/>
      </c>
      <c r="M521" s="5"/>
      <c r="N521" s="5" t="str">
        <f t="shared" si="29"/>
        <v/>
      </c>
      <c r="O521" s="4"/>
      <c r="P521" s="4"/>
      <c r="Q521" s="4"/>
    </row>
    <row r="522" spans="1:17" hidden="1" x14ac:dyDescent="0.2">
      <c r="A522" s="159"/>
      <c r="B522" s="4"/>
      <c r="C522" s="4"/>
      <c r="D522" s="4"/>
      <c r="E522" s="41"/>
      <c r="F522" s="41"/>
      <c r="G522" s="5"/>
      <c r="H522" s="4"/>
      <c r="I522" s="5"/>
      <c r="J522" s="5" t="str">
        <f t="shared" si="27"/>
        <v/>
      </c>
      <c r="K522" s="36"/>
      <c r="L522" s="5" t="str">
        <f t="shared" si="28"/>
        <v/>
      </c>
      <c r="M522" s="5"/>
      <c r="N522" s="5" t="str">
        <f t="shared" si="29"/>
        <v/>
      </c>
      <c r="O522" s="4"/>
      <c r="P522" s="4"/>
      <c r="Q522" s="4"/>
    </row>
    <row r="523" spans="1:17" hidden="1" x14ac:dyDescent="0.2">
      <c r="A523" s="159"/>
      <c r="B523" s="4"/>
      <c r="C523" s="4"/>
      <c r="D523" s="4"/>
      <c r="E523" s="41"/>
      <c r="F523" s="41"/>
      <c r="G523" s="5"/>
      <c r="H523" s="4"/>
      <c r="I523" s="5"/>
      <c r="J523" s="5" t="str">
        <f t="shared" si="27"/>
        <v/>
      </c>
      <c r="K523" s="36"/>
      <c r="L523" s="5" t="str">
        <f t="shared" si="28"/>
        <v/>
      </c>
      <c r="M523" s="5"/>
      <c r="N523" s="5" t="str">
        <f t="shared" si="29"/>
        <v/>
      </c>
      <c r="O523" s="4"/>
      <c r="P523" s="4"/>
      <c r="Q523" s="4"/>
    </row>
    <row r="524" spans="1:17" hidden="1" x14ac:dyDescent="0.2">
      <c r="A524" s="159"/>
      <c r="B524" s="4"/>
      <c r="C524" s="4"/>
      <c r="D524" s="4"/>
      <c r="E524" s="41"/>
      <c r="F524" s="41"/>
      <c r="G524" s="5"/>
      <c r="H524" s="4"/>
      <c r="I524" s="5"/>
      <c r="J524" s="5" t="str">
        <f t="shared" si="27"/>
        <v/>
      </c>
      <c r="K524" s="36"/>
      <c r="L524" s="5" t="str">
        <f t="shared" si="28"/>
        <v/>
      </c>
      <c r="M524" s="5"/>
      <c r="N524" s="5" t="str">
        <f t="shared" si="29"/>
        <v/>
      </c>
      <c r="O524" s="4"/>
      <c r="P524" s="4"/>
      <c r="Q524" s="4"/>
    </row>
    <row r="525" spans="1:17" hidden="1" x14ac:dyDescent="0.2">
      <c r="A525" s="159"/>
      <c r="B525" s="4"/>
      <c r="C525" s="4"/>
      <c r="D525" s="4"/>
      <c r="E525" s="41"/>
      <c r="F525" s="41"/>
      <c r="G525" s="5"/>
      <c r="H525" s="4"/>
      <c r="I525" s="5"/>
      <c r="J525" s="5" t="str">
        <f t="shared" si="27"/>
        <v/>
      </c>
      <c r="K525" s="36"/>
      <c r="L525" s="5" t="str">
        <f t="shared" si="28"/>
        <v/>
      </c>
      <c r="M525" s="5"/>
      <c r="N525" s="5" t="str">
        <f t="shared" si="29"/>
        <v/>
      </c>
      <c r="O525" s="4"/>
      <c r="P525" s="4"/>
      <c r="Q525" s="4"/>
    </row>
    <row r="526" spans="1:17" hidden="1" x14ac:dyDescent="0.2">
      <c r="A526" s="159"/>
      <c r="B526" s="4"/>
      <c r="C526" s="4"/>
      <c r="D526" s="4"/>
      <c r="E526" s="41"/>
      <c r="F526" s="41"/>
      <c r="G526" s="5"/>
      <c r="H526" s="4"/>
      <c r="I526" s="5"/>
      <c r="J526" s="5" t="str">
        <f t="shared" si="27"/>
        <v/>
      </c>
      <c r="K526" s="36"/>
      <c r="L526" s="5" t="str">
        <f t="shared" si="28"/>
        <v/>
      </c>
      <c r="M526" s="5"/>
      <c r="N526" s="5" t="str">
        <f t="shared" si="29"/>
        <v/>
      </c>
      <c r="O526" s="4"/>
      <c r="P526" s="4"/>
      <c r="Q526" s="4"/>
    </row>
    <row r="527" spans="1:17" hidden="1" x14ac:dyDescent="0.2">
      <c r="A527" s="159"/>
      <c r="B527" s="4"/>
      <c r="C527" s="4"/>
      <c r="D527" s="4"/>
      <c r="E527" s="41"/>
      <c r="F527" s="41"/>
      <c r="G527" s="5"/>
      <c r="H527" s="4"/>
      <c r="I527" s="5"/>
      <c r="J527" s="5" t="str">
        <f t="shared" si="27"/>
        <v/>
      </c>
      <c r="K527" s="36"/>
      <c r="L527" s="5" t="str">
        <f t="shared" si="28"/>
        <v/>
      </c>
      <c r="M527" s="5"/>
      <c r="N527" s="5" t="str">
        <f t="shared" si="29"/>
        <v/>
      </c>
      <c r="O527" s="4"/>
      <c r="P527" s="4"/>
      <c r="Q527" s="4"/>
    </row>
    <row r="528" spans="1:17" hidden="1" x14ac:dyDescent="0.2">
      <c r="A528" s="159"/>
      <c r="B528" s="4"/>
      <c r="C528" s="4"/>
      <c r="D528" s="4"/>
      <c r="E528" s="41"/>
      <c r="F528" s="41"/>
      <c r="G528" s="5"/>
      <c r="H528" s="4"/>
      <c r="I528" s="5"/>
      <c r="J528" s="5" t="str">
        <f t="shared" si="27"/>
        <v/>
      </c>
      <c r="K528" s="36"/>
      <c r="L528" s="5" t="str">
        <f t="shared" si="28"/>
        <v/>
      </c>
      <c r="M528" s="5"/>
      <c r="N528" s="5" t="str">
        <f t="shared" si="29"/>
        <v/>
      </c>
      <c r="O528" s="4"/>
      <c r="P528" s="4"/>
      <c r="Q528" s="4"/>
    </row>
    <row r="529" spans="1:17" hidden="1" x14ac:dyDescent="0.2">
      <c r="A529" s="159"/>
      <c r="B529" s="4"/>
      <c r="C529" s="4"/>
      <c r="D529" s="4"/>
      <c r="E529" s="41"/>
      <c r="F529" s="41"/>
      <c r="G529" s="5"/>
      <c r="H529" s="4"/>
      <c r="I529" s="5"/>
      <c r="J529" s="5" t="str">
        <f t="shared" si="27"/>
        <v/>
      </c>
      <c r="K529" s="36"/>
      <c r="L529" s="5" t="str">
        <f t="shared" si="28"/>
        <v/>
      </c>
      <c r="M529" s="5"/>
      <c r="N529" s="5" t="str">
        <f t="shared" si="29"/>
        <v/>
      </c>
      <c r="O529" s="4"/>
      <c r="P529" s="4"/>
      <c r="Q529" s="4"/>
    </row>
    <row r="530" spans="1:17" hidden="1" x14ac:dyDescent="0.2">
      <c r="A530" s="159"/>
      <c r="B530" s="4"/>
      <c r="C530" s="4"/>
      <c r="D530" s="4"/>
      <c r="E530" s="41"/>
      <c r="F530" s="41"/>
      <c r="G530" s="5"/>
      <c r="H530" s="4"/>
      <c r="I530" s="5"/>
      <c r="J530" s="5" t="str">
        <f t="shared" si="27"/>
        <v/>
      </c>
      <c r="K530" s="36"/>
      <c r="L530" s="5" t="str">
        <f t="shared" si="28"/>
        <v/>
      </c>
      <c r="M530" s="5"/>
      <c r="N530" s="5" t="str">
        <f t="shared" si="29"/>
        <v/>
      </c>
      <c r="O530" s="4"/>
      <c r="P530" s="4"/>
      <c r="Q530" s="4"/>
    </row>
    <row r="531" spans="1:17" hidden="1" x14ac:dyDescent="0.2">
      <c r="A531" s="159"/>
      <c r="B531" s="4"/>
      <c r="C531" s="4"/>
      <c r="D531" s="4"/>
      <c r="E531" s="41"/>
      <c r="F531" s="41"/>
      <c r="G531" s="5"/>
      <c r="H531" s="4"/>
      <c r="I531" s="5"/>
      <c r="J531" s="5" t="str">
        <f t="shared" si="27"/>
        <v/>
      </c>
      <c r="K531" s="36"/>
      <c r="L531" s="5" t="str">
        <f t="shared" si="28"/>
        <v/>
      </c>
      <c r="M531" s="5"/>
      <c r="N531" s="5" t="str">
        <f t="shared" si="29"/>
        <v/>
      </c>
      <c r="O531" s="4"/>
      <c r="P531" s="4"/>
      <c r="Q531" s="4"/>
    </row>
    <row r="532" spans="1:17" hidden="1" x14ac:dyDescent="0.2">
      <c r="A532" s="159"/>
      <c r="B532" s="4"/>
      <c r="C532" s="4"/>
      <c r="D532" s="4"/>
      <c r="E532" s="41"/>
      <c r="F532" s="41"/>
      <c r="G532" s="5"/>
      <c r="H532" s="4"/>
      <c r="I532" s="5"/>
      <c r="J532" s="5" t="str">
        <f t="shared" si="27"/>
        <v/>
      </c>
      <c r="K532" s="36"/>
      <c r="L532" s="5" t="str">
        <f t="shared" si="28"/>
        <v/>
      </c>
      <c r="M532" s="5"/>
      <c r="N532" s="5" t="str">
        <f t="shared" si="29"/>
        <v/>
      </c>
      <c r="O532" s="4"/>
      <c r="P532" s="4"/>
      <c r="Q532" s="4"/>
    </row>
    <row r="533" spans="1:17" hidden="1" x14ac:dyDescent="0.2">
      <c r="A533" s="159"/>
      <c r="B533" s="4"/>
      <c r="C533" s="4"/>
      <c r="D533" s="4"/>
      <c r="E533" s="41"/>
      <c r="F533" s="41"/>
      <c r="G533" s="5"/>
      <c r="H533" s="4"/>
      <c r="I533" s="5"/>
      <c r="J533" s="5" t="str">
        <f t="shared" si="27"/>
        <v/>
      </c>
      <c r="K533" s="36"/>
      <c r="L533" s="5" t="str">
        <f t="shared" si="28"/>
        <v/>
      </c>
      <c r="M533" s="5"/>
      <c r="N533" s="5" t="str">
        <f t="shared" si="29"/>
        <v/>
      </c>
      <c r="O533" s="4"/>
      <c r="P533" s="4"/>
      <c r="Q533" s="4"/>
    </row>
    <row r="534" spans="1:17" hidden="1" x14ac:dyDescent="0.2">
      <c r="A534" s="159"/>
      <c r="B534" s="4"/>
      <c r="C534" s="4"/>
      <c r="D534" s="4"/>
      <c r="E534" s="41"/>
      <c r="F534" s="41"/>
      <c r="G534" s="5"/>
      <c r="H534" s="4"/>
      <c r="I534" s="5"/>
      <c r="J534" s="5" t="str">
        <f t="shared" si="27"/>
        <v/>
      </c>
      <c r="K534" s="36"/>
      <c r="L534" s="5" t="str">
        <f t="shared" si="28"/>
        <v/>
      </c>
      <c r="M534" s="5"/>
      <c r="N534" s="5" t="str">
        <f t="shared" si="29"/>
        <v/>
      </c>
      <c r="O534" s="4"/>
      <c r="P534" s="4"/>
      <c r="Q534" s="4"/>
    </row>
    <row r="535" spans="1:17" hidden="1" x14ac:dyDescent="0.2">
      <c r="A535" s="159"/>
      <c r="B535" s="4"/>
      <c r="C535" s="4"/>
      <c r="D535" s="4"/>
      <c r="E535" s="41"/>
      <c r="F535" s="41"/>
      <c r="G535" s="5"/>
      <c r="H535" s="4"/>
      <c r="I535" s="5"/>
      <c r="J535" s="5" t="str">
        <f t="shared" si="27"/>
        <v/>
      </c>
      <c r="K535" s="36"/>
      <c r="L535" s="5" t="str">
        <f t="shared" si="28"/>
        <v/>
      </c>
      <c r="M535" s="5"/>
      <c r="N535" s="5" t="str">
        <f t="shared" si="29"/>
        <v/>
      </c>
      <c r="O535" s="4"/>
      <c r="P535" s="4"/>
      <c r="Q535" s="4"/>
    </row>
    <row r="536" spans="1:17" hidden="1" x14ac:dyDescent="0.2">
      <c r="A536" s="159"/>
      <c r="B536" s="4"/>
      <c r="C536" s="4"/>
      <c r="D536" s="4"/>
      <c r="E536" s="41"/>
      <c r="F536" s="41"/>
      <c r="G536" s="5"/>
      <c r="H536" s="4"/>
      <c r="I536" s="5"/>
      <c r="J536" s="5" t="str">
        <f t="shared" si="27"/>
        <v/>
      </c>
      <c r="K536" s="36"/>
      <c r="L536" s="5" t="str">
        <f t="shared" si="28"/>
        <v/>
      </c>
      <c r="M536" s="5"/>
      <c r="N536" s="5" t="str">
        <f t="shared" si="29"/>
        <v/>
      </c>
      <c r="O536" s="4"/>
      <c r="P536" s="4"/>
      <c r="Q536" s="4"/>
    </row>
    <row r="537" spans="1:17" hidden="1" x14ac:dyDescent="0.2">
      <c r="A537" s="159"/>
      <c r="B537" s="4"/>
      <c r="C537" s="4"/>
      <c r="D537" s="4"/>
      <c r="E537" s="41"/>
      <c r="F537" s="41"/>
      <c r="G537" s="5"/>
      <c r="H537" s="4"/>
      <c r="I537" s="5"/>
      <c r="J537" s="5" t="str">
        <f t="shared" ref="J537:J600" si="30">IF($D537="","",IF($H537="FIXED",$I537,($E537*FAT_MULT)+($F537*SNF_MULT)+$G537))</f>
        <v/>
      </c>
      <c r="K537" s="36"/>
      <c r="L537" s="5" t="str">
        <f t="shared" ref="L537:L600" si="31">IF($K537="","",$K537*$J537)</f>
        <v/>
      </c>
      <c r="M537" s="5"/>
      <c r="N537" s="5" t="str">
        <f t="shared" ref="N537:N600" si="32">IF($K537="","",$L537+$M537)</f>
        <v/>
      </c>
      <c r="O537" s="4"/>
      <c r="P537" s="4"/>
      <c r="Q537" s="4"/>
    </row>
    <row r="538" spans="1:17" hidden="1" x14ac:dyDescent="0.2">
      <c r="A538" s="159"/>
      <c r="B538" s="4"/>
      <c r="C538" s="4"/>
      <c r="D538" s="4"/>
      <c r="E538" s="41"/>
      <c r="F538" s="41"/>
      <c r="G538" s="5"/>
      <c r="H538" s="4"/>
      <c r="I538" s="5"/>
      <c r="J538" s="5" t="str">
        <f t="shared" si="30"/>
        <v/>
      </c>
      <c r="K538" s="36"/>
      <c r="L538" s="5" t="str">
        <f t="shared" si="31"/>
        <v/>
      </c>
      <c r="M538" s="5"/>
      <c r="N538" s="5" t="str">
        <f t="shared" si="32"/>
        <v/>
      </c>
      <c r="O538" s="4"/>
      <c r="P538" s="4"/>
      <c r="Q538" s="4"/>
    </row>
    <row r="539" spans="1:17" hidden="1" x14ac:dyDescent="0.2">
      <c r="A539" s="159"/>
      <c r="B539" s="4"/>
      <c r="C539" s="4"/>
      <c r="D539" s="4"/>
      <c r="E539" s="41"/>
      <c r="F539" s="41"/>
      <c r="G539" s="5"/>
      <c r="H539" s="4"/>
      <c r="I539" s="5"/>
      <c r="J539" s="5" t="str">
        <f t="shared" si="30"/>
        <v/>
      </c>
      <c r="K539" s="36"/>
      <c r="L539" s="5" t="str">
        <f t="shared" si="31"/>
        <v/>
      </c>
      <c r="M539" s="5"/>
      <c r="N539" s="5" t="str">
        <f t="shared" si="32"/>
        <v/>
      </c>
      <c r="O539" s="4"/>
      <c r="P539" s="4"/>
      <c r="Q539" s="4"/>
    </row>
    <row r="540" spans="1:17" hidden="1" x14ac:dyDescent="0.2">
      <c r="A540" s="159"/>
      <c r="B540" s="4"/>
      <c r="C540" s="4"/>
      <c r="D540" s="4"/>
      <c r="E540" s="41"/>
      <c r="F540" s="41"/>
      <c r="G540" s="5"/>
      <c r="H540" s="4"/>
      <c r="I540" s="5"/>
      <c r="J540" s="5" t="str">
        <f t="shared" si="30"/>
        <v/>
      </c>
      <c r="K540" s="36"/>
      <c r="L540" s="5" t="str">
        <f t="shared" si="31"/>
        <v/>
      </c>
      <c r="M540" s="5"/>
      <c r="N540" s="5" t="str">
        <f t="shared" si="32"/>
        <v/>
      </c>
      <c r="O540" s="4"/>
      <c r="P540" s="4"/>
      <c r="Q540" s="4"/>
    </row>
    <row r="541" spans="1:17" hidden="1" x14ac:dyDescent="0.2">
      <c r="A541" s="159"/>
      <c r="B541" s="4"/>
      <c r="C541" s="4"/>
      <c r="D541" s="4"/>
      <c r="E541" s="41"/>
      <c r="F541" s="41"/>
      <c r="G541" s="5"/>
      <c r="H541" s="4"/>
      <c r="I541" s="5"/>
      <c r="J541" s="5" t="str">
        <f t="shared" si="30"/>
        <v/>
      </c>
      <c r="K541" s="36"/>
      <c r="L541" s="5" t="str">
        <f t="shared" si="31"/>
        <v/>
      </c>
      <c r="M541" s="5"/>
      <c r="N541" s="5" t="str">
        <f t="shared" si="32"/>
        <v/>
      </c>
      <c r="O541" s="4"/>
      <c r="P541" s="4"/>
      <c r="Q541" s="4"/>
    </row>
    <row r="542" spans="1:17" hidden="1" x14ac:dyDescent="0.2">
      <c r="A542" s="159"/>
      <c r="B542" s="4"/>
      <c r="C542" s="4"/>
      <c r="D542" s="4"/>
      <c r="E542" s="41"/>
      <c r="F542" s="41"/>
      <c r="G542" s="5"/>
      <c r="H542" s="4"/>
      <c r="I542" s="5"/>
      <c r="J542" s="5" t="str">
        <f t="shared" si="30"/>
        <v/>
      </c>
      <c r="K542" s="36"/>
      <c r="L542" s="5" t="str">
        <f t="shared" si="31"/>
        <v/>
      </c>
      <c r="M542" s="5"/>
      <c r="N542" s="5" t="str">
        <f t="shared" si="32"/>
        <v/>
      </c>
      <c r="O542" s="4"/>
      <c r="P542" s="4"/>
      <c r="Q542" s="4"/>
    </row>
    <row r="543" spans="1:17" hidden="1" x14ac:dyDescent="0.2">
      <c r="A543" s="159"/>
      <c r="B543" s="4"/>
      <c r="C543" s="4"/>
      <c r="D543" s="4"/>
      <c r="E543" s="41"/>
      <c r="F543" s="41"/>
      <c r="G543" s="5"/>
      <c r="H543" s="4"/>
      <c r="I543" s="5"/>
      <c r="J543" s="5" t="str">
        <f t="shared" si="30"/>
        <v/>
      </c>
      <c r="K543" s="36"/>
      <c r="L543" s="5" t="str">
        <f t="shared" si="31"/>
        <v/>
      </c>
      <c r="M543" s="5"/>
      <c r="N543" s="5" t="str">
        <f t="shared" si="32"/>
        <v/>
      </c>
      <c r="O543" s="4"/>
      <c r="P543" s="4"/>
      <c r="Q543" s="4"/>
    </row>
    <row r="544" spans="1:17" hidden="1" x14ac:dyDescent="0.2">
      <c r="A544" s="159"/>
      <c r="B544" s="4"/>
      <c r="C544" s="4"/>
      <c r="D544" s="4"/>
      <c r="E544" s="41"/>
      <c r="F544" s="41"/>
      <c r="G544" s="5"/>
      <c r="H544" s="4"/>
      <c r="I544" s="5"/>
      <c r="J544" s="5" t="str">
        <f t="shared" si="30"/>
        <v/>
      </c>
      <c r="K544" s="36"/>
      <c r="L544" s="5" t="str">
        <f t="shared" si="31"/>
        <v/>
      </c>
      <c r="M544" s="5"/>
      <c r="N544" s="5" t="str">
        <f t="shared" si="32"/>
        <v/>
      </c>
      <c r="O544" s="4"/>
      <c r="P544" s="4"/>
      <c r="Q544" s="4"/>
    </row>
    <row r="545" spans="1:17" hidden="1" x14ac:dyDescent="0.2">
      <c r="A545" s="159"/>
      <c r="B545" s="4"/>
      <c r="C545" s="4"/>
      <c r="D545" s="4"/>
      <c r="E545" s="41"/>
      <c r="F545" s="41"/>
      <c r="G545" s="5"/>
      <c r="H545" s="4"/>
      <c r="I545" s="5"/>
      <c r="J545" s="5" t="str">
        <f t="shared" si="30"/>
        <v/>
      </c>
      <c r="K545" s="36"/>
      <c r="L545" s="5" t="str">
        <f t="shared" si="31"/>
        <v/>
      </c>
      <c r="M545" s="5"/>
      <c r="N545" s="5" t="str">
        <f t="shared" si="32"/>
        <v/>
      </c>
      <c r="O545" s="4"/>
      <c r="P545" s="4"/>
      <c r="Q545" s="4"/>
    </row>
    <row r="546" spans="1:17" hidden="1" x14ac:dyDescent="0.2">
      <c r="A546" s="159"/>
      <c r="B546" s="4"/>
      <c r="C546" s="4"/>
      <c r="D546" s="4"/>
      <c r="E546" s="41"/>
      <c r="F546" s="41"/>
      <c r="G546" s="5"/>
      <c r="H546" s="4"/>
      <c r="I546" s="5"/>
      <c r="J546" s="5" t="str">
        <f t="shared" si="30"/>
        <v/>
      </c>
      <c r="K546" s="36"/>
      <c r="L546" s="5" t="str">
        <f t="shared" si="31"/>
        <v/>
      </c>
      <c r="M546" s="5"/>
      <c r="N546" s="5" t="str">
        <f t="shared" si="32"/>
        <v/>
      </c>
      <c r="O546" s="4"/>
      <c r="P546" s="4"/>
      <c r="Q546" s="4"/>
    </row>
    <row r="547" spans="1:17" hidden="1" x14ac:dyDescent="0.2">
      <c r="A547" s="159"/>
      <c r="B547" s="4"/>
      <c r="C547" s="4"/>
      <c r="D547" s="4"/>
      <c r="E547" s="41"/>
      <c r="F547" s="41"/>
      <c r="G547" s="5"/>
      <c r="H547" s="4"/>
      <c r="I547" s="5"/>
      <c r="J547" s="5" t="str">
        <f t="shared" si="30"/>
        <v/>
      </c>
      <c r="K547" s="36"/>
      <c r="L547" s="5" t="str">
        <f t="shared" si="31"/>
        <v/>
      </c>
      <c r="M547" s="5"/>
      <c r="N547" s="5" t="str">
        <f t="shared" si="32"/>
        <v/>
      </c>
      <c r="O547" s="4"/>
      <c r="P547" s="4"/>
      <c r="Q547" s="4"/>
    </row>
    <row r="548" spans="1:17" hidden="1" x14ac:dyDescent="0.2">
      <c r="A548" s="159"/>
      <c r="B548" s="4"/>
      <c r="C548" s="4"/>
      <c r="D548" s="4"/>
      <c r="E548" s="41"/>
      <c r="F548" s="41"/>
      <c r="G548" s="5"/>
      <c r="H548" s="4"/>
      <c r="I548" s="5"/>
      <c r="J548" s="5" t="str">
        <f t="shared" si="30"/>
        <v/>
      </c>
      <c r="K548" s="36"/>
      <c r="L548" s="5" t="str">
        <f t="shared" si="31"/>
        <v/>
      </c>
      <c r="M548" s="5"/>
      <c r="N548" s="5" t="str">
        <f t="shared" si="32"/>
        <v/>
      </c>
      <c r="O548" s="4"/>
      <c r="P548" s="4"/>
      <c r="Q548" s="4"/>
    </row>
    <row r="549" spans="1:17" hidden="1" x14ac:dyDescent="0.2">
      <c r="A549" s="159"/>
      <c r="B549" s="4"/>
      <c r="C549" s="4"/>
      <c r="D549" s="4"/>
      <c r="E549" s="41"/>
      <c r="F549" s="41"/>
      <c r="G549" s="5"/>
      <c r="H549" s="4"/>
      <c r="I549" s="5"/>
      <c r="J549" s="5" t="str">
        <f t="shared" si="30"/>
        <v/>
      </c>
      <c r="K549" s="36"/>
      <c r="L549" s="5" t="str">
        <f t="shared" si="31"/>
        <v/>
      </c>
      <c r="M549" s="5"/>
      <c r="N549" s="5" t="str">
        <f t="shared" si="32"/>
        <v/>
      </c>
      <c r="O549" s="4"/>
      <c r="P549" s="4"/>
      <c r="Q549" s="4"/>
    </row>
    <row r="550" spans="1:17" hidden="1" x14ac:dyDescent="0.2">
      <c r="A550" s="159"/>
      <c r="B550" s="4"/>
      <c r="C550" s="4"/>
      <c r="D550" s="4"/>
      <c r="E550" s="41"/>
      <c r="F550" s="41"/>
      <c r="G550" s="5"/>
      <c r="H550" s="4"/>
      <c r="I550" s="5"/>
      <c r="J550" s="5" t="str">
        <f t="shared" si="30"/>
        <v/>
      </c>
      <c r="K550" s="36"/>
      <c r="L550" s="5" t="str">
        <f t="shared" si="31"/>
        <v/>
      </c>
      <c r="M550" s="5"/>
      <c r="N550" s="5" t="str">
        <f t="shared" si="32"/>
        <v/>
      </c>
      <c r="O550" s="4"/>
      <c r="P550" s="4"/>
      <c r="Q550" s="4"/>
    </row>
    <row r="551" spans="1:17" hidden="1" x14ac:dyDescent="0.2">
      <c r="A551" s="159"/>
      <c r="B551" s="4"/>
      <c r="C551" s="4"/>
      <c r="D551" s="4"/>
      <c r="E551" s="41"/>
      <c r="F551" s="41"/>
      <c r="G551" s="5"/>
      <c r="H551" s="4"/>
      <c r="I551" s="5"/>
      <c r="J551" s="5" t="str">
        <f t="shared" si="30"/>
        <v/>
      </c>
      <c r="K551" s="36"/>
      <c r="L551" s="5" t="str">
        <f t="shared" si="31"/>
        <v/>
      </c>
      <c r="M551" s="5"/>
      <c r="N551" s="5" t="str">
        <f t="shared" si="32"/>
        <v/>
      </c>
      <c r="O551" s="4"/>
      <c r="P551" s="4"/>
      <c r="Q551" s="4"/>
    </row>
    <row r="552" spans="1:17" hidden="1" x14ac:dyDescent="0.2">
      <c r="A552" s="159"/>
      <c r="B552" s="4"/>
      <c r="C552" s="4"/>
      <c r="D552" s="4"/>
      <c r="E552" s="41"/>
      <c r="F552" s="41"/>
      <c r="G552" s="5"/>
      <c r="H552" s="4"/>
      <c r="I552" s="5"/>
      <c r="J552" s="5" t="str">
        <f t="shared" si="30"/>
        <v/>
      </c>
      <c r="K552" s="36"/>
      <c r="L552" s="5" t="str">
        <f t="shared" si="31"/>
        <v/>
      </c>
      <c r="M552" s="5"/>
      <c r="N552" s="5" t="str">
        <f t="shared" si="32"/>
        <v/>
      </c>
      <c r="O552" s="4"/>
      <c r="P552" s="4"/>
      <c r="Q552" s="4"/>
    </row>
    <row r="553" spans="1:17" hidden="1" x14ac:dyDescent="0.2">
      <c r="A553" s="159"/>
      <c r="B553" s="4"/>
      <c r="C553" s="4"/>
      <c r="D553" s="4"/>
      <c r="E553" s="41"/>
      <c r="F553" s="41"/>
      <c r="G553" s="5"/>
      <c r="H553" s="4"/>
      <c r="I553" s="5"/>
      <c r="J553" s="5" t="str">
        <f t="shared" si="30"/>
        <v/>
      </c>
      <c r="K553" s="36"/>
      <c r="L553" s="5" t="str">
        <f t="shared" si="31"/>
        <v/>
      </c>
      <c r="M553" s="5"/>
      <c r="N553" s="5" t="str">
        <f t="shared" si="32"/>
        <v/>
      </c>
      <c r="O553" s="4"/>
      <c r="P553" s="4"/>
      <c r="Q553" s="4"/>
    </row>
    <row r="554" spans="1:17" hidden="1" x14ac:dyDescent="0.2">
      <c r="A554" s="159"/>
      <c r="B554" s="4"/>
      <c r="C554" s="4"/>
      <c r="D554" s="4"/>
      <c r="E554" s="41"/>
      <c r="F554" s="41"/>
      <c r="G554" s="5"/>
      <c r="H554" s="4"/>
      <c r="I554" s="5"/>
      <c r="J554" s="5" t="str">
        <f t="shared" si="30"/>
        <v/>
      </c>
      <c r="K554" s="36"/>
      <c r="L554" s="5" t="str">
        <f t="shared" si="31"/>
        <v/>
      </c>
      <c r="M554" s="5"/>
      <c r="N554" s="5" t="str">
        <f t="shared" si="32"/>
        <v/>
      </c>
      <c r="O554" s="4"/>
      <c r="P554" s="4"/>
      <c r="Q554" s="4"/>
    </row>
    <row r="555" spans="1:17" hidden="1" x14ac:dyDescent="0.2">
      <c r="A555" s="159"/>
      <c r="B555" s="4"/>
      <c r="C555" s="4"/>
      <c r="D555" s="4"/>
      <c r="E555" s="41"/>
      <c r="F555" s="41"/>
      <c r="G555" s="5"/>
      <c r="H555" s="4"/>
      <c r="I555" s="5"/>
      <c r="J555" s="5" t="str">
        <f t="shared" si="30"/>
        <v/>
      </c>
      <c r="K555" s="36"/>
      <c r="L555" s="5" t="str">
        <f t="shared" si="31"/>
        <v/>
      </c>
      <c r="M555" s="5"/>
      <c r="N555" s="5" t="str">
        <f t="shared" si="32"/>
        <v/>
      </c>
      <c r="O555" s="4"/>
      <c r="P555" s="4"/>
      <c r="Q555" s="4"/>
    </row>
    <row r="556" spans="1:17" hidden="1" x14ac:dyDescent="0.2">
      <c r="A556" s="159"/>
      <c r="B556" s="4"/>
      <c r="C556" s="4"/>
      <c r="D556" s="4"/>
      <c r="E556" s="41"/>
      <c r="F556" s="41"/>
      <c r="G556" s="5"/>
      <c r="H556" s="4"/>
      <c r="I556" s="5"/>
      <c r="J556" s="5" t="str">
        <f t="shared" si="30"/>
        <v/>
      </c>
      <c r="K556" s="36"/>
      <c r="L556" s="5" t="str">
        <f t="shared" si="31"/>
        <v/>
      </c>
      <c r="M556" s="5"/>
      <c r="N556" s="5" t="str">
        <f t="shared" si="32"/>
        <v/>
      </c>
      <c r="O556" s="4"/>
      <c r="P556" s="4"/>
      <c r="Q556" s="4"/>
    </row>
    <row r="557" spans="1:17" hidden="1" x14ac:dyDescent="0.2">
      <c r="A557" s="159"/>
      <c r="B557" s="4"/>
      <c r="C557" s="4"/>
      <c r="D557" s="4"/>
      <c r="E557" s="41"/>
      <c r="F557" s="41"/>
      <c r="G557" s="5"/>
      <c r="H557" s="4"/>
      <c r="I557" s="5"/>
      <c r="J557" s="5" t="str">
        <f t="shared" si="30"/>
        <v/>
      </c>
      <c r="K557" s="36"/>
      <c r="L557" s="5" t="str">
        <f t="shared" si="31"/>
        <v/>
      </c>
      <c r="M557" s="5"/>
      <c r="N557" s="5" t="str">
        <f t="shared" si="32"/>
        <v/>
      </c>
      <c r="O557" s="4"/>
      <c r="P557" s="4"/>
      <c r="Q557" s="4"/>
    </row>
    <row r="558" spans="1:17" hidden="1" x14ac:dyDescent="0.2">
      <c r="A558" s="159"/>
      <c r="B558" s="4"/>
      <c r="C558" s="4"/>
      <c r="D558" s="4"/>
      <c r="E558" s="41"/>
      <c r="F558" s="41"/>
      <c r="G558" s="5"/>
      <c r="H558" s="4"/>
      <c r="I558" s="5"/>
      <c r="J558" s="5" t="str">
        <f t="shared" si="30"/>
        <v/>
      </c>
      <c r="K558" s="36"/>
      <c r="L558" s="5" t="str">
        <f t="shared" si="31"/>
        <v/>
      </c>
      <c r="M558" s="5"/>
      <c r="N558" s="5" t="str">
        <f t="shared" si="32"/>
        <v/>
      </c>
      <c r="O558" s="4"/>
      <c r="P558" s="4"/>
      <c r="Q558" s="4"/>
    </row>
    <row r="559" spans="1:17" hidden="1" x14ac:dyDescent="0.2">
      <c r="A559" s="159"/>
      <c r="B559" s="4"/>
      <c r="C559" s="4"/>
      <c r="D559" s="4"/>
      <c r="E559" s="41"/>
      <c r="F559" s="41"/>
      <c r="G559" s="5"/>
      <c r="H559" s="4"/>
      <c r="I559" s="5"/>
      <c r="J559" s="5" t="str">
        <f t="shared" si="30"/>
        <v/>
      </c>
      <c r="K559" s="36"/>
      <c r="L559" s="5" t="str">
        <f t="shared" si="31"/>
        <v/>
      </c>
      <c r="M559" s="5"/>
      <c r="N559" s="5" t="str">
        <f t="shared" si="32"/>
        <v/>
      </c>
      <c r="O559" s="4"/>
      <c r="P559" s="4"/>
      <c r="Q559" s="4"/>
    </row>
    <row r="560" spans="1:17" hidden="1" x14ac:dyDescent="0.2">
      <c r="A560" s="159"/>
      <c r="B560" s="4"/>
      <c r="C560" s="4"/>
      <c r="D560" s="4"/>
      <c r="E560" s="41"/>
      <c r="F560" s="41"/>
      <c r="G560" s="5"/>
      <c r="H560" s="4"/>
      <c r="I560" s="5"/>
      <c r="J560" s="5" t="str">
        <f t="shared" si="30"/>
        <v/>
      </c>
      <c r="K560" s="36"/>
      <c r="L560" s="5" t="str">
        <f t="shared" si="31"/>
        <v/>
      </c>
      <c r="M560" s="5"/>
      <c r="N560" s="5" t="str">
        <f t="shared" si="32"/>
        <v/>
      </c>
      <c r="O560" s="4"/>
      <c r="P560" s="4"/>
      <c r="Q560" s="4"/>
    </row>
    <row r="561" spans="1:17" hidden="1" x14ac:dyDescent="0.2">
      <c r="A561" s="159"/>
      <c r="B561" s="4"/>
      <c r="C561" s="4"/>
      <c r="D561" s="4"/>
      <c r="E561" s="41"/>
      <c r="F561" s="41"/>
      <c r="G561" s="5"/>
      <c r="H561" s="4"/>
      <c r="I561" s="5"/>
      <c r="J561" s="5" t="str">
        <f t="shared" si="30"/>
        <v/>
      </c>
      <c r="K561" s="36"/>
      <c r="L561" s="5" t="str">
        <f t="shared" si="31"/>
        <v/>
      </c>
      <c r="M561" s="5"/>
      <c r="N561" s="5" t="str">
        <f t="shared" si="32"/>
        <v/>
      </c>
      <c r="O561" s="4"/>
      <c r="P561" s="4"/>
      <c r="Q561" s="4"/>
    </row>
    <row r="562" spans="1:17" hidden="1" x14ac:dyDescent="0.2">
      <c r="A562" s="159"/>
      <c r="B562" s="4"/>
      <c r="C562" s="4"/>
      <c r="D562" s="4"/>
      <c r="E562" s="41"/>
      <c r="F562" s="41"/>
      <c r="G562" s="5"/>
      <c r="H562" s="4"/>
      <c r="I562" s="5"/>
      <c r="J562" s="5" t="str">
        <f t="shared" si="30"/>
        <v/>
      </c>
      <c r="K562" s="36"/>
      <c r="L562" s="5" t="str">
        <f t="shared" si="31"/>
        <v/>
      </c>
      <c r="M562" s="5"/>
      <c r="N562" s="5" t="str">
        <f t="shared" si="32"/>
        <v/>
      </c>
      <c r="O562" s="4"/>
      <c r="P562" s="4"/>
      <c r="Q562" s="4"/>
    </row>
    <row r="563" spans="1:17" hidden="1" x14ac:dyDescent="0.2">
      <c r="A563" s="159"/>
      <c r="B563" s="4"/>
      <c r="C563" s="4"/>
      <c r="D563" s="4"/>
      <c r="E563" s="41"/>
      <c r="F563" s="41"/>
      <c r="G563" s="5"/>
      <c r="H563" s="4"/>
      <c r="I563" s="5"/>
      <c r="J563" s="5" t="str">
        <f t="shared" si="30"/>
        <v/>
      </c>
      <c r="K563" s="36"/>
      <c r="L563" s="5" t="str">
        <f t="shared" si="31"/>
        <v/>
      </c>
      <c r="M563" s="5"/>
      <c r="N563" s="5" t="str">
        <f t="shared" si="32"/>
        <v/>
      </c>
      <c r="O563" s="4"/>
      <c r="P563" s="4"/>
      <c r="Q563" s="4"/>
    </row>
    <row r="564" spans="1:17" hidden="1" x14ac:dyDescent="0.2">
      <c r="A564" s="159"/>
      <c r="B564" s="4"/>
      <c r="C564" s="4"/>
      <c r="D564" s="4"/>
      <c r="E564" s="41"/>
      <c r="F564" s="41"/>
      <c r="G564" s="5"/>
      <c r="H564" s="4"/>
      <c r="I564" s="5"/>
      <c r="J564" s="5" t="str">
        <f t="shared" si="30"/>
        <v/>
      </c>
      <c r="K564" s="36"/>
      <c r="L564" s="5" t="str">
        <f t="shared" si="31"/>
        <v/>
      </c>
      <c r="M564" s="5"/>
      <c r="N564" s="5" t="str">
        <f t="shared" si="32"/>
        <v/>
      </c>
      <c r="O564" s="4"/>
      <c r="P564" s="4"/>
      <c r="Q564" s="4"/>
    </row>
    <row r="565" spans="1:17" hidden="1" x14ac:dyDescent="0.2">
      <c r="A565" s="159"/>
      <c r="B565" s="4"/>
      <c r="C565" s="4"/>
      <c r="D565" s="4"/>
      <c r="E565" s="41"/>
      <c r="F565" s="41"/>
      <c r="G565" s="5"/>
      <c r="H565" s="4"/>
      <c r="I565" s="5"/>
      <c r="J565" s="5" t="str">
        <f t="shared" si="30"/>
        <v/>
      </c>
      <c r="K565" s="36"/>
      <c r="L565" s="5" t="str">
        <f t="shared" si="31"/>
        <v/>
      </c>
      <c r="M565" s="5"/>
      <c r="N565" s="5" t="str">
        <f t="shared" si="32"/>
        <v/>
      </c>
      <c r="O565" s="4"/>
      <c r="P565" s="4"/>
      <c r="Q565" s="4"/>
    </row>
    <row r="566" spans="1:17" hidden="1" x14ac:dyDescent="0.2">
      <c r="A566" s="159"/>
      <c r="B566" s="4"/>
      <c r="C566" s="4"/>
      <c r="D566" s="4"/>
      <c r="E566" s="41"/>
      <c r="F566" s="41"/>
      <c r="G566" s="5"/>
      <c r="H566" s="4"/>
      <c r="I566" s="5"/>
      <c r="J566" s="5" t="str">
        <f t="shared" si="30"/>
        <v/>
      </c>
      <c r="K566" s="36"/>
      <c r="L566" s="5" t="str">
        <f t="shared" si="31"/>
        <v/>
      </c>
      <c r="M566" s="5"/>
      <c r="N566" s="5" t="str">
        <f t="shared" si="32"/>
        <v/>
      </c>
      <c r="O566" s="4"/>
      <c r="P566" s="4"/>
      <c r="Q566" s="4"/>
    </row>
    <row r="567" spans="1:17" hidden="1" x14ac:dyDescent="0.2">
      <c r="A567" s="159"/>
      <c r="B567" s="4"/>
      <c r="C567" s="4"/>
      <c r="D567" s="4"/>
      <c r="E567" s="41"/>
      <c r="F567" s="41"/>
      <c r="G567" s="5"/>
      <c r="H567" s="4"/>
      <c r="I567" s="5"/>
      <c r="J567" s="5" t="str">
        <f t="shared" si="30"/>
        <v/>
      </c>
      <c r="K567" s="36"/>
      <c r="L567" s="5" t="str">
        <f t="shared" si="31"/>
        <v/>
      </c>
      <c r="M567" s="5"/>
      <c r="N567" s="5" t="str">
        <f t="shared" si="32"/>
        <v/>
      </c>
      <c r="O567" s="4"/>
      <c r="P567" s="4"/>
      <c r="Q567" s="4"/>
    </row>
    <row r="568" spans="1:17" hidden="1" x14ac:dyDescent="0.2">
      <c r="A568" s="159"/>
      <c r="B568" s="4"/>
      <c r="C568" s="4"/>
      <c r="D568" s="4"/>
      <c r="E568" s="41"/>
      <c r="F568" s="41"/>
      <c r="G568" s="5"/>
      <c r="H568" s="4"/>
      <c r="I568" s="5"/>
      <c r="J568" s="5" t="str">
        <f t="shared" si="30"/>
        <v/>
      </c>
      <c r="K568" s="36"/>
      <c r="L568" s="5" t="str">
        <f t="shared" si="31"/>
        <v/>
      </c>
      <c r="M568" s="5"/>
      <c r="N568" s="5" t="str">
        <f t="shared" si="32"/>
        <v/>
      </c>
      <c r="O568" s="4"/>
      <c r="P568" s="4"/>
      <c r="Q568" s="4"/>
    </row>
    <row r="569" spans="1:17" hidden="1" x14ac:dyDescent="0.2">
      <c r="A569" s="159"/>
      <c r="B569" s="4"/>
      <c r="C569" s="4"/>
      <c r="D569" s="4"/>
      <c r="E569" s="41"/>
      <c r="F569" s="41"/>
      <c r="G569" s="5"/>
      <c r="H569" s="4"/>
      <c r="I569" s="5"/>
      <c r="J569" s="5" t="str">
        <f t="shared" si="30"/>
        <v/>
      </c>
      <c r="K569" s="36"/>
      <c r="L569" s="5" t="str">
        <f t="shared" si="31"/>
        <v/>
      </c>
      <c r="M569" s="5"/>
      <c r="N569" s="5" t="str">
        <f t="shared" si="32"/>
        <v/>
      </c>
      <c r="O569" s="4"/>
      <c r="P569" s="4"/>
      <c r="Q569" s="4"/>
    </row>
    <row r="570" spans="1:17" hidden="1" x14ac:dyDescent="0.2">
      <c r="A570" s="159"/>
      <c r="B570" s="4"/>
      <c r="C570" s="4"/>
      <c r="D570" s="4"/>
      <c r="E570" s="41"/>
      <c r="F570" s="41"/>
      <c r="G570" s="5"/>
      <c r="H570" s="4"/>
      <c r="I570" s="5"/>
      <c r="J570" s="5" t="str">
        <f t="shared" si="30"/>
        <v/>
      </c>
      <c r="K570" s="36"/>
      <c r="L570" s="5" t="str">
        <f t="shared" si="31"/>
        <v/>
      </c>
      <c r="M570" s="5"/>
      <c r="N570" s="5" t="str">
        <f t="shared" si="32"/>
        <v/>
      </c>
      <c r="O570" s="4"/>
      <c r="P570" s="4"/>
      <c r="Q570" s="4"/>
    </row>
    <row r="571" spans="1:17" hidden="1" x14ac:dyDescent="0.2">
      <c r="A571" s="159"/>
      <c r="B571" s="4"/>
      <c r="C571" s="4"/>
      <c r="D571" s="4"/>
      <c r="E571" s="41"/>
      <c r="F571" s="41"/>
      <c r="G571" s="5"/>
      <c r="H571" s="4"/>
      <c r="I571" s="5"/>
      <c r="J571" s="5" t="str">
        <f t="shared" si="30"/>
        <v/>
      </c>
      <c r="K571" s="36"/>
      <c r="L571" s="5" t="str">
        <f t="shared" si="31"/>
        <v/>
      </c>
      <c r="M571" s="5"/>
      <c r="N571" s="5" t="str">
        <f t="shared" si="32"/>
        <v/>
      </c>
      <c r="O571" s="4"/>
      <c r="P571" s="4"/>
      <c r="Q571" s="4"/>
    </row>
    <row r="572" spans="1:17" hidden="1" x14ac:dyDescent="0.2">
      <c r="A572" s="159"/>
      <c r="B572" s="4"/>
      <c r="C572" s="4"/>
      <c r="D572" s="4"/>
      <c r="E572" s="41"/>
      <c r="F572" s="41"/>
      <c r="G572" s="5"/>
      <c r="H572" s="4"/>
      <c r="I572" s="5"/>
      <c r="J572" s="5" t="str">
        <f t="shared" si="30"/>
        <v/>
      </c>
      <c r="K572" s="36"/>
      <c r="L572" s="5" t="str">
        <f t="shared" si="31"/>
        <v/>
      </c>
      <c r="M572" s="5"/>
      <c r="N572" s="5" t="str">
        <f t="shared" si="32"/>
        <v/>
      </c>
      <c r="O572" s="4"/>
      <c r="P572" s="4"/>
      <c r="Q572" s="4"/>
    </row>
    <row r="573" spans="1:17" hidden="1" x14ac:dyDescent="0.2">
      <c r="A573" s="159"/>
      <c r="B573" s="4"/>
      <c r="C573" s="4"/>
      <c r="D573" s="4"/>
      <c r="E573" s="41"/>
      <c r="F573" s="41"/>
      <c r="G573" s="5"/>
      <c r="H573" s="4"/>
      <c r="I573" s="5"/>
      <c r="J573" s="5" t="str">
        <f t="shared" si="30"/>
        <v/>
      </c>
      <c r="K573" s="36"/>
      <c r="L573" s="5" t="str">
        <f t="shared" si="31"/>
        <v/>
      </c>
      <c r="M573" s="5"/>
      <c r="N573" s="5" t="str">
        <f t="shared" si="32"/>
        <v/>
      </c>
      <c r="O573" s="4"/>
      <c r="P573" s="4"/>
      <c r="Q573" s="4"/>
    </row>
    <row r="574" spans="1:17" hidden="1" x14ac:dyDescent="0.2">
      <c r="A574" s="159"/>
      <c r="B574" s="4"/>
      <c r="C574" s="4"/>
      <c r="D574" s="4"/>
      <c r="E574" s="41"/>
      <c r="F574" s="41"/>
      <c r="G574" s="5"/>
      <c r="H574" s="4"/>
      <c r="I574" s="5"/>
      <c r="J574" s="5" t="str">
        <f t="shared" si="30"/>
        <v/>
      </c>
      <c r="K574" s="36"/>
      <c r="L574" s="5" t="str">
        <f t="shared" si="31"/>
        <v/>
      </c>
      <c r="M574" s="5"/>
      <c r="N574" s="5" t="str">
        <f t="shared" si="32"/>
        <v/>
      </c>
      <c r="O574" s="4"/>
      <c r="P574" s="4"/>
      <c r="Q574" s="4"/>
    </row>
    <row r="575" spans="1:17" hidden="1" x14ac:dyDescent="0.2">
      <c r="A575" s="159"/>
      <c r="B575" s="4"/>
      <c r="C575" s="4"/>
      <c r="D575" s="4"/>
      <c r="E575" s="41"/>
      <c r="F575" s="41"/>
      <c r="G575" s="5"/>
      <c r="H575" s="4"/>
      <c r="I575" s="5"/>
      <c r="J575" s="5" t="str">
        <f t="shared" si="30"/>
        <v/>
      </c>
      <c r="K575" s="36"/>
      <c r="L575" s="5" t="str">
        <f t="shared" si="31"/>
        <v/>
      </c>
      <c r="M575" s="5"/>
      <c r="N575" s="5" t="str">
        <f t="shared" si="32"/>
        <v/>
      </c>
      <c r="O575" s="4"/>
      <c r="P575" s="4"/>
      <c r="Q575" s="4"/>
    </row>
    <row r="576" spans="1:17" hidden="1" x14ac:dyDescent="0.2">
      <c r="A576" s="159"/>
      <c r="B576" s="4"/>
      <c r="C576" s="4"/>
      <c r="D576" s="4"/>
      <c r="E576" s="41"/>
      <c r="F576" s="41"/>
      <c r="G576" s="5"/>
      <c r="H576" s="4"/>
      <c r="I576" s="5"/>
      <c r="J576" s="5" t="str">
        <f t="shared" si="30"/>
        <v/>
      </c>
      <c r="K576" s="36"/>
      <c r="L576" s="5" t="str">
        <f t="shared" si="31"/>
        <v/>
      </c>
      <c r="M576" s="5"/>
      <c r="N576" s="5" t="str">
        <f t="shared" si="32"/>
        <v/>
      </c>
      <c r="O576" s="4"/>
      <c r="P576" s="4"/>
      <c r="Q576" s="4"/>
    </row>
    <row r="577" spans="1:17" hidden="1" x14ac:dyDescent="0.2">
      <c r="A577" s="159"/>
      <c r="B577" s="4"/>
      <c r="C577" s="4"/>
      <c r="D577" s="4"/>
      <c r="E577" s="41"/>
      <c r="F577" s="41"/>
      <c r="G577" s="5"/>
      <c r="H577" s="4"/>
      <c r="I577" s="5"/>
      <c r="J577" s="5" t="str">
        <f t="shared" si="30"/>
        <v/>
      </c>
      <c r="K577" s="36"/>
      <c r="L577" s="5" t="str">
        <f t="shared" si="31"/>
        <v/>
      </c>
      <c r="M577" s="5"/>
      <c r="N577" s="5" t="str">
        <f t="shared" si="32"/>
        <v/>
      </c>
      <c r="O577" s="4"/>
      <c r="P577" s="4"/>
      <c r="Q577" s="4"/>
    </row>
    <row r="578" spans="1:17" hidden="1" x14ac:dyDescent="0.2">
      <c r="A578" s="159"/>
      <c r="B578" s="4"/>
      <c r="C578" s="4"/>
      <c r="D578" s="4"/>
      <c r="E578" s="41"/>
      <c r="F578" s="41"/>
      <c r="G578" s="5"/>
      <c r="H578" s="4"/>
      <c r="I578" s="5"/>
      <c r="J578" s="5" t="str">
        <f t="shared" si="30"/>
        <v/>
      </c>
      <c r="K578" s="36"/>
      <c r="L578" s="5" t="str">
        <f t="shared" si="31"/>
        <v/>
      </c>
      <c r="M578" s="5"/>
      <c r="N578" s="5" t="str">
        <f t="shared" si="32"/>
        <v/>
      </c>
      <c r="O578" s="4"/>
      <c r="P578" s="4"/>
      <c r="Q578" s="4"/>
    </row>
    <row r="579" spans="1:17" hidden="1" x14ac:dyDescent="0.2">
      <c r="A579" s="159"/>
      <c r="B579" s="4"/>
      <c r="C579" s="4"/>
      <c r="D579" s="4"/>
      <c r="E579" s="41"/>
      <c r="F579" s="41"/>
      <c r="G579" s="5"/>
      <c r="H579" s="4"/>
      <c r="I579" s="5"/>
      <c r="J579" s="5" t="str">
        <f t="shared" si="30"/>
        <v/>
      </c>
      <c r="K579" s="36"/>
      <c r="L579" s="5" t="str">
        <f t="shared" si="31"/>
        <v/>
      </c>
      <c r="M579" s="5"/>
      <c r="N579" s="5" t="str">
        <f t="shared" si="32"/>
        <v/>
      </c>
      <c r="O579" s="4"/>
      <c r="P579" s="4"/>
      <c r="Q579" s="4"/>
    </row>
    <row r="580" spans="1:17" hidden="1" x14ac:dyDescent="0.2">
      <c r="A580" s="159"/>
      <c r="B580" s="4"/>
      <c r="C580" s="4"/>
      <c r="D580" s="4"/>
      <c r="E580" s="41"/>
      <c r="F580" s="41"/>
      <c r="G580" s="5"/>
      <c r="H580" s="4"/>
      <c r="I580" s="5"/>
      <c r="J580" s="5" t="str">
        <f t="shared" si="30"/>
        <v/>
      </c>
      <c r="K580" s="36"/>
      <c r="L580" s="5" t="str">
        <f t="shared" si="31"/>
        <v/>
      </c>
      <c r="M580" s="5"/>
      <c r="N580" s="5" t="str">
        <f t="shared" si="32"/>
        <v/>
      </c>
      <c r="O580" s="4"/>
      <c r="P580" s="4"/>
      <c r="Q580" s="4"/>
    </row>
    <row r="581" spans="1:17" hidden="1" x14ac:dyDescent="0.2">
      <c r="A581" s="159"/>
      <c r="B581" s="4"/>
      <c r="C581" s="4"/>
      <c r="D581" s="4"/>
      <c r="E581" s="41"/>
      <c r="F581" s="41"/>
      <c r="G581" s="5"/>
      <c r="H581" s="4"/>
      <c r="I581" s="5"/>
      <c r="J581" s="5" t="str">
        <f t="shared" si="30"/>
        <v/>
      </c>
      <c r="K581" s="36"/>
      <c r="L581" s="5" t="str">
        <f t="shared" si="31"/>
        <v/>
      </c>
      <c r="M581" s="5"/>
      <c r="N581" s="5" t="str">
        <f t="shared" si="32"/>
        <v/>
      </c>
      <c r="O581" s="4"/>
      <c r="P581" s="4"/>
      <c r="Q581" s="4"/>
    </row>
    <row r="582" spans="1:17" hidden="1" x14ac:dyDescent="0.2">
      <c r="A582" s="159"/>
      <c r="B582" s="4"/>
      <c r="C582" s="4"/>
      <c r="D582" s="4"/>
      <c r="E582" s="41"/>
      <c r="F582" s="41"/>
      <c r="G582" s="5"/>
      <c r="H582" s="4"/>
      <c r="I582" s="5"/>
      <c r="J582" s="5" t="str">
        <f t="shared" si="30"/>
        <v/>
      </c>
      <c r="K582" s="36"/>
      <c r="L582" s="5" t="str">
        <f t="shared" si="31"/>
        <v/>
      </c>
      <c r="M582" s="5"/>
      <c r="N582" s="5" t="str">
        <f t="shared" si="32"/>
        <v/>
      </c>
      <c r="O582" s="4"/>
      <c r="P582" s="4"/>
      <c r="Q582" s="4"/>
    </row>
    <row r="583" spans="1:17" hidden="1" x14ac:dyDescent="0.2">
      <c r="A583" s="159"/>
      <c r="B583" s="4"/>
      <c r="C583" s="4"/>
      <c r="D583" s="4"/>
      <c r="E583" s="41"/>
      <c r="F583" s="41"/>
      <c r="G583" s="5"/>
      <c r="H583" s="4"/>
      <c r="I583" s="5"/>
      <c r="J583" s="5" t="str">
        <f t="shared" si="30"/>
        <v/>
      </c>
      <c r="K583" s="36"/>
      <c r="L583" s="5" t="str">
        <f t="shared" si="31"/>
        <v/>
      </c>
      <c r="M583" s="5"/>
      <c r="N583" s="5" t="str">
        <f t="shared" si="32"/>
        <v/>
      </c>
      <c r="O583" s="4"/>
      <c r="P583" s="4"/>
      <c r="Q583" s="4"/>
    </row>
    <row r="584" spans="1:17" hidden="1" x14ac:dyDescent="0.2">
      <c r="A584" s="159"/>
      <c r="B584" s="4"/>
      <c r="C584" s="4"/>
      <c r="D584" s="4"/>
      <c r="E584" s="41"/>
      <c r="F584" s="41"/>
      <c r="G584" s="5"/>
      <c r="H584" s="4"/>
      <c r="I584" s="5"/>
      <c r="J584" s="5" t="str">
        <f t="shared" si="30"/>
        <v/>
      </c>
      <c r="K584" s="36"/>
      <c r="L584" s="5" t="str">
        <f t="shared" si="31"/>
        <v/>
      </c>
      <c r="M584" s="5"/>
      <c r="N584" s="5" t="str">
        <f t="shared" si="32"/>
        <v/>
      </c>
      <c r="O584" s="4"/>
      <c r="P584" s="4"/>
      <c r="Q584" s="4"/>
    </row>
    <row r="585" spans="1:17" hidden="1" x14ac:dyDescent="0.2">
      <c r="A585" s="159"/>
      <c r="B585" s="4"/>
      <c r="C585" s="4"/>
      <c r="D585" s="4"/>
      <c r="E585" s="41"/>
      <c r="F585" s="41"/>
      <c r="G585" s="5"/>
      <c r="H585" s="4"/>
      <c r="I585" s="5"/>
      <c r="J585" s="5" t="str">
        <f t="shared" si="30"/>
        <v/>
      </c>
      <c r="K585" s="36"/>
      <c r="L585" s="5" t="str">
        <f t="shared" si="31"/>
        <v/>
      </c>
      <c r="M585" s="5"/>
      <c r="N585" s="5" t="str">
        <f t="shared" si="32"/>
        <v/>
      </c>
      <c r="O585" s="4"/>
      <c r="P585" s="4"/>
      <c r="Q585" s="4"/>
    </row>
    <row r="586" spans="1:17" hidden="1" x14ac:dyDescent="0.2">
      <c r="A586" s="159"/>
      <c r="B586" s="4"/>
      <c r="C586" s="4"/>
      <c r="D586" s="4"/>
      <c r="E586" s="41"/>
      <c r="F586" s="41"/>
      <c r="G586" s="5"/>
      <c r="H586" s="4"/>
      <c r="I586" s="5"/>
      <c r="J586" s="5" t="str">
        <f t="shared" si="30"/>
        <v/>
      </c>
      <c r="K586" s="36"/>
      <c r="L586" s="5" t="str">
        <f t="shared" si="31"/>
        <v/>
      </c>
      <c r="M586" s="5"/>
      <c r="N586" s="5" t="str">
        <f t="shared" si="32"/>
        <v/>
      </c>
      <c r="O586" s="4"/>
      <c r="P586" s="4"/>
      <c r="Q586" s="4"/>
    </row>
    <row r="587" spans="1:17" hidden="1" x14ac:dyDescent="0.2">
      <c r="A587" s="159"/>
      <c r="B587" s="4"/>
      <c r="C587" s="4"/>
      <c r="D587" s="4"/>
      <c r="E587" s="41"/>
      <c r="F587" s="41"/>
      <c r="G587" s="5"/>
      <c r="H587" s="4"/>
      <c r="I587" s="5"/>
      <c r="J587" s="5" t="str">
        <f t="shared" si="30"/>
        <v/>
      </c>
      <c r="K587" s="36"/>
      <c r="L587" s="5" t="str">
        <f t="shared" si="31"/>
        <v/>
      </c>
      <c r="M587" s="5"/>
      <c r="N587" s="5" t="str">
        <f t="shared" si="32"/>
        <v/>
      </c>
      <c r="O587" s="4"/>
      <c r="P587" s="4"/>
      <c r="Q587" s="4"/>
    </row>
    <row r="588" spans="1:17" hidden="1" x14ac:dyDescent="0.2">
      <c r="A588" s="159"/>
      <c r="B588" s="4"/>
      <c r="C588" s="4"/>
      <c r="D588" s="4"/>
      <c r="E588" s="41"/>
      <c r="F588" s="41"/>
      <c r="G588" s="5"/>
      <c r="H588" s="4"/>
      <c r="I588" s="5"/>
      <c r="J588" s="5" t="str">
        <f t="shared" si="30"/>
        <v/>
      </c>
      <c r="K588" s="36"/>
      <c r="L588" s="5" t="str">
        <f t="shared" si="31"/>
        <v/>
      </c>
      <c r="M588" s="5"/>
      <c r="N588" s="5" t="str">
        <f t="shared" si="32"/>
        <v/>
      </c>
      <c r="O588" s="4"/>
      <c r="P588" s="4"/>
      <c r="Q588" s="4"/>
    </row>
    <row r="589" spans="1:17" hidden="1" x14ac:dyDescent="0.2">
      <c r="A589" s="159"/>
      <c r="B589" s="4"/>
      <c r="C589" s="4"/>
      <c r="D589" s="4"/>
      <c r="E589" s="41"/>
      <c r="F589" s="41"/>
      <c r="G589" s="5"/>
      <c r="H589" s="4"/>
      <c r="I589" s="5"/>
      <c r="J589" s="5" t="str">
        <f t="shared" si="30"/>
        <v/>
      </c>
      <c r="K589" s="36"/>
      <c r="L589" s="5" t="str">
        <f t="shared" si="31"/>
        <v/>
      </c>
      <c r="M589" s="5"/>
      <c r="N589" s="5" t="str">
        <f t="shared" si="32"/>
        <v/>
      </c>
      <c r="O589" s="4"/>
      <c r="P589" s="4"/>
      <c r="Q589" s="4"/>
    </row>
    <row r="590" spans="1:17" hidden="1" x14ac:dyDescent="0.2">
      <c r="A590" s="159"/>
      <c r="B590" s="4"/>
      <c r="C590" s="4"/>
      <c r="D590" s="4"/>
      <c r="E590" s="41"/>
      <c r="F590" s="41"/>
      <c r="G590" s="5"/>
      <c r="H590" s="4"/>
      <c r="I590" s="5"/>
      <c r="J590" s="5" t="str">
        <f t="shared" si="30"/>
        <v/>
      </c>
      <c r="K590" s="36"/>
      <c r="L590" s="5" t="str">
        <f t="shared" si="31"/>
        <v/>
      </c>
      <c r="M590" s="5"/>
      <c r="N590" s="5" t="str">
        <f t="shared" si="32"/>
        <v/>
      </c>
      <c r="O590" s="4"/>
      <c r="P590" s="4"/>
      <c r="Q590" s="4"/>
    </row>
    <row r="591" spans="1:17" hidden="1" x14ac:dyDescent="0.2">
      <c r="A591" s="159"/>
      <c r="B591" s="4"/>
      <c r="C591" s="4"/>
      <c r="D591" s="4"/>
      <c r="E591" s="41"/>
      <c r="F591" s="41"/>
      <c r="G591" s="5"/>
      <c r="H591" s="4"/>
      <c r="I591" s="5"/>
      <c r="J591" s="5" t="str">
        <f t="shared" si="30"/>
        <v/>
      </c>
      <c r="K591" s="36"/>
      <c r="L591" s="5" t="str">
        <f t="shared" si="31"/>
        <v/>
      </c>
      <c r="M591" s="5"/>
      <c r="N591" s="5" t="str">
        <f t="shared" si="32"/>
        <v/>
      </c>
      <c r="O591" s="4"/>
      <c r="P591" s="4"/>
      <c r="Q591" s="4"/>
    </row>
    <row r="592" spans="1:17" hidden="1" x14ac:dyDescent="0.2">
      <c r="A592" s="159"/>
      <c r="B592" s="4"/>
      <c r="C592" s="4"/>
      <c r="D592" s="4"/>
      <c r="E592" s="41"/>
      <c r="F592" s="41"/>
      <c r="G592" s="5"/>
      <c r="H592" s="4"/>
      <c r="I592" s="5"/>
      <c r="J592" s="5" t="str">
        <f t="shared" si="30"/>
        <v/>
      </c>
      <c r="K592" s="36"/>
      <c r="L592" s="5" t="str">
        <f t="shared" si="31"/>
        <v/>
      </c>
      <c r="M592" s="5"/>
      <c r="N592" s="5" t="str">
        <f t="shared" si="32"/>
        <v/>
      </c>
      <c r="O592" s="4"/>
      <c r="P592" s="4"/>
      <c r="Q592" s="4"/>
    </row>
    <row r="593" spans="1:17" hidden="1" x14ac:dyDescent="0.2">
      <c r="A593" s="159"/>
      <c r="B593" s="4"/>
      <c r="C593" s="4"/>
      <c r="D593" s="4"/>
      <c r="E593" s="41"/>
      <c r="F593" s="41"/>
      <c r="G593" s="5"/>
      <c r="H593" s="4"/>
      <c r="I593" s="5"/>
      <c r="J593" s="5" t="str">
        <f t="shared" si="30"/>
        <v/>
      </c>
      <c r="K593" s="36"/>
      <c r="L593" s="5" t="str">
        <f t="shared" si="31"/>
        <v/>
      </c>
      <c r="M593" s="5"/>
      <c r="N593" s="5" t="str">
        <f t="shared" si="32"/>
        <v/>
      </c>
      <c r="O593" s="4"/>
      <c r="P593" s="4"/>
      <c r="Q593" s="4"/>
    </row>
    <row r="594" spans="1:17" hidden="1" x14ac:dyDescent="0.2">
      <c r="A594" s="159"/>
      <c r="B594" s="4"/>
      <c r="C594" s="4"/>
      <c r="D594" s="4"/>
      <c r="E594" s="41"/>
      <c r="F594" s="41"/>
      <c r="G594" s="5"/>
      <c r="H594" s="4"/>
      <c r="I594" s="5"/>
      <c r="J594" s="5" t="str">
        <f t="shared" si="30"/>
        <v/>
      </c>
      <c r="K594" s="36"/>
      <c r="L594" s="5" t="str">
        <f t="shared" si="31"/>
        <v/>
      </c>
      <c r="M594" s="5"/>
      <c r="N594" s="5" t="str">
        <f t="shared" si="32"/>
        <v/>
      </c>
      <c r="O594" s="4"/>
      <c r="P594" s="4"/>
      <c r="Q594" s="4"/>
    </row>
    <row r="595" spans="1:17" hidden="1" x14ac:dyDescent="0.2">
      <c r="A595" s="159"/>
      <c r="B595" s="4"/>
      <c r="C595" s="4"/>
      <c r="D595" s="4"/>
      <c r="E595" s="41"/>
      <c r="F595" s="41"/>
      <c r="G595" s="5"/>
      <c r="H595" s="4"/>
      <c r="I595" s="5"/>
      <c r="J595" s="5" t="str">
        <f t="shared" si="30"/>
        <v/>
      </c>
      <c r="K595" s="36"/>
      <c r="L595" s="5" t="str">
        <f t="shared" si="31"/>
        <v/>
      </c>
      <c r="M595" s="5"/>
      <c r="N595" s="5" t="str">
        <f t="shared" si="32"/>
        <v/>
      </c>
      <c r="O595" s="4"/>
      <c r="P595" s="4"/>
      <c r="Q595" s="4"/>
    </row>
    <row r="596" spans="1:17" hidden="1" x14ac:dyDescent="0.2">
      <c r="A596" s="159"/>
      <c r="B596" s="4"/>
      <c r="C596" s="4"/>
      <c r="D596" s="4"/>
      <c r="E596" s="41"/>
      <c r="F596" s="41"/>
      <c r="G596" s="5"/>
      <c r="H596" s="4"/>
      <c r="I596" s="5"/>
      <c r="J596" s="5" t="str">
        <f t="shared" si="30"/>
        <v/>
      </c>
      <c r="K596" s="36"/>
      <c r="L596" s="5" t="str">
        <f t="shared" si="31"/>
        <v/>
      </c>
      <c r="M596" s="5"/>
      <c r="N596" s="5" t="str">
        <f t="shared" si="32"/>
        <v/>
      </c>
      <c r="O596" s="4"/>
      <c r="P596" s="4"/>
      <c r="Q596" s="4"/>
    </row>
    <row r="597" spans="1:17" hidden="1" x14ac:dyDescent="0.2">
      <c r="A597" s="159"/>
      <c r="B597" s="4"/>
      <c r="C597" s="4"/>
      <c r="D597" s="4"/>
      <c r="E597" s="41"/>
      <c r="F597" s="41"/>
      <c r="G597" s="5"/>
      <c r="H597" s="4"/>
      <c r="I597" s="5"/>
      <c r="J597" s="5" t="str">
        <f t="shared" si="30"/>
        <v/>
      </c>
      <c r="K597" s="36"/>
      <c r="L597" s="5" t="str">
        <f t="shared" si="31"/>
        <v/>
      </c>
      <c r="M597" s="5"/>
      <c r="N597" s="5" t="str">
        <f t="shared" si="32"/>
        <v/>
      </c>
      <c r="O597" s="4"/>
      <c r="P597" s="4"/>
      <c r="Q597" s="4"/>
    </row>
    <row r="598" spans="1:17" hidden="1" x14ac:dyDescent="0.2">
      <c r="A598" s="159"/>
      <c r="B598" s="4"/>
      <c r="C598" s="4"/>
      <c r="D598" s="4"/>
      <c r="E598" s="41"/>
      <c r="F598" s="41"/>
      <c r="G598" s="5"/>
      <c r="H598" s="4"/>
      <c r="I598" s="5"/>
      <c r="J598" s="5" t="str">
        <f t="shared" si="30"/>
        <v/>
      </c>
      <c r="K598" s="36"/>
      <c r="L598" s="5" t="str">
        <f t="shared" si="31"/>
        <v/>
      </c>
      <c r="M598" s="5"/>
      <c r="N598" s="5" t="str">
        <f t="shared" si="32"/>
        <v/>
      </c>
      <c r="O598" s="4"/>
      <c r="P598" s="4"/>
      <c r="Q598" s="4"/>
    </row>
    <row r="599" spans="1:17" hidden="1" x14ac:dyDescent="0.2">
      <c r="A599" s="159"/>
      <c r="B599" s="4"/>
      <c r="C599" s="4"/>
      <c r="D599" s="4"/>
      <c r="E599" s="41"/>
      <c r="F599" s="41"/>
      <c r="G599" s="5"/>
      <c r="H599" s="4"/>
      <c r="I599" s="5"/>
      <c r="J599" s="5" t="str">
        <f t="shared" si="30"/>
        <v/>
      </c>
      <c r="K599" s="36"/>
      <c r="L599" s="5" t="str">
        <f t="shared" si="31"/>
        <v/>
      </c>
      <c r="M599" s="5"/>
      <c r="N599" s="5" t="str">
        <f t="shared" si="32"/>
        <v/>
      </c>
      <c r="O599" s="4"/>
      <c r="P599" s="4"/>
      <c r="Q599" s="4"/>
    </row>
    <row r="600" spans="1:17" hidden="1" x14ac:dyDescent="0.2">
      <c r="A600" s="159"/>
      <c r="B600" s="4"/>
      <c r="C600" s="4"/>
      <c r="D600" s="4"/>
      <c r="E600" s="41"/>
      <c r="F600" s="41"/>
      <c r="G600" s="5"/>
      <c r="H600" s="4"/>
      <c r="I600" s="5"/>
      <c r="J600" s="5" t="str">
        <f t="shared" si="30"/>
        <v/>
      </c>
      <c r="K600" s="36"/>
      <c r="L600" s="5" t="str">
        <f t="shared" si="31"/>
        <v/>
      </c>
      <c r="M600" s="5"/>
      <c r="N600" s="5" t="str">
        <f t="shared" si="32"/>
        <v/>
      </c>
      <c r="O600" s="4"/>
      <c r="P600" s="4"/>
      <c r="Q600" s="4"/>
    </row>
    <row r="601" spans="1:17" hidden="1" x14ac:dyDescent="0.2">
      <c r="A601" s="159"/>
      <c r="B601" s="4"/>
      <c r="C601" s="4"/>
      <c r="D601" s="4"/>
      <c r="E601" s="41"/>
      <c r="F601" s="41"/>
      <c r="G601" s="5"/>
      <c r="H601" s="4"/>
      <c r="I601" s="5"/>
      <c r="J601" s="5" t="str">
        <f t="shared" ref="J601:J633" si="33">IF($D601="","",IF($H601="FIXED",$I601,($E601*FAT_MULT)+($F601*SNF_MULT)+$G601))</f>
        <v/>
      </c>
      <c r="K601" s="36"/>
      <c r="L601" s="5" t="str">
        <f t="shared" ref="L601:L633" si="34">IF($K601="","",$K601*$J601)</f>
        <v/>
      </c>
      <c r="M601" s="5"/>
      <c r="N601" s="5" t="str">
        <f t="shared" ref="N601:N633" si="35">IF($K601="","",$L601+$M601)</f>
        <v/>
      </c>
      <c r="O601" s="4"/>
      <c r="P601" s="4"/>
      <c r="Q601" s="4"/>
    </row>
    <row r="602" spans="1:17" hidden="1" x14ac:dyDescent="0.2">
      <c r="A602" s="159"/>
      <c r="B602" s="4"/>
      <c r="C602" s="4"/>
      <c r="D602" s="4"/>
      <c r="E602" s="41"/>
      <c r="F602" s="41"/>
      <c r="G602" s="5"/>
      <c r="H602" s="4"/>
      <c r="I602" s="5"/>
      <c r="J602" s="5" t="str">
        <f t="shared" si="33"/>
        <v/>
      </c>
      <c r="K602" s="36"/>
      <c r="L602" s="5" t="str">
        <f t="shared" si="34"/>
        <v/>
      </c>
      <c r="M602" s="5"/>
      <c r="N602" s="5" t="str">
        <f t="shared" si="35"/>
        <v/>
      </c>
      <c r="O602" s="4"/>
      <c r="P602" s="4"/>
      <c r="Q602" s="4"/>
    </row>
    <row r="603" spans="1:17" hidden="1" x14ac:dyDescent="0.2">
      <c r="A603" s="159"/>
      <c r="B603" s="4"/>
      <c r="C603" s="4"/>
      <c r="D603" s="4"/>
      <c r="E603" s="41"/>
      <c r="F603" s="41"/>
      <c r="G603" s="5"/>
      <c r="H603" s="4"/>
      <c r="I603" s="5"/>
      <c r="J603" s="5" t="str">
        <f t="shared" si="33"/>
        <v/>
      </c>
      <c r="K603" s="36"/>
      <c r="L603" s="5" t="str">
        <f t="shared" si="34"/>
        <v/>
      </c>
      <c r="M603" s="5"/>
      <c r="N603" s="5" t="str">
        <f t="shared" si="35"/>
        <v/>
      </c>
      <c r="O603" s="4"/>
      <c r="P603" s="4"/>
      <c r="Q603" s="4"/>
    </row>
    <row r="604" spans="1:17" hidden="1" x14ac:dyDescent="0.2">
      <c r="A604" s="159"/>
      <c r="B604" s="4"/>
      <c r="C604" s="4"/>
      <c r="D604" s="4"/>
      <c r="E604" s="41"/>
      <c r="F604" s="41"/>
      <c r="G604" s="5"/>
      <c r="H604" s="4"/>
      <c r="I604" s="5"/>
      <c r="J604" s="5" t="str">
        <f t="shared" si="33"/>
        <v/>
      </c>
      <c r="K604" s="36"/>
      <c r="L604" s="5" t="str">
        <f t="shared" si="34"/>
        <v/>
      </c>
      <c r="M604" s="5"/>
      <c r="N604" s="5" t="str">
        <f t="shared" si="35"/>
        <v/>
      </c>
      <c r="O604" s="4"/>
      <c r="P604" s="4"/>
      <c r="Q604" s="4"/>
    </row>
    <row r="605" spans="1:17" hidden="1" x14ac:dyDescent="0.2">
      <c r="A605" s="159"/>
      <c r="B605" s="4"/>
      <c r="C605" s="4"/>
      <c r="D605" s="4"/>
      <c r="E605" s="41"/>
      <c r="F605" s="41"/>
      <c r="G605" s="5"/>
      <c r="H605" s="4"/>
      <c r="I605" s="5"/>
      <c r="J605" s="5" t="str">
        <f t="shared" si="33"/>
        <v/>
      </c>
      <c r="K605" s="36"/>
      <c r="L605" s="5" t="str">
        <f t="shared" si="34"/>
        <v/>
      </c>
      <c r="M605" s="5"/>
      <c r="N605" s="5" t="str">
        <f t="shared" si="35"/>
        <v/>
      </c>
      <c r="O605" s="4"/>
      <c r="P605" s="4"/>
      <c r="Q605" s="4"/>
    </row>
    <row r="606" spans="1:17" hidden="1" x14ac:dyDescent="0.2">
      <c r="A606" s="159"/>
      <c r="B606" s="4"/>
      <c r="C606" s="4"/>
      <c r="D606" s="4"/>
      <c r="E606" s="41"/>
      <c r="F606" s="41"/>
      <c r="G606" s="5"/>
      <c r="H606" s="4"/>
      <c r="I606" s="5"/>
      <c r="J606" s="5" t="str">
        <f t="shared" si="33"/>
        <v/>
      </c>
      <c r="K606" s="36"/>
      <c r="L606" s="5" t="str">
        <f t="shared" si="34"/>
        <v/>
      </c>
      <c r="M606" s="5"/>
      <c r="N606" s="5" t="str">
        <f t="shared" si="35"/>
        <v/>
      </c>
      <c r="O606" s="4"/>
      <c r="P606" s="4"/>
      <c r="Q606" s="4"/>
    </row>
    <row r="607" spans="1:17" hidden="1" x14ac:dyDescent="0.2">
      <c r="A607" s="159"/>
      <c r="B607" s="4"/>
      <c r="C607" s="4"/>
      <c r="D607" s="4"/>
      <c r="E607" s="41"/>
      <c r="F607" s="41"/>
      <c r="G607" s="5"/>
      <c r="H607" s="4"/>
      <c r="I607" s="5"/>
      <c r="J607" s="5" t="str">
        <f t="shared" si="33"/>
        <v/>
      </c>
      <c r="K607" s="36"/>
      <c r="L607" s="5" t="str">
        <f t="shared" si="34"/>
        <v/>
      </c>
      <c r="M607" s="5"/>
      <c r="N607" s="5" t="str">
        <f t="shared" si="35"/>
        <v/>
      </c>
      <c r="O607" s="4"/>
      <c r="P607" s="4"/>
      <c r="Q607" s="4"/>
    </row>
    <row r="608" spans="1:17" hidden="1" x14ac:dyDescent="0.2">
      <c r="A608" s="159"/>
      <c r="B608" s="4"/>
      <c r="C608" s="4"/>
      <c r="D608" s="4"/>
      <c r="E608" s="41"/>
      <c r="F608" s="41"/>
      <c r="G608" s="5"/>
      <c r="H608" s="4"/>
      <c r="I608" s="5"/>
      <c r="J608" s="5" t="str">
        <f t="shared" si="33"/>
        <v/>
      </c>
      <c r="K608" s="36"/>
      <c r="L608" s="5" t="str">
        <f t="shared" si="34"/>
        <v/>
      </c>
      <c r="M608" s="5"/>
      <c r="N608" s="5" t="str">
        <f t="shared" si="35"/>
        <v/>
      </c>
      <c r="O608" s="4"/>
      <c r="P608" s="4"/>
      <c r="Q608" s="4"/>
    </row>
    <row r="609" spans="1:17" hidden="1" x14ac:dyDescent="0.2">
      <c r="A609" s="159"/>
      <c r="B609" s="4"/>
      <c r="C609" s="4"/>
      <c r="D609" s="4"/>
      <c r="E609" s="41"/>
      <c r="F609" s="41"/>
      <c r="G609" s="5"/>
      <c r="H609" s="4"/>
      <c r="I609" s="5"/>
      <c r="J609" s="5" t="str">
        <f t="shared" si="33"/>
        <v/>
      </c>
      <c r="K609" s="36"/>
      <c r="L609" s="5" t="str">
        <f t="shared" si="34"/>
        <v/>
      </c>
      <c r="M609" s="5"/>
      <c r="N609" s="5" t="str">
        <f t="shared" si="35"/>
        <v/>
      </c>
      <c r="O609" s="4"/>
      <c r="P609" s="4"/>
      <c r="Q609" s="4"/>
    </row>
    <row r="610" spans="1:17" hidden="1" x14ac:dyDescent="0.2">
      <c r="A610" s="159"/>
      <c r="B610" s="4"/>
      <c r="C610" s="4"/>
      <c r="D610" s="4"/>
      <c r="E610" s="41"/>
      <c r="F610" s="41"/>
      <c r="G610" s="5"/>
      <c r="H610" s="4"/>
      <c r="I610" s="5"/>
      <c r="J610" s="5" t="str">
        <f t="shared" si="33"/>
        <v/>
      </c>
      <c r="K610" s="36"/>
      <c r="L610" s="5" t="str">
        <f t="shared" si="34"/>
        <v/>
      </c>
      <c r="M610" s="5"/>
      <c r="N610" s="5" t="str">
        <f t="shared" si="35"/>
        <v/>
      </c>
      <c r="O610" s="4"/>
      <c r="P610" s="4"/>
      <c r="Q610" s="4"/>
    </row>
    <row r="611" spans="1:17" hidden="1" x14ac:dyDescent="0.2">
      <c r="A611" s="159"/>
      <c r="B611" s="4"/>
      <c r="C611" s="4"/>
      <c r="D611" s="4"/>
      <c r="E611" s="41"/>
      <c r="F611" s="41"/>
      <c r="G611" s="5"/>
      <c r="H611" s="4"/>
      <c r="I611" s="5"/>
      <c r="J611" s="5" t="str">
        <f t="shared" si="33"/>
        <v/>
      </c>
      <c r="K611" s="36"/>
      <c r="L611" s="5" t="str">
        <f t="shared" si="34"/>
        <v/>
      </c>
      <c r="M611" s="5"/>
      <c r="N611" s="5" t="str">
        <f t="shared" si="35"/>
        <v/>
      </c>
      <c r="O611" s="4"/>
      <c r="P611" s="4"/>
      <c r="Q611" s="4"/>
    </row>
    <row r="612" spans="1:17" hidden="1" x14ac:dyDescent="0.2">
      <c r="A612" s="159"/>
      <c r="B612" s="4"/>
      <c r="C612" s="4"/>
      <c r="D612" s="4"/>
      <c r="E612" s="41"/>
      <c r="F612" s="41"/>
      <c r="G612" s="5"/>
      <c r="H612" s="4"/>
      <c r="I612" s="5"/>
      <c r="J612" s="5" t="str">
        <f t="shared" si="33"/>
        <v/>
      </c>
      <c r="K612" s="36"/>
      <c r="L612" s="5" t="str">
        <f t="shared" si="34"/>
        <v/>
      </c>
      <c r="M612" s="5"/>
      <c r="N612" s="5" t="str">
        <f t="shared" si="35"/>
        <v/>
      </c>
      <c r="O612" s="4"/>
      <c r="P612" s="4"/>
      <c r="Q612" s="4"/>
    </row>
    <row r="613" spans="1:17" hidden="1" x14ac:dyDescent="0.2">
      <c r="A613" s="159"/>
      <c r="B613" s="4"/>
      <c r="C613" s="4"/>
      <c r="D613" s="4"/>
      <c r="E613" s="41"/>
      <c r="F613" s="41"/>
      <c r="G613" s="5"/>
      <c r="H613" s="4"/>
      <c r="I613" s="5"/>
      <c r="J613" s="5" t="str">
        <f t="shared" si="33"/>
        <v/>
      </c>
      <c r="K613" s="36"/>
      <c r="L613" s="5" t="str">
        <f t="shared" si="34"/>
        <v/>
      </c>
      <c r="M613" s="5"/>
      <c r="N613" s="5" t="str">
        <f t="shared" si="35"/>
        <v/>
      </c>
      <c r="O613" s="4"/>
      <c r="P613" s="4"/>
      <c r="Q613" s="4"/>
    </row>
    <row r="614" spans="1:17" hidden="1" x14ac:dyDescent="0.2">
      <c r="A614" s="159"/>
      <c r="B614" s="4"/>
      <c r="C614" s="4"/>
      <c r="D614" s="4"/>
      <c r="E614" s="41"/>
      <c r="F614" s="41"/>
      <c r="G614" s="5"/>
      <c r="H614" s="4"/>
      <c r="I614" s="5"/>
      <c r="J614" s="5" t="str">
        <f t="shared" si="33"/>
        <v/>
      </c>
      <c r="K614" s="36"/>
      <c r="L614" s="5" t="str">
        <f t="shared" si="34"/>
        <v/>
      </c>
      <c r="M614" s="5"/>
      <c r="N614" s="5" t="str">
        <f t="shared" si="35"/>
        <v/>
      </c>
      <c r="O614" s="4"/>
      <c r="P614" s="4"/>
      <c r="Q614" s="4"/>
    </row>
    <row r="615" spans="1:17" hidden="1" x14ac:dyDescent="0.2">
      <c r="A615" s="159"/>
      <c r="B615" s="4"/>
      <c r="C615" s="4"/>
      <c r="D615" s="4"/>
      <c r="E615" s="41"/>
      <c r="F615" s="41"/>
      <c r="G615" s="5"/>
      <c r="H615" s="4"/>
      <c r="I615" s="5"/>
      <c r="J615" s="5" t="str">
        <f t="shared" si="33"/>
        <v/>
      </c>
      <c r="K615" s="36"/>
      <c r="L615" s="5" t="str">
        <f t="shared" si="34"/>
        <v/>
      </c>
      <c r="M615" s="5"/>
      <c r="N615" s="5" t="str">
        <f t="shared" si="35"/>
        <v/>
      </c>
      <c r="O615" s="4"/>
      <c r="P615" s="4"/>
      <c r="Q615" s="4"/>
    </row>
    <row r="616" spans="1:17" hidden="1" x14ac:dyDescent="0.2">
      <c r="A616" s="159"/>
      <c r="B616" s="4"/>
      <c r="C616" s="4"/>
      <c r="D616" s="4"/>
      <c r="E616" s="41"/>
      <c r="F616" s="41"/>
      <c r="G616" s="5"/>
      <c r="H616" s="4"/>
      <c r="I616" s="5"/>
      <c r="J616" s="5" t="str">
        <f t="shared" si="33"/>
        <v/>
      </c>
      <c r="K616" s="36"/>
      <c r="L616" s="5" t="str">
        <f t="shared" si="34"/>
        <v/>
      </c>
      <c r="M616" s="5"/>
      <c r="N616" s="5" t="str">
        <f t="shared" si="35"/>
        <v/>
      </c>
      <c r="O616" s="4"/>
      <c r="P616" s="4"/>
      <c r="Q616" s="4"/>
    </row>
    <row r="617" spans="1:17" hidden="1" x14ac:dyDescent="0.2">
      <c r="A617" s="159"/>
      <c r="B617" s="4"/>
      <c r="C617" s="4"/>
      <c r="D617" s="4"/>
      <c r="E617" s="41"/>
      <c r="F617" s="41"/>
      <c r="G617" s="5"/>
      <c r="H617" s="4"/>
      <c r="I617" s="5"/>
      <c r="J617" s="5" t="str">
        <f t="shared" si="33"/>
        <v/>
      </c>
      <c r="K617" s="36"/>
      <c r="L617" s="5" t="str">
        <f t="shared" si="34"/>
        <v/>
      </c>
      <c r="M617" s="5"/>
      <c r="N617" s="5" t="str">
        <f t="shared" si="35"/>
        <v/>
      </c>
      <c r="O617" s="4"/>
      <c r="P617" s="4"/>
      <c r="Q617" s="4"/>
    </row>
    <row r="618" spans="1:17" hidden="1" x14ac:dyDescent="0.2">
      <c r="A618" s="159"/>
      <c r="B618" s="4"/>
      <c r="C618" s="4"/>
      <c r="D618" s="4"/>
      <c r="E618" s="41"/>
      <c r="F618" s="41"/>
      <c r="G618" s="5"/>
      <c r="H618" s="4"/>
      <c r="I618" s="5"/>
      <c r="J618" s="5" t="str">
        <f t="shared" si="33"/>
        <v/>
      </c>
      <c r="K618" s="36"/>
      <c r="L618" s="5" t="str">
        <f t="shared" si="34"/>
        <v/>
      </c>
      <c r="M618" s="5"/>
      <c r="N618" s="5" t="str">
        <f t="shared" si="35"/>
        <v/>
      </c>
      <c r="O618" s="4"/>
      <c r="P618" s="4"/>
      <c r="Q618" s="4"/>
    </row>
    <row r="619" spans="1:17" hidden="1" x14ac:dyDescent="0.2">
      <c r="A619" s="159"/>
      <c r="B619" s="4"/>
      <c r="C619" s="4"/>
      <c r="D619" s="4"/>
      <c r="E619" s="41"/>
      <c r="F619" s="41"/>
      <c r="G619" s="5"/>
      <c r="H619" s="4"/>
      <c r="I619" s="5"/>
      <c r="J619" s="5" t="str">
        <f t="shared" si="33"/>
        <v/>
      </c>
      <c r="K619" s="36"/>
      <c r="L619" s="5" t="str">
        <f t="shared" si="34"/>
        <v/>
      </c>
      <c r="M619" s="5"/>
      <c r="N619" s="5" t="str">
        <f t="shared" si="35"/>
        <v/>
      </c>
      <c r="O619" s="4"/>
      <c r="P619" s="4"/>
      <c r="Q619" s="4"/>
    </row>
    <row r="620" spans="1:17" hidden="1" x14ac:dyDescent="0.2">
      <c r="A620" s="159"/>
      <c r="B620" s="4"/>
      <c r="C620" s="4"/>
      <c r="D620" s="4"/>
      <c r="E620" s="41"/>
      <c r="F620" s="41"/>
      <c r="G620" s="5"/>
      <c r="H620" s="4"/>
      <c r="I620" s="5"/>
      <c r="J620" s="5" t="str">
        <f t="shared" si="33"/>
        <v/>
      </c>
      <c r="K620" s="36"/>
      <c r="L620" s="5" t="str">
        <f t="shared" si="34"/>
        <v/>
      </c>
      <c r="M620" s="5"/>
      <c r="N620" s="5" t="str">
        <f t="shared" si="35"/>
        <v/>
      </c>
      <c r="O620" s="4"/>
      <c r="P620" s="4"/>
      <c r="Q620" s="4"/>
    </row>
    <row r="621" spans="1:17" hidden="1" x14ac:dyDescent="0.2">
      <c r="A621" s="159"/>
      <c r="B621" s="4"/>
      <c r="C621" s="4"/>
      <c r="D621" s="4"/>
      <c r="E621" s="41"/>
      <c r="F621" s="41"/>
      <c r="G621" s="5"/>
      <c r="H621" s="4"/>
      <c r="I621" s="5"/>
      <c r="J621" s="5" t="str">
        <f t="shared" si="33"/>
        <v/>
      </c>
      <c r="K621" s="36"/>
      <c r="L621" s="5" t="str">
        <f t="shared" si="34"/>
        <v/>
      </c>
      <c r="M621" s="5"/>
      <c r="N621" s="5" t="str">
        <f t="shared" si="35"/>
        <v/>
      </c>
      <c r="O621" s="4"/>
      <c r="P621" s="4"/>
      <c r="Q621" s="4"/>
    </row>
    <row r="622" spans="1:17" hidden="1" x14ac:dyDescent="0.2">
      <c r="A622" s="159"/>
      <c r="B622" s="4"/>
      <c r="C622" s="4"/>
      <c r="D622" s="4"/>
      <c r="E622" s="41"/>
      <c r="F622" s="41"/>
      <c r="G622" s="5"/>
      <c r="H622" s="4"/>
      <c r="I622" s="5"/>
      <c r="J622" s="5" t="str">
        <f t="shared" si="33"/>
        <v/>
      </c>
      <c r="K622" s="36"/>
      <c r="L622" s="5" t="str">
        <f t="shared" si="34"/>
        <v/>
      </c>
      <c r="M622" s="5"/>
      <c r="N622" s="5" t="str">
        <f t="shared" si="35"/>
        <v/>
      </c>
      <c r="O622" s="4"/>
      <c r="P622" s="4"/>
      <c r="Q622" s="4"/>
    </row>
    <row r="623" spans="1:17" hidden="1" x14ac:dyDescent="0.2">
      <c r="A623" s="159"/>
      <c r="B623" s="4"/>
      <c r="C623" s="4"/>
      <c r="D623" s="4"/>
      <c r="E623" s="41"/>
      <c r="F623" s="41"/>
      <c r="G623" s="5"/>
      <c r="H623" s="4"/>
      <c r="I623" s="5"/>
      <c r="J623" s="5" t="str">
        <f t="shared" si="33"/>
        <v/>
      </c>
      <c r="K623" s="36"/>
      <c r="L623" s="5" t="str">
        <f t="shared" si="34"/>
        <v/>
      </c>
      <c r="M623" s="5"/>
      <c r="N623" s="5" t="str">
        <f t="shared" si="35"/>
        <v/>
      </c>
      <c r="O623" s="4"/>
      <c r="P623" s="4"/>
      <c r="Q623" s="4"/>
    </row>
    <row r="624" spans="1:17" hidden="1" x14ac:dyDescent="0.2">
      <c r="A624" s="159"/>
      <c r="B624" s="4"/>
      <c r="C624" s="4"/>
      <c r="D624" s="4"/>
      <c r="E624" s="41"/>
      <c r="F624" s="41"/>
      <c r="G624" s="5"/>
      <c r="H624" s="4"/>
      <c r="I624" s="5"/>
      <c r="J624" s="5" t="str">
        <f t="shared" si="33"/>
        <v/>
      </c>
      <c r="K624" s="36"/>
      <c r="L624" s="5" t="str">
        <f t="shared" si="34"/>
        <v/>
      </c>
      <c r="M624" s="5"/>
      <c r="N624" s="5" t="str">
        <f t="shared" si="35"/>
        <v/>
      </c>
      <c r="O624" s="4"/>
      <c r="P624" s="4"/>
      <c r="Q624" s="4"/>
    </row>
    <row r="625" spans="1:17" hidden="1" x14ac:dyDescent="0.2">
      <c r="A625" s="159"/>
      <c r="B625" s="4"/>
      <c r="C625" s="4"/>
      <c r="D625" s="4"/>
      <c r="E625" s="41"/>
      <c r="F625" s="41"/>
      <c r="G625" s="5"/>
      <c r="H625" s="4"/>
      <c r="I625" s="5"/>
      <c r="J625" s="5" t="str">
        <f t="shared" si="33"/>
        <v/>
      </c>
      <c r="K625" s="36"/>
      <c r="L625" s="5" t="str">
        <f t="shared" si="34"/>
        <v/>
      </c>
      <c r="M625" s="5"/>
      <c r="N625" s="5" t="str">
        <f t="shared" si="35"/>
        <v/>
      </c>
      <c r="O625" s="4"/>
      <c r="P625" s="4"/>
      <c r="Q625" s="4"/>
    </row>
    <row r="626" spans="1:17" hidden="1" x14ac:dyDescent="0.2">
      <c r="A626" s="159"/>
      <c r="B626" s="4"/>
      <c r="C626" s="4"/>
      <c r="D626" s="4"/>
      <c r="E626" s="41"/>
      <c r="F626" s="41"/>
      <c r="G626" s="5"/>
      <c r="H626" s="4"/>
      <c r="I626" s="5"/>
      <c r="J626" s="5" t="str">
        <f t="shared" si="33"/>
        <v/>
      </c>
      <c r="K626" s="36"/>
      <c r="L626" s="5" t="str">
        <f t="shared" si="34"/>
        <v/>
      </c>
      <c r="M626" s="5"/>
      <c r="N626" s="5" t="str">
        <f t="shared" si="35"/>
        <v/>
      </c>
      <c r="O626" s="4"/>
      <c r="P626" s="4"/>
      <c r="Q626" s="4"/>
    </row>
    <row r="627" spans="1:17" hidden="1" x14ac:dyDescent="0.2">
      <c r="A627" s="159"/>
      <c r="B627" s="4"/>
      <c r="C627" s="4"/>
      <c r="D627" s="4"/>
      <c r="E627" s="41"/>
      <c r="F627" s="41"/>
      <c r="G627" s="5"/>
      <c r="H627" s="4"/>
      <c r="I627" s="5"/>
      <c r="J627" s="5" t="str">
        <f t="shared" si="33"/>
        <v/>
      </c>
      <c r="K627" s="36"/>
      <c r="L627" s="5" t="str">
        <f t="shared" si="34"/>
        <v/>
      </c>
      <c r="M627" s="5"/>
      <c r="N627" s="5" t="str">
        <f t="shared" si="35"/>
        <v/>
      </c>
      <c r="O627" s="4"/>
      <c r="P627" s="4"/>
      <c r="Q627" s="4"/>
    </row>
    <row r="628" spans="1:17" hidden="1" x14ac:dyDescent="0.2">
      <c r="A628" s="159"/>
      <c r="B628" s="4"/>
      <c r="C628" s="4"/>
      <c r="D628" s="4"/>
      <c r="E628" s="41"/>
      <c r="F628" s="41"/>
      <c r="G628" s="5"/>
      <c r="H628" s="4"/>
      <c r="I628" s="5"/>
      <c r="J628" s="5" t="str">
        <f t="shared" si="33"/>
        <v/>
      </c>
      <c r="K628" s="36"/>
      <c r="L628" s="5" t="str">
        <f t="shared" si="34"/>
        <v/>
      </c>
      <c r="M628" s="5"/>
      <c r="N628" s="5" t="str">
        <f t="shared" si="35"/>
        <v/>
      </c>
      <c r="O628" s="4"/>
      <c r="P628" s="4"/>
      <c r="Q628" s="4"/>
    </row>
    <row r="629" spans="1:17" x14ac:dyDescent="0.2">
      <c r="A629" s="159"/>
      <c r="B629" s="4"/>
      <c r="C629" s="4"/>
      <c r="D629" s="4"/>
      <c r="E629" s="41"/>
      <c r="F629" s="41"/>
      <c r="G629" s="5"/>
      <c r="H629" s="4"/>
      <c r="I629" s="5"/>
      <c r="J629" s="5" t="str">
        <f t="shared" si="33"/>
        <v/>
      </c>
      <c r="K629" s="36"/>
      <c r="L629" s="5" t="str">
        <f t="shared" si="34"/>
        <v/>
      </c>
      <c r="M629" s="5"/>
      <c r="N629" s="5" t="str">
        <f t="shared" si="35"/>
        <v/>
      </c>
      <c r="O629" s="4"/>
      <c r="P629" s="4"/>
      <c r="Q629" s="4"/>
    </row>
    <row r="630" spans="1:17" x14ac:dyDescent="0.2">
      <c r="A630" s="159"/>
      <c r="B630" s="4"/>
      <c r="C630" s="4"/>
      <c r="D630" s="4"/>
      <c r="E630" s="41"/>
      <c r="F630" s="41"/>
      <c r="G630" s="5"/>
      <c r="H630" s="4"/>
      <c r="I630" s="5"/>
      <c r="J630" s="5" t="str">
        <f t="shared" si="33"/>
        <v/>
      </c>
      <c r="K630" s="36"/>
      <c r="L630" s="5" t="str">
        <f t="shared" si="34"/>
        <v/>
      </c>
      <c r="M630" s="5"/>
      <c r="N630" s="5" t="str">
        <f t="shared" si="35"/>
        <v/>
      </c>
      <c r="O630" s="4"/>
      <c r="P630" s="4"/>
      <c r="Q630" s="4"/>
    </row>
    <row r="631" spans="1:17" x14ac:dyDescent="0.2">
      <c r="A631" s="159"/>
      <c r="B631" s="4"/>
      <c r="C631" s="4"/>
      <c r="D631" s="4"/>
      <c r="E631" s="41"/>
      <c r="F631" s="41"/>
      <c r="G631" s="5"/>
      <c r="H631" s="4"/>
      <c r="I631" s="5"/>
      <c r="J631" s="5" t="str">
        <f t="shared" si="33"/>
        <v/>
      </c>
      <c r="K631" s="36"/>
      <c r="L631" s="5" t="str">
        <f t="shared" si="34"/>
        <v/>
      </c>
      <c r="M631" s="5"/>
      <c r="N631" s="5" t="str">
        <f t="shared" si="35"/>
        <v/>
      </c>
      <c r="O631" s="4"/>
      <c r="P631" s="4"/>
      <c r="Q631" s="4"/>
    </row>
    <row r="632" spans="1:17" x14ac:dyDescent="0.2">
      <c r="A632" s="159"/>
      <c r="B632" s="4"/>
      <c r="C632" s="4"/>
      <c r="D632" s="4"/>
      <c r="E632" s="41"/>
      <c r="F632" s="41"/>
      <c r="G632" s="5"/>
      <c r="H632" s="4"/>
      <c r="I632" s="5"/>
      <c r="J632" s="5" t="str">
        <f t="shared" si="33"/>
        <v/>
      </c>
      <c r="K632" s="36"/>
      <c r="L632" s="5" t="str">
        <f t="shared" si="34"/>
        <v/>
      </c>
      <c r="M632" s="5"/>
      <c r="N632" s="5" t="str">
        <f t="shared" si="35"/>
        <v/>
      </c>
      <c r="O632" s="4"/>
      <c r="P632" s="4"/>
      <c r="Q632" s="4"/>
    </row>
    <row r="633" spans="1:17" x14ac:dyDescent="0.2">
      <c r="A633" s="159"/>
      <c r="B633" s="4"/>
      <c r="C633" s="4"/>
      <c r="D633" s="4"/>
      <c r="E633" s="41"/>
      <c r="F633" s="41"/>
      <c r="G633" s="5"/>
      <c r="H633" s="4"/>
      <c r="I633" s="5"/>
      <c r="J633" s="5" t="str">
        <f t="shared" si="33"/>
        <v/>
      </c>
      <c r="K633" s="36"/>
      <c r="L633" s="5" t="str">
        <f t="shared" si="34"/>
        <v/>
      </c>
      <c r="M633" s="5"/>
      <c r="N633" s="5" t="str">
        <f t="shared" si="35"/>
        <v/>
      </c>
      <c r="O633" s="4"/>
      <c r="P633" s="4"/>
      <c r="Q633" s="4"/>
    </row>
    <row r="634" spans="1:17" ht="24" customHeight="1" x14ac:dyDescent="0.2">
      <c r="A634" s="161"/>
      <c r="B634" s="38"/>
      <c r="C634" s="39" t="s">
        <v>50</v>
      </c>
      <c r="D634" s="38"/>
      <c r="E634" s="38"/>
      <c r="F634" s="38"/>
      <c r="G634" s="38"/>
      <c r="H634" s="38"/>
      <c r="I634" s="38"/>
      <c r="J634" s="38"/>
      <c r="K634" s="140">
        <f>SUBTOTAL(9,K3:K633)</f>
        <v>1996.0000000000005</v>
      </c>
      <c r="L634" s="40">
        <f>SUBTOTAL(9,L3:L633)</f>
        <v>136371.84035000001</v>
      </c>
      <c r="M634" s="40">
        <f>SUBTOTAL(9,M3:M633)</f>
        <v>0</v>
      </c>
      <c r="N634" s="40">
        <f>SUBTOTAL(9,N3:N633)</f>
        <v>136371.84035000001</v>
      </c>
      <c r="O634" s="38"/>
      <c r="P634" s="38"/>
      <c r="Q634" s="38"/>
    </row>
  </sheetData>
  <autoFilter ref="A2:Q628" xr:uid="{00000000-0009-0000-0000-000004000000}">
    <filterColumn colId="2">
      <filters>
        <filter val="MODERN AGRO  -315"/>
      </filters>
    </filterColumn>
  </autoFilter>
  <mergeCells count="1">
    <mergeCell ref="A1:Q1"/>
  </mergeCells>
  <conditionalFormatting sqref="A3:Q633">
    <cfRule type="expression" dxfId="17" priority="1">
      <formula>AND($A3&lt;&gt;"",MOD(ROW(),2)=0)</formula>
    </cfRule>
  </conditionalFormatting>
  <conditionalFormatting sqref="P3:P633">
    <cfRule type="cellIs" dxfId="16" priority="2" operator="equal">
      <formula>"Paid"</formula>
    </cfRule>
    <cfRule type="cellIs" dxfId="15" priority="3" operator="equal">
      <formula>"Unpaid"</formula>
    </cfRule>
    <cfRule type="cellIs" dxfId="14" priority="4" operator="equal">
      <formula>"Partial"</formula>
    </cfRule>
  </conditionalFormatting>
  <dataValidations count="2">
    <dataValidation type="list" allowBlank="1" showInputMessage="1" showErrorMessage="1" sqref="H3:H8" xr:uid="{00000000-0002-0000-0400-000000000000}">
      <formula1>"FORMULA, FIXED"</formula1>
    </dataValidation>
    <dataValidation type="list" allowBlank="1" showInputMessage="1" showErrorMessage="1" sqref="H9:H134" xr:uid="{00000000-0002-0000-0400-000001000000}">
      <formula1>"FORMULA, LIST"</formula1>
    </dataValidation>
  </dataValidations>
  <printOptions horizontalCentered="1"/>
  <pageMargins left="0.75" right="0.75" top="1" bottom="0.25" header="0.5" footer="0.5"/>
  <pageSetup scale="61" fitToHeight="0" orientation="landscape"/>
  <headerFooter>
    <oddHeader>&amp;C&amp;"Calibri,Bold"&amp;12 &amp;K1F3864Prarambha Dairy Suppliers</oddHeader>
    <oddFooter>&amp;LPrinted &amp;D&amp;RPage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5496"/>
    <pageSetUpPr fitToPage="1"/>
  </sheetPr>
  <dimension ref="A1:L538"/>
  <sheetViews>
    <sheetView showGridLines="0" zoomScale="90" zoomScaleNormal="90" workbookViewId="0">
      <pane ySplit="2" topLeftCell="A337" activePane="bottomLeft" state="frozen"/>
      <selection pane="bottomLeft" activeCell="A362" sqref="A362:XFD362"/>
    </sheetView>
  </sheetViews>
  <sheetFormatPr baseColWidth="10" defaultColWidth="8.83203125" defaultRowHeight="15" x14ac:dyDescent="0.2"/>
  <cols>
    <col min="1" max="1" width="11.5" bestFit="1" customWidth="1"/>
    <col min="2" max="2" width="9.6640625" bestFit="1" customWidth="1"/>
    <col min="3" max="3" width="26.83203125" bestFit="1" customWidth="1"/>
    <col min="4" max="4" width="10.83203125" bestFit="1" customWidth="1"/>
    <col min="5" max="6" width="13.1640625" bestFit="1" customWidth="1"/>
    <col min="7" max="7" width="14.6640625" style="177" bestFit="1" customWidth="1"/>
    <col min="8" max="8" width="12.6640625" bestFit="1" customWidth="1"/>
    <col min="10" max="10" width="12.5" bestFit="1" customWidth="1"/>
    <col min="11" max="11" width="24.6640625" customWidth="1"/>
  </cols>
  <sheetData>
    <row r="1" spans="1:11" ht="32" customHeight="1" x14ac:dyDescent="0.2">
      <c r="A1" s="200" t="s">
        <v>890</v>
      </c>
      <c r="B1" s="199"/>
      <c r="C1" s="199"/>
      <c r="D1" s="199"/>
      <c r="E1" s="199"/>
      <c r="F1" s="199"/>
      <c r="G1" s="199"/>
      <c r="H1" s="199"/>
      <c r="I1" s="199"/>
      <c r="J1" s="199"/>
      <c r="K1" s="171"/>
    </row>
    <row r="2" spans="1:11" ht="28" customHeight="1" x14ac:dyDescent="0.2">
      <c r="A2" s="154" t="s">
        <v>11</v>
      </c>
      <c r="B2" s="154" t="s">
        <v>891</v>
      </c>
      <c r="C2" s="169" t="s">
        <v>892</v>
      </c>
      <c r="D2" s="154" t="s">
        <v>893</v>
      </c>
      <c r="E2" s="154" t="s">
        <v>45</v>
      </c>
      <c r="F2" s="154" t="s">
        <v>894</v>
      </c>
      <c r="G2" s="154" t="s">
        <v>895</v>
      </c>
      <c r="H2" s="154" t="s">
        <v>896</v>
      </c>
      <c r="I2" s="154" t="s">
        <v>59</v>
      </c>
      <c r="J2" s="178" t="s">
        <v>897</v>
      </c>
      <c r="K2" s="154" t="s">
        <v>898</v>
      </c>
    </row>
    <row r="3" spans="1:11" x14ac:dyDescent="0.2">
      <c r="A3" s="151" t="s">
        <v>899</v>
      </c>
      <c r="B3" s="175">
        <v>3701</v>
      </c>
      <c r="C3" s="151" t="s">
        <v>900</v>
      </c>
      <c r="D3" s="149"/>
      <c r="E3" s="179" t="s">
        <v>901</v>
      </c>
      <c r="F3" s="179"/>
      <c r="G3" s="180">
        <v>10200</v>
      </c>
      <c r="H3" s="179"/>
      <c r="I3" s="149" t="s">
        <v>902</v>
      </c>
      <c r="J3" s="153">
        <f t="shared" ref="J3:J67" si="0">IF($C3="","",N($F3)-$G3+$H3)</f>
        <v>-10200</v>
      </c>
      <c r="K3" s="149"/>
    </row>
    <row r="4" spans="1:11" x14ac:dyDescent="0.2">
      <c r="A4" s="151" t="s">
        <v>899</v>
      </c>
      <c r="B4" s="175">
        <v>3702</v>
      </c>
      <c r="C4" s="151" t="s">
        <v>903</v>
      </c>
      <c r="D4" s="149"/>
      <c r="E4" s="179" t="s">
        <v>901</v>
      </c>
      <c r="F4" s="179"/>
      <c r="G4" s="180">
        <v>1275</v>
      </c>
      <c r="H4" s="179"/>
      <c r="I4" s="149" t="s">
        <v>902</v>
      </c>
      <c r="J4" s="153">
        <f t="shared" si="0"/>
        <v>-1275</v>
      </c>
      <c r="K4" s="149"/>
    </row>
    <row r="5" spans="1:11" x14ac:dyDescent="0.2">
      <c r="A5" s="151" t="s">
        <v>899</v>
      </c>
      <c r="B5" s="175">
        <v>3703</v>
      </c>
      <c r="C5" s="151" t="s">
        <v>904</v>
      </c>
      <c r="D5" s="149"/>
      <c r="E5" s="179" t="s">
        <v>901</v>
      </c>
      <c r="F5" s="179"/>
      <c r="G5" s="180">
        <v>2125</v>
      </c>
      <c r="H5" s="179"/>
      <c r="I5" s="149" t="s">
        <v>902</v>
      </c>
      <c r="J5" s="153">
        <f t="shared" si="0"/>
        <v>-2125</v>
      </c>
      <c r="K5" s="149"/>
    </row>
    <row r="6" spans="1:11" x14ac:dyDescent="0.2">
      <c r="A6" s="151" t="s">
        <v>899</v>
      </c>
      <c r="B6" s="175">
        <v>3704</v>
      </c>
      <c r="C6" s="151" t="s">
        <v>905</v>
      </c>
      <c r="D6" s="149"/>
      <c r="E6" s="179" t="s">
        <v>901</v>
      </c>
      <c r="F6" s="179"/>
      <c r="G6" s="180">
        <v>10000</v>
      </c>
      <c r="H6" s="179"/>
      <c r="I6" s="149" t="s">
        <v>902</v>
      </c>
      <c r="J6" s="153">
        <f t="shared" si="0"/>
        <v>-10000</v>
      </c>
      <c r="K6" s="149"/>
    </row>
    <row r="7" spans="1:11" x14ac:dyDescent="0.2">
      <c r="A7" s="151" t="s">
        <v>899</v>
      </c>
      <c r="B7" s="175">
        <v>3705</v>
      </c>
      <c r="C7" s="151" t="s">
        <v>906</v>
      </c>
      <c r="D7" s="149"/>
      <c r="E7" s="179" t="s">
        <v>901</v>
      </c>
      <c r="F7" s="179"/>
      <c r="G7" s="180">
        <v>595</v>
      </c>
      <c r="H7" s="179"/>
      <c r="I7" s="149" t="s">
        <v>902</v>
      </c>
      <c r="J7" s="153">
        <f t="shared" si="0"/>
        <v>-595</v>
      </c>
      <c r="K7" s="149"/>
    </row>
    <row r="8" spans="1:11" x14ac:dyDescent="0.2">
      <c r="A8" s="151" t="s">
        <v>899</v>
      </c>
      <c r="B8" s="175">
        <v>3706</v>
      </c>
      <c r="C8" s="151" t="s">
        <v>907</v>
      </c>
      <c r="D8" s="149"/>
      <c r="E8" s="179" t="s">
        <v>901</v>
      </c>
      <c r="F8" s="179"/>
      <c r="G8" s="180">
        <v>1700</v>
      </c>
      <c r="H8" s="179"/>
      <c r="I8" s="149" t="s">
        <v>902</v>
      </c>
      <c r="J8" s="153">
        <f t="shared" si="0"/>
        <v>-1700</v>
      </c>
      <c r="K8" s="149"/>
    </row>
    <row r="9" spans="1:11" x14ac:dyDescent="0.2">
      <c r="A9" s="151" t="s">
        <v>899</v>
      </c>
      <c r="B9" s="175">
        <v>3707</v>
      </c>
      <c r="C9" s="151" t="s">
        <v>908</v>
      </c>
      <c r="D9" s="149"/>
      <c r="E9" s="179" t="s">
        <v>901</v>
      </c>
      <c r="F9" s="179"/>
      <c r="G9" s="180">
        <v>850</v>
      </c>
      <c r="H9" s="179"/>
      <c r="I9" s="149" t="s">
        <v>902</v>
      </c>
      <c r="J9" s="153">
        <f t="shared" si="0"/>
        <v>-850</v>
      </c>
      <c r="K9" s="149"/>
    </row>
    <row r="10" spans="1:11" x14ac:dyDescent="0.2">
      <c r="A10" s="151" t="s">
        <v>899</v>
      </c>
      <c r="B10" s="175">
        <v>3708</v>
      </c>
      <c r="C10" s="151" t="s">
        <v>909</v>
      </c>
      <c r="D10" s="149"/>
      <c r="E10" s="179" t="s">
        <v>901</v>
      </c>
      <c r="F10" s="179"/>
      <c r="G10" s="180">
        <v>425</v>
      </c>
      <c r="H10" s="179"/>
      <c r="I10" s="149" t="s">
        <v>902</v>
      </c>
      <c r="J10" s="153">
        <f t="shared" si="0"/>
        <v>-425</v>
      </c>
      <c r="K10" s="149"/>
    </row>
    <row r="11" spans="1:11" x14ac:dyDescent="0.2">
      <c r="A11" s="151" t="s">
        <v>899</v>
      </c>
      <c r="B11" s="175">
        <v>3709</v>
      </c>
      <c r="C11" s="151" t="s">
        <v>910</v>
      </c>
      <c r="D11" s="149"/>
      <c r="E11" s="179" t="s">
        <v>901</v>
      </c>
      <c r="F11" s="179"/>
      <c r="G11" s="180">
        <v>2550</v>
      </c>
      <c r="H11" s="179"/>
      <c r="I11" s="149" t="s">
        <v>902</v>
      </c>
      <c r="J11" s="153">
        <f t="shared" si="0"/>
        <v>-2550</v>
      </c>
      <c r="K11" s="149"/>
    </row>
    <row r="12" spans="1:11" x14ac:dyDescent="0.2">
      <c r="A12" s="151" t="s">
        <v>899</v>
      </c>
      <c r="B12" s="175">
        <v>3710</v>
      </c>
      <c r="C12" s="151" t="s">
        <v>92</v>
      </c>
      <c r="D12" s="149"/>
      <c r="E12" s="179" t="s">
        <v>901</v>
      </c>
      <c r="F12" s="179"/>
      <c r="G12" s="180">
        <v>3800</v>
      </c>
      <c r="H12" s="179"/>
      <c r="I12" s="149" t="s">
        <v>902</v>
      </c>
      <c r="J12" s="153">
        <f t="shared" si="0"/>
        <v>-3800</v>
      </c>
      <c r="K12" s="149"/>
    </row>
    <row r="13" spans="1:11" x14ac:dyDescent="0.2">
      <c r="A13" s="151" t="s">
        <v>899</v>
      </c>
      <c r="B13" s="175">
        <v>3711</v>
      </c>
      <c r="C13" s="151" t="s">
        <v>911</v>
      </c>
      <c r="D13" s="149"/>
      <c r="E13" s="179" t="s">
        <v>901</v>
      </c>
      <c r="F13" s="179"/>
      <c r="G13" s="180">
        <v>430</v>
      </c>
      <c r="H13" s="179"/>
      <c r="I13" s="149" t="s">
        <v>902</v>
      </c>
      <c r="J13" s="153">
        <f t="shared" si="0"/>
        <v>-430</v>
      </c>
      <c r="K13" s="149"/>
    </row>
    <row r="14" spans="1:11" x14ac:dyDescent="0.2">
      <c r="A14" s="181" t="s">
        <v>899</v>
      </c>
      <c r="B14" s="175">
        <v>6017</v>
      </c>
      <c r="C14" s="151" t="s">
        <v>100</v>
      </c>
      <c r="D14" s="149"/>
      <c r="E14" s="179" t="s">
        <v>901</v>
      </c>
      <c r="F14" s="179"/>
      <c r="G14" s="180">
        <v>240</v>
      </c>
      <c r="H14" s="179"/>
      <c r="I14" s="149" t="s">
        <v>902</v>
      </c>
      <c r="J14" s="153">
        <f t="shared" si="0"/>
        <v>-240</v>
      </c>
      <c r="K14" s="149"/>
    </row>
    <row r="15" spans="1:11" x14ac:dyDescent="0.2">
      <c r="A15" s="181" t="s">
        <v>899</v>
      </c>
      <c r="B15" s="175"/>
      <c r="C15" s="151" t="s">
        <v>158</v>
      </c>
      <c r="D15" s="149"/>
      <c r="E15" s="179" t="s">
        <v>950</v>
      </c>
      <c r="F15" s="179"/>
      <c r="G15" s="180"/>
      <c r="H15" s="179">
        <v>190</v>
      </c>
      <c r="I15" s="149" t="s">
        <v>902</v>
      </c>
      <c r="J15" s="153">
        <f t="shared" si="0"/>
        <v>190</v>
      </c>
      <c r="K15" s="149"/>
    </row>
    <row r="16" spans="1:11" x14ac:dyDescent="0.2">
      <c r="A16" s="151" t="s">
        <v>912</v>
      </c>
      <c r="B16" s="175">
        <v>3712</v>
      </c>
      <c r="C16" s="151" t="s">
        <v>900</v>
      </c>
      <c r="D16" s="149"/>
      <c r="E16" s="179" t="s">
        <v>901</v>
      </c>
      <c r="F16" s="179"/>
      <c r="G16" s="180">
        <v>5100</v>
      </c>
      <c r="H16" s="179"/>
      <c r="I16" s="149" t="s">
        <v>902</v>
      </c>
      <c r="J16" s="153">
        <f t="shared" si="0"/>
        <v>-5100</v>
      </c>
      <c r="K16" s="149"/>
    </row>
    <row r="17" spans="1:11" x14ac:dyDescent="0.2">
      <c r="A17" s="151" t="s">
        <v>912</v>
      </c>
      <c r="B17" s="175">
        <v>3713</v>
      </c>
      <c r="C17" s="151" t="s">
        <v>903</v>
      </c>
      <c r="D17" s="149"/>
      <c r="E17" s="179" t="s">
        <v>901</v>
      </c>
      <c r="F17" s="179"/>
      <c r="G17" s="180">
        <v>2125</v>
      </c>
      <c r="H17" s="179"/>
      <c r="I17" s="149" t="s">
        <v>902</v>
      </c>
      <c r="J17" s="153">
        <f t="shared" si="0"/>
        <v>-2125</v>
      </c>
      <c r="K17" s="149"/>
    </row>
    <row r="18" spans="1:11" x14ac:dyDescent="0.2">
      <c r="A18" s="151" t="s">
        <v>912</v>
      </c>
      <c r="B18" s="175">
        <v>3714</v>
      </c>
      <c r="C18" s="151" t="s">
        <v>76</v>
      </c>
      <c r="D18" s="149"/>
      <c r="E18" s="179" t="s">
        <v>901</v>
      </c>
      <c r="F18" s="179"/>
      <c r="G18" s="180">
        <v>2125</v>
      </c>
      <c r="H18" s="179"/>
      <c r="I18" s="149" t="s">
        <v>902</v>
      </c>
      <c r="J18" s="153">
        <f t="shared" si="0"/>
        <v>-2125</v>
      </c>
      <c r="K18" s="149"/>
    </row>
    <row r="19" spans="1:11" x14ac:dyDescent="0.2">
      <c r="A19" s="151" t="s">
        <v>912</v>
      </c>
      <c r="B19" s="175">
        <v>3715</v>
      </c>
      <c r="C19" s="151" t="s">
        <v>908</v>
      </c>
      <c r="D19" s="149"/>
      <c r="E19" s="179" t="s">
        <v>901</v>
      </c>
      <c r="F19" s="179"/>
      <c r="G19" s="180">
        <v>850</v>
      </c>
      <c r="H19" s="179"/>
      <c r="I19" s="149" t="s">
        <v>902</v>
      </c>
      <c r="J19" s="153">
        <f t="shared" si="0"/>
        <v>-850</v>
      </c>
      <c r="K19" s="149"/>
    </row>
    <row r="20" spans="1:11" x14ac:dyDescent="0.2">
      <c r="A20" s="151" t="s">
        <v>912</v>
      </c>
      <c r="B20" s="175">
        <v>3716</v>
      </c>
      <c r="C20" s="151" t="s">
        <v>904</v>
      </c>
      <c r="D20" s="149"/>
      <c r="E20" s="179" t="s">
        <v>901</v>
      </c>
      <c r="F20" s="179"/>
      <c r="G20" s="180">
        <v>1700</v>
      </c>
      <c r="H20" s="179"/>
      <c r="I20" s="149" t="s">
        <v>902</v>
      </c>
      <c r="J20" s="153">
        <f t="shared" si="0"/>
        <v>-1700</v>
      </c>
      <c r="K20" s="149"/>
    </row>
    <row r="21" spans="1:11" x14ac:dyDescent="0.2">
      <c r="A21" s="151" t="s">
        <v>912</v>
      </c>
      <c r="B21" s="175">
        <v>3717</v>
      </c>
      <c r="C21" s="151" t="s">
        <v>905</v>
      </c>
      <c r="D21" s="149"/>
      <c r="E21" s="179" t="s">
        <v>901</v>
      </c>
      <c r="F21" s="179"/>
      <c r="G21" s="180">
        <v>4400</v>
      </c>
      <c r="H21" s="179"/>
      <c r="I21" s="149" t="s">
        <v>902</v>
      </c>
      <c r="J21" s="153">
        <f t="shared" si="0"/>
        <v>-4400</v>
      </c>
      <c r="K21" s="149"/>
    </row>
    <row r="22" spans="1:11" x14ac:dyDescent="0.2">
      <c r="A22" s="151" t="s">
        <v>912</v>
      </c>
      <c r="B22" s="175">
        <v>3718</v>
      </c>
      <c r="C22" s="151" t="s">
        <v>909</v>
      </c>
      <c r="D22" s="149"/>
      <c r="E22" s="179" t="s">
        <v>901</v>
      </c>
      <c r="F22" s="179"/>
      <c r="G22" s="180">
        <v>425</v>
      </c>
      <c r="H22" s="179"/>
      <c r="I22" s="149" t="s">
        <v>902</v>
      </c>
      <c r="J22" s="153">
        <f t="shared" si="0"/>
        <v>-425</v>
      </c>
      <c r="K22" s="149"/>
    </row>
    <row r="23" spans="1:11" x14ac:dyDescent="0.2">
      <c r="A23" s="151" t="s">
        <v>912</v>
      </c>
      <c r="B23" s="175">
        <v>3719</v>
      </c>
      <c r="C23" s="151" t="s">
        <v>910</v>
      </c>
      <c r="D23" s="149"/>
      <c r="E23" s="179" t="s">
        <v>901</v>
      </c>
      <c r="F23" s="179"/>
      <c r="G23" s="180">
        <v>1275</v>
      </c>
      <c r="H23" s="179"/>
      <c r="I23" s="149" t="s">
        <v>902</v>
      </c>
      <c r="J23" s="153">
        <f t="shared" si="0"/>
        <v>-1275</v>
      </c>
      <c r="K23" s="149"/>
    </row>
    <row r="24" spans="1:11" x14ac:dyDescent="0.2">
      <c r="A24" s="151" t="s">
        <v>912</v>
      </c>
      <c r="B24" s="175">
        <v>3720</v>
      </c>
      <c r="C24" s="151" t="s">
        <v>907</v>
      </c>
      <c r="D24" s="149"/>
      <c r="E24" s="179" t="s">
        <v>901</v>
      </c>
      <c r="F24" s="179"/>
      <c r="G24" s="180">
        <v>1275</v>
      </c>
      <c r="H24" s="179"/>
      <c r="I24" s="149" t="s">
        <v>902</v>
      </c>
      <c r="J24" s="153">
        <f t="shared" si="0"/>
        <v>-1275</v>
      </c>
      <c r="K24" s="149"/>
    </row>
    <row r="25" spans="1:11" x14ac:dyDescent="0.2">
      <c r="A25" s="151" t="s">
        <v>912</v>
      </c>
      <c r="B25" s="175">
        <v>3721</v>
      </c>
      <c r="C25" s="151" t="s">
        <v>906</v>
      </c>
      <c r="D25" s="149"/>
      <c r="E25" s="179" t="s">
        <v>901</v>
      </c>
      <c r="F25" s="179"/>
      <c r="G25" s="180">
        <v>425</v>
      </c>
      <c r="H25" s="179"/>
      <c r="I25" s="149" t="s">
        <v>902</v>
      </c>
      <c r="J25" s="153">
        <f t="shared" si="0"/>
        <v>-425</v>
      </c>
      <c r="K25" s="149"/>
    </row>
    <row r="26" spans="1:11" x14ac:dyDescent="0.2">
      <c r="A26" s="151" t="s">
        <v>912</v>
      </c>
      <c r="B26" s="175">
        <v>3722</v>
      </c>
      <c r="C26" s="151" t="s">
        <v>119</v>
      </c>
      <c r="D26" s="149"/>
      <c r="E26" s="179" t="s">
        <v>901</v>
      </c>
      <c r="F26" s="179"/>
      <c r="G26" s="180">
        <v>2975</v>
      </c>
      <c r="H26" s="179"/>
      <c r="I26" s="149" t="s">
        <v>902</v>
      </c>
      <c r="J26" s="153">
        <f t="shared" si="0"/>
        <v>-2975</v>
      </c>
      <c r="K26" s="149"/>
    </row>
    <row r="27" spans="1:11" x14ac:dyDescent="0.2">
      <c r="A27" s="151" t="s">
        <v>912</v>
      </c>
      <c r="B27" s="175">
        <v>3723</v>
      </c>
      <c r="C27" s="151" t="s">
        <v>92</v>
      </c>
      <c r="D27" s="149"/>
      <c r="E27" s="179" t="s">
        <v>901</v>
      </c>
      <c r="F27" s="179"/>
      <c r="G27" s="180">
        <v>2850</v>
      </c>
      <c r="H27" s="179"/>
      <c r="I27" s="149" t="s">
        <v>902</v>
      </c>
      <c r="J27" s="153">
        <f t="shared" si="0"/>
        <v>-2850</v>
      </c>
      <c r="K27" s="149"/>
    </row>
    <row r="28" spans="1:11" x14ac:dyDescent="0.2">
      <c r="A28" s="151" t="s">
        <v>912</v>
      </c>
      <c r="B28" s="175">
        <v>3724</v>
      </c>
      <c r="C28" s="151" t="s">
        <v>94</v>
      </c>
      <c r="D28" s="149"/>
      <c r="E28" s="179" t="s">
        <v>901</v>
      </c>
      <c r="F28" s="179"/>
      <c r="G28" s="180">
        <v>10000</v>
      </c>
      <c r="H28" s="179"/>
      <c r="I28" s="149" t="s">
        <v>902</v>
      </c>
      <c r="J28" s="153">
        <f t="shared" si="0"/>
        <v>-10000</v>
      </c>
      <c r="K28" s="149"/>
    </row>
    <row r="29" spans="1:11" x14ac:dyDescent="0.2">
      <c r="A29" s="151" t="s">
        <v>912</v>
      </c>
      <c r="B29" s="175">
        <v>6038</v>
      </c>
      <c r="C29" s="151" t="s">
        <v>100</v>
      </c>
      <c r="D29" s="149"/>
      <c r="E29" s="179" t="s">
        <v>901</v>
      </c>
      <c r="F29" s="179"/>
      <c r="G29" s="180">
        <v>1440</v>
      </c>
      <c r="H29" s="179"/>
      <c r="I29" s="149" t="s">
        <v>902</v>
      </c>
      <c r="J29" s="153">
        <f t="shared" si="0"/>
        <v>-1440</v>
      </c>
      <c r="K29" s="149"/>
    </row>
    <row r="30" spans="1:11" x14ac:dyDescent="0.2">
      <c r="A30" s="151" t="s">
        <v>913</v>
      </c>
      <c r="B30" s="175">
        <v>3725</v>
      </c>
      <c r="C30" s="151" t="s">
        <v>907</v>
      </c>
      <c r="D30" s="149"/>
      <c r="E30" s="179" t="s">
        <v>901</v>
      </c>
      <c r="F30" s="179"/>
      <c r="G30" s="180">
        <v>1700</v>
      </c>
      <c r="H30" s="179"/>
      <c r="I30" s="149" t="s">
        <v>902</v>
      </c>
      <c r="J30" s="153">
        <f t="shared" si="0"/>
        <v>-1700</v>
      </c>
      <c r="K30" s="149"/>
    </row>
    <row r="31" spans="1:11" x14ac:dyDescent="0.2">
      <c r="A31" s="151" t="s">
        <v>913</v>
      </c>
      <c r="B31" s="175">
        <v>3726</v>
      </c>
      <c r="C31" s="151" t="s">
        <v>905</v>
      </c>
      <c r="D31" s="149"/>
      <c r="E31" s="179" t="s">
        <v>901</v>
      </c>
      <c r="F31" s="179"/>
      <c r="G31" s="180">
        <v>5000</v>
      </c>
      <c r="H31" s="179"/>
      <c r="I31" s="149" t="s">
        <v>902</v>
      </c>
      <c r="J31" s="153">
        <f t="shared" si="0"/>
        <v>-5000</v>
      </c>
      <c r="K31" s="149"/>
    </row>
    <row r="32" spans="1:11" x14ac:dyDescent="0.2">
      <c r="A32" s="151" t="s">
        <v>913</v>
      </c>
      <c r="B32" s="175">
        <v>3727</v>
      </c>
      <c r="C32" s="151" t="s">
        <v>903</v>
      </c>
      <c r="D32" s="149"/>
      <c r="E32" s="179" t="s">
        <v>901</v>
      </c>
      <c r="F32" s="179"/>
      <c r="G32" s="180">
        <v>2550</v>
      </c>
      <c r="H32" s="179"/>
      <c r="I32" s="149" t="s">
        <v>902</v>
      </c>
      <c r="J32" s="153">
        <f t="shared" si="0"/>
        <v>-2550</v>
      </c>
      <c r="K32" s="149"/>
    </row>
    <row r="33" spans="1:11" x14ac:dyDescent="0.2">
      <c r="A33" s="151" t="s">
        <v>913</v>
      </c>
      <c r="B33" s="175">
        <v>3728</v>
      </c>
      <c r="C33" s="151" t="s">
        <v>906</v>
      </c>
      <c r="D33" s="149"/>
      <c r="E33" s="179" t="s">
        <v>901</v>
      </c>
      <c r="F33" s="179"/>
      <c r="G33" s="180">
        <v>425</v>
      </c>
      <c r="H33" s="179"/>
      <c r="I33" s="149" t="s">
        <v>902</v>
      </c>
      <c r="J33" s="153">
        <f t="shared" si="0"/>
        <v>-425</v>
      </c>
      <c r="K33" s="149"/>
    </row>
    <row r="34" spans="1:11" x14ac:dyDescent="0.2">
      <c r="A34" s="151" t="s">
        <v>913</v>
      </c>
      <c r="B34" s="175">
        <v>3729</v>
      </c>
      <c r="C34" s="151" t="s">
        <v>908</v>
      </c>
      <c r="D34" s="149"/>
      <c r="E34" s="179" t="s">
        <v>901</v>
      </c>
      <c r="F34" s="179"/>
      <c r="G34" s="180">
        <v>850</v>
      </c>
      <c r="H34" s="179"/>
      <c r="I34" s="149" t="s">
        <v>902</v>
      </c>
      <c r="J34" s="153">
        <f t="shared" si="0"/>
        <v>-850</v>
      </c>
      <c r="K34" s="149"/>
    </row>
    <row r="35" spans="1:11" x14ac:dyDescent="0.2">
      <c r="A35" s="151" t="s">
        <v>913</v>
      </c>
      <c r="B35" s="175">
        <v>3730</v>
      </c>
      <c r="C35" s="151" t="s">
        <v>910</v>
      </c>
      <c r="D35" s="149"/>
      <c r="E35" s="179" t="s">
        <v>901</v>
      </c>
      <c r="F35" s="179"/>
      <c r="G35" s="180">
        <v>1275</v>
      </c>
      <c r="H35" s="179"/>
      <c r="I35" s="149" t="s">
        <v>902</v>
      </c>
      <c r="J35" s="153">
        <f t="shared" si="0"/>
        <v>-1275</v>
      </c>
      <c r="K35" s="149"/>
    </row>
    <row r="36" spans="1:11" x14ac:dyDescent="0.2">
      <c r="A36" s="151" t="s">
        <v>913</v>
      </c>
      <c r="B36" s="175">
        <v>3731</v>
      </c>
      <c r="C36" s="151" t="s">
        <v>909</v>
      </c>
      <c r="D36" s="149"/>
      <c r="E36" s="179" t="s">
        <v>901</v>
      </c>
      <c r="F36" s="179"/>
      <c r="G36" s="180">
        <v>425</v>
      </c>
      <c r="H36" s="179"/>
      <c r="I36" s="149" t="s">
        <v>902</v>
      </c>
      <c r="J36" s="153">
        <f t="shared" si="0"/>
        <v>-425</v>
      </c>
      <c r="K36" s="149"/>
    </row>
    <row r="37" spans="1:11" x14ac:dyDescent="0.2">
      <c r="A37" s="151" t="s">
        <v>913</v>
      </c>
      <c r="B37" s="175">
        <v>3732</v>
      </c>
      <c r="C37" s="151" t="s">
        <v>904</v>
      </c>
      <c r="D37" s="149"/>
      <c r="E37" s="179" t="s">
        <v>901</v>
      </c>
      <c r="F37" s="179"/>
      <c r="G37" s="180">
        <v>1700</v>
      </c>
      <c r="H37" s="179"/>
      <c r="I37" s="149" t="s">
        <v>902</v>
      </c>
      <c r="J37" s="153">
        <f t="shared" si="0"/>
        <v>-1700</v>
      </c>
      <c r="K37" s="149"/>
    </row>
    <row r="38" spans="1:11" x14ac:dyDescent="0.2">
      <c r="A38" s="151" t="s">
        <v>913</v>
      </c>
      <c r="B38" s="175">
        <v>3733</v>
      </c>
      <c r="C38" s="151" t="s">
        <v>92</v>
      </c>
      <c r="D38" s="149"/>
      <c r="E38" s="179" t="s">
        <v>901</v>
      </c>
      <c r="F38" s="179"/>
      <c r="G38" s="180">
        <v>4990</v>
      </c>
      <c r="H38" s="179"/>
      <c r="I38" s="149" t="s">
        <v>902</v>
      </c>
      <c r="J38" s="153">
        <f t="shared" si="0"/>
        <v>-4990</v>
      </c>
      <c r="K38" s="149"/>
    </row>
    <row r="39" spans="1:11" x14ac:dyDescent="0.2">
      <c r="A39" s="151" t="s">
        <v>913</v>
      </c>
      <c r="B39" s="175">
        <v>6055</v>
      </c>
      <c r="C39" s="151" t="s">
        <v>100</v>
      </c>
      <c r="D39" s="149"/>
      <c r="E39" s="179" t="s">
        <v>901</v>
      </c>
      <c r="F39" s="179"/>
      <c r="G39" s="180">
        <v>450</v>
      </c>
      <c r="H39" s="179"/>
      <c r="I39" s="149" t="s">
        <v>902</v>
      </c>
      <c r="J39" s="153">
        <f t="shared" si="0"/>
        <v>-450</v>
      </c>
      <c r="K39" s="149"/>
    </row>
    <row r="40" spans="1:11" x14ac:dyDescent="0.2">
      <c r="A40" s="151" t="s">
        <v>914</v>
      </c>
      <c r="B40" s="175">
        <v>3734</v>
      </c>
      <c r="C40" s="151" t="s">
        <v>900</v>
      </c>
      <c r="D40" s="149"/>
      <c r="E40" s="179" t="s">
        <v>901</v>
      </c>
      <c r="F40" s="179"/>
      <c r="G40" s="180">
        <v>5100</v>
      </c>
      <c r="H40" s="179"/>
      <c r="I40" s="149" t="s">
        <v>902</v>
      </c>
      <c r="J40" s="153">
        <f t="shared" si="0"/>
        <v>-5100</v>
      </c>
      <c r="K40" s="149"/>
    </row>
    <row r="41" spans="1:11" x14ac:dyDescent="0.2">
      <c r="A41" s="151" t="s">
        <v>914</v>
      </c>
      <c r="B41" s="175">
        <v>3735</v>
      </c>
      <c r="C41" s="151" t="s">
        <v>903</v>
      </c>
      <c r="D41" s="149"/>
      <c r="E41" s="179" t="s">
        <v>901</v>
      </c>
      <c r="F41" s="179"/>
      <c r="G41" s="180">
        <v>2125</v>
      </c>
      <c r="H41" s="179"/>
      <c r="I41" s="149" t="s">
        <v>902</v>
      </c>
      <c r="J41" s="153">
        <f t="shared" si="0"/>
        <v>-2125</v>
      </c>
      <c r="K41" s="149"/>
    </row>
    <row r="42" spans="1:11" x14ac:dyDescent="0.2">
      <c r="A42" s="151" t="s">
        <v>914</v>
      </c>
      <c r="B42" s="175">
        <v>3736</v>
      </c>
      <c r="C42" s="151" t="s">
        <v>905</v>
      </c>
      <c r="D42" s="149"/>
      <c r="E42" s="179" t="s">
        <v>901</v>
      </c>
      <c r="F42" s="179"/>
      <c r="G42" s="180">
        <v>5000</v>
      </c>
      <c r="H42" s="179"/>
      <c r="I42" s="149" t="s">
        <v>902</v>
      </c>
      <c r="J42" s="153">
        <f t="shared" si="0"/>
        <v>-5000</v>
      </c>
      <c r="K42" s="149"/>
    </row>
    <row r="43" spans="1:11" x14ac:dyDescent="0.2">
      <c r="A43" s="151" t="s">
        <v>914</v>
      </c>
      <c r="B43" s="175">
        <v>3737</v>
      </c>
      <c r="C43" s="151" t="s">
        <v>904</v>
      </c>
      <c r="D43" s="149"/>
      <c r="E43" s="179" t="s">
        <v>901</v>
      </c>
      <c r="F43" s="179"/>
      <c r="G43" s="180">
        <v>2125</v>
      </c>
      <c r="H43" s="179"/>
      <c r="I43" s="149" t="s">
        <v>902</v>
      </c>
      <c r="J43" s="153">
        <f t="shared" si="0"/>
        <v>-2125</v>
      </c>
      <c r="K43" s="149"/>
    </row>
    <row r="44" spans="1:11" x14ac:dyDescent="0.2">
      <c r="A44" s="151" t="s">
        <v>914</v>
      </c>
      <c r="B44" s="175">
        <v>3738</v>
      </c>
      <c r="C44" s="151" t="s">
        <v>909</v>
      </c>
      <c r="D44" s="149"/>
      <c r="E44" s="179" t="s">
        <v>901</v>
      </c>
      <c r="F44" s="179"/>
      <c r="G44" s="180">
        <v>425</v>
      </c>
      <c r="H44" s="179"/>
      <c r="I44" s="149" t="s">
        <v>902</v>
      </c>
      <c r="J44" s="153">
        <f t="shared" si="0"/>
        <v>-425</v>
      </c>
      <c r="K44" s="149"/>
    </row>
    <row r="45" spans="1:11" x14ac:dyDescent="0.2">
      <c r="A45" s="151" t="s">
        <v>914</v>
      </c>
      <c r="B45" s="175">
        <v>3739</v>
      </c>
      <c r="C45" s="151" t="s">
        <v>910</v>
      </c>
      <c r="D45" s="149"/>
      <c r="E45" s="179" t="s">
        <v>901</v>
      </c>
      <c r="F45" s="179"/>
      <c r="G45" s="180">
        <v>1275</v>
      </c>
      <c r="H45" s="179"/>
      <c r="I45" s="149" t="s">
        <v>902</v>
      </c>
      <c r="J45" s="153">
        <f t="shared" si="0"/>
        <v>-1275</v>
      </c>
      <c r="K45" s="149"/>
    </row>
    <row r="46" spans="1:11" x14ac:dyDescent="0.2">
      <c r="A46" s="151" t="s">
        <v>914</v>
      </c>
      <c r="B46" s="175">
        <v>3740</v>
      </c>
      <c r="C46" s="151" t="s">
        <v>908</v>
      </c>
      <c r="D46" s="149"/>
      <c r="E46" s="179" t="s">
        <v>901</v>
      </c>
      <c r="F46" s="179"/>
      <c r="G46" s="180">
        <v>850</v>
      </c>
      <c r="H46" s="179"/>
      <c r="I46" s="149" t="s">
        <v>902</v>
      </c>
      <c r="J46" s="153">
        <f t="shared" si="0"/>
        <v>-850</v>
      </c>
      <c r="K46" s="149"/>
    </row>
    <row r="47" spans="1:11" x14ac:dyDescent="0.2">
      <c r="A47" s="151" t="s">
        <v>914</v>
      </c>
      <c r="B47" s="175">
        <v>3741</v>
      </c>
      <c r="C47" s="151" t="s">
        <v>907</v>
      </c>
      <c r="D47" s="149"/>
      <c r="E47" s="179" t="s">
        <v>901</v>
      </c>
      <c r="F47" s="179"/>
      <c r="G47" s="180">
        <v>1275</v>
      </c>
      <c r="H47" s="179"/>
      <c r="I47" s="149" t="s">
        <v>902</v>
      </c>
      <c r="J47" s="153">
        <f t="shared" si="0"/>
        <v>-1275</v>
      </c>
      <c r="K47" s="149"/>
    </row>
    <row r="48" spans="1:11" x14ac:dyDescent="0.2">
      <c r="A48" s="151" t="s">
        <v>914</v>
      </c>
      <c r="B48" s="175">
        <v>3742</v>
      </c>
      <c r="C48" s="151" t="s">
        <v>76</v>
      </c>
      <c r="D48" s="149"/>
      <c r="E48" s="179" t="s">
        <v>901</v>
      </c>
      <c r="F48" s="179"/>
      <c r="G48" s="180">
        <v>1700</v>
      </c>
      <c r="H48" s="179"/>
      <c r="I48" s="149" t="s">
        <v>902</v>
      </c>
      <c r="J48" s="153">
        <f t="shared" si="0"/>
        <v>-1700</v>
      </c>
      <c r="K48" s="149"/>
    </row>
    <row r="49" spans="1:11" x14ac:dyDescent="0.2">
      <c r="A49" s="151" t="s">
        <v>914</v>
      </c>
      <c r="B49" s="175">
        <v>3743</v>
      </c>
      <c r="C49" s="151" t="s">
        <v>92</v>
      </c>
      <c r="D49" s="149"/>
      <c r="E49" s="179" t="s">
        <v>901</v>
      </c>
      <c r="F49" s="179"/>
      <c r="G49" s="180">
        <v>3795</v>
      </c>
      <c r="H49" s="179"/>
      <c r="I49" s="149" t="s">
        <v>902</v>
      </c>
      <c r="J49" s="153">
        <f t="shared" si="0"/>
        <v>-3795</v>
      </c>
      <c r="K49" s="149"/>
    </row>
    <row r="50" spans="1:11" x14ac:dyDescent="0.2">
      <c r="A50" s="151" t="s">
        <v>914</v>
      </c>
      <c r="B50" s="175">
        <v>6074</v>
      </c>
      <c r="C50" s="151" t="s">
        <v>100</v>
      </c>
      <c r="D50" s="149"/>
      <c r="E50" s="179" t="s">
        <v>901</v>
      </c>
      <c r="F50" s="179"/>
      <c r="G50" s="180">
        <v>820</v>
      </c>
      <c r="H50" s="179"/>
      <c r="I50" s="149" t="s">
        <v>902</v>
      </c>
      <c r="J50" s="153">
        <f t="shared" si="0"/>
        <v>-820</v>
      </c>
      <c r="K50" s="149"/>
    </row>
    <row r="51" spans="1:11" x14ac:dyDescent="0.2">
      <c r="A51" s="151" t="s">
        <v>915</v>
      </c>
      <c r="B51" s="175">
        <v>3745</v>
      </c>
      <c r="C51" s="151" t="s">
        <v>900</v>
      </c>
      <c r="D51" s="149"/>
      <c r="E51" s="179" t="s">
        <v>901</v>
      </c>
      <c r="F51" s="179"/>
      <c r="G51" s="180">
        <v>5100</v>
      </c>
      <c r="H51" s="179"/>
      <c r="I51" s="149" t="s">
        <v>902</v>
      </c>
      <c r="J51" s="153">
        <f t="shared" si="0"/>
        <v>-5100</v>
      </c>
      <c r="K51" s="149"/>
    </row>
    <row r="52" spans="1:11" x14ac:dyDescent="0.2">
      <c r="A52" s="151" t="s">
        <v>915</v>
      </c>
      <c r="B52" s="175">
        <v>3746</v>
      </c>
      <c r="C52" s="151" t="s">
        <v>903</v>
      </c>
      <c r="D52" s="149"/>
      <c r="E52" s="179" t="s">
        <v>901</v>
      </c>
      <c r="F52" s="179"/>
      <c r="G52" s="180">
        <v>2550</v>
      </c>
      <c r="H52" s="179"/>
      <c r="I52" s="149" t="s">
        <v>902</v>
      </c>
      <c r="J52" s="153">
        <f t="shared" si="0"/>
        <v>-2550</v>
      </c>
      <c r="K52" s="149"/>
    </row>
    <row r="53" spans="1:11" x14ac:dyDescent="0.2">
      <c r="A53" s="151" t="s">
        <v>915</v>
      </c>
      <c r="B53" s="175">
        <v>3747</v>
      </c>
      <c r="C53" s="151" t="s">
        <v>908</v>
      </c>
      <c r="D53" s="149"/>
      <c r="E53" s="179" t="s">
        <v>901</v>
      </c>
      <c r="F53" s="179"/>
      <c r="G53" s="180">
        <v>850</v>
      </c>
      <c r="H53" s="179"/>
      <c r="I53" s="149" t="s">
        <v>902</v>
      </c>
      <c r="J53" s="153">
        <f t="shared" si="0"/>
        <v>-850</v>
      </c>
      <c r="K53" s="149"/>
    </row>
    <row r="54" spans="1:11" x14ac:dyDescent="0.2">
      <c r="A54" s="151" t="s">
        <v>915</v>
      </c>
      <c r="B54" s="175">
        <v>3748</v>
      </c>
      <c r="C54" s="151" t="s">
        <v>904</v>
      </c>
      <c r="D54" s="149"/>
      <c r="E54" s="179" t="s">
        <v>901</v>
      </c>
      <c r="F54" s="179"/>
      <c r="G54" s="180">
        <v>1700</v>
      </c>
      <c r="H54" s="179"/>
      <c r="I54" s="149" t="s">
        <v>902</v>
      </c>
      <c r="J54" s="153">
        <f t="shared" si="0"/>
        <v>-1700</v>
      </c>
      <c r="K54" s="149"/>
    </row>
    <row r="55" spans="1:11" x14ac:dyDescent="0.2">
      <c r="A55" s="151" t="s">
        <v>915</v>
      </c>
      <c r="B55" s="175">
        <v>3749</v>
      </c>
      <c r="C55" s="151" t="s">
        <v>905</v>
      </c>
      <c r="D55" s="149"/>
      <c r="E55" s="179" t="s">
        <v>901</v>
      </c>
      <c r="F55" s="179"/>
      <c r="G55" s="180">
        <v>9000</v>
      </c>
      <c r="H55" s="179"/>
      <c r="I55" s="149" t="s">
        <v>902</v>
      </c>
      <c r="J55" s="153">
        <f t="shared" si="0"/>
        <v>-9000</v>
      </c>
      <c r="K55" s="149"/>
    </row>
    <row r="56" spans="1:11" x14ac:dyDescent="0.2">
      <c r="A56" s="151" t="s">
        <v>915</v>
      </c>
      <c r="B56" s="175">
        <v>3750</v>
      </c>
      <c r="C56" s="151" t="s">
        <v>909</v>
      </c>
      <c r="D56" s="149"/>
      <c r="E56" s="179" t="s">
        <v>901</v>
      </c>
      <c r="F56" s="179"/>
      <c r="G56" s="180">
        <v>425</v>
      </c>
      <c r="H56" s="179"/>
      <c r="I56" s="149" t="s">
        <v>902</v>
      </c>
      <c r="J56" s="153">
        <f t="shared" si="0"/>
        <v>-425</v>
      </c>
      <c r="K56" s="149"/>
    </row>
    <row r="57" spans="1:11" x14ac:dyDescent="0.2">
      <c r="A57" s="151" t="s">
        <v>915</v>
      </c>
      <c r="B57" s="175">
        <v>3751</v>
      </c>
      <c r="C57" s="151" t="s">
        <v>910</v>
      </c>
      <c r="D57" s="149"/>
      <c r="E57" s="179" t="s">
        <v>901</v>
      </c>
      <c r="F57" s="179"/>
      <c r="G57" s="180">
        <v>1275</v>
      </c>
      <c r="H57" s="179"/>
      <c r="I57" s="149" t="s">
        <v>902</v>
      </c>
      <c r="J57" s="153">
        <f t="shared" si="0"/>
        <v>-1275</v>
      </c>
      <c r="K57" s="149"/>
    </row>
    <row r="58" spans="1:11" x14ac:dyDescent="0.2">
      <c r="A58" s="151" t="s">
        <v>915</v>
      </c>
      <c r="B58" s="175">
        <v>3752</v>
      </c>
      <c r="C58" s="151" t="s">
        <v>906</v>
      </c>
      <c r="D58" s="149"/>
      <c r="E58" s="179" t="s">
        <v>901</v>
      </c>
      <c r="F58" s="179"/>
      <c r="G58" s="180">
        <v>425</v>
      </c>
      <c r="H58" s="179"/>
      <c r="I58" s="149" t="s">
        <v>902</v>
      </c>
      <c r="J58" s="153">
        <f t="shared" si="0"/>
        <v>-425</v>
      </c>
      <c r="K58" s="149"/>
    </row>
    <row r="59" spans="1:11" x14ac:dyDescent="0.2">
      <c r="A59" s="151" t="s">
        <v>915</v>
      </c>
      <c r="B59" s="175">
        <v>3753</v>
      </c>
      <c r="C59" s="151" t="s">
        <v>907</v>
      </c>
      <c r="D59" s="149"/>
      <c r="E59" s="179" t="s">
        <v>901</v>
      </c>
      <c r="F59" s="179"/>
      <c r="G59" s="180">
        <v>1020</v>
      </c>
      <c r="H59" s="179"/>
      <c r="I59" s="149" t="s">
        <v>902</v>
      </c>
      <c r="J59" s="153">
        <f t="shared" si="0"/>
        <v>-1020</v>
      </c>
      <c r="K59" s="149"/>
    </row>
    <row r="60" spans="1:11" x14ac:dyDescent="0.2">
      <c r="A60" s="151" t="s">
        <v>915</v>
      </c>
      <c r="B60" s="175">
        <v>3754</v>
      </c>
      <c r="C60" s="151" t="s">
        <v>92</v>
      </c>
      <c r="D60" s="149"/>
      <c r="E60" s="179" t="s">
        <v>901</v>
      </c>
      <c r="F60" s="179"/>
      <c r="G60" s="180">
        <v>3395</v>
      </c>
      <c r="H60" s="179"/>
      <c r="I60" s="149" t="s">
        <v>902</v>
      </c>
      <c r="J60" s="153">
        <f t="shared" si="0"/>
        <v>-3395</v>
      </c>
      <c r="K60" s="149"/>
    </row>
    <row r="61" spans="1:11" x14ac:dyDescent="0.2">
      <c r="A61" s="151" t="s">
        <v>915</v>
      </c>
      <c r="B61" s="175">
        <v>6093</v>
      </c>
      <c r="C61" s="151" t="s">
        <v>100</v>
      </c>
      <c r="D61" s="149"/>
      <c r="E61" s="179" t="s">
        <v>901</v>
      </c>
      <c r="F61" s="179"/>
      <c r="G61" s="180">
        <v>1095</v>
      </c>
      <c r="H61" s="179"/>
      <c r="I61" s="149" t="s">
        <v>902</v>
      </c>
      <c r="J61" s="153">
        <f t="shared" si="0"/>
        <v>-1095</v>
      </c>
      <c r="K61" s="149"/>
    </row>
    <row r="62" spans="1:11" x14ac:dyDescent="0.2">
      <c r="A62" s="151" t="s">
        <v>916</v>
      </c>
      <c r="B62" s="175">
        <v>3755</v>
      </c>
      <c r="C62" s="151" t="s">
        <v>900</v>
      </c>
      <c r="D62" s="149"/>
      <c r="E62" s="179" t="s">
        <v>901</v>
      </c>
      <c r="F62" s="179"/>
      <c r="G62" s="180">
        <v>5100</v>
      </c>
      <c r="H62" s="179"/>
      <c r="I62" s="149" t="s">
        <v>902</v>
      </c>
      <c r="J62" s="153">
        <f t="shared" si="0"/>
        <v>-5100</v>
      </c>
      <c r="K62" s="149"/>
    </row>
    <row r="63" spans="1:11" x14ac:dyDescent="0.2">
      <c r="A63" s="151" t="s">
        <v>916</v>
      </c>
      <c r="B63" s="175">
        <v>3756</v>
      </c>
      <c r="C63" s="151" t="s">
        <v>917</v>
      </c>
      <c r="D63" s="149"/>
      <c r="E63" s="179" t="s">
        <v>901</v>
      </c>
      <c r="F63" s="179"/>
      <c r="G63" s="180">
        <v>2550</v>
      </c>
      <c r="H63" s="179"/>
      <c r="I63" s="149" t="s">
        <v>902</v>
      </c>
      <c r="J63" s="153">
        <f t="shared" si="0"/>
        <v>-2550</v>
      </c>
      <c r="K63" s="149"/>
    </row>
    <row r="64" spans="1:11" x14ac:dyDescent="0.2">
      <c r="A64" s="151" t="s">
        <v>916</v>
      </c>
      <c r="B64" s="175">
        <v>3757</v>
      </c>
      <c r="C64" s="151" t="s">
        <v>76</v>
      </c>
      <c r="D64" s="149"/>
      <c r="E64" s="179" t="s">
        <v>901</v>
      </c>
      <c r="F64" s="179"/>
      <c r="G64" s="180">
        <v>1000</v>
      </c>
      <c r="H64" s="179"/>
      <c r="I64" s="149" t="s">
        <v>902</v>
      </c>
      <c r="J64" s="153">
        <f t="shared" si="0"/>
        <v>-1000</v>
      </c>
      <c r="K64" s="149"/>
    </row>
    <row r="65" spans="1:11" x14ac:dyDescent="0.2">
      <c r="A65" s="151" t="s">
        <v>916</v>
      </c>
      <c r="B65" s="175">
        <v>3758</v>
      </c>
      <c r="C65" s="151" t="s">
        <v>908</v>
      </c>
      <c r="D65" s="149"/>
      <c r="E65" s="179" t="s">
        <v>901</v>
      </c>
      <c r="F65" s="179"/>
      <c r="G65" s="180">
        <v>850</v>
      </c>
      <c r="H65" s="179"/>
      <c r="I65" s="149" t="s">
        <v>902</v>
      </c>
      <c r="J65" s="153">
        <f t="shared" si="0"/>
        <v>-850</v>
      </c>
      <c r="K65" s="149"/>
    </row>
    <row r="66" spans="1:11" x14ac:dyDescent="0.2">
      <c r="A66" s="151" t="s">
        <v>916</v>
      </c>
      <c r="B66" s="175">
        <v>3759</v>
      </c>
      <c r="C66" s="151" t="s">
        <v>904</v>
      </c>
      <c r="D66" s="149"/>
      <c r="E66" s="179" t="s">
        <v>901</v>
      </c>
      <c r="F66" s="179"/>
      <c r="G66" s="180">
        <v>2975</v>
      </c>
      <c r="H66" s="179"/>
      <c r="I66" s="149" t="s">
        <v>902</v>
      </c>
      <c r="J66" s="153">
        <f t="shared" si="0"/>
        <v>-2975</v>
      </c>
      <c r="K66" s="149"/>
    </row>
    <row r="67" spans="1:11" x14ac:dyDescent="0.2">
      <c r="A67" s="151" t="s">
        <v>916</v>
      </c>
      <c r="B67" s="175">
        <v>3760</v>
      </c>
      <c r="C67" s="151" t="s">
        <v>905</v>
      </c>
      <c r="D67" s="149"/>
      <c r="E67" s="179" t="s">
        <v>901</v>
      </c>
      <c r="F67" s="179"/>
      <c r="G67" s="180">
        <v>6500</v>
      </c>
      <c r="H67" s="179"/>
      <c r="I67" s="149" t="s">
        <v>902</v>
      </c>
      <c r="J67" s="153">
        <f t="shared" si="0"/>
        <v>-6500</v>
      </c>
      <c r="K67" s="149"/>
    </row>
    <row r="68" spans="1:11" x14ac:dyDescent="0.2">
      <c r="A68" s="151" t="s">
        <v>916</v>
      </c>
      <c r="B68" s="175">
        <v>3761</v>
      </c>
      <c r="C68" s="151" t="s">
        <v>909</v>
      </c>
      <c r="D68" s="149"/>
      <c r="E68" s="179" t="s">
        <v>901</v>
      </c>
      <c r="F68" s="179"/>
      <c r="G68" s="180">
        <v>425</v>
      </c>
      <c r="H68" s="179"/>
      <c r="I68" s="149" t="s">
        <v>902</v>
      </c>
      <c r="J68" s="153">
        <f t="shared" ref="J68:J134" si="1">IF($C68="","",N($F68)-$G68+$H68)</f>
        <v>-425</v>
      </c>
      <c r="K68" s="149"/>
    </row>
    <row r="69" spans="1:11" x14ac:dyDescent="0.2">
      <c r="A69" s="151" t="s">
        <v>916</v>
      </c>
      <c r="B69" s="175">
        <v>3762</v>
      </c>
      <c r="C69" s="151" t="s">
        <v>910</v>
      </c>
      <c r="D69" s="149"/>
      <c r="E69" s="179" t="s">
        <v>901</v>
      </c>
      <c r="F69" s="179"/>
      <c r="G69" s="180">
        <v>1275</v>
      </c>
      <c r="H69" s="179"/>
      <c r="I69" s="149" t="s">
        <v>902</v>
      </c>
      <c r="J69" s="153">
        <f t="shared" si="1"/>
        <v>-1275</v>
      </c>
      <c r="K69" s="149"/>
    </row>
    <row r="70" spans="1:11" x14ac:dyDescent="0.2">
      <c r="A70" s="151" t="s">
        <v>916</v>
      </c>
      <c r="B70" s="175">
        <v>3763</v>
      </c>
      <c r="C70" s="151" t="s">
        <v>907</v>
      </c>
      <c r="D70" s="149"/>
      <c r="E70" s="179" t="s">
        <v>901</v>
      </c>
      <c r="F70" s="179"/>
      <c r="G70" s="180">
        <v>1700</v>
      </c>
      <c r="H70" s="179"/>
      <c r="I70" s="149" t="s">
        <v>902</v>
      </c>
      <c r="J70" s="153">
        <f t="shared" si="1"/>
        <v>-1700</v>
      </c>
      <c r="K70" s="149"/>
    </row>
    <row r="71" spans="1:11" x14ac:dyDescent="0.2">
      <c r="A71" s="151" t="s">
        <v>916</v>
      </c>
      <c r="B71" s="175">
        <v>3764</v>
      </c>
      <c r="C71" s="151" t="s">
        <v>906</v>
      </c>
      <c r="D71" s="149"/>
      <c r="E71" s="179" t="s">
        <v>901</v>
      </c>
      <c r="F71" s="179"/>
      <c r="G71" s="180">
        <v>425</v>
      </c>
      <c r="H71" s="179"/>
      <c r="I71" s="149" t="s">
        <v>902</v>
      </c>
      <c r="J71" s="153">
        <f t="shared" si="1"/>
        <v>-425</v>
      </c>
      <c r="K71" s="149"/>
    </row>
    <row r="72" spans="1:11" x14ac:dyDescent="0.2">
      <c r="A72" s="151" t="s">
        <v>916</v>
      </c>
      <c r="B72" s="175">
        <v>3765</v>
      </c>
      <c r="C72" s="151" t="s">
        <v>92</v>
      </c>
      <c r="D72" s="149"/>
      <c r="E72" s="179" t="s">
        <v>901</v>
      </c>
      <c r="F72" s="179"/>
      <c r="G72" s="180">
        <v>4535</v>
      </c>
      <c r="H72" s="179"/>
      <c r="I72" s="149" t="s">
        <v>902</v>
      </c>
      <c r="J72" s="153">
        <f t="shared" si="1"/>
        <v>-4535</v>
      </c>
      <c r="K72" s="149"/>
    </row>
    <row r="73" spans="1:11" x14ac:dyDescent="0.2">
      <c r="A73" s="151" t="s">
        <v>916</v>
      </c>
      <c r="B73" s="175">
        <v>6114</v>
      </c>
      <c r="C73" s="151" t="s">
        <v>100</v>
      </c>
      <c r="D73" s="149"/>
      <c r="E73" s="179" t="s">
        <v>901</v>
      </c>
      <c r="F73" s="179"/>
      <c r="G73" s="180">
        <v>475</v>
      </c>
      <c r="H73" s="179"/>
      <c r="I73" s="149" t="s">
        <v>902</v>
      </c>
      <c r="J73" s="153">
        <f t="shared" si="1"/>
        <v>-475</v>
      </c>
      <c r="K73" s="149"/>
    </row>
    <row r="74" spans="1:11" x14ac:dyDescent="0.2">
      <c r="A74" s="151" t="s">
        <v>918</v>
      </c>
      <c r="B74" s="175">
        <v>3766</v>
      </c>
      <c r="C74" s="151" t="s">
        <v>900</v>
      </c>
      <c r="D74" s="149"/>
      <c r="E74" s="179" t="s">
        <v>901</v>
      </c>
      <c r="F74" s="179"/>
      <c r="G74" s="180">
        <v>5180</v>
      </c>
      <c r="H74" s="179"/>
      <c r="I74" s="149" t="s">
        <v>902</v>
      </c>
      <c r="J74" s="153">
        <f t="shared" si="1"/>
        <v>-5180</v>
      </c>
      <c r="K74" s="149"/>
    </row>
    <row r="75" spans="1:11" x14ac:dyDescent="0.2">
      <c r="A75" s="151" t="s">
        <v>918</v>
      </c>
      <c r="B75" s="175">
        <v>3767</v>
      </c>
      <c r="C75" s="151" t="s">
        <v>903</v>
      </c>
      <c r="D75" s="149"/>
      <c r="E75" s="179" t="s">
        <v>901</v>
      </c>
      <c r="F75" s="179"/>
      <c r="G75" s="180">
        <v>3400</v>
      </c>
      <c r="H75" s="179"/>
      <c r="I75" s="149" t="s">
        <v>902</v>
      </c>
      <c r="J75" s="153">
        <f t="shared" si="1"/>
        <v>-3400</v>
      </c>
      <c r="K75" s="149"/>
    </row>
    <row r="76" spans="1:11" x14ac:dyDescent="0.2">
      <c r="A76" s="151" t="s">
        <v>918</v>
      </c>
      <c r="B76" s="175">
        <v>3768</v>
      </c>
      <c r="C76" s="151" t="s">
        <v>905</v>
      </c>
      <c r="D76" s="149"/>
      <c r="E76" s="179" t="s">
        <v>901</v>
      </c>
      <c r="F76" s="179"/>
      <c r="G76" s="180">
        <v>8300</v>
      </c>
      <c r="H76" s="179"/>
      <c r="I76" s="149" t="s">
        <v>902</v>
      </c>
      <c r="J76" s="153">
        <f t="shared" si="1"/>
        <v>-8300</v>
      </c>
      <c r="K76" s="149"/>
    </row>
    <row r="77" spans="1:11" x14ac:dyDescent="0.2">
      <c r="A77" s="151" t="s">
        <v>918</v>
      </c>
      <c r="B77" s="175">
        <v>3769</v>
      </c>
      <c r="C77" s="151" t="s">
        <v>909</v>
      </c>
      <c r="D77" s="149"/>
      <c r="E77" s="179" t="s">
        <v>901</v>
      </c>
      <c r="F77" s="179"/>
      <c r="G77" s="180">
        <v>425</v>
      </c>
      <c r="H77" s="179"/>
      <c r="I77" s="149" t="s">
        <v>902</v>
      </c>
      <c r="J77" s="153">
        <f t="shared" si="1"/>
        <v>-425</v>
      </c>
      <c r="K77" s="149"/>
    </row>
    <row r="78" spans="1:11" x14ac:dyDescent="0.2">
      <c r="A78" s="151" t="s">
        <v>918</v>
      </c>
      <c r="B78" s="175">
        <v>3770</v>
      </c>
      <c r="C78" s="151" t="s">
        <v>908</v>
      </c>
      <c r="D78" s="149"/>
      <c r="E78" s="179" t="s">
        <v>901</v>
      </c>
      <c r="F78" s="179"/>
      <c r="G78" s="180">
        <v>850</v>
      </c>
      <c r="H78" s="179"/>
      <c r="I78" s="149" t="s">
        <v>902</v>
      </c>
      <c r="J78" s="153">
        <f t="shared" si="1"/>
        <v>-850</v>
      </c>
      <c r="K78" s="149"/>
    </row>
    <row r="79" spans="1:11" x14ac:dyDescent="0.2">
      <c r="A79" s="151" t="s">
        <v>918</v>
      </c>
      <c r="B79" s="175">
        <v>3771</v>
      </c>
      <c r="C79" s="151" t="s">
        <v>76</v>
      </c>
      <c r="D79" s="149"/>
      <c r="E79" s="179" t="s">
        <v>901</v>
      </c>
      <c r="F79" s="179"/>
      <c r="G79" s="180">
        <v>700</v>
      </c>
      <c r="H79" s="179"/>
      <c r="I79" s="149" t="s">
        <v>902</v>
      </c>
      <c r="J79" s="153">
        <f t="shared" si="1"/>
        <v>-700</v>
      </c>
      <c r="K79" s="149"/>
    </row>
    <row r="80" spans="1:11" x14ac:dyDescent="0.2">
      <c r="A80" s="151" t="s">
        <v>918</v>
      </c>
      <c r="B80" s="175">
        <v>3772</v>
      </c>
      <c r="C80" s="151" t="s">
        <v>906</v>
      </c>
      <c r="D80" s="149"/>
      <c r="E80" s="179" t="s">
        <v>901</v>
      </c>
      <c r="F80" s="179"/>
      <c r="G80" s="180">
        <v>255</v>
      </c>
      <c r="H80" s="179"/>
      <c r="I80" s="149" t="s">
        <v>902</v>
      </c>
      <c r="J80" s="153">
        <f t="shared" si="1"/>
        <v>-255</v>
      </c>
      <c r="K80" s="149"/>
    </row>
    <row r="81" spans="1:11" x14ac:dyDescent="0.2">
      <c r="A81" s="151" t="s">
        <v>918</v>
      </c>
      <c r="B81" s="175">
        <v>3773</v>
      </c>
      <c r="C81" s="151" t="s">
        <v>907</v>
      </c>
      <c r="D81" s="149"/>
      <c r="E81" s="179" t="s">
        <v>901</v>
      </c>
      <c r="F81" s="179"/>
      <c r="G81" s="180">
        <v>510</v>
      </c>
      <c r="H81" s="179"/>
      <c r="I81" s="149" t="s">
        <v>902</v>
      </c>
      <c r="J81" s="153">
        <f t="shared" si="1"/>
        <v>-510</v>
      </c>
      <c r="K81" s="149"/>
    </row>
    <row r="82" spans="1:11" x14ac:dyDescent="0.2">
      <c r="A82" s="151" t="s">
        <v>918</v>
      </c>
      <c r="B82" s="175">
        <v>3774</v>
      </c>
      <c r="C82" s="151" t="s">
        <v>904</v>
      </c>
      <c r="D82" s="149"/>
      <c r="E82" s="179" t="s">
        <v>901</v>
      </c>
      <c r="F82" s="179"/>
      <c r="G82" s="180">
        <v>1700</v>
      </c>
      <c r="H82" s="179"/>
      <c r="I82" s="149" t="s">
        <v>902</v>
      </c>
      <c r="J82" s="153">
        <f t="shared" si="1"/>
        <v>-1700</v>
      </c>
      <c r="K82" s="149"/>
    </row>
    <row r="83" spans="1:11" x14ac:dyDescent="0.2">
      <c r="A83" s="151" t="s">
        <v>918</v>
      </c>
      <c r="B83" s="175">
        <v>3775</v>
      </c>
      <c r="C83" s="151" t="s">
        <v>910</v>
      </c>
      <c r="D83" s="149"/>
      <c r="E83" s="179" t="s">
        <v>901</v>
      </c>
      <c r="F83" s="179"/>
      <c r="G83" s="180">
        <v>1275</v>
      </c>
      <c r="H83" s="179"/>
      <c r="I83" s="149" t="s">
        <v>902</v>
      </c>
      <c r="J83" s="153">
        <f t="shared" si="1"/>
        <v>-1275</v>
      </c>
      <c r="K83" s="149"/>
    </row>
    <row r="84" spans="1:11" x14ac:dyDescent="0.2">
      <c r="A84" s="151" t="s">
        <v>918</v>
      </c>
      <c r="B84" s="175">
        <v>3776</v>
      </c>
      <c r="C84" s="151" t="s">
        <v>92</v>
      </c>
      <c r="D84" s="149"/>
      <c r="E84" s="179" t="s">
        <v>901</v>
      </c>
      <c r="F84" s="179"/>
      <c r="G84" s="180">
        <v>3395</v>
      </c>
      <c r="H84" s="179"/>
      <c r="I84" s="149" t="s">
        <v>902</v>
      </c>
      <c r="J84" s="153">
        <f t="shared" si="1"/>
        <v>-3395</v>
      </c>
      <c r="K84" s="149"/>
    </row>
    <row r="85" spans="1:11" x14ac:dyDescent="0.2">
      <c r="A85" s="151" t="s">
        <v>918</v>
      </c>
      <c r="B85" s="175">
        <v>3777</v>
      </c>
      <c r="C85" s="151" t="s">
        <v>214</v>
      </c>
      <c r="D85" s="149"/>
      <c r="E85" s="179" t="s">
        <v>901</v>
      </c>
      <c r="F85" s="179"/>
      <c r="G85" s="180">
        <v>180</v>
      </c>
      <c r="H85" s="179"/>
      <c r="I85" s="149" t="s">
        <v>902</v>
      </c>
      <c r="J85" s="153">
        <f t="shared" si="1"/>
        <v>-180</v>
      </c>
      <c r="K85" s="149"/>
    </row>
    <row r="86" spans="1:11" x14ac:dyDescent="0.2">
      <c r="A86" s="151" t="s">
        <v>918</v>
      </c>
      <c r="B86" s="175">
        <v>3778</v>
      </c>
      <c r="C86" s="151" t="s">
        <v>911</v>
      </c>
      <c r="D86" s="149"/>
      <c r="E86" s="179" t="s">
        <v>901</v>
      </c>
      <c r="F86" s="179"/>
      <c r="G86" s="180">
        <v>580</v>
      </c>
      <c r="H86" s="179"/>
      <c r="I86" s="149" t="s">
        <v>902</v>
      </c>
      <c r="J86" s="153">
        <f t="shared" si="1"/>
        <v>-580</v>
      </c>
      <c r="K86" s="149"/>
    </row>
    <row r="87" spans="1:11" x14ac:dyDescent="0.2">
      <c r="A87" s="151" t="s">
        <v>918</v>
      </c>
      <c r="B87" s="175"/>
      <c r="C87" s="151" t="s">
        <v>100</v>
      </c>
      <c r="D87" s="149"/>
      <c r="E87" s="179" t="s">
        <v>901</v>
      </c>
      <c r="F87" s="179"/>
      <c r="G87" s="180">
        <v>430</v>
      </c>
      <c r="H87" s="179"/>
      <c r="I87" s="149" t="s">
        <v>902</v>
      </c>
      <c r="J87" s="153">
        <f t="shared" si="1"/>
        <v>-430</v>
      </c>
      <c r="K87" s="149"/>
    </row>
    <row r="88" spans="1:11" x14ac:dyDescent="0.2">
      <c r="A88" s="151" t="s">
        <v>919</v>
      </c>
      <c r="B88" s="175">
        <v>3779</v>
      </c>
      <c r="C88" s="151" t="s">
        <v>98</v>
      </c>
      <c r="D88" s="149"/>
      <c r="E88" s="179" t="s">
        <v>901</v>
      </c>
      <c r="F88" s="179"/>
      <c r="G88" s="180">
        <v>4000</v>
      </c>
      <c r="H88" s="179"/>
      <c r="I88" s="149" t="s">
        <v>902</v>
      </c>
      <c r="J88" s="153">
        <f t="shared" si="1"/>
        <v>-4000</v>
      </c>
      <c r="K88" s="149"/>
    </row>
    <row r="89" spans="1:11" x14ac:dyDescent="0.2">
      <c r="A89" s="151" t="s">
        <v>919</v>
      </c>
      <c r="B89" s="175">
        <v>3780</v>
      </c>
      <c r="C89" s="151" t="s">
        <v>900</v>
      </c>
      <c r="D89" s="149"/>
      <c r="E89" s="179" t="s">
        <v>901</v>
      </c>
      <c r="F89" s="179"/>
      <c r="G89" s="180">
        <v>5180</v>
      </c>
      <c r="H89" s="179"/>
      <c r="I89" s="149" t="s">
        <v>902</v>
      </c>
      <c r="J89" s="153">
        <f t="shared" si="1"/>
        <v>-5180</v>
      </c>
      <c r="K89" s="149"/>
    </row>
    <row r="90" spans="1:11" x14ac:dyDescent="0.2">
      <c r="A90" s="151" t="s">
        <v>919</v>
      </c>
      <c r="B90" s="175">
        <v>3781</v>
      </c>
      <c r="C90" s="151" t="s">
        <v>903</v>
      </c>
      <c r="D90" s="149"/>
      <c r="E90" s="179" t="s">
        <v>901</v>
      </c>
      <c r="F90" s="179"/>
      <c r="G90" s="180">
        <v>2550</v>
      </c>
      <c r="H90" s="179"/>
      <c r="I90" s="149" t="s">
        <v>902</v>
      </c>
      <c r="J90" s="153">
        <f t="shared" si="1"/>
        <v>-2550</v>
      </c>
      <c r="K90" s="149"/>
    </row>
    <row r="91" spans="1:11" x14ac:dyDescent="0.2">
      <c r="A91" s="151" t="s">
        <v>919</v>
      </c>
      <c r="B91" s="175">
        <v>3782</v>
      </c>
      <c r="C91" s="151" t="s">
        <v>908</v>
      </c>
      <c r="D91" s="149"/>
      <c r="E91" s="179" t="s">
        <v>901</v>
      </c>
      <c r="F91" s="179"/>
      <c r="G91" s="180">
        <v>425</v>
      </c>
      <c r="H91" s="179"/>
      <c r="I91" s="149" t="s">
        <v>902</v>
      </c>
      <c r="J91" s="153">
        <f t="shared" si="1"/>
        <v>-425</v>
      </c>
      <c r="K91" s="149"/>
    </row>
    <row r="92" spans="1:11" x14ac:dyDescent="0.2">
      <c r="A92" s="151" t="s">
        <v>919</v>
      </c>
      <c r="B92" s="175">
        <v>3783</v>
      </c>
      <c r="C92" s="151" t="s">
        <v>904</v>
      </c>
      <c r="D92" s="149"/>
      <c r="E92" s="179" t="s">
        <v>901</v>
      </c>
      <c r="F92" s="179"/>
      <c r="G92" s="180">
        <v>2550</v>
      </c>
      <c r="H92" s="179"/>
      <c r="I92" s="149" t="s">
        <v>902</v>
      </c>
      <c r="J92" s="153">
        <f t="shared" si="1"/>
        <v>-2550</v>
      </c>
      <c r="K92" s="149"/>
    </row>
    <row r="93" spans="1:11" x14ac:dyDescent="0.2">
      <c r="A93" s="151" t="s">
        <v>919</v>
      </c>
      <c r="B93" s="175">
        <v>3784</v>
      </c>
      <c r="C93" s="151" t="s">
        <v>907</v>
      </c>
      <c r="D93" s="149"/>
      <c r="E93" s="179" t="s">
        <v>901</v>
      </c>
      <c r="F93" s="179"/>
      <c r="G93" s="180">
        <v>1275</v>
      </c>
      <c r="H93" s="179"/>
      <c r="I93" s="149" t="s">
        <v>902</v>
      </c>
      <c r="J93" s="153">
        <f t="shared" si="1"/>
        <v>-1275</v>
      </c>
      <c r="K93" s="149"/>
    </row>
    <row r="94" spans="1:11" x14ac:dyDescent="0.2">
      <c r="A94" s="151" t="s">
        <v>919</v>
      </c>
      <c r="B94" s="175">
        <v>3785</v>
      </c>
      <c r="C94" s="151" t="s">
        <v>910</v>
      </c>
      <c r="D94" s="149"/>
      <c r="E94" s="179" t="s">
        <v>901</v>
      </c>
      <c r="F94" s="179"/>
      <c r="G94" s="180">
        <v>1275</v>
      </c>
      <c r="H94" s="179"/>
      <c r="I94" s="149" t="s">
        <v>902</v>
      </c>
      <c r="J94" s="153">
        <f t="shared" si="1"/>
        <v>-1275</v>
      </c>
      <c r="K94" s="149"/>
    </row>
    <row r="95" spans="1:11" x14ac:dyDescent="0.2">
      <c r="A95" s="151" t="s">
        <v>919</v>
      </c>
      <c r="B95" s="175">
        <v>3786</v>
      </c>
      <c r="C95" s="151" t="s">
        <v>905</v>
      </c>
      <c r="D95" s="149"/>
      <c r="E95" s="179" t="s">
        <v>901</v>
      </c>
      <c r="F95" s="179"/>
      <c r="G95" s="180">
        <v>7000</v>
      </c>
      <c r="H95" s="179"/>
      <c r="I95" s="149" t="s">
        <v>902</v>
      </c>
      <c r="J95" s="153">
        <f t="shared" si="1"/>
        <v>-7000</v>
      </c>
      <c r="K95" s="149"/>
    </row>
    <row r="96" spans="1:11" x14ac:dyDescent="0.2">
      <c r="A96" s="151" t="s">
        <v>919</v>
      </c>
      <c r="B96" s="175">
        <v>3787</v>
      </c>
      <c r="C96" s="151" t="s">
        <v>909</v>
      </c>
      <c r="D96" s="149"/>
      <c r="E96" s="179" t="s">
        <v>901</v>
      </c>
      <c r="F96" s="179"/>
      <c r="G96" s="180">
        <v>425</v>
      </c>
      <c r="H96" s="179"/>
      <c r="I96" s="149" t="s">
        <v>902</v>
      </c>
      <c r="J96" s="153">
        <f t="shared" si="1"/>
        <v>-425</v>
      </c>
      <c r="K96" s="149"/>
    </row>
    <row r="97" spans="1:11" x14ac:dyDescent="0.2">
      <c r="A97" s="151" t="s">
        <v>919</v>
      </c>
      <c r="B97" s="175">
        <v>3788</v>
      </c>
      <c r="C97" s="151" t="s">
        <v>92</v>
      </c>
      <c r="D97" s="149"/>
      <c r="E97" s="179" t="s">
        <v>901</v>
      </c>
      <c r="F97" s="179"/>
      <c r="G97" s="180">
        <v>1900</v>
      </c>
      <c r="H97" s="179"/>
      <c r="I97" s="149" t="s">
        <v>902</v>
      </c>
      <c r="J97" s="153">
        <f t="shared" si="1"/>
        <v>-1900</v>
      </c>
      <c r="K97" s="149"/>
    </row>
    <row r="98" spans="1:11" x14ac:dyDescent="0.2">
      <c r="A98" s="151" t="s">
        <v>919</v>
      </c>
      <c r="B98" s="175">
        <v>3789</v>
      </c>
      <c r="C98" s="151" t="s">
        <v>214</v>
      </c>
      <c r="D98" s="149"/>
      <c r="E98" s="179" t="s">
        <v>901</v>
      </c>
      <c r="F98" s="179"/>
      <c r="G98" s="180">
        <v>180</v>
      </c>
      <c r="H98" s="179"/>
      <c r="I98" s="149" t="s">
        <v>902</v>
      </c>
      <c r="J98" s="153">
        <f t="shared" si="1"/>
        <v>-180</v>
      </c>
      <c r="K98" s="149"/>
    </row>
    <row r="99" spans="1:11" x14ac:dyDescent="0.2">
      <c r="A99" s="151" t="s">
        <v>919</v>
      </c>
      <c r="B99" s="175"/>
      <c r="C99" s="151" t="s">
        <v>949</v>
      </c>
      <c r="D99" s="149"/>
      <c r="E99" s="179" t="s">
        <v>950</v>
      </c>
      <c r="F99" s="179"/>
      <c r="G99" s="180">
        <v>0</v>
      </c>
      <c r="H99" s="179">
        <v>1000</v>
      </c>
      <c r="I99" s="149" t="s">
        <v>902</v>
      </c>
      <c r="J99" s="153">
        <f t="shared" si="1"/>
        <v>1000</v>
      </c>
      <c r="K99" s="149"/>
    </row>
    <row r="100" spans="1:11" x14ac:dyDescent="0.2">
      <c r="A100" s="151" t="s">
        <v>920</v>
      </c>
      <c r="B100" s="175">
        <v>3790</v>
      </c>
      <c r="C100" s="151" t="s">
        <v>900</v>
      </c>
      <c r="D100" s="149"/>
      <c r="E100" s="179" t="s">
        <v>901</v>
      </c>
      <c r="F100" s="179"/>
      <c r="G100" s="180">
        <v>5180</v>
      </c>
      <c r="H100" s="179"/>
      <c r="I100" s="149" t="s">
        <v>902</v>
      </c>
      <c r="J100" s="153">
        <f t="shared" si="1"/>
        <v>-5180</v>
      </c>
      <c r="K100" s="149"/>
    </row>
    <row r="101" spans="1:11" x14ac:dyDescent="0.2">
      <c r="A101" s="151" t="s">
        <v>920</v>
      </c>
      <c r="B101" s="175">
        <v>3791</v>
      </c>
      <c r="C101" s="151" t="s">
        <v>903</v>
      </c>
      <c r="D101" s="149"/>
      <c r="E101" s="179" t="s">
        <v>901</v>
      </c>
      <c r="F101" s="179"/>
      <c r="G101" s="180">
        <v>1275</v>
      </c>
      <c r="H101" s="179"/>
      <c r="I101" s="149" t="s">
        <v>902</v>
      </c>
      <c r="J101" s="153">
        <f t="shared" si="1"/>
        <v>-1275</v>
      </c>
      <c r="K101" s="149"/>
    </row>
    <row r="102" spans="1:11" x14ac:dyDescent="0.2">
      <c r="A102" s="151" t="s">
        <v>920</v>
      </c>
      <c r="B102" s="175">
        <v>3792</v>
      </c>
      <c r="C102" s="151" t="s">
        <v>908</v>
      </c>
      <c r="D102" s="149"/>
      <c r="E102" s="179" t="s">
        <v>901</v>
      </c>
      <c r="F102" s="179"/>
      <c r="G102" s="180">
        <v>680</v>
      </c>
      <c r="H102" s="179"/>
      <c r="I102" s="149" t="s">
        <v>902</v>
      </c>
      <c r="J102" s="153">
        <f t="shared" si="1"/>
        <v>-680</v>
      </c>
      <c r="K102" s="149"/>
    </row>
    <row r="103" spans="1:11" x14ac:dyDescent="0.2">
      <c r="A103" s="151" t="s">
        <v>920</v>
      </c>
      <c r="B103" s="175">
        <v>3793</v>
      </c>
      <c r="C103" s="151" t="s">
        <v>909</v>
      </c>
      <c r="D103" s="149"/>
      <c r="E103" s="179" t="s">
        <v>901</v>
      </c>
      <c r="F103" s="179"/>
      <c r="G103" s="180">
        <v>425</v>
      </c>
      <c r="H103" s="179"/>
      <c r="I103" s="149" t="s">
        <v>902</v>
      </c>
      <c r="J103" s="153">
        <f t="shared" si="1"/>
        <v>-425</v>
      </c>
      <c r="K103" s="149"/>
    </row>
    <row r="104" spans="1:11" x14ac:dyDescent="0.2">
      <c r="A104" s="151" t="s">
        <v>920</v>
      </c>
      <c r="B104" s="175">
        <v>3794</v>
      </c>
      <c r="C104" s="151" t="s">
        <v>905</v>
      </c>
      <c r="D104" s="149"/>
      <c r="E104" s="179" t="s">
        <v>901</v>
      </c>
      <c r="F104" s="179"/>
      <c r="G104" s="180">
        <v>4900</v>
      </c>
      <c r="H104" s="179"/>
      <c r="I104" s="149" t="s">
        <v>902</v>
      </c>
      <c r="J104" s="153">
        <f t="shared" si="1"/>
        <v>-4900</v>
      </c>
      <c r="K104" s="149"/>
    </row>
    <row r="105" spans="1:11" x14ac:dyDescent="0.2">
      <c r="A105" s="151" t="s">
        <v>920</v>
      </c>
      <c r="B105" s="175">
        <v>3795</v>
      </c>
      <c r="C105" s="151" t="s">
        <v>907</v>
      </c>
      <c r="D105" s="149"/>
      <c r="E105" s="179" t="s">
        <v>901</v>
      </c>
      <c r="F105" s="179"/>
      <c r="G105" s="180">
        <v>1020</v>
      </c>
      <c r="H105" s="179"/>
      <c r="I105" s="149" t="s">
        <v>902</v>
      </c>
      <c r="J105" s="153">
        <f t="shared" si="1"/>
        <v>-1020</v>
      </c>
      <c r="K105" s="149"/>
    </row>
    <row r="106" spans="1:11" x14ac:dyDescent="0.2">
      <c r="A106" s="151" t="s">
        <v>920</v>
      </c>
      <c r="B106" s="175">
        <v>3796</v>
      </c>
      <c r="C106" s="151" t="s">
        <v>906</v>
      </c>
      <c r="D106" s="149"/>
      <c r="E106" s="179" t="s">
        <v>901</v>
      </c>
      <c r="F106" s="179"/>
      <c r="G106" s="180">
        <v>425</v>
      </c>
      <c r="H106" s="179"/>
      <c r="I106" s="149" t="s">
        <v>902</v>
      </c>
      <c r="J106" s="153">
        <f t="shared" si="1"/>
        <v>-425</v>
      </c>
      <c r="K106" s="149"/>
    </row>
    <row r="107" spans="1:11" x14ac:dyDescent="0.2">
      <c r="A107" s="151" t="s">
        <v>920</v>
      </c>
      <c r="B107" s="175">
        <v>3797</v>
      </c>
      <c r="C107" s="151" t="s">
        <v>904</v>
      </c>
      <c r="D107" s="149"/>
      <c r="E107" s="179" t="s">
        <v>901</v>
      </c>
      <c r="F107" s="179"/>
      <c r="G107" s="180">
        <v>1700</v>
      </c>
      <c r="H107" s="179"/>
      <c r="I107" s="149" t="s">
        <v>902</v>
      </c>
      <c r="J107" s="153">
        <f t="shared" si="1"/>
        <v>-1700</v>
      </c>
      <c r="K107" s="149"/>
    </row>
    <row r="108" spans="1:11" x14ac:dyDescent="0.2">
      <c r="A108" s="151" t="s">
        <v>920</v>
      </c>
      <c r="B108" s="175">
        <v>3798</v>
      </c>
      <c r="C108" s="151" t="s">
        <v>910</v>
      </c>
      <c r="D108" s="149"/>
      <c r="E108" s="179" t="s">
        <v>901</v>
      </c>
      <c r="F108" s="179"/>
      <c r="G108" s="180">
        <v>1275</v>
      </c>
      <c r="H108" s="179"/>
      <c r="I108" s="149" t="s">
        <v>902</v>
      </c>
      <c r="J108" s="153">
        <f t="shared" si="1"/>
        <v>-1275</v>
      </c>
      <c r="K108" s="149"/>
    </row>
    <row r="109" spans="1:11" x14ac:dyDescent="0.2">
      <c r="A109" s="151" t="s">
        <v>920</v>
      </c>
      <c r="B109" s="175">
        <v>3799</v>
      </c>
      <c r="C109" s="151" t="s">
        <v>119</v>
      </c>
      <c r="D109" s="149"/>
      <c r="E109" s="179" t="s">
        <v>901</v>
      </c>
      <c r="F109" s="179"/>
      <c r="G109" s="180">
        <v>2975</v>
      </c>
      <c r="H109" s="179"/>
      <c r="I109" s="149" t="s">
        <v>902</v>
      </c>
      <c r="J109" s="153">
        <f t="shared" si="1"/>
        <v>-2975</v>
      </c>
      <c r="K109" s="149"/>
    </row>
    <row r="110" spans="1:11" x14ac:dyDescent="0.2">
      <c r="A110" s="151" t="s">
        <v>920</v>
      </c>
      <c r="B110" s="175">
        <v>3800</v>
      </c>
      <c r="C110" s="151" t="s">
        <v>92</v>
      </c>
      <c r="D110" s="149"/>
      <c r="E110" s="179" t="s">
        <v>901</v>
      </c>
      <c r="F110" s="179"/>
      <c r="G110" s="180">
        <v>2375</v>
      </c>
      <c r="H110" s="179"/>
      <c r="I110" s="149" t="s">
        <v>902</v>
      </c>
      <c r="J110" s="153">
        <f t="shared" si="1"/>
        <v>-2375</v>
      </c>
      <c r="K110" s="149"/>
    </row>
    <row r="111" spans="1:11" x14ac:dyDescent="0.2">
      <c r="A111" s="151" t="s">
        <v>920</v>
      </c>
      <c r="B111" s="175">
        <v>3801</v>
      </c>
      <c r="C111" s="151" t="s">
        <v>214</v>
      </c>
      <c r="D111" s="149"/>
      <c r="E111" s="179" t="s">
        <v>901</v>
      </c>
      <c r="F111" s="179"/>
      <c r="G111" s="180">
        <v>180</v>
      </c>
      <c r="H111" s="179"/>
      <c r="I111" s="149" t="s">
        <v>902</v>
      </c>
      <c r="J111" s="153">
        <f t="shared" si="1"/>
        <v>-180</v>
      </c>
      <c r="K111" s="149"/>
    </row>
    <row r="112" spans="1:11" x14ac:dyDescent="0.2">
      <c r="A112" s="151" t="s">
        <v>920</v>
      </c>
      <c r="B112" s="175">
        <v>3802</v>
      </c>
      <c r="C112" s="151" t="s">
        <v>911</v>
      </c>
      <c r="D112" s="149"/>
      <c r="E112" s="179" t="s">
        <v>901</v>
      </c>
      <c r="F112" s="179"/>
      <c r="G112" s="180">
        <v>860</v>
      </c>
      <c r="H112" s="179"/>
      <c r="I112" s="149" t="s">
        <v>902</v>
      </c>
      <c r="J112" s="153">
        <f t="shared" si="1"/>
        <v>-860</v>
      </c>
      <c r="K112" s="149"/>
    </row>
    <row r="113" spans="1:11" x14ac:dyDescent="0.2">
      <c r="A113" s="151" t="s">
        <v>920</v>
      </c>
      <c r="B113" s="175">
        <v>3803</v>
      </c>
      <c r="C113" s="151" t="s">
        <v>195</v>
      </c>
      <c r="D113" s="149"/>
      <c r="E113" s="179" t="s">
        <v>901</v>
      </c>
      <c r="F113" s="179"/>
      <c r="G113" s="180">
        <v>1600</v>
      </c>
      <c r="H113" s="179"/>
      <c r="I113" s="149" t="s">
        <v>902</v>
      </c>
      <c r="J113" s="153">
        <f t="shared" si="1"/>
        <v>-1600</v>
      </c>
      <c r="K113" s="149"/>
    </row>
    <row r="114" spans="1:11" x14ac:dyDescent="0.2">
      <c r="A114" s="151" t="s">
        <v>920</v>
      </c>
      <c r="B114" s="175"/>
      <c r="C114" s="151" t="s">
        <v>949</v>
      </c>
      <c r="D114" s="149"/>
      <c r="E114" s="179" t="s">
        <v>950</v>
      </c>
      <c r="F114" s="179"/>
      <c r="G114" s="180">
        <v>0</v>
      </c>
      <c r="H114" s="179">
        <v>1000</v>
      </c>
      <c r="I114" s="149" t="s">
        <v>902</v>
      </c>
      <c r="J114" s="153">
        <f t="shared" si="1"/>
        <v>1000</v>
      </c>
      <c r="K114" s="149"/>
    </row>
    <row r="115" spans="1:11" x14ac:dyDescent="0.2">
      <c r="A115" s="151" t="s">
        <v>920</v>
      </c>
      <c r="B115" s="175"/>
      <c r="C115" s="151" t="s">
        <v>100</v>
      </c>
      <c r="D115" s="149"/>
      <c r="E115" s="179" t="s">
        <v>901</v>
      </c>
      <c r="F115" s="179"/>
      <c r="G115" s="180">
        <v>510</v>
      </c>
      <c r="H115" s="179"/>
      <c r="I115" s="149" t="s">
        <v>902</v>
      </c>
      <c r="J115" s="153">
        <f t="shared" si="1"/>
        <v>-510</v>
      </c>
      <c r="K115" s="149"/>
    </row>
    <row r="116" spans="1:11" x14ac:dyDescent="0.2">
      <c r="A116" s="151" t="s">
        <v>921</v>
      </c>
      <c r="B116" s="175">
        <v>3804</v>
      </c>
      <c r="C116" s="151" t="s">
        <v>900</v>
      </c>
      <c r="D116" s="149"/>
      <c r="E116" s="179" t="s">
        <v>901</v>
      </c>
      <c r="F116" s="179"/>
      <c r="G116" s="180">
        <v>5180</v>
      </c>
      <c r="H116" s="179"/>
      <c r="I116" s="149" t="s">
        <v>902</v>
      </c>
      <c r="J116" s="153">
        <f t="shared" si="1"/>
        <v>-5180</v>
      </c>
      <c r="K116" s="149"/>
    </row>
    <row r="117" spans="1:11" x14ac:dyDescent="0.2">
      <c r="A117" s="151" t="s">
        <v>921</v>
      </c>
      <c r="B117" s="175">
        <v>3805</v>
      </c>
      <c r="C117" s="151" t="s">
        <v>903</v>
      </c>
      <c r="D117" s="149"/>
      <c r="E117" s="179" t="s">
        <v>901</v>
      </c>
      <c r="F117" s="179"/>
      <c r="G117" s="180">
        <v>2550</v>
      </c>
      <c r="H117" s="179"/>
      <c r="I117" s="149" t="s">
        <v>902</v>
      </c>
      <c r="J117" s="153">
        <f t="shared" si="1"/>
        <v>-2550</v>
      </c>
      <c r="K117" s="149"/>
    </row>
    <row r="118" spans="1:11" x14ac:dyDescent="0.2">
      <c r="A118" s="151" t="s">
        <v>921</v>
      </c>
      <c r="B118" s="175">
        <v>3806</v>
      </c>
      <c r="C118" s="151" t="s">
        <v>76</v>
      </c>
      <c r="D118" s="149"/>
      <c r="E118" s="179" t="s">
        <v>901</v>
      </c>
      <c r="F118" s="179"/>
      <c r="G118" s="180">
        <v>2550</v>
      </c>
      <c r="H118" s="179"/>
      <c r="I118" s="149" t="s">
        <v>902</v>
      </c>
      <c r="J118" s="153">
        <f t="shared" si="1"/>
        <v>-2550</v>
      </c>
      <c r="K118" s="149"/>
    </row>
    <row r="119" spans="1:11" x14ac:dyDescent="0.2">
      <c r="A119" s="151" t="s">
        <v>921</v>
      </c>
      <c r="B119" s="175">
        <v>3807</v>
      </c>
      <c r="C119" s="151" t="s">
        <v>906</v>
      </c>
      <c r="D119" s="149"/>
      <c r="E119" s="179" t="s">
        <v>901</v>
      </c>
      <c r="F119" s="179"/>
      <c r="G119" s="180">
        <v>680</v>
      </c>
      <c r="H119" s="179"/>
      <c r="I119" s="149" t="s">
        <v>902</v>
      </c>
      <c r="J119" s="153">
        <f t="shared" si="1"/>
        <v>-680</v>
      </c>
      <c r="K119" s="149"/>
    </row>
    <row r="120" spans="1:11" x14ac:dyDescent="0.2">
      <c r="A120" s="151" t="s">
        <v>921</v>
      </c>
      <c r="B120" s="175">
        <v>3808</v>
      </c>
      <c r="C120" s="151" t="s">
        <v>907</v>
      </c>
      <c r="D120" s="149"/>
      <c r="E120" s="179" t="s">
        <v>901</v>
      </c>
      <c r="F120" s="179"/>
      <c r="G120" s="180">
        <v>1020</v>
      </c>
      <c r="H120" s="179"/>
      <c r="I120" s="149" t="s">
        <v>902</v>
      </c>
      <c r="J120" s="153">
        <f t="shared" si="1"/>
        <v>-1020</v>
      </c>
      <c r="K120" s="149"/>
    </row>
    <row r="121" spans="1:11" x14ac:dyDescent="0.2">
      <c r="A121" s="151" t="s">
        <v>921</v>
      </c>
      <c r="B121" s="175">
        <v>3809</v>
      </c>
      <c r="C121" s="151" t="s">
        <v>908</v>
      </c>
      <c r="D121" s="149"/>
      <c r="E121" s="179" t="s">
        <v>901</v>
      </c>
      <c r="F121" s="179"/>
      <c r="G121" s="180">
        <v>680</v>
      </c>
      <c r="H121" s="179"/>
      <c r="I121" s="149" t="s">
        <v>902</v>
      </c>
      <c r="J121" s="153">
        <f t="shared" si="1"/>
        <v>-680</v>
      </c>
      <c r="K121" s="149"/>
    </row>
    <row r="122" spans="1:11" x14ac:dyDescent="0.2">
      <c r="A122" s="151" t="s">
        <v>921</v>
      </c>
      <c r="B122" s="175">
        <v>3810</v>
      </c>
      <c r="C122" s="151" t="s">
        <v>904</v>
      </c>
      <c r="D122" s="149"/>
      <c r="E122" s="179" t="s">
        <v>901</v>
      </c>
      <c r="F122" s="179"/>
      <c r="G122" s="180">
        <v>1700</v>
      </c>
      <c r="H122" s="179"/>
      <c r="I122" s="149" t="s">
        <v>902</v>
      </c>
      <c r="J122" s="153">
        <f t="shared" si="1"/>
        <v>-1700</v>
      </c>
      <c r="K122" s="149"/>
    </row>
    <row r="123" spans="1:11" x14ac:dyDescent="0.2">
      <c r="A123" s="151" t="s">
        <v>921</v>
      </c>
      <c r="B123" s="175">
        <v>3811</v>
      </c>
      <c r="C123" s="151" t="s">
        <v>910</v>
      </c>
      <c r="D123" s="149"/>
      <c r="E123" s="179" t="s">
        <v>901</v>
      </c>
      <c r="F123" s="179"/>
      <c r="G123" s="180">
        <v>1275</v>
      </c>
      <c r="H123" s="179"/>
      <c r="I123" s="149" t="s">
        <v>902</v>
      </c>
      <c r="J123" s="153">
        <f t="shared" si="1"/>
        <v>-1275</v>
      </c>
      <c r="K123" s="149"/>
    </row>
    <row r="124" spans="1:11" x14ac:dyDescent="0.2">
      <c r="A124" s="151" t="s">
        <v>921</v>
      </c>
      <c r="B124" s="175">
        <v>3812</v>
      </c>
      <c r="C124" s="151" t="s">
        <v>909</v>
      </c>
      <c r="D124" s="149"/>
      <c r="E124" s="179" t="s">
        <v>901</v>
      </c>
      <c r="F124" s="179"/>
      <c r="G124" s="180">
        <v>425</v>
      </c>
      <c r="H124" s="179"/>
      <c r="I124" s="149" t="s">
        <v>902</v>
      </c>
      <c r="J124" s="153">
        <f t="shared" si="1"/>
        <v>-425</v>
      </c>
      <c r="K124" s="149"/>
    </row>
    <row r="125" spans="1:11" x14ac:dyDescent="0.2">
      <c r="A125" s="151" t="s">
        <v>921</v>
      </c>
      <c r="B125" s="175">
        <v>3813</v>
      </c>
      <c r="C125" s="151" t="s">
        <v>905</v>
      </c>
      <c r="D125" s="149"/>
      <c r="E125" s="179" t="s">
        <v>901</v>
      </c>
      <c r="F125" s="179"/>
      <c r="G125" s="180">
        <v>9250</v>
      </c>
      <c r="H125" s="179"/>
      <c r="I125" s="149" t="s">
        <v>902</v>
      </c>
      <c r="J125" s="153">
        <f t="shared" si="1"/>
        <v>-9250</v>
      </c>
      <c r="K125" s="149"/>
    </row>
    <row r="126" spans="1:11" x14ac:dyDescent="0.2">
      <c r="A126" s="151" t="s">
        <v>921</v>
      </c>
      <c r="B126" s="175">
        <v>3814</v>
      </c>
      <c r="C126" s="151" t="s">
        <v>92</v>
      </c>
      <c r="D126" s="149"/>
      <c r="E126" s="179" t="s">
        <v>901</v>
      </c>
      <c r="F126" s="179"/>
      <c r="G126" s="180">
        <v>2850</v>
      </c>
      <c r="H126" s="179"/>
      <c r="I126" s="149" t="s">
        <v>902</v>
      </c>
      <c r="J126" s="153">
        <f t="shared" si="1"/>
        <v>-2850</v>
      </c>
      <c r="K126" s="149"/>
    </row>
    <row r="127" spans="1:11" x14ac:dyDescent="0.2">
      <c r="A127" s="151" t="s">
        <v>921</v>
      </c>
      <c r="B127" s="175">
        <v>3815</v>
      </c>
      <c r="C127" s="151" t="s">
        <v>214</v>
      </c>
      <c r="D127" s="149"/>
      <c r="E127" s="179" t="s">
        <v>901</v>
      </c>
      <c r="F127" s="179"/>
      <c r="G127" s="180">
        <v>180</v>
      </c>
      <c r="H127" s="179"/>
      <c r="I127" s="149" t="s">
        <v>902</v>
      </c>
      <c r="J127" s="153">
        <f t="shared" si="1"/>
        <v>-180</v>
      </c>
      <c r="K127" s="149"/>
    </row>
    <row r="128" spans="1:11" x14ac:dyDescent="0.2">
      <c r="A128" s="151" t="s">
        <v>921</v>
      </c>
      <c r="B128" s="175">
        <v>3816</v>
      </c>
      <c r="C128" s="151" t="s">
        <v>212</v>
      </c>
      <c r="D128" s="149"/>
      <c r="E128" s="179" t="s">
        <v>901</v>
      </c>
      <c r="F128" s="179"/>
      <c r="G128" s="180">
        <v>2200</v>
      </c>
      <c r="H128" s="179"/>
      <c r="I128" s="149" t="s">
        <v>902</v>
      </c>
      <c r="J128" s="153">
        <f t="shared" si="1"/>
        <v>-2200</v>
      </c>
      <c r="K128" s="149"/>
    </row>
    <row r="129" spans="1:11" x14ac:dyDescent="0.2">
      <c r="A129" s="151" t="s">
        <v>921</v>
      </c>
      <c r="B129" s="175"/>
      <c r="C129" s="151" t="s">
        <v>949</v>
      </c>
      <c r="D129" s="149"/>
      <c r="E129" s="179" t="s">
        <v>950</v>
      </c>
      <c r="F129" s="179"/>
      <c r="G129" s="180">
        <v>0</v>
      </c>
      <c r="H129" s="179">
        <v>2000</v>
      </c>
      <c r="I129" s="149" t="s">
        <v>902</v>
      </c>
      <c r="J129" s="153">
        <f t="shared" si="1"/>
        <v>2000</v>
      </c>
      <c r="K129" s="149"/>
    </row>
    <row r="130" spans="1:11" x14ac:dyDescent="0.2">
      <c r="A130" s="151" t="s">
        <v>921</v>
      </c>
      <c r="B130" s="175"/>
      <c r="C130" s="151" t="s">
        <v>100</v>
      </c>
      <c r="D130" s="149"/>
      <c r="E130" s="179" t="s">
        <v>901</v>
      </c>
      <c r="F130" s="179"/>
      <c r="G130" s="180">
        <v>250</v>
      </c>
      <c r="H130" s="179"/>
      <c r="I130" s="149" t="s">
        <v>902</v>
      </c>
      <c r="J130" s="153">
        <f t="shared" si="1"/>
        <v>-250</v>
      </c>
      <c r="K130" s="149"/>
    </row>
    <row r="131" spans="1:11" x14ac:dyDescent="0.2">
      <c r="A131" s="151" t="s">
        <v>922</v>
      </c>
      <c r="B131" s="175">
        <v>3817</v>
      </c>
      <c r="C131" s="151" t="s">
        <v>900</v>
      </c>
      <c r="D131" s="149"/>
      <c r="E131" s="179" t="s">
        <v>901</v>
      </c>
      <c r="F131" s="179"/>
      <c r="G131" s="180">
        <v>5180</v>
      </c>
      <c r="H131" s="179"/>
      <c r="I131" s="149" t="s">
        <v>902</v>
      </c>
      <c r="J131" s="153">
        <f t="shared" si="1"/>
        <v>-5180</v>
      </c>
      <c r="K131" s="149"/>
    </row>
    <row r="132" spans="1:11" x14ac:dyDescent="0.2">
      <c r="A132" s="151" t="s">
        <v>922</v>
      </c>
      <c r="B132" s="175">
        <v>3818</v>
      </c>
      <c r="C132" s="151" t="s">
        <v>903</v>
      </c>
      <c r="D132" s="149"/>
      <c r="E132" s="179" t="s">
        <v>901</v>
      </c>
      <c r="F132" s="179"/>
      <c r="G132" s="180">
        <v>2550</v>
      </c>
      <c r="H132" s="179"/>
      <c r="I132" s="149" t="s">
        <v>902</v>
      </c>
      <c r="J132" s="153">
        <f t="shared" si="1"/>
        <v>-2550</v>
      </c>
      <c r="K132" s="149"/>
    </row>
    <row r="133" spans="1:11" x14ac:dyDescent="0.2">
      <c r="A133" s="151" t="s">
        <v>922</v>
      </c>
      <c r="B133" s="175">
        <v>3819</v>
      </c>
      <c r="C133" s="151" t="s">
        <v>904</v>
      </c>
      <c r="D133" s="149"/>
      <c r="E133" s="179" t="s">
        <v>901</v>
      </c>
      <c r="F133" s="179"/>
      <c r="G133" s="180">
        <v>1700</v>
      </c>
      <c r="H133" s="179"/>
      <c r="I133" s="149" t="s">
        <v>902</v>
      </c>
      <c r="J133" s="153">
        <f t="shared" si="1"/>
        <v>-1700</v>
      </c>
      <c r="K133" s="149"/>
    </row>
    <row r="134" spans="1:11" x14ac:dyDescent="0.2">
      <c r="A134" s="151" t="s">
        <v>922</v>
      </c>
      <c r="B134" s="175">
        <v>3820</v>
      </c>
      <c r="C134" s="151" t="s">
        <v>905</v>
      </c>
      <c r="D134" s="149"/>
      <c r="E134" s="179" t="s">
        <v>901</v>
      </c>
      <c r="F134" s="179"/>
      <c r="G134" s="180">
        <v>3500</v>
      </c>
      <c r="H134" s="179"/>
      <c r="I134" s="149" t="s">
        <v>902</v>
      </c>
      <c r="J134" s="153">
        <f t="shared" si="1"/>
        <v>-3500</v>
      </c>
      <c r="K134" s="149"/>
    </row>
    <row r="135" spans="1:11" x14ac:dyDescent="0.2">
      <c r="A135" s="151" t="s">
        <v>922</v>
      </c>
      <c r="B135" s="175">
        <v>3821</v>
      </c>
      <c r="C135" s="151" t="s">
        <v>909</v>
      </c>
      <c r="D135" s="149"/>
      <c r="E135" s="179" t="s">
        <v>901</v>
      </c>
      <c r="F135" s="179"/>
      <c r="G135" s="180">
        <v>425</v>
      </c>
      <c r="H135" s="179"/>
      <c r="I135" s="149" t="s">
        <v>902</v>
      </c>
      <c r="J135" s="153">
        <f t="shared" ref="J135:J203" si="2">IF($C135="","",N($F135)-$G135+$H135)</f>
        <v>-425</v>
      </c>
      <c r="K135" s="149"/>
    </row>
    <row r="136" spans="1:11" x14ac:dyDescent="0.2">
      <c r="A136" s="151" t="s">
        <v>922</v>
      </c>
      <c r="B136" s="175">
        <v>3822</v>
      </c>
      <c r="C136" s="151" t="s">
        <v>910</v>
      </c>
      <c r="D136" s="149"/>
      <c r="E136" s="179" t="s">
        <v>901</v>
      </c>
      <c r="F136" s="179"/>
      <c r="G136" s="180">
        <v>1275</v>
      </c>
      <c r="H136" s="179"/>
      <c r="I136" s="149" t="s">
        <v>902</v>
      </c>
      <c r="J136" s="153">
        <f t="shared" si="2"/>
        <v>-1275</v>
      </c>
      <c r="K136" s="149"/>
    </row>
    <row r="137" spans="1:11" x14ac:dyDescent="0.2">
      <c r="A137" s="151" t="s">
        <v>922</v>
      </c>
      <c r="B137" s="175">
        <v>3823</v>
      </c>
      <c r="C137" s="151" t="s">
        <v>908</v>
      </c>
      <c r="D137" s="149"/>
      <c r="E137" s="179" t="s">
        <v>901</v>
      </c>
      <c r="F137" s="179"/>
      <c r="G137" s="180">
        <v>680</v>
      </c>
      <c r="H137" s="179"/>
      <c r="I137" s="149" t="s">
        <v>902</v>
      </c>
      <c r="J137" s="153">
        <f t="shared" si="2"/>
        <v>-680</v>
      </c>
      <c r="K137" s="149"/>
    </row>
    <row r="138" spans="1:11" x14ac:dyDescent="0.2">
      <c r="A138" s="151" t="s">
        <v>922</v>
      </c>
      <c r="B138" s="175">
        <v>3824</v>
      </c>
      <c r="C138" s="151" t="s">
        <v>906</v>
      </c>
      <c r="D138" s="149"/>
      <c r="E138" s="179" t="s">
        <v>901</v>
      </c>
      <c r="F138" s="179"/>
      <c r="G138" s="180">
        <v>425</v>
      </c>
      <c r="H138" s="179"/>
      <c r="I138" s="149" t="s">
        <v>902</v>
      </c>
      <c r="J138" s="153">
        <f t="shared" si="2"/>
        <v>-425</v>
      </c>
      <c r="K138" s="149"/>
    </row>
    <row r="139" spans="1:11" x14ac:dyDescent="0.2">
      <c r="A139" s="151" t="s">
        <v>922</v>
      </c>
      <c r="B139" s="175">
        <v>3825</v>
      </c>
      <c r="C139" s="151" t="s">
        <v>907</v>
      </c>
      <c r="D139" s="149"/>
      <c r="E139" s="179" t="s">
        <v>901</v>
      </c>
      <c r="F139" s="179"/>
      <c r="G139" s="180">
        <v>1445</v>
      </c>
      <c r="H139" s="179"/>
      <c r="I139" s="149" t="s">
        <v>902</v>
      </c>
      <c r="J139" s="153">
        <f t="shared" si="2"/>
        <v>-1445</v>
      </c>
      <c r="K139" s="149"/>
    </row>
    <row r="140" spans="1:11" x14ac:dyDescent="0.2">
      <c r="A140" s="151" t="s">
        <v>922</v>
      </c>
      <c r="B140" s="175">
        <v>3826</v>
      </c>
      <c r="C140" s="151" t="s">
        <v>92</v>
      </c>
      <c r="D140" s="149"/>
      <c r="E140" s="179" t="s">
        <v>901</v>
      </c>
      <c r="F140" s="179"/>
      <c r="G140" s="180">
        <v>2920</v>
      </c>
      <c r="H140" s="179"/>
      <c r="I140" s="149" t="s">
        <v>902</v>
      </c>
      <c r="J140" s="153">
        <f t="shared" si="2"/>
        <v>-2920</v>
      </c>
      <c r="K140" s="149"/>
    </row>
    <row r="141" spans="1:11" x14ac:dyDescent="0.2">
      <c r="A141" s="151" t="s">
        <v>922</v>
      </c>
      <c r="B141" s="175">
        <v>3827</v>
      </c>
      <c r="C141" s="151" t="s">
        <v>214</v>
      </c>
      <c r="D141" s="149"/>
      <c r="E141" s="179" t="s">
        <v>901</v>
      </c>
      <c r="F141" s="179"/>
      <c r="G141" s="180">
        <v>180</v>
      </c>
      <c r="H141" s="179"/>
      <c r="I141" s="149" t="s">
        <v>902</v>
      </c>
      <c r="J141" s="153">
        <f t="shared" si="2"/>
        <v>-180</v>
      </c>
      <c r="K141" s="149"/>
    </row>
    <row r="142" spans="1:11" x14ac:dyDescent="0.2">
      <c r="A142" s="151" t="s">
        <v>922</v>
      </c>
      <c r="B142" s="175">
        <v>3828</v>
      </c>
      <c r="C142" s="151" t="s">
        <v>923</v>
      </c>
      <c r="D142" s="149"/>
      <c r="E142" s="179" t="s">
        <v>901</v>
      </c>
      <c r="F142" s="179"/>
      <c r="G142" s="180">
        <v>1100</v>
      </c>
      <c r="H142" s="179"/>
      <c r="I142" s="149" t="s">
        <v>902</v>
      </c>
      <c r="J142" s="153">
        <f t="shared" si="2"/>
        <v>-1100</v>
      </c>
      <c r="K142" s="149"/>
    </row>
    <row r="143" spans="1:11" x14ac:dyDescent="0.2">
      <c r="A143" s="151" t="s">
        <v>922</v>
      </c>
      <c r="B143" s="175">
        <v>3829</v>
      </c>
      <c r="C143" s="151" t="s">
        <v>116</v>
      </c>
      <c r="D143" s="149"/>
      <c r="E143" s="179" t="s">
        <v>901</v>
      </c>
      <c r="F143" s="179"/>
      <c r="G143" s="180">
        <v>16500</v>
      </c>
      <c r="H143" s="179"/>
      <c r="I143" s="149" t="s">
        <v>902</v>
      </c>
      <c r="J143" s="153">
        <f t="shared" si="2"/>
        <v>-16500</v>
      </c>
      <c r="K143" s="149"/>
    </row>
    <row r="144" spans="1:11" x14ac:dyDescent="0.2">
      <c r="A144" s="151" t="s">
        <v>922</v>
      </c>
      <c r="B144" s="175"/>
      <c r="C144" s="151" t="s">
        <v>949</v>
      </c>
      <c r="D144" s="149"/>
      <c r="E144" s="179" t="s">
        <v>950</v>
      </c>
      <c r="F144" s="179"/>
      <c r="G144" s="180">
        <v>0</v>
      </c>
      <c r="H144" s="179">
        <v>1000</v>
      </c>
      <c r="I144" s="149" t="s">
        <v>902</v>
      </c>
      <c r="J144" s="153">
        <f t="shared" si="2"/>
        <v>1000</v>
      </c>
      <c r="K144" s="149"/>
    </row>
    <row r="145" spans="1:11" x14ac:dyDescent="0.2">
      <c r="A145" s="151" t="s">
        <v>922</v>
      </c>
      <c r="B145" s="175"/>
      <c r="C145" s="151" t="s">
        <v>100</v>
      </c>
      <c r="D145" s="149"/>
      <c r="E145" s="179" t="s">
        <v>901</v>
      </c>
      <c r="F145" s="179"/>
      <c r="G145" s="180">
        <v>3655</v>
      </c>
      <c r="H145" s="179"/>
      <c r="I145" s="149" t="s">
        <v>902</v>
      </c>
      <c r="J145" s="153">
        <f t="shared" si="2"/>
        <v>-3655</v>
      </c>
      <c r="K145" s="149"/>
    </row>
    <row r="146" spans="1:11" x14ac:dyDescent="0.2">
      <c r="A146" s="151" t="s">
        <v>924</v>
      </c>
      <c r="B146" s="175">
        <v>3830</v>
      </c>
      <c r="C146" s="151" t="s">
        <v>900</v>
      </c>
      <c r="D146" s="149"/>
      <c r="E146" s="179" t="s">
        <v>901</v>
      </c>
      <c r="F146" s="179"/>
      <c r="G146" s="180">
        <v>5100</v>
      </c>
      <c r="H146" s="179"/>
      <c r="I146" s="149" t="s">
        <v>902</v>
      </c>
      <c r="J146" s="153">
        <f t="shared" si="2"/>
        <v>-5100</v>
      </c>
      <c r="K146" s="149"/>
    </row>
    <row r="147" spans="1:11" x14ac:dyDescent="0.2">
      <c r="A147" s="151" t="s">
        <v>924</v>
      </c>
      <c r="B147" s="175">
        <v>3831</v>
      </c>
      <c r="C147" s="151" t="s">
        <v>903</v>
      </c>
      <c r="D147" s="149"/>
      <c r="E147" s="179" t="s">
        <v>901</v>
      </c>
      <c r="F147" s="179"/>
      <c r="G147" s="180">
        <v>2975</v>
      </c>
      <c r="H147" s="179"/>
      <c r="I147" s="149" t="s">
        <v>902</v>
      </c>
      <c r="J147" s="153">
        <f t="shared" si="2"/>
        <v>-2975</v>
      </c>
      <c r="K147" s="149"/>
    </row>
    <row r="148" spans="1:11" x14ac:dyDescent="0.2">
      <c r="A148" s="151" t="s">
        <v>924</v>
      </c>
      <c r="B148" s="175">
        <v>3832</v>
      </c>
      <c r="C148" s="151" t="s">
        <v>904</v>
      </c>
      <c r="D148" s="149"/>
      <c r="E148" s="179" t="s">
        <v>901</v>
      </c>
      <c r="F148" s="179"/>
      <c r="G148" s="180">
        <v>1700</v>
      </c>
      <c r="H148" s="179"/>
      <c r="I148" s="149" t="s">
        <v>902</v>
      </c>
      <c r="J148" s="153">
        <f t="shared" si="2"/>
        <v>-1700</v>
      </c>
      <c r="K148" s="149"/>
    </row>
    <row r="149" spans="1:11" x14ac:dyDescent="0.2">
      <c r="A149" s="151" t="s">
        <v>924</v>
      </c>
      <c r="B149" s="175">
        <v>3833</v>
      </c>
      <c r="C149" s="151" t="s">
        <v>905</v>
      </c>
      <c r="D149" s="149"/>
      <c r="E149" s="179" t="s">
        <v>901</v>
      </c>
      <c r="F149" s="179"/>
      <c r="G149" s="180">
        <v>10000</v>
      </c>
      <c r="H149" s="179"/>
      <c r="I149" s="149" t="s">
        <v>902</v>
      </c>
      <c r="J149" s="153">
        <f t="shared" si="2"/>
        <v>-10000</v>
      </c>
      <c r="K149" s="149"/>
    </row>
    <row r="150" spans="1:11" x14ac:dyDescent="0.2">
      <c r="A150" s="151" t="s">
        <v>924</v>
      </c>
      <c r="B150" s="175">
        <v>3834</v>
      </c>
      <c r="C150" s="151" t="s">
        <v>910</v>
      </c>
      <c r="D150" s="149"/>
      <c r="E150" s="179" t="s">
        <v>901</v>
      </c>
      <c r="F150" s="179"/>
      <c r="G150" s="180">
        <v>1275</v>
      </c>
      <c r="H150" s="179"/>
      <c r="I150" s="149" t="s">
        <v>902</v>
      </c>
      <c r="J150" s="153">
        <f t="shared" si="2"/>
        <v>-1275</v>
      </c>
      <c r="K150" s="149"/>
    </row>
    <row r="151" spans="1:11" x14ac:dyDescent="0.2">
      <c r="A151" s="151" t="s">
        <v>924</v>
      </c>
      <c r="B151" s="175">
        <v>3835</v>
      </c>
      <c r="C151" s="151" t="s">
        <v>907</v>
      </c>
      <c r="D151" s="149"/>
      <c r="E151" s="179" t="s">
        <v>901</v>
      </c>
      <c r="F151" s="179"/>
      <c r="G151" s="180">
        <v>1275</v>
      </c>
      <c r="H151" s="179"/>
      <c r="I151" s="149" t="s">
        <v>902</v>
      </c>
      <c r="J151" s="153">
        <f t="shared" si="2"/>
        <v>-1275</v>
      </c>
      <c r="K151" s="149"/>
    </row>
    <row r="152" spans="1:11" x14ac:dyDescent="0.2">
      <c r="A152" s="151" t="s">
        <v>924</v>
      </c>
      <c r="B152" s="175">
        <v>3836</v>
      </c>
      <c r="C152" s="151" t="s">
        <v>909</v>
      </c>
      <c r="D152" s="149"/>
      <c r="E152" s="179" t="s">
        <v>901</v>
      </c>
      <c r="F152" s="179"/>
      <c r="G152" s="180">
        <v>425</v>
      </c>
      <c r="H152" s="179"/>
      <c r="I152" s="149" t="s">
        <v>902</v>
      </c>
      <c r="J152" s="153">
        <f t="shared" si="2"/>
        <v>-425</v>
      </c>
      <c r="K152" s="149"/>
    </row>
    <row r="153" spans="1:11" x14ac:dyDescent="0.2">
      <c r="A153" s="151" t="s">
        <v>924</v>
      </c>
      <c r="B153" s="175">
        <v>3837</v>
      </c>
      <c r="C153" s="151" t="s">
        <v>908</v>
      </c>
      <c r="D153" s="149"/>
      <c r="E153" s="179" t="s">
        <v>901</v>
      </c>
      <c r="F153" s="179"/>
      <c r="G153" s="180">
        <v>680</v>
      </c>
      <c r="H153" s="179"/>
      <c r="I153" s="149" t="s">
        <v>902</v>
      </c>
      <c r="J153" s="153">
        <f t="shared" si="2"/>
        <v>-680</v>
      </c>
      <c r="K153" s="149"/>
    </row>
    <row r="154" spans="1:11" x14ac:dyDescent="0.2">
      <c r="A154" s="151" t="s">
        <v>924</v>
      </c>
      <c r="B154" s="175">
        <v>3838</v>
      </c>
      <c r="C154" s="151" t="s">
        <v>906</v>
      </c>
      <c r="D154" s="149"/>
      <c r="E154" s="179" t="s">
        <v>901</v>
      </c>
      <c r="F154" s="179"/>
      <c r="G154" s="180">
        <v>425</v>
      </c>
      <c r="H154" s="179"/>
      <c r="I154" s="149" t="s">
        <v>902</v>
      </c>
      <c r="J154" s="153">
        <f t="shared" si="2"/>
        <v>-425</v>
      </c>
      <c r="K154" s="149"/>
    </row>
    <row r="155" spans="1:11" x14ac:dyDescent="0.2">
      <c r="A155" s="151" t="s">
        <v>924</v>
      </c>
      <c r="B155" s="175">
        <v>3839</v>
      </c>
      <c r="C155" s="151" t="s">
        <v>92</v>
      </c>
      <c r="D155" s="149"/>
      <c r="E155" s="179" t="s">
        <v>901</v>
      </c>
      <c r="F155" s="179"/>
      <c r="G155" s="180">
        <v>3000</v>
      </c>
      <c r="H155" s="179"/>
      <c r="I155" s="149" t="s">
        <v>902</v>
      </c>
      <c r="J155" s="153">
        <f t="shared" si="2"/>
        <v>-3000</v>
      </c>
      <c r="K155" s="149"/>
    </row>
    <row r="156" spans="1:11" x14ac:dyDescent="0.2">
      <c r="A156" s="151" t="s">
        <v>924</v>
      </c>
      <c r="B156" s="175">
        <v>3840</v>
      </c>
      <c r="C156" s="151" t="s">
        <v>911</v>
      </c>
      <c r="D156" s="149"/>
      <c r="E156" s="179" t="s">
        <v>901</v>
      </c>
      <c r="F156" s="179"/>
      <c r="G156" s="180">
        <v>430</v>
      </c>
      <c r="H156" s="179"/>
      <c r="I156" s="149" t="s">
        <v>902</v>
      </c>
      <c r="J156" s="153">
        <f t="shared" si="2"/>
        <v>-430</v>
      </c>
      <c r="K156" s="149"/>
    </row>
    <row r="157" spans="1:11" x14ac:dyDescent="0.2">
      <c r="A157" s="151" t="s">
        <v>924</v>
      </c>
      <c r="B157" s="175">
        <v>3841</v>
      </c>
      <c r="C157" s="151" t="s">
        <v>214</v>
      </c>
      <c r="D157" s="149"/>
      <c r="E157" s="179" t="s">
        <v>901</v>
      </c>
      <c r="F157" s="179"/>
      <c r="G157" s="180">
        <v>180</v>
      </c>
      <c r="H157" s="179"/>
      <c r="I157" s="149" t="s">
        <v>902</v>
      </c>
      <c r="J157" s="153">
        <f t="shared" si="2"/>
        <v>-180</v>
      </c>
      <c r="K157" s="149"/>
    </row>
    <row r="158" spans="1:11" x14ac:dyDescent="0.2">
      <c r="A158" s="151" t="s">
        <v>924</v>
      </c>
      <c r="B158" s="175"/>
      <c r="C158" s="151" t="s">
        <v>948</v>
      </c>
      <c r="D158" s="149"/>
      <c r="E158" s="179" t="s">
        <v>946</v>
      </c>
      <c r="F158" s="179"/>
      <c r="G158" s="180">
        <v>0</v>
      </c>
      <c r="H158" s="179">
        <v>5000</v>
      </c>
      <c r="I158" s="149" t="s">
        <v>902</v>
      </c>
      <c r="J158" s="153">
        <f t="shared" si="2"/>
        <v>5000</v>
      </c>
      <c r="K158" s="149" t="s">
        <v>1226</v>
      </c>
    </row>
    <row r="159" spans="1:11" x14ac:dyDescent="0.2">
      <c r="A159" s="151" t="s">
        <v>924</v>
      </c>
      <c r="B159" s="175">
        <v>6232</v>
      </c>
      <c r="C159" s="151" t="s">
        <v>100</v>
      </c>
      <c r="D159" s="149"/>
      <c r="E159" s="179" t="s">
        <v>901</v>
      </c>
      <c r="F159" s="179"/>
      <c r="G159" s="180">
        <v>505</v>
      </c>
      <c r="H159" s="179"/>
      <c r="I159" s="149" t="s">
        <v>902</v>
      </c>
      <c r="J159" s="153">
        <f t="shared" si="2"/>
        <v>-505</v>
      </c>
      <c r="K159" s="149"/>
    </row>
    <row r="160" spans="1:11" x14ac:dyDescent="0.2">
      <c r="A160" s="181" t="s">
        <v>925</v>
      </c>
      <c r="B160" s="175">
        <v>3842</v>
      </c>
      <c r="C160" s="151" t="s">
        <v>906</v>
      </c>
      <c r="D160" s="149"/>
      <c r="E160" s="179" t="s">
        <v>901</v>
      </c>
      <c r="F160" s="179"/>
      <c r="G160" s="180">
        <v>400</v>
      </c>
      <c r="H160" s="179"/>
      <c r="I160" s="149" t="s">
        <v>902</v>
      </c>
      <c r="J160" s="153">
        <f t="shared" si="2"/>
        <v>-400</v>
      </c>
      <c r="K160" s="149"/>
    </row>
    <row r="161" spans="1:11" x14ac:dyDescent="0.2">
      <c r="A161" s="181" t="s">
        <v>925</v>
      </c>
      <c r="B161" s="175">
        <v>3843</v>
      </c>
      <c r="C161" s="151" t="s">
        <v>92</v>
      </c>
      <c r="D161" s="149"/>
      <c r="E161" s="179" t="s">
        <v>901</v>
      </c>
      <c r="F161" s="179"/>
      <c r="G161" s="180">
        <v>2850</v>
      </c>
      <c r="H161" s="179"/>
      <c r="I161" s="149" t="s">
        <v>902</v>
      </c>
      <c r="J161" s="153">
        <f t="shared" si="2"/>
        <v>-2850</v>
      </c>
      <c r="K161" s="149"/>
    </row>
    <row r="162" spans="1:11" x14ac:dyDescent="0.2">
      <c r="A162" s="181" t="s">
        <v>925</v>
      </c>
      <c r="B162" s="175">
        <v>3844</v>
      </c>
      <c r="C162" s="151" t="s">
        <v>903</v>
      </c>
      <c r="D162" s="149"/>
      <c r="E162" s="179" t="s">
        <v>901</v>
      </c>
      <c r="F162" s="179"/>
      <c r="G162" s="180">
        <v>2975</v>
      </c>
      <c r="H162" s="179"/>
      <c r="I162" s="149" t="s">
        <v>902</v>
      </c>
      <c r="J162" s="153">
        <f t="shared" si="2"/>
        <v>-2975</v>
      </c>
      <c r="K162" s="149"/>
    </row>
    <row r="163" spans="1:11" x14ac:dyDescent="0.2">
      <c r="A163" s="181" t="s">
        <v>925</v>
      </c>
      <c r="B163" s="175">
        <v>3845</v>
      </c>
      <c r="C163" s="151" t="s">
        <v>908</v>
      </c>
      <c r="D163" s="149"/>
      <c r="E163" s="179" t="s">
        <v>901</v>
      </c>
      <c r="F163" s="179"/>
      <c r="G163" s="180">
        <v>680</v>
      </c>
      <c r="H163" s="179"/>
      <c r="I163" s="149" t="s">
        <v>902</v>
      </c>
      <c r="J163" s="153">
        <f t="shared" si="2"/>
        <v>-680</v>
      </c>
      <c r="K163" s="149"/>
    </row>
    <row r="164" spans="1:11" x14ac:dyDescent="0.2">
      <c r="A164" s="181" t="s">
        <v>925</v>
      </c>
      <c r="B164" s="175">
        <v>3846</v>
      </c>
      <c r="C164" s="151" t="s">
        <v>904</v>
      </c>
      <c r="D164" s="149"/>
      <c r="E164" s="179" t="s">
        <v>901</v>
      </c>
      <c r="F164" s="179"/>
      <c r="G164" s="180">
        <v>2975</v>
      </c>
      <c r="H164" s="179"/>
      <c r="I164" s="149" t="s">
        <v>902</v>
      </c>
      <c r="J164" s="153">
        <f t="shared" si="2"/>
        <v>-2975</v>
      </c>
      <c r="K164" s="149"/>
    </row>
    <row r="165" spans="1:11" x14ac:dyDescent="0.2">
      <c r="A165" s="181" t="s">
        <v>925</v>
      </c>
      <c r="B165" s="175">
        <v>3847</v>
      </c>
      <c r="C165" s="151" t="s">
        <v>910</v>
      </c>
      <c r="D165" s="149"/>
      <c r="E165" s="179" t="s">
        <v>901</v>
      </c>
      <c r="F165" s="179"/>
      <c r="G165" s="180">
        <v>1275</v>
      </c>
      <c r="H165" s="179"/>
      <c r="I165" s="149" t="s">
        <v>902</v>
      </c>
      <c r="J165" s="153">
        <f t="shared" si="2"/>
        <v>-1275</v>
      </c>
      <c r="K165" s="149"/>
    </row>
    <row r="166" spans="1:11" x14ac:dyDescent="0.2">
      <c r="A166" s="181" t="s">
        <v>925</v>
      </c>
      <c r="B166" s="175">
        <v>3848</v>
      </c>
      <c r="C166" s="151" t="s">
        <v>909</v>
      </c>
      <c r="D166" s="149"/>
      <c r="E166" s="179" t="s">
        <v>901</v>
      </c>
      <c r="F166" s="179"/>
      <c r="G166" s="180">
        <v>425</v>
      </c>
      <c r="H166" s="179"/>
      <c r="I166" s="149" t="s">
        <v>902</v>
      </c>
      <c r="J166" s="153">
        <f t="shared" si="2"/>
        <v>-425</v>
      </c>
      <c r="K166" s="149"/>
    </row>
    <row r="167" spans="1:11" x14ac:dyDescent="0.2">
      <c r="A167" s="181" t="s">
        <v>925</v>
      </c>
      <c r="B167" s="175">
        <v>3849</v>
      </c>
      <c r="C167" s="151" t="s">
        <v>905</v>
      </c>
      <c r="D167" s="149"/>
      <c r="E167" s="179" t="s">
        <v>901</v>
      </c>
      <c r="F167" s="179"/>
      <c r="G167" s="180">
        <v>7500</v>
      </c>
      <c r="H167" s="179"/>
      <c r="I167" s="149" t="s">
        <v>902</v>
      </c>
      <c r="J167" s="153">
        <f t="shared" si="2"/>
        <v>-7500</v>
      </c>
      <c r="K167" s="149"/>
    </row>
    <row r="168" spans="1:11" x14ac:dyDescent="0.2">
      <c r="A168" s="181" t="s">
        <v>925</v>
      </c>
      <c r="B168" s="175">
        <v>3850</v>
      </c>
      <c r="C168" s="151" t="s">
        <v>214</v>
      </c>
      <c r="D168" s="149"/>
      <c r="E168" s="179" t="s">
        <v>901</v>
      </c>
      <c r="F168" s="179"/>
      <c r="G168" s="180">
        <v>180</v>
      </c>
      <c r="H168" s="179"/>
      <c r="I168" s="149" t="s">
        <v>902</v>
      </c>
      <c r="J168" s="153">
        <f t="shared" si="2"/>
        <v>-180</v>
      </c>
      <c r="K168" s="149"/>
    </row>
    <row r="169" spans="1:11" x14ac:dyDescent="0.2">
      <c r="A169" s="181" t="s">
        <v>925</v>
      </c>
      <c r="B169" s="175"/>
      <c r="C169" s="151" t="s">
        <v>949</v>
      </c>
      <c r="D169" s="149"/>
      <c r="E169" s="179" t="s">
        <v>950</v>
      </c>
      <c r="F169" s="179"/>
      <c r="G169" s="180">
        <v>0</v>
      </c>
      <c r="H169" s="179">
        <v>1000</v>
      </c>
      <c r="I169" s="149" t="s">
        <v>902</v>
      </c>
      <c r="J169" s="153">
        <f t="shared" si="2"/>
        <v>1000</v>
      </c>
      <c r="K169" s="149"/>
    </row>
    <row r="170" spans="1:11" x14ac:dyDescent="0.2">
      <c r="A170" s="181" t="s">
        <v>925</v>
      </c>
      <c r="B170" s="175">
        <v>6246</v>
      </c>
      <c r="C170" s="151" t="s">
        <v>100</v>
      </c>
      <c r="D170" s="149"/>
      <c r="E170" s="179" t="s">
        <v>901</v>
      </c>
      <c r="F170" s="179"/>
      <c r="G170" s="180">
        <v>350</v>
      </c>
      <c r="H170" s="179"/>
      <c r="I170" s="149" t="s">
        <v>902</v>
      </c>
      <c r="J170" s="153">
        <f t="shared" si="2"/>
        <v>-350</v>
      </c>
      <c r="K170" s="149"/>
    </row>
    <row r="171" spans="1:11" x14ac:dyDescent="0.2">
      <c r="A171" s="151" t="s">
        <v>926</v>
      </c>
      <c r="B171" s="175">
        <v>3851</v>
      </c>
      <c r="C171" s="151" t="s">
        <v>900</v>
      </c>
      <c r="D171" s="149"/>
      <c r="E171" s="179" t="s">
        <v>901</v>
      </c>
      <c r="F171" s="179"/>
      <c r="G171" s="180">
        <v>5180</v>
      </c>
      <c r="H171" s="179"/>
      <c r="I171" s="149" t="s">
        <v>902</v>
      </c>
      <c r="J171" s="153">
        <f t="shared" si="2"/>
        <v>-5180</v>
      </c>
      <c r="K171" s="149"/>
    </row>
    <row r="172" spans="1:11" x14ac:dyDescent="0.2">
      <c r="A172" s="151" t="s">
        <v>926</v>
      </c>
      <c r="B172" s="175">
        <v>3852</v>
      </c>
      <c r="C172" s="151" t="s">
        <v>903</v>
      </c>
      <c r="D172" s="149"/>
      <c r="E172" s="179" t="s">
        <v>901</v>
      </c>
      <c r="F172" s="179"/>
      <c r="G172" s="180">
        <v>2550</v>
      </c>
      <c r="H172" s="179"/>
      <c r="I172" s="149" t="s">
        <v>902</v>
      </c>
      <c r="J172" s="153">
        <f t="shared" si="2"/>
        <v>-2550</v>
      </c>
      <c r="K172" s="149"/>
    </row>
    <row r="173" spans="1:11" x14ac:dyDescent="0.2">
      <c r="A173" s="151" t="s">
        <v>926</v>
      </c>
      <c r="B173" s="175">
        <v>3853</v>
      </c>
      <c r="C173" s="151" t="s">
        <v>907</v>
      </c>
      <c r="D173" s="149"/>
      <c r="E173" s="179" t="s">
        <v>901</v>
      </c>
      <c r="F173" s="179"/>
      <c r="G173" s="180">
        <v>1020</v>
      </c>
      <c r="H173" s="179"/>
      <c r="I173" s="149" t="s">
        <v>902</v>
      </c>
      <c r="J173" s="153">
        <f t="shared" si="2"/>
        <v>-1020</v>
      </c>
      <c r="K173" s="149"/>
    </row>
    <row r="174" spans="1:11" x14ac:dyDescent="0.2">
      <c r="A174" s="151" t="s">
        <v>926</v>
      </c>
      <c r="B174" s="175">
        <v>3854</v>
      </c>
      <c r="C174" s="151" t="s">
        <v>908</v>
      </c>
      <c r="D174" s="149"/>
      <c r="E174" s="179" t="s">
        <v>901</v>
      </c>
      <c r="F174" s="179"/>
      <c r="G174" s="180">
        <v>680</v>
      </c>
      <c r="H174" s="179"/>
      <c r="I174" s="149" t="s">
        <v>902</v>
      </c>
      <c r="J174" s="153">
        <f t="shared" si="2"/>
        <v>-680</v>
      </c>
      <c r="K174" s="149"/>
    </row>
    <row r="175" spans="1:11" x14ac:dyDescent="0.2">
      <c r="A175" s="151" t="s">
        <v>926</v>
      </c>
      <c r="B175" s="175">
        <v>3855</v>
      </c>
      <c r="C175" s="151" t="s">
        <v>904</v>
      </c>
      <c r="D175" s="149"/>
      <c r="E175" s="179" t="s">
        <v>901</v>
      </c>
      <c r="F175" s="179"/>
      <c r="G175" s="180">
        <v>1700</v>
      </c>
      <c r="H175" s="179"/>
      <c r="I175" s="149" t="s">
        <v>902</v>
      </c>
      <c r="J175" s="153">
        <f t="shared" si="2"/>
        <v>-1700</v>
      </c>
      <c r="K175" s="149"/>
    </row>
    <row r="176" spans="1:11" x14ac:dyDescent="0.2">
      <c r="A176" s="151" t="s">
        <v>926</v>
      </c>
      <c r="B176" s="175">
        <v>3856</v>
      </c>
      <c r="C176" s="151" t="s">
        <v>910</v>
      </c>
      <c r="D176" s="149"/>
      <c r="E176" s="179" t="s">
        <v>901</v>
      </c>
      <c r="F176" s="179"/>
      <c r="G176" s="180">
        <v>1275</v>
      </c>
      <c r="H176" s="179"/>
      <c r="I176" s="149" t="s">
        <v>902</v>
      </c>
      <c r="J176" s="153">
        <f t="shared" si="2"/>
        <v>-1275</v>
      </c>
      <c r="K176" s="149"/>
    </row>
    <row r="177" spans="1:11" x14ac:dyDescent="0.2">
      <c r="A177" s="151" t="s">
        <v>926</v>
      </c>
      <c r="B177" s="175">
        <v>3857</v>
      </c>
      <c r="C177" s="151" t="s">
        <v>905</v>
      </c>
      <c r="D177" s="149"/>
      <c r="E177" s="179" t="s">
        <v>901</v>
      </c>
      <c r="F177" s="179"/>
      <c r="G177" s="180">
        <v>7000</v>
      </c>
      <c r="H177" s="179"/>
      <c r="I177" s="149" t="s">
        <v>902</v>
      </c>
      <c r="J177" s="153">
        <f t="shared" si="2"/>
        <v>-7000</v>
      </c>
      <c r="K177" s="149"/>
    </row>
    <row r="178" spans="1:11" x14ac:dyDescent="0.2">
      <c r="A178" s="151" t="s">
        <v>926</v>
      </c>
      <c r="B178" s="175">
        <v>3858</v>
      </c>
      <c r="C178" s="151" t="s">
        <v>92</v>
      </c>
      <c r="D178" s="149"/>
      <c r="E178" s="179" t="s">
        <v>901</v>
      </c>
      <c r="F178" s="179"/>
      <c r="G178" s="180">
        <v>3395</v>
      </c>
      <c r="H178" s="179"/>
      <c r="I178" s="149" t="s">
        <v>902</v>
      </c>
      <c r="J178" s="153">
        <f t="shared" si="2"/>
        <v>-3395</v>
      </c>
      <c r="K178" s="149"/>
    </row>
    <row r="179" spans="1:11" x14ac:dyDescent="0.2">
      <c r="A179" s="151" t="s">
        <v>926</v>
      </c>
      <c r="B179" s="175">
        <v>3859</v>
      </c>
      <c r="C179" s="151" t="s">
        <v>909</v>
      </c>
      <c r="D179" s="149"/>
      <c r="E179" s="179" t="s">
        <v>901</v>
      </c>
      <c r="F179" s="179"/>
      <c r="G179" s="180">
        <v>425</v>
      </c>
      <c r="H179" s="179"/>
      <c r="I179" s="149" t="s">
        <v>902</v>
      </c>
      <c r="J179" s="153">
        <f t="shared" si="2"/>
        <v>-425</v>
      </c>
      <c r="K179" s="149"/>
    </row>
    <row r="180" spans="1:11" x14ac:dyDescent="0.2">
      <c r="A180" s="151" t="s">
        <v>926</v>
      </c>
      <c r="B180" s="175"/>
      <c r="C180" s="151" t="s">
        <v>1227</v>
      </c>
      <c r="D180" s="149"/>
      <c r="E180" s="179" t="s">
        <v>950</v>
      </c>
      <c r="F180" s="179"/>
      <c r="G180" s="180">
        <v>0</v>
      </c>
      <c r="H180" s="179">
        <v>1725</v>
      </c>
      <c r="I180" s="149" t="s">
        <v>902</v>
      </c>
      <c r="J180" s="153">
        <f>IF($C180="","",N($F180)-$G180+$H180)</f>
        <v>1725</v>
      </c>
      <c r="K180" s="149"/>
    </row>
    <row r="181" spans="1:11" x14ac:dyDescent="0.2">
      <c r="A181" s="151" t="s">
        <v>926</v>
      </c>
      <c r="B181" s="175">
        <v>6250</v>
      </c>
      <c r="C181" s="151" t="s">
        <v>100</v>
      </c>
      <c r="D181" s="149"/>
      <c r="E181" s="179" t="s">
        <v>901</v>
      </c>
      <c r="F181" s="179"/>
      <c r="G181" s="180">
        <v>715</v>
      </c>
      <c r="H181" s="179"/>
      <c r="I181" s="149" t="s">
        <v>902</v>
      </c>
      <c r="J181" s="153">
        <f t="shared" si="2"/>
        <v>-715</v>
      </c>
      <c r="K181" s="149"/>
    </row>
    <row r="182" spans="1:11" x14ac:dyDescent="0.2">
      <c r="A182" s="151" t="s">
        <v>927</v>
      </c>
      <c r="B182" s="175">
        <v>3860</v>
      </c>
      <c r="C182" s="151" t="s">
        <v>900</v>
      </c>
      <c r="D182" s="149"/>
      <c r="E182" s="179" t="s">
        <v>901</v>
      </c>
      <c r="F182" s="179"/>
      <c r="G182" s="180">
        <v>5180</v>
      </c>
      <c r="H182" s="179"/>
      <c r="I182" s="149" t="s">
        <v>902</v>
      </c>
      <c r="J182" s="153">
        <f t="shared" si="2"/>
        <v>-5180</v>
      </c>
      <c r="K182" s="149"/>
    </row>
    <row r="183" spans="1:11" x14ac:dyDescent="0.2">
      <c r="A183" s="151" t="s">
        <v>927</v>
      </c>
      <c r="B183" s="175">
        <v>3861</v>
      </c>
      <c r="C183" s="151" t="s">
        <v>903</v>
      </c>
      <c r="D183" s="149"/>
      <c r="E183" s="179" t="s">
        <v>901</v>
      </c>
      <c r="F183" s="179"/>
      <c r="G183" s="180">
        <v>2975</v>
      </c>
      <c r="H183" s="179"/>
      <c r="I183" s="149" t="s">
        <v>902</v>
      </c>
      <c r="J183" s="153">
        <f t="shared" si="2"/>
        <v>-2975</v>
      </c>
      <c r="K183" s="149"/>
    </row>
    <row r="184" spans="1:11" x14ac:dyDescent="0.2">
      <c r="A184" s="151" t="s">
        <v>927</v>
      </c>
      <c r="B184" s="175">
        <v>3862</v>
      </c>
      <c r="C184" s="151" t="s">
        <v>904</v>
      </c>
      <c r="D184" s="149"/>
      <c r="E184" s="179" t="s">
        <v>901</v>
      </c>
      <c r="F184" s="179"/>
      <c r="G184" s="180">
        <v>1700</v>
      </c>
      <c r="H184" s="179"/>
      <c r="I184" s="149" t="s">
        <v>902</v>
      </c>
      <c r="J184" s="153">
        <f t="shared" si="2"/>
        <v>-1700</v>
      </c>
      <c r="K184" s="149"/>
    </row>
    <row r="185" spans="1:11" x14ac:dyDescent="0.2">
      <c r="A185" s="151" t="s">
        <v>927</v>
      </c>
      <c r="B185" s="175">
        <v>3863</v>
      </c>
      <c r="C185" s="151" t="s">
        <v>905</v>
      </c>
      <c r="D185" s="149"/>
      <c r="E185" s="179" t="s">
        <v>901</v>
      </c>
      <c r="F185" s="179"/>
      <c r="G185" s="180">
        <v>6000</v>
      </c>
      <c r="H185" s="179"/>
      <c r="I185" s="149" t="s">
        <v>902</v>
      </c>
      <c r="J185" s="153">
        <f t="shared" si="2"/>
        <v>-6000</v>
      </c>
      <c r="K185" s="149"/>
    </row>
    <row r="186" spans="1:11" x14ac:dyDescent="0.2">
      <c r="A186" s="151" t="s">
        <v>927</v>
      </c>
      <c r="B186" s="175">
        <v>3864</v>
      </c>
      <c r="C186" s="151" t="s">
        <v>910</v>
      </c>
      <c r="D186" s="149"/>
      <c r="E186" s="179" t="s">
        <v>901</v>
      </c>
      <c r="F186" s="179"/>
      <c r="G186" s="180">
        <v>2550</v>
      </c>
      <c r="H186" s="179"/>
      <c r="I186" s="149" t="s">
        <v>902</v>
      </c>
      <c r="J186" s="153">
        <f t="shared" si="2"/>
        <v>-2550</v>
      </c>
      <c r="K186" s="149"/>
    </row>
    <row r="187" spans="1:11" x14ac:dyDescent="0.2">
      <c r="A187" s="151" t="s">
        <v>927</v>
      </c>
      <c r="B187" s="175">
        <v>3865</v>
      </c>
      <c r="C187" s="151" t="s">
        <v>908</v>
      </c>
      <c r="D187" s="149"/>
      <c r="E187" s="179" t="s">
        <v>901</v>
      </c>
      <c r="F187" s="179"/>
      <c r="G187" s="180">
        <v>680</v>
      </c>
      <c r="H187" s="179"/>
      <c r="I187" s="149" t="s">
        <v>902</v>
      </c>
      <c r="J187" s="153">
        <f t="shared" si="2"/>
        <v>-680</v>
      </c>
      <c r="K187" s="149"/>
    </row>
    <row r="188" spans="1:11" x14ac:dyDescent="0.2">
      <c r="A188" s="151" t="s">
        <v>927</v>
      </c>
      <c r="B188" s="175">
        <v>3866</v>
      </c>
      <c r="C188" s="151" t="s">
        <v>907</v>
      </c>
      <c r="D188" s="149"/>
      <c r="E188" s="179" t="s">
        <v>901</v>
      </c>
      <c r="F188" s="179"/>
      <c r="G188" s="180">
        <v>1275</v>
      </c>
      <c r="H188" s="179"/>
      <c r="I188" s="149" t="s">
        <v>902</v>
      </c>
      <c r="J188" s="153">
        <f t="shared" si="2"/>
        <v>-1275</v>
      </c>
      <c r="K188" s="149"/>
    </row>
    <row r="189" spans="1:11" x14ac:dyDescent="0.2">
      <c r="A189" s="151" t="s">
        <v>927</v>
      </c>
      <c r="B189" s="175">
        <v>3867</v>
      </c>
      <c r="C189" s="151" t="s">
        <v>909</v>
      </c>
      <c r="D189" s="149"/>
      <c r="E189" s="179" t="s">
        <v>901</v>
      </c>
      <c r="F189" s="179"/>
      <c r="G189" s="180">
        <v>425</v>
      </c>
      <c r="H189" s="179"/>
      <c r="I189" s="149" t="s">
        <v>902</v>
      </c>
      <c r="J189" s="153">
        <f t="shared" si="2"/>
        <v>-425</v>
      </c>
      <c r="K189" s="149"/>
    </row>
    <row r="190" spans="1:11" x14ac:dyDescent="0.2">
      <c r="A190" s="151" t="s">
        <v>927</v>
      </c>
      <c r="B190" s="175">
        <v>3868</v>
      </c>
      <c r="C190" s="151" t="s">
        <v>76</v>
      </c>
      <c r="D190" s="149"/>
      <c r="E190" s="179" t="s">
        <v>901</v>
      </c>
      <c r="F190" s="179"/>
      <c r="G190" s="180">
        <v>3400</v>
      </c>
      <c r="H190" s="179"/>
      <c r="I190" s="149" t="s">
        <v>902</v>
      </c>
      <c r="J190" s="153">
        <f t="shared" si="2"/>
        <v>-3400</v>
      </c>
      <c r="K190" s="149"/>
    </row>
    <row r="191" spans="1:11" x14ac:dyDescent="0.2">
      <c r="A191" s="151" t="s">
        <v>927</v>
      </c>
      <c r="B191" s="175">
        <v>3869</v>
      </c>
      <c r="C191" s="151" t="s">
        <v>92</v>
      </c>
      <c r="D191" s="149"/>
      <c r="E191" s="179" t="s">
        <v>901</v>
      </c>
      <c r="F191" s="179"/>
      <c r="G191" s="180">
        <v>2920</v>
      </c>
      <c r="H191" s="179"/>
      <c r="I191" s="149" t="s">
        <v>902</v>
      </c>
      <c r="J191" s="153">
        <f t="shared" si="2"/>
        <v>-2920</v>
      </c>
      <c r="K191" s="149"/>
    </row>
    <row r="192" spans="1:11" x14ac:dyDescent="0.2">
      <c r="A192" s="151" t="s">
        <v>927</v>
      </c>
      <c r="B192" s="175">
        <v>3870</v>
      </c>
      <c r="C192" s="151" t="s">
        <v>94</v>
      </c>
      <c r="D192" s="149"/>
      <c r="E192" s="179" t="s">
        <v>901</v>
      </c>
      <c r="F192" s="179"/>
      <c r="G192" s="180">
        <v>10000</v>
      </c>
      <c r="H192" s="179"/>
      <c r="I192" s="149" t="s">
        <v>902</v>
      </c>
      <c r="J192" s="153">
        <f t="shared" si="2"/>
        <v>-10000</v>
      </c>
      <c r="K192" s="149"/>
    </row>
    <row r="193" spans="1:11" x14ac:dyDescent="0.2">
      <c r="A193" s="151" t="s">
        <v>927</v>
      </c>
      <c r="B193" s="175">
        <v>3871</v>
      </c>
      <c r="C193" s="151" t="s">
        <v>214</v>
      </c>
      <c r="D193" s="149"/>
      <c r="E193" s="179" t="s">
        <v>901</v>
      </c>
      <c r="F193" s="179"/>
      <c r="G193" s="180">
        <v>360</v>
      </c>
      <c r="H193" s="179"/>
      <c r="I193" s="149" t="s">
        <v>902</v>
      </c>
      <c r="J193" s="153">
        <f t="shared" si="2"/>
        <v>-360</v>
      </c>
      <c r="K193" s="149"/>
    </row>
    <row r="194" spans="1:11" x14ac:dyDescent="0.2">
      <c r="A194" s="151" t="s">
        <v>927</v>
      </c>
      <c r="B194" s="175"/>
      <c r="C194" s="151" t="s">
        <v>949</v>
      </c>
      <c r="D194" s="149"/>
      <c r="E194" s="179" t="s">
        <v>950</v>
      </c>
      <c r="F194" s="179"/>
      <c r="G194" s="180">
        <v>0</v>
      </c>
      <c r="H194" s="179">
        <v>1000</v>
      </c>
      <c r="I194" s="149" t="s">
        <v>902</v>
      </c>
      <c r="J194" s="153">
        <f t="shared" si="2"/>
        <v>1000</v>
      </c>
      <c r="K194" s="149"/>
    </row>
    <row r="195" spans="1:11" x14ac:dyDescent="0.2">
      <c r="A195" s="151" t="s">
        <v>927</v>
      </c>
      <c r="B195" s="175"/>
      <c r="C195" s="151" t="s">
        <v>100</v>
      </c>
      <c r="D195" s="149"/>
      <c r="E195" s="179" t="s">
        <v>901</v>
      </c>
      <c r="F195" s="179"/>
      <c r="G195" s="180">
        <v>525</v>
      </c>
      <c r="H195" s="179"/>
      <c r="I195" s="149" t="s">
        <v>902</v>
      </c>
      <c r="J195" s="153">
        <f t="shared" si="2"/>
        <v>-525</v>
      </c>
      <c r="K195" s="149"/>
    </row>
    <row r="196" spans="1:11" x14ac:dyDescent="0.2">
      <c r="A196" s="151" t="s">
        <v>928</v>
      </c>
      <c r="B196" s="175">
        <v>3872</v>
      </c>
      <c r="C196" s="151" t="s">
        <v>900</v>
      </c>
      <c r="D196" s="149"/>
      <c r="E196" s="179" t="s">
        <v>901</v>
      </c>
      <c r="F196" s="179"/>
      <c r="G196" s="180">
        <v>5180</v>
      </c>
      <c r="H196" s="179"/>
      <c r="I196" s="149" t="s">
        <v>902</v>
      </c>
      <c r="J196" s="153">
        <f t="shared" si="2"/>
        <v>-5180</v>
      </c>
      <c r="K196" s="149"/>
    </row>
    <row r="197" spans="1:11" x14ac:dyDescent="0.2">
      <c r="A197" s="151" t="s">
        <v>928</v>
      </c>
      <c r="B197" s="175">
        <v>3873</v>
      </c>
      <c r="C197" s="151" t="s">
        <v>903</v>
      </c>
      <c r="D197" s="149"/>
      <c r="E197" s="179" t="s">
        <v>901</v>
      </c>
      <c r="F197" s="179"/>
      <c r="G197" s="180">
        <v>2975</v>
      </c>
      <c r="H197" s="179"/>
      <c r="I197" s="149" t="s">
        <v>902</v>
      </c>
      <c r="J197" s="153">
        <f t="shared" si="2"/>
        <v>-2975</v>
      </c>
      <c r="K197" s="149"/>
    </row>
    <row r="198" spans="1:11" x14ac:dyDescent="0.2">
      <c r="A198" s="151" t="s">
        <v>928</v>
      </c>
      <c r="B198" s="175">
        <v>3874</v>
      </c>
      <c r="C198" s="151" t="s">
        <v>908</v>
      </c>
      <c r="D198" s="149"/>
      <c r="E198" s="179" t="s">
        <v>901</v>
      </c>
      <c r="F198" s="179"/>
      <c r="G198" s="180">
        <v>680</v>
      </c>
      <c r="H198" s="179"/>
      <c r="I198" s="149" t="s">
        <v>902</v>
      </c>
      <c r="J198" s="153">
        <f t="shared" si="2"/>
        <v>-680</v>
      </c>
      <c r="K198" s="149"/>
    </row>
    <row r="199" spans="1:11" x14ac:dyDescent="0.2">
      <c r="A199" s="151" t="s">
        <v>928</v>
      </c>
      <c r="B199" s="175">
        <v>3875</v>
      </c>
      <c r="C199" s="151" t="s">
        <v>904</v>
      </c>
      <c r="D199" s="149"/>
      <c r="E199" s="179" t="s">
        <v>901</v>
      </c>
      <c r="F199" s="179"/>
      <c r="G199" s="180">
        <v>1700</v>
      </c>
      <c r="H199" s="179"/>
      <c r="I199" s="149" t="s">
        <v>902</v>
      </c>
      <c r="J199" s="153">
        <f t="shared" si="2"/>
        <v>-1700</v>
      </c>
      <c r="K199" s="149"/>
    </row>
    <row r="200" spans="1:11" x14ac:dyDescent="0.2">
      <c r="A200" s="151" t="s">
        <v>928</v>
      </c>
      <c r="B200" s="175">
        <v>3876</v>
      </c>
      <c r="C200" s="151" t="s">
        <v>905</v>
      </c>
      <c r="D200" s="149"/>
      <c r="E200" s="179" t="s">
        <v>901</v>
      </c>
      <c r="F200" s="179"/>
      <c r="G200" s="180">
        <v>6100</v>
      </c>
      <c r="H200" s="179"/>
      <c r="I200" s="149" t="s">
        <v>902</v>
      </c>
      <c r="J200" s="153">
        <f t="shared" si="2"/>
        <v>-6100</v>
      </c>
      <c r="K200" s="149"/>
    </row>
    <row r="201" spans="1:11" x14ac:dyDescent="0.2">
      <c r="A201" s="151" t="s">
        <v>928</v>
      </c>
      <c r="B201" s="175">
        <v>3877</v>
      </c>
      <c r="C201" s="151" t="s">
        <v>910</v>
      </c>
      <c r="D201" s="149"/>
      <c r="E201" s="179" t="s">
        <v>901</v>
      </c>
      <c r="F201" s="179"/>
      <c r="G201" s="180">
        <v>1275</v>
      </c>
      <c r="H201" s="179"/>
      <c r="I201" s="149" t="s">
        <v>902</v>
      </c>
      <c r="J201" s="153">
        <f t="shared" si="2"/>
        <v>-1275</v>
      </c>
      <c r="K201" s="149"/>
    </row>
    <row r="202" spans="1:11" x14ac:dyDescent="0.2">
      <c r="A202" s="151" t="s">
        <v>928</v>
      </c>
      <c r="B202" s="175">
        <v>3878</v>
      </c>
      <c r="C202" s="151" t="s">
        <v>907</v>
      </c>
      <c r="D202" s="149"/>
      <c r="E202" s="179" t="s">
        <v>901</v>
      </c>
      <c r="F202" s="179"/>
      <c r="G202" s="180">
        <v>1275</v>
      </c>
      <c r="H202" s="179"/>
      <c r="I202" s="149" t="s">
        <v>902</v>
      </c>
      <c r="J202" s="153">
        <f t="shared" si="2"/>
        <v>-1275</v>
      </c>
      <c r="K202" s="149"/>
    </row>
    <row r="203" spans="1:11" x14ac:dyDescent="0.2">
      <c r="A203" s="151" t="s">
        <v>928</v>
      </c>
      <c r="B203" s="175">
        <v>3879</v>
      </c>
      <c r="C203" s="151" t="s">
        <v>909</v>
      </c>
      <c r="D203" s="149"/>
      <c r="E203" s="179" t="s">
        <v>901</v>
      </c>
      <c r="F203" s="179"/>
      <c r="G203" s="180">
        <v>425</v>
      </c>
      <c r="H203" s="179"/>
      <c r="I203" s="149" t="s">
        <v>902</v>
      </c>
      <c r="J203" s="153">
        <f t="shared" si="2"/>
        <v>-425</v>
      </c>
      <c r="K203" s="149"/>
    </row>
    <row r="204" spans="1:11" x14ac:dyDescent="0.2">
      <c r="A204" s="151" t="s">
        <v>928</v>
      </c>
      <c r="B204" s="175">
        <v>3880</v>
      </c>
      <c r="C204" s="151" t="s">
        <v>119</v>
      </c>
      <c r="D204" s="149"/>
      <c r="E204" s="179" t="s">
        <v>901</v>
      </c>
      <c r="F204" s="179"/>
      <c r="G204" s="180">
        <v>2975</v>
      </c>
      <c r="H204" s="179"/>
      <c r="I204" s="149" t="s">
        <v>902</v>
      </c>
      <c r="J204" s="153">
        <f t="shared" ref="J204:J273" si="3">IF($C204="","",N($F204)-$G204+$H204)</f>
        <v>-2975</v>
      </c>
      <c r="K204" s="149"/>
    </row>
    <row r="205" spans="1:11" x14ac:dyDescent="0.2">
      <c r="A205" s="151" t="s">
        <v>928</v>
      </c>
      <c r="B205" s="175">
        <v>3881</v>
      </c>
      <c r="C205" s="151" t="s">
        <v>92</v>
      </c>
      <c r="D205" s="149"/>
      <c r="E205" s="179" t="s">
        <v>901</v>
      </c>
      <c r="F205" s="179"/>
      <c r="G205" s="180">
        <v>2375</v>
      </c>
      <c r="H205" s="179"/>
      <c r="I205" s="149" t="s">
        <v>902</v>
      </c>
      <c r="J205" s="153">
        <f t="shared" si="3"/>
        <v>-2375</v>
      </c>
      <c r="K205" s="149"/>
    </row>
    <row r="206" spans="1:11" x14ac:dyDescent="0.2">
      <c r="A206" s="151" t="s">
        <v>928</v>
      </c>
      <c r="B206" s="175">
        <v>3882</v>
      </c>
      <c r="C206" s="151" t="s">
        <v>214</v>
      </c>
      <c r="D206" s="149"/>
      <c r="E206" s="179" t="s">
        <v>901</v>
      </c>
      <c r="F206" s="179"/>
      <c r="G206" s="180">
        <v>180</v>
      </c>
      <c r="H206" s="179"/>
      <c r="I206" s="149" t="s">
        <v>902</v>
      </c>
      <c r="J206" s="153">
        <f t="shared" si="3"/>
        <v>-180</v>
      </c>
      <c r="K206" s="149"/>
    </row>
    <row r="207" spans="1:11" x14ac:dyDescent="0.2">
      <c r="A207" s="151" t="s">
        <v>928</v>
      </c>
      <c r="B207" s="175"/>
      <c r="C207" s="151" t="s">
        <v>1227</v>
      </c>
      <c r="D207" s="149"/>
      <c r="E207" s="179" t="s">
        <v>901</v>
      </c>
      <c r="F207" s="179"/>
      <c r="G207" s="180">
        <v>1725</v>
      </c>
      <c r="H207" s="179">
        <v>0</v>
      </c>
      <c r="I207" s="149" t="s">
        <v>902</v>
      </c>
      <c r="J207" s="153">
        <f t="shared" si="3"/>
        <v>-1725</v>
      </c>
      <c r="K207" s="149" t="s">
        <v>1228</v>
      </c>
    </row>
    <row r="208" spans="1:11" x14ac:dyDescent="0.2">
      <c r="A208" s="151" t="s">
        <v>928</v>
      </c>
      <c r="B208" s="175"/>
      <c r="C208" s="151" t="s">
        <v>949</v>
      </c>
      <c r="D208" s="149"/>
      <c r="E208" s="179" t="s">
        <v>950</v>
      </c>
      <c r="F208" s="179"/>
      <c r="G208" s="180">
        <v>0</v>
      </c>
      <c r="H208" s="179">
        <v>500</v>
      </c>
      <c r="I208" s="149" t="s">
        <v>902</v>
      </c>
      <c r="J208" s="153">
        <f t="shared" si="3"/>
        <v>500</v>
      </c>
      <c r="K208" s="149"/>
    </row>
    <row r="209" spans="1:11" x14ac:dyDescent="0.2">
      <c r="A209" s="151" t="s">
        <v>404</v>
      </c>
      <c r="B209" s="175">
        <v>6319</v>
      </c>
      <c r="C209" s="151" t="s">
        <v>100</v>
      </c>
      <c r="D209" s="149"/>
      <c r="E209" s="179" t="s">
        <v>901</v>
      </c>
      <c r="F209" s="179"/>
      <c r="G209" s="180">
        <v>235</v>
      </c>
      <c r="H209" s="179"/>
      <c r="I209" s="149" t="s">
        <v>902</v>
      </c>
      <c r="J209" s="153">
        <f t="shared" si="3"/>
        <v>-235</v>
      </c>
      <c r="K209" s="149"/>
    </row>
    <row r="210" spans="1:11" x14ac:dyDescent="0.2">
      <c r="A210" s="151" t="s">
        <v>404</v>
      </c>
      <c r="B210" s="175">
        <v>3883</v>
      </c>
      <c r="C210" s="151" t="s">
        <v>900</v>
      </c>
      <c r="D210" s="149"/>
      <c r="E210" s="179" t="s">
        <v>901</v>
      </c>
      <c r="F210" s="179"/>
      <c r="G210" s="180">
        <v>5180</v>
      </c>
      <c r="H210" s="179"/>
      <c r="I210" s="149" t="s">
        <v>902</v>
      </c>
      <c r="J210" s="153">
        <f t="shared" si="3"/>
        <v>-5180</v>
      </c>
      <c r="K210" s="149"/>
    </row>
    <row r="211" spans="1:11" x14ac:dyDescent="0.2">
      <c r="A211" s="151" t="s">
        <v>404</v>
      </c>
      <c r="B211" s="175">
        <v>3884</v>
      </c>
      <c r="C211" s="151" t="s">
        <v>905</v>
      </c>
      <c r="D211" s="149"/>
      <c r="E211" s="179" t="s">
        <v>901</v>
      </c>
      <c r="F211" s="179"/>
      <c r="G211" s="180">
        <v>5400</v>
      </c>
      <c r="H211" s="179"/>
      <c r="I211" s="149" t="s">
        <v>902</v>
      </c>
      <c r="J211" s="153">
        <f t="shared" si="3"/>
        <v>-5400</v>
      </c>
      <c r="K211" s="149"/>
    </row>
    <row r="212" spans="1:11" x14ac:dyDescent="0.2">
      <c r="A212" s="151" t="s">
        <v>404</v>
      </c>
      <c r="B212" s="175">
        <v>3885</v>
      </c>
      <c r="C212" s="151" t="s">
        <v>903</v>
      </c>
      <c r="D212" s="149"/>
      <c r="E212" s="179" t="s">
        <v>901</v>
      </c>
      <c r="F212" s="179"/>
      <c r="G212" s="180">
        <v>2975</v>
      </c>
      <c r="H212" s="179"/>
      <c r="I212" s="149" t="s">
        <v>902</v>
      </c>
      <c r="J212" s="153">
        <f t="shared" si="3"/>
        <v>-2975</v>
      </c>
      <c r="K212" s="149"/>
    </row>
    <row r="213" spans="1:11" x14ac:dyDescent="0.2">
      <c r="A213" s="151" t="s">
        <v>404</v>
      </c>
      <c r="B213" s="175">
        <v>3886</v>
      </c>
      <c r="C213" s="151" t="s">
        <v>908</v>
      </c>
      <c r="D213" s="149"/>
      <c r="E213" s="179" t="s">
        <v>901</v>
      </c>
      <c r="F213" s="179"/>
      <c r="G213" s="180">
        <v>680</v>
      </c>
      <c r="H213" s="179"/>
      <c r="I213" s="149" t="s">
        <v>902</v>
      </c>
      <c r="J213" s="153">
        <f t="shared" si="3"/>
        <v>-680</v>
      </c>
      <c r="K213" s="149"/>
    </row>
    <row r="214" spans="1:11" x14ac:dyDescent="0.2">
      <c r="A214" s="151" t="s">
        <v>404</v>
      </c>
      <c r="B214" s="175">
        <v>3887</v>
      </c>
      <c r="C214" s="151" t="s">
        <v>76</v>
      </c>
      <c r="D214" s="149"/>
      <c r="E214" s="179" t="s">
        <v>901</v>
      </c>
      <c r="F214" s="179"/>
      <c r="G214" s="180">
        <v>1700</v>
      </c>
      <c r="H214" s="179"/>
      <c r="I214" s="149" t="s">
        <v>902</v>
      </c>
      <c r="J214" s="153">
        <f t="shared" si="3"/>
        <v>-1700</v>
      </c>
      <c r="K214" s="149"/>
    </row>
    <row r="215" spans="1:11" x14ac:dyDescent="0.2">
      <c r="A215" s="151" t="s">
        <v>404</v>
      </c>
      <c r="B215" s="175">
        <v>3888</v>
      </c>
      <c r="C215" s="151" t="s">
        <v>906</v>
      </c>
      <c r="D215" s="149"/>
      <c r="E215" s="179" t="s">
        <v>901</v>
      </c>
      <c r="F215" s="179"/>
      <c r="G215" s="180">
        <v>680</v>
      </c>
      <c r="H215" s="179"/>
      <c r="I215" s="149" t="s">
        <v>902</v>
      </c>
      <c r="J215" s="153">
        <f t="shared" si="3"/>
        <v>-680</v>
      </c>
      <c r="K215" s="149"/>
    </row>
    <row r="216" spans="1:11" x14ac:dyDescent="0.2">
      <c r="A216" s="151" t="s">
        <v>404</v>
      </c>
      <c r="B216" s="175">
        <v>3889</v>
      </c>
      <c r="C216" s="151" t="s">
        <v>907</v>
      </c>
      <c r="D216" s="149"/>
      <c r="E216" s="179" t="s">
        <v>901</v>
      </c>
      <c r="F216" s="179"/>
      <c r="G216" s="180">
        <v>1275</v>
      </c>
      <c r="H216" s="179"/>
      <c r="I216" s="149" t="s">
        <v>902</v>
      </c>
      <c r="J216" s="153">
        <f t="shared" si="3"/>
        <v>-1275</v>
      </c>
      <c r="K216" s="149"/>
    </row>
    <row r="217" spans="1:11" x14ac:dyDescent="0.2">
      <c r="A217" s="151" t="s">
        <v>404</v>
      </c>
      <c r="B217" s="175">
        <v>3890</v>
      </c>
      <c r="C217" s="151" t="s">
        <v>904</v>
      </c>
      <c r="D217" s="149"/>
      <c r="E217" s="179" t="s">
        <v>901</v>
      </c>
      <c r="F217" s="179"/>
      <c r="G217" s="180">
        <v>2550</v>
      </c>
      <c r="H217" s="179"/>
      <c r="I217" s="149" t="s">
        <v>902</v>
      </c>
      <c r="J217" s="153">
        <f t="shared" si="3"/>
        <v>-2550</v>
      </c>
      <c r="K217" s="149"/>
    </row>
    <row r="218" spans="1:11" x14ac:dyDescent="0.2">
      <c r="A218" s="151" t="s">
        <v>404</v>
      </c>
      <c r="B218" s="175">
        <v>3891</v>
      </c>
      <c r="C218" s="151" t="s">
        <v>909</v>
      </c>
      <c r="D218" s="149"/>
      <c r="E218" s="179" t="s">
        <v>901</v>
      </c>
      <c r="F218" s="179"/>
      <c r="G218" s="180">
        <v>850</v>
      </c>
      <c r="H218" s="179"/>
      <c r="I218" s="149" t="s">
        <v>902</v>
      </c>
      <c r="J218" s="153">
        <f t="shared" si="3"/>
        <v>-850</v>
      </c>
      <c r="K218" s="149"/>
    </row>
    <row r="219" spans="1:11" x14ac:dyDescent="0.2">
      <c r="A219" s="151" t="s">
        <v>404</v>
      </c>
      <c r="B219" s="175">
        <v>3892</v>
      </c>
      <c r="C219" s="151" t="s">
        <v>910</v>
      </c>
      <c r="D219" s="149"/>
      <c r="E219" s="179" t="s">
        <v>901</v>
      </c>
      <c r="F219" s="179"/>
      <c r="G219" s="180">
        <v>1275</v>
      </c>
      <c r="H219" s="179"/>
      <c r="I219" s="149" t="s">
        <v>902</v>
      </c>
      <c r="J219" s="153">
        <f t="shared" si="3"/>
        <v>-1275</v>
      </c>
      <c r="K219" s="149"/>
    </row>
    <row r="220" spans="1:11" x14ac:dyDescent="0.2">
      <c r="A220" s="151" t="s">
        <v>404</v>
      </c>
      <c r="B220" s="175">
        <v>3893</v>
      </c>
      <c r="C220" s="151" t="s">
        <v>92</v>
      </c>
      <c r="D220" s="149"/>
      <c r="E220" s="179" t="s">
        <v>901</v>
      </c>
      <c r="F220" s="179"/>
      <c r="G220" s="180">
        <v>2800</v>
      </c>
      <c r="H220" s="179"/>
      <c r="I220" s="149" t="s">
        <v>902</v>
      </c>
      <c r="J220" s="153">
        <f t="shared" si="3"/>
        <v>-2800</v>
      </c>
      <c r="K220" s="149"/>
    </row>
    <row r="221" spans="1:11" x14ac:dyDescent="0.2">
      <c r="A221" s="151" t="s">
        <v>404</v>
      </c>
      <c r="B221" s="175">
        <v>6299</v>
      </c>
      <c r="C221" s="151" t="s">
        <v>100</v>
      </c>
      <c r="D221" s="149"/>
      <c r="E221" s="179" t="s">
        <v>901</v>
      </c>
      <c r="F221" s="179"/>
      <c r="G221" s="180">
        <v>790</v>
      </c>
      <c r="H221" s="179"/>
      <c r="I221" s="149" t="s">
        <v>902</v>
      </c>
      <c r="J221" s="153">
        <f t="shared" si="3"/>
        <v>-790</v>
      </c>
      <c r="K221" s="149"/>
    </row>
    <row r="222" spans="1:11" x14ac:dyDescent="0.2">
      <c r="A222" s="151" t="s">
        <v>929</v>
      </c>
      <c r="B222" s="175">
        <v>6336</v>
      </c>
      <c r="C222" s="151" t="s">
        <v>100</v>
      </c>
      <c r="D222" s="149"/>
      <c r="E222" s="179" t="s">
        <v>901</v>
      </c>
      <c r="F222" s="179"/>
      <c r="G222" s="180">
        <v>1325</v>
      </c>
      <c r="H222" s="179"/>
      <c r="I222" s="149" t="s">
        <v>902</v>
      </c>
      <c r="J222" s="153">
        <f t="shared" si="3"/>
        <v>-1325</v>
      </c>
      <c r="K222" s="149"/>
    </row>
    <row r="223" spans="1:11" x14ac:dyDescent="0.2">
      <c r="A223" s="151" t="s">
        <v>929</v>
      </c>
      <c r="B223" s="175">
        <v>3894</v>
      </c>
      <c r="C223" s="151" t="s">
        <v>900</v>
      </c>
      <c r="D223" s="149"/>
      <c r="E223" s="179" t="s">
        <v>901</v>
      </c>
      <c r="F223" s="179"/>
      <c r="G223" s="180">
        <v>5180</v>
      </c>
      <c r="H223" s="179"/>
      <c r="I223" s="149" t="s">
        <v>902</v>
      </c>
      <c r="J223" s="153">
        <f t="shared" si="3"/>
        <v>-5180</v>
      </c>
      <c r="K223" s="149"/>
    </row>
    <row r="224" spans="1:11" x14ac:dyDescent="0.2">
      <c r="A224" s="151" t="s">
        <v>929</v>
      </c>
      <c r="B224" s="175">
        <v>3895</v>
      </c>
      <c r="C224" s="151" t="s">
        <v>903</v>
      </c>
      <c r="D224" s="149"/>
      <c r="E224" s="179" t="s">
        <v>901</v>
      </c>
      <c r="F224" s="179"/>
      <c r="G224" s="180">
        <v>4675</v>
      </c>
      <c r="H224" s="179"/>
      <c r="I224" s="149" t="s">
        <v>902</v>
      </c>
      <c r="J224" s="153">
        <f t="shared" si="3"/>
        <v>-4675</v>
      </c>
      <c r="K224" s="149"/>
    </row>
    <row r="225" spans="1:11" x14ac:dyDescent="0.2">
      <c r="A225" s="151" t="s">
        <v>929</v>
      </c>
      <c r="B225" s="175">
        <v>3896</v>
      </c>
      <c r="C225" s="151" t="s">
        <v>904</v>
      </c>
      <c r="D225" s="149"/>
      <c r="E225" s="179" t="s">
        <v>901</v>
      </c>
      <c r="F225" s="179"/>
      <c r="G225" s="180">
        <v>2125</v>
      </c>
      <c r="H225" s="179"/>
      <c r="I225" s="149" t="s">
        <v>902</v>
      </c>
      <c r="J225" s="153">
        <f t="shared" si="3"/>
        <v>-2125</v>
      </c>
      <c r="K225" s="149"/>
    </row>
    <row r="226" spans="1:11" x14ac:dyDescent="0.2">
      <c r="A226" s="151" t="s">
        <v>929</v>
      </c>
      <c r="B226" s="175">
        <v>3897</v>
      </c>
      <c r="C226" s="151" t="s">
        <v>905</v>
      </c>
      <c r="D226" s="149"/>
      <c r="E226" s="179" t="s">
        <v>901</v>
      </c>
      <c r="F226" s="179"/>
      <c r="G226" s="180">
        <v>6500</v>
      </c>
      <c r="H226" s="179"/>
      <c r="I226" s="149" t="s">
        <v>902</v>
      </c>
      <c r="J226" s="153">
        <f t="shared" si="3"/>
        <v>-6500</v>
      </c>
      <c r="K226" s="149"/>
    </row>
    <row r="227" spans="1:11" x14ac:dyDescent="0.2">
      <c r="A227" s="151" t="s">
        <v>929</v>
      </c>
      <c r="B227" s="175">
        <v>3898</v>
      </c>
      <c r="C227" s="151" t="s">
        <v>909</v>
      </c>
      <c r="D227" s="149"/>
      <c r="E227" s="179" t="s">
        <v>901</v>
      </c>
      <c r="F227" s="179"/>
      <c r="G227" s="180">
        <v>425</v>
      </c>
      <c r="H227" s="179"/>
      <c r="I227" s="149" t="s">
        <v>902</v>
      </c>
      <c r="J227" s="153">
        <f t="shared" si="3"/>
        <v>-425</v>
      </c>
      <c r="K227" s="149"/>
    </row>
    <row r="228" spans="1:11" x14ac:dyDescent="0.2">
      <c r="A228" s="151" t="s">
        <v>929</v>
      </c>
      <c r="B228" s="175">
        <v>3899</v>
      </c>
      <c r="C228" s="151" t="s">
        <v>910</v>
      </c>
      <c r="D228" s="149"/>
      <c r="E228" s="179" t="s">
        <v>901</v>
      </c>
      <c r="F228" s="179"/>
      <c r="G228" s="180">
        <v>1275</v>
      </c>
      <c r="H228" s="179"/>
      <c r="I228" s="149" t="s">
        <v>902</v>
      </c>
      <c r="J228" s="153">
        <f t="shared" si="3"/>
        <v>-1275</v>
      </c>
      <c r="K228" s="149"/>
    </row>
    <row r="229" spans="1:11" x14ac:dyDescent="0.2">
      <c r="A229" s="151" t="s">
        <v>929</v>
      </c>
      <c r="B229" s="175">
        <v>3900</v>
      </c>
      <c r="C229" s="151" t="s">
        <v>908</v>
      </c>
      <c r="D229" s="149"/>
      <c r="E229" s="179" t="s">
        <v>901</v>
      </c>
      <c r="F229" s="179"/>
      <c r="G229" s="180">
        <v>680</v>
      </c>
      <c r="H229" s="179"/>
      <c r="I229" s="149" t="s">
        <v>902</v>
      </c>
      <c r="J229" s="153">
        <f t="shared" si="3"/>
        <v>-680</v>
      </c>
      <c r="K229" s="149"/>
    </row>
    <row r="230" spans="1:11" x14ac:dyDescent="0.2">
      <c r="A230" s="151" t="s">
        <v>929</v>
      </c>
      <c r="B230" s="175">
        <v>3901</v>
      </c>
      <c r="C230" s="151" t="s">
        <v>907</v>
      </c>
      <c r="D230" s="149"/>
      <c r="E230" s="179" t="s">
        <v>901</v>
      </c>
      <c r="F230" s="179"/>
      <c r="G230" s="180">
        <v>2125</v>
      </c>
      <c r="H230" s="179"/>
      <c r="I230" s="149" t="s">
        <v>902</v>
      </c>
      <c r="J230" s="153">
        <f t="shared" si="3"/>
        <v>-2125</v>
      </c>
      <c r="K230" s="149"/>
    </row>
    <row r="231" spans="1:11" x14ac:dyDescent="0.2">
      <c r="A231" s="151" t="s">
        <v>929</v>
      </c>
      <c r="B231" s="175">
        <v>3902</v>
      </c>
      <c r="C231" s="151" t="s">
        <v>214</v>
      </c>
      <c r="D231" s="149"/>
      <c r="E231" s="179" t="s">
        <v>901</v>
      </c>
      <c r="F231" s="179"/>
      <c r="G231" s="180">
        <v>360</v>
      </c>
      <c r="H231" s="179"/>
      <c r="I231" s="149" t="s">
        <v>902</v>
      </c>
      <c r="J231" s="153">
        <f t="shared" si="3"/>
        <v>-360</v>
      </c>
      <c r="K231" s="149"/>
    </row>
    <row r="232" spans="1:11" x14ac:dyDescent="0.2">
      <c r="A232" s="151" t="s">
        <v>929</v>
      </c>
      <c r="B232" s="175">
        <v>3903</v>
      </c>
      <c r="C232" s="151" t="s">
        <v>92</v>
      </c>
      <c r="D232" s="149"/>
      <c r="E232" s="179" t="s">
        <v>901</v>
      </c>
      <c r="F232" s="179"/>
      <c r="G232" s="180">
        <v>3800</v>
      </c>
      <c r="H232" s="179"/>
      <c r="I232" s="149" t="s">
        <v>902</v>
      </c>
      <c r="J232" s="153">
        <f t="shared" si="3"/>
        <v>-3800</v>
      </c>
      <c r="K232" s="149"/>
    </row>
    <row r="233" spans="1:11" x14ac:dyDescent="0.2">
      <c r="A233" s="151" t="s">
        <v>929</v>
      </c>
      <c r="B233" s="175">
        <v>3904</v>
      </c>
      <c r="C233" s="151" t="s">
        <v>209</v>
      </c>
      <c r="D233" s="149"/>
      <c r="E233" s="179" t="s">
        <v>901</v>
      </c>
      <c r="F233" s="179"/>
      <c r="G233" s="180">
        <v>16500</v>
      </c>
      <c r="H233" s="179"/>
      <c r="I233" s="149" t="s">
        <v>902</v>
      </c>
      <c r="J233" s="153">
        <f t="shared" si="3"/>
        <v>-16500</v>
      </c>
      <c r="K233" s="149"/>
    </row>
    <row r="234" spans="1:11" x14ac:dyDescent="0.2">
      <c r="A234" s="151" t="s">
        <v>929</v>
      </c>
      <c r="B234" s="175"/>
      <c r="C234" s="151" t="s">
        <v>949</v>
      </c>
      <c r="D234" s="149"/>
      <c r="E234" s="179" t="s">
        <v>950</v>
      </c>
      <c r="F234" s="179"/>
      <c r="G234" s="180">
        <v>0</v>
      </c>
      <c r="H234" s="179">
        <v>500</v>
      </c>
      <c r="I234" s="149" t="s">
        <v>902</v>
      </c>
      <c r="J234" s="153">
        <f t="shared" si="3"/>
        <v>500</v>
      </c>
      <c r="K234" s="149"/>
    </row>
    <row r="235" spans="1:11" x14ac:dyDescent="0.2">
      <c r="A235" s="151" t="s">
        <v>930</v>
      </c>
      <c r="B235" s="175">
        <v>6342</v>
      </c>
      <c r="C235" s="151" t="s">
        <v>100</v>
      </c>
      <c r="D235" s="149"/>
      <c r="E235" s="179" t="s">
        <v>901</v>
      </c>
      <c r="F235" s="179"/>
      <c r="G235" s="180">
        <v>840</v>
      </c>
      <c r="H235" s="179"/>
      <c r="I235" s="149" t="s">
        <v>902</v>
      </c>
      <c r="J235" s="153">
        <f t="shared" si="3"/>
        <v>-840</v>
      </c>
      <c r="K235" s="149"/>
    </row>
    <row r="236" spans="1:11" x14ac:dyDescent="0.2">
      <c r="A236" s="151" t="s">
        <v>930</v>
      </c>
      <c r="B236" s="175">
        <v>6341</v>
      </c>
      <c r="C236" s="151" t="s">
        <v>100</v>
      </c>
      <c r="D236" s="149"/>
      <c r="E236" s="179" t="s">
        <v>901</v>
      </c>
      <c r="F236" s="179"/>
      <c r="G236" s="180">
        <v>270</v>
      </c>
      <c r="H236" s="179"/>
      <c r="I236" s="149" t="s">
        <v>902</v>
      </c>
      <c r="J236" s="153">
        <f t="shared" si="3"/>
        <v>-270</v>
      </c>
      <c r="K236" s="149"/>
    </row>
    <row r="237" spans="1:11" x14ac:dyDescent="0.2">
      <c r="A237" s="151" t="s">
        <v>930</v>
      </c>
      <c r="B237" s="175">
        <v>3905</v>
      </c>
      <c r="C237" s="151" t="s">
        <v>931</v>
      </c>
      <c r="D237" s="149"/>
      <c r="E237" s="179" t="s">
        <v>901</v>
      </c>
      <c r="F237" s="179"/>
      <c r="G237" s="180">
        <v>1100</v>
      </c>
      <c r="H237" s="179"/>
      <c r="I237" s="149" t="s">
        <v>902</v>
      </c>
      <c r="J237" s="153">
        <f t="shared" si="3"/>
        <v>-1100</v>
      </c>
      <c r="K237" s="149"/>
    </row>
    <row r="238" spans="1:11" x14ac:dyDescent="0.2">
      <c r="A238" s="151" t="s">
        <v>930</v>
      </c>
      <c r="B238" s="175">
        <v>3906</v>
      </c>
      <c r="C238" s="151" t="s">
        <v>900</v>
      </c>
      <c r="D238" s="149"/>
      <c r="E238" s="179" t="s">
        <v>901</v>
      </c>
      <c r="F238" s="179"/>
      <c r="G238" s="180">
        <v>2975</v>
      </c>
      <c r="H238" s="179"/>
      <c r="I238" s="149" t="s">
        <v>902</v>
      </c>
      <c r="J238" s="153">
        <f t="shared" si="3"/>
        <v>-2975</v>
      </c>
      <c r="K238" s="149"/>
    </row>
    <row r="239" spans="1:11" x14ac:dyDescent="0.2">
      <c r="A239" s="151" t="s">
        <v>930</v>
      </c>
      <c r="B239" s="175">
        <v>3907</v>
      </c>
      <c r="C239" s="151" t="s">
        <v>903</v>
      </c>
      <c r="D239" s="149"/>
      <c r="E239" s="179" t="s">
        <v>901</v>
      </c>
      <c r="F239" s="179"/>
      <c r="G239" s="180">
        <v>2125</v>
      </c>
      <c r="H239" s="179"/>
      <c r="I239" s="149" t="s">
        <v>902</v>
      </c>
      <c r="J239" s="153">
        <f t="shared" si="3"/>
        <v>-2125</v>
      </c>
      <c r="K239" s="149"/>
    </row>
    <row r="240" spans="1:11" x14ac:dyDescent="0.2">
      <c r="A240" s="151" t="s">
        <v>930</v>
      </c>
      <c r="B240" s="175">
        <v>3908</v>
      </c>
      <c r="C240" s="151" t="s">
        <v>906</v>
      </c>
      <c r="D240" s="149"/>
      <c r="E240" s="179" t="s">
        <v>901</v>
      </c>
      <c r="F240" s="179"/>
      <c r="G240" s="180">
        <v>425</v>
      </c>
      <c r="H240" s="179"/>
      <c r="I240" s="149" t="s">
        <v>902</v>
      </c>
      <c r="J240" s="153">
        <f t="shared" si="3"/>
        <v>-425</v>
      </c>
      <c r="K240" s="149"/>
    </row>
    <row r="241" spans="1:11" x14ac:dyDescent="0.2">
      <c r="A241" s="151" t="s">
        <v>930</v>
      </c>
      <c r="B241" s="175">
        <v>3909</v>
      </c>
      <c r="C241" s="151" t="s">
        <v>907</v>
      </c>
      <c r="D241" s="149"/>
      <c r="E241" s="179" t="s">
        <v>901</v>
      </c>
      <c r="F241" s="179"/>
      <c r="G241" s="180">
        <v>1020</v>
      </c>
      <c r="H241" s="179"/>
      <c r="I241" s="149" t="s">
        <v>902</v>
      </c>
      <c r="J241" s="153">
        <f t="shared" si="3"/>
        <v>-1020</v>
      </c>
      <c r="K241" s="149"/>
    </row>
    <row r="242" spans="1:11" x14ac:dyDescent="0.2">
      <c r="A242" s="151" t="s">
        <v>930</v>
      </c>
      <c r="B242" s="175">
        <v>3910</v>
      </c>
      <c r="C242" s="151" t="s">
        <v>908</v>
      </c>
      <c r="D242" s="149"/>
      <c r="E242" s="179" t="s">
        <v>901</v>
      </c>
      <c r="F242" s="179"/>
      <c r="G242" s="180">
        <v>680</v>
      </c>
      <c r="H242" s="179"/>
      <c r="I242" s="149" t="s">
        <v>902</v>
      </c>
      <c r="J242" s="153">
        <f t="shared" si="3"/>
        <v>-680</v>
      </c>
      <c r="K242" s="149"/>
    </row>
    <row r="243" spans="1:11" x14ac:dyDescent="0.2">
      <c r="A243" s="151" t="s">
        <v>930</v>
      </c>
      <c r="B243" s="175">
        <v>3911</v>
      </c>
      <c r="C243" s="151" t="s">
        <v>910</v>
      </c>
      <c r="D243" s="149"/>
      <c r="E243" s="179" t="s">
        <v>901</v>
      </c>
      <c r="F243" s="179"/>
      <c r="G243" s="180">
        <v>2975</v>
      </c>
      <c r="H243" s="179"/>
      <c r="I243" s="149" t="s">
        <v>902</v>
      </c>
      <c r="J243" s="153">
        <f t="shared" si="3"/>
        <v>-2975</v>
      </c>
      <c r="K243" s="149"/>
    </row>
    <row r="244" spans="1:11" x14ac:dyDescent="0.2">
      <c r="A244" s="151" t="s">
        <v>930</v>
      </c>
      <c r="B244" s="175">
        <v>3912</v>
      </c>
      <c r="C244" s="151" t="s">
        <v>905</v>
      </c>
      <c r="D244" s="149"/>
      <c r="E244" s="179" t="s">
        <v>901</v>
      </c>
      <c r="F244" s="179"/>
      <c r="G244" s="180">
        <v>24000</v>
      </c>
      <c r="H244" s="179"/>
      <c r="I244" s="149" t="s">
        <v>902</v>
      </c>
      <c r="J244" s="153">
        <f t="shared" si="3"/>
        <v>-24000</v>
      </c>
      <c r="K244" s="149"/>
    </row>
    <row r="245" spans="1:11" x14ac:dyDescent="0.2">
      <c r="A245" s="151" t="s">
        <v>930</v>
      </c>
      <c r="B245" s="175">
        <v>3913</v>
      </c>
      <c r="C245" s="151" t="s">
        <v>904</v>
      </c>
      <c r="D245" s="149"/>
      <c r="E245" s="179" t="s">
        <v>901</v>
      </c>
      <c r="F245" s="179"/>
      <c r="G245" s="180">
        <v>1700</v>
      </c>
      <c r="H245" s="179"/>
      <c r="I245" s="149" t="s">
        <v>902</v>
      </c>
      <c r="J245" s="153">
        <f t="shared" si="3"/>
        <v>-1700</v>
      </c>
      <c r="K245" s="149"/>
    </row>
    <row r="246" spans="1:11" x14ac:dyDescent="0.2">
      <c r="A246" s="151" t="s">
        <v>930</v>
      </c>
      <c r="B246" s="175">
        <v>3914</v>
      </c>
      <c r="C246" s="151" t="s">
        <v>909</v>
      </c>
      <c r="D246" s="149"/>
      <c r="E246" s="179" t="s">
        <v>901</v>
      </c>
      <c r="F246" s="179"/>
      <c r="G246" s="180">
        <v>425</v>
      </c>
      <c r="H246" s="179"/>
      <c r="I246" s="149" t="s">
        <v>902</v>
      </c>
      <c r="J246" s="153">
        <f t="shared" si="3"/>
        <v>-425</v>
      </c>
      <c r="K246" s="149"/>
    </row>
    <row r="247" spans="1:11" x14ac:dyDescent="0.2">
      <c r="A247" s="151" t="s">
        <v>930</v>
      </c>
      <c r="B247" s="175">
        <v>3915</v>
      </c>
      <c r="C247" s="151" t="s">
        <v>932</v>
      </c>
      <c r="D247" s="149"/>
      <c r="E247" s="179" t="s">
        <v>901</v>
      </c>
      <c r="F247" s="179"/>
      <c r="G247" s="180">
        <v>32695</v>
      </c>
      <c r="H247" s="179"/>
      <c r="I247" s="149" t="s">
        <v>902</v>
      </c>
      <c r="J247" s="153">
        <f t="shared" si="3"/>
        <v>-32695</v>
      </c>
      <c r="K247" s="149"/>
    </row>
    <row r="248" spans="1:11" x14ac:dyDescent="0.2">
      <c r="A248" s="151" t="s">
        <v>930</v>
      </c>
      <c r="B248" s="175">
        <v>3916</v>
      </c>
      <c r="C248" s="151" t="s">
        <v>214</v>
      </c>
      <c r="D248" s="149"/>
      <c r="E248" s="179" t="s">
        <v>901</v>
      </c>
      <c r="F248" s="179"/>
      <c r="G248" s="180">
        <v>180</v>
      </c>
      <c r="H248" s="179"/>
      <c r="I248" s="149" t="s">
        <v>902</v>
      </c>
      <c r="J248" s="153">
        <f t="shared" si="3"/>
        <v>-180</v>
      </c>
      <c r="K248" s="149"/>
    </row>
    <row r="249" spans="1:11" x14ac:dyDescent="0.2">
      <c r="A249" s="151" t="s">
        <v>930</v>
      </c>
      <c r="B249" s="175">
        <v>3917</v>
      </c>
      <c r="C249" s="151" t="s">
        <v>92</v>
      </c>
      <c r="D249" s="149"/>
      <c r="E249" s="179" t="s">
        <v>901</v>
      </c>
      <c r="F249" s="179"/>
      <c r="G249" s="180">
        <v>2920</v>
      </c>
      <c r="H249" s="179"/>
      <c r="I249" s="149" t="s">
        <v>902</v>
      </c>
      <c r="J249" s="153">
        <f t="shared" si="3"/>
        <v>-2920</v>
      </c>
      <c r="K249" s="149"/>
    </row>
    <row r="250" spans="1:11" x14ac:dyDescent="0.2">
      <c r="A250" s="151" t="s">
        <v>930</v>
      </c>
      <c r="B250" s="175">
        <v>3918</v>
      </c>
      <c r="C250" s="151" t="s">
        <v>911</v>
      </c>
      <c r="D250" s="149"/>
      <c r="E250" s="179" t="s">
        <v>901</v>
      </c>
      <c r="F250" s="179"/>
      <c r="G250" s="180">
        <v>3830</v>
      </c>
      <c r="H250" s="179"/>
      <c r="I250" s="149" t="s">
        <v>902</v>
      </c>
      <c r="J250" s="153">
        <f t="shared" si="3"/>
        <v>-3830</v>
      </c>
      <c r="K250" s="149"/>
    </row>
    <row r="251" spans="1:11" x14ac:dyDescent="0.2">
      <c r="A251" s="151" t="s">
        <v>930</v>
      </c>
      <c r="B251" s="175"/>
      <c r="C251" s="151" t="s">
        <v>949</v>
      </c>
      <c r="D251" s="149"/>
      <c r="E251" s="179" t="s">
        <v>950</v>
      </c>
      <c r="F251" s="179"/>
      <c r="G251" s="180">
        <v>0</v>
      </c>
      <c r="H251" s="179">
        <v>1000</v>
      </c>
      <c r="I251" s="149" t="s">
        <v>902</v>
      </c>
      <c r="J251" s="153">
        <f t="shared" si="3"/>
        <v>1000</v>
      </c>
      <c r="K251" s="149"/>
    </row>
    <row r="252" spans="1:11" x14ac:dyDescent="0.2">
      <c r="A252" s="151" t="s">
        <v>933</v>
      </c>
      <c r="B252" s="175">
        <v>6376</v>
      </c>
      <c r="C252" s="151" t="s">
        <v>100</v>
      </c>
      <c r="D252" s="149"/>
      <c r="E252" s="179" t="s">
        <v>901</v>
      </c>
      <c r="F252" s="179"/>
      <c r="G252" s="180">
        <v>530</v>
      </c>
      <c r="H252" s="179"/>
      <c r="I252" s="149" t="s">
        <v>902</v>
      </c>
      <c r="J252" s="153">
        <f t="shared" si="3"/>
        <v>-530</v>
      </c>
      <c r="K252" s="149"/>
    </row>
    <row r="253" spans="1:11" x14ac:dyDescent="0.2">
      <c r="A253" s="151" t="s">
        <v>933</v>
      </c>
      <c r="B253" s="175">
        <v>3919</v>
      </c>
      <c r="C253" s="151" t="s">
        <v>900</v>
      </c>
      <c r="D253" s="149"/>
      <c r="E253" s="179" t="s">
        <v>901</v>
      </c>
      <c r="F253" s="179"/>
      <c r="G253" s="180">
        <v>5100</v>
      </c>
      <c r="H253" s="179"/>
      <c r="I253" s="149" t="s">
        <v>902</v>
      </c>
      <c r="J253" s="153">
        <f t="shared" si="3"/>
        <v>-5100</v>
      </c>
      <c r="K253" s="149"/>
    </row>
    <row r="254" spans="1:11" x14ac:dyDescent="0.2">
      <c r="A254" s="151" t="s">
        <v>933</v>
      </c>
      <c r="B254" s="175">
        <v>3920</v>
      </c>
      <c r="C254" s="151" t="s">
        <v>92</v>
      </c>
      <c r="D254" s="149"/>
      <c r="E254" s="179" t="s">
        <v>901</v>
      </c>
      <c r="F254" s="179"/>
      <c r="G254" s="180">
        <v>1900</v>
      </c>
      <c r="H254" s="179"/>
      <c r="I254" s="149" t="s">
        <v>902</v>
      </c>
      <c r="J254" s="153">
        <f t="shared" si="3"/>
        <v>-1900</v>
      </c>
      <c r="K254" s="149"/>
    </row>
    <row r="255" spans="1:11" x14ac:dyDescent="0.2">
      <c r="A255" s="151" t="s">
        <v>933</v>
      </c>
      <c r="B255" s="175">
        <v>3921</v>
      </c>
      <c r="C255" s="151" t="s">
        <v>92</v>
      </c>
      <c r="D255" s="149"/>
      <c r="E255" s="179" t="s">
        <v>901</v>
      </c>
      <c r="F255" s="179"/>
      <c r="G255" s="180">
        <v>5900</v>
      </c>
      <c r="H255" s="179"/>
      <c r="I255" s="149" t="s">
        <v>902</v>
      </c>
      <c r="J255" s="153">
        <f t="shared" si="3"/>
        <v>-5900</v>
      </c>
      <c r="K255" s="149"/>
    </row>
    <row r="256" spans="1:11" x14ac:dyDescent="0.2">
      <c r="A256" s="151" t="s">
        <v>933</v>
      </c>
      <c r="B256" s="175">
        <v>3922</v>
      </c>
      <c r="C256" s="151" t="s">
        <v>903</v>
      </c>
      <c r="D256" s="149"/>
      <c r="E256" s="179" t="s">
        <v>901</v>
      </c>
      <c r="F256" s="179"/>
      <c r="G256" s="180">
        <v>2975</v>
      </c>
      <c r="H256" s="179"/>
      <c r="I256" s="149" t="s">
        <v>902</v>
      </c>
      <c r="J256" s="153">
        <f t="shared" si="3"/>
        <v>-2975</v>
      </c>
      <c r="K256" s="149"/>
    </row>
    <row r="257" spans="1:11" x14ac:dyDescent="0.2">
      <c r="A257" s="151" t="s">
        <v>933</v>
      </c>
      <c r="B257" s="175">
        <v>3923</v>
      </c>
      <c r="C257" s="151" t="s">
        <v>907</v>
      </c>
      <c r="D257" s="149"/>
      <c r="E257" s="179" t="s">
        <v>901</v>
      </c>
      <c r="F257" s="179"/>
      <c r="G257" s="180">
        <v>1275</v>
      </c>
      <c r="H257" s="179"/>
      <c r="I257" s="149" t="s">
        <v>902</v>
      </c>
      <c r="J257" s="153">
        <f t="shared" si="3"/>
        <v>-1275</v>
      </c>
      <c r="K257" s="149"/>
    </row>
    <row r="258" spans="1:11" x14ac:dyDescent="0.2">
      <c r="A258" s="151" t="s">
        <v>933</v>
      </c>
      <c r="B258" s="175">
        <v>3924</v>
      </c>
      <c r="C258" s="151" t="s">
        <v>908</v>
      </c>
      <c r="D258" s="149"/>
      <c r="E258" s="179" t="s">
        <v>901</v>
      </c>
      <c r="F258" s="179"/>
      <c r="G258" s="180">
        <v>680</v>
      </c>
      <c r="H258" s="179"/>
      <c r="I258" s="149" t="s">
        <v>902</v>
      </c>
      <c r="J258" s="153">
        <f t="shared" si="3"/>
        <v>-680</v>
      </c>
      <c r="K258" s="149"/>
    </row>
    <row r="259" spans="1:11" x14ac:dyDescent="0.2">
      <c r="A259" s="151" t="s">
        <v>933</v>
      </c>
      <c r="B259" s="175">
        <v>3925</v>
      </c>
      <c r="C259" s="151" t="s">
        <v>904</v>
      </c>
      <c r="D259" s="149"/>
      <c r="E259" s="179" t="s">
        <v>901</v>
      </c>
      <c r="F259" s="179"/>
      <c r="G259" s="180">
        <v>1700</v>
      </c>
      <c r="H259" s="179"/>
      <c r="I259" s="149" t="s">
        <v>902</v>
      </c>
      <c r="J259" s="153">
        <f t="shared" si="3"/>
        <v>-1700</v>
      </c>
      <c r="K259" s="149"/>
    </row>
    <row r="260" spans="1:11" x14ac:dyDescent="0.2">
      <c r="A260" s="151" t="s">
        <v>933</v>
      </c>
      <c r="B260" s="175">
        <v>3926</v>
      </c>
      <c r="C260" s="151" t="s">
        <v>910</v>
      </c>
      <c r="D260" s="149"/>
      <c r="E260" s="179" t="s">
        <v>901</v>
      </c>
      <c r="F260" s="179"/>
      <c r="G260" s="180">
        <v>1275</v>
      </c>
      <c r="H260" s="179"/>
      <c r="I260" s="149" t="s">
        <v>902</v>
      </c>
      <c r="J260" s="153">
        <f t="shared" si="3"/>
        <v>-1275</v>
      </c>
      <c r="K260" s="149"/>
    </row>
    <row r="261" spans="1:11" x14ac:dyDescent="0.2">
      <c r="A261" s="151" t="s">
        <v>933</v>
      </c>
      <c r="B261" s="175">
        <v>3927</v>
      </c>
      <c r="C261" s="151" t="s">
        <v>909</v>
      </c>
      <c r="D261" s="149"/>
      <c r="E261" s="179" t="s">
        <v>901</v>
      </c>
      <c r="F261" s="179"/>
      <c r="G261" s="180">
        <v>425</v>
      </c>
      <c r="H261" s="179"/>
      <c r="I261" s="149" t="s">
        <v>902</v>
      </c>
      <c r="J261" s="153">
        <f t="shared" si="3"/>
        <v>-425</v>
      </c>
      <c r="K261" s="149"/>
    </row>
    <row r="262" spans="1:11" x14ac:dyDescent="0.2">
      <c r="A262" s="151" t="s">
        <v>933</v>
      </c>
      <c r="B262" s="175">
        <v>3928</v>
      </c>
      <c r="C262" s="151" t="s">
        <v>905</v>
      </c>
      <c r="D262" s="149"/>
      <c r="E262" s="179" t="s">
        <v>901</v>
      </c>
      <c r="F262" s="179"/>
      <c r="G262" s="180">
        <v>7000</v>
      </c>
      <c r="H262" s="179"/>
      <c r="I262" s="149" t="s">
        <v>902</v>
      </c>
      <c r="J262" s="153">
        <f t="shared" si="3"/>
        <v>-7000</v>
      </c>
      <c r="K262" s="149"/>
    </row>
    <row r="263" spans="1:11" x14ac:dyDescent="0.2">
      <c r="A263" s="151" t="s">
        <v>933</v>
      </c>
      <c r="B263" s="175">
        <v>3929</v>
      </c>
      <c r="C263" s="151" t="s">
        <v>94</v>
      </c>
      <c r="D263" s="149"/>
      <c r="E263" s="179" t="s">
        <v>901</v>
      </c>
      <c r="F263" s="179"/>
      <c r="G263" s="180">
        <v>15000</v>
      </c>
      <c r="H263" s="179"/>
      <c r="I263" s="149" t="s">
        <v>902</v>
      </c>
      <c r="J263" s="153">
        <f t="shared" si="3"/>
        <v>-15000</v>
      </c>
      <c r="K263" s="149"/>
    </row>
    <row r="264" spans="1:11" x14ac:dyDescent="0.2">
      <c r="A264" s="151" t="s">
        <v>933</v>
      </c>
      <c r="B264" s="175"/>
      <c r="C264" s="151" t="s">
        <v>948</v>
      </c>
      <c r="D264" s="149"/>
      <c r="E264" s="179" t="s">
        <v>946</v>
      </c>
      <c r="F264" s="179"/>
      <c r="G264" s="180">
        <v>0</v>
      </c>
      <c r="H264" s="179">
        <v>2000</v>
      </c>
      <c r="I264" s="149" t="s">
        <v>902</v>
      </c>
      <c r="J264" s="153">
        <f t="shared" si="3"/>
        <v>2000</v>
      </c>
      <c r="K264" s="149" t="s">
        <v>1230</v>
      </c>
    </row>
    <row r="265" spans="1:11" x14ac:dyDescent="0.2">
      <c r="A265" s="151" t="s">
        <v>933</v>
      </c>
      <c r="B265" s="175"/>
      <c r="C265" s="151" t="s">
        <v>948</v>
      </c>
      <c r="D265" s="149"/>
      <c r="E265" s="179" t="s">
        <v>946</v>
      </c>
      <c r="F265" s="179"/>
      <c r="G265" s="180">
        <v>0</v>
      </c>
      <c r="H265" s="179">
        <f>400+250+260</f>
        <v>910</v>
      </c>
      <c r="I265" s="149" t="s">
        <v>902</v>
      </c>
      <c r="J265" s="153">
        <f t="shared" si="3"/>
        <v>910</v>
      </c>
      <c r="K265" s="149" t="s">
        <v>1229</v>
      </c>
    </row>
    <row r="266" spans="1:11" x14ac:dyDescent="0.2">
      <c r="A266" s="151" t="s">
        <v>934</v>
      </c>
      <c r="B266" s="175">
        <v>3930</v>
      </c>
      <c r="C266" s="151" t="s">
        <v>900</v>
      </c>
      <c r="D266" s="149"/>
      <c r="E266" s="179" t="s">
        <v>901</v>
      </c>
      <c r="F266" s="179"/>
      <c r="G266" s="180">
        <v>5180</v>
      </c>
      <c r="H266" s="179"/>
      <c r="I266" s="149" t="s">
        <v>902</v>
      </c>
      <c r="J266" s="153">
        <f t="shared" si="3"/>
        <v>-5180</v>
      </c>
      <c r="K266" s="149"/>
    </row>
    <row r="267" spans="1:11" x14ac:dyDescent="0.2">
      <c r="A267" s="151" t="s">
        <v>934</v>
      </c>
      <c r="B267" s="175">
        <v>3931</v>
      </c>
      <c r="C267" s="151" t="s">
        <v>903</v>
      </c>
      <c r="D267" s="149"/>
      <c r="E267" s="179" t="s">
        <v>901</v>
      </c>
      <c r="F267" s="179"/>
      <c r="G267" s="180">
        <v>2975</v>
      </c>
      <c r="H267" s="179"/>
      <c r="I267" s="149" t="s">
        <v>902</v>
      </c>
      <c r="J267" s="153">
        <f t="shared" si="3"/>
        <v>-2975</v>
      </c>
      <c r="K267" s="149"/>
    </row>
    <row r="268" spans="1:11" x14ac:dyDescent="0.2">
      <c r="A268" s="151" t="s">
        <v>934</v>
      </c>
      <c r="B268" s="175">
        <v>3932</v>
      </c>
      <c r="C268" s="151" t="s">
        <v>908</v>
      </c>
      <c r="D268" s="149"/>
      <c r="E268" s="179" t="s">
        <v>901</v>
      </c>
      <c r="F268" s="179"/>
      <c r="G268" s="180">
        <v>680</v>
      </c>
      <c r="H268" s="179"/>
      <c r="I268" s="149" t="s">
        <v>902</v>
      </c>
      <c r="J268" s="153">
        <f t="shared" si="3"/>
        <v>-680</v>
      </c>
      <c r="K268" s="149"/>
    </row>
    <row r="269" spans="1:11" x14ac:dyDescent="0.2">
      <c r="A269" s="151" t="s">
        <v>934</v>
      </c>
      <c r="B269" s="175">
        <v>3933</v>
      </c>
      <c r="C269" s="151" t="s">
        <v>904</v>
      </c>
      <c r="D269" s="149"/>
      <c r="E269" s="179" t="s">
        <v>901</v>
      </c>
      <c r="F269" s="179"/>
      <c r="G269" s="180">
        <v>2125</v>
      </c>
      <c r="H269" s="179"/>
      <c r="I269" s="149" t="s">
        <v>902</v>
      </c>
      <c r="J269" s="153">
        <f t="shared" si="3"/>
        <v>-2125</v>
      </c>
      <c r="K269" s="149"/>
    </row>
    <row r="270" spans="1:11" x14ac:dyDescent="0.2">
      <c r="A270" s="151" t="s">
        <v>934</v>
      </c>
      <c r="B270" s="175">
        <v>3934</v>
      </c>
      <c r="C270" s="151" t="s">
        <v>905</v>
      </c>
      <c r="D270" s="149"/>
      <c r="E270" s="179" t="s">
        <v>901</v>
      </c>
      <c r="F270" s="179"/>
      <c r="G270" s="180">
        <v>14000</v>
      </c>
      <c r="H270" s="179"/>
      <c r="I270" s="149" t="s">
        <v>902</v>
      </c>
      <c r="J270" s="153">
        <f t="shared" si="3"/>
        <v>-14000</v>
      </c>
      <c r="K270" s="149"/>
    </row>
    <row r="271" spans="1:11" x14ac:dyDescent="0.2">
      <c r="A271" s="151" t="s">
        <v>934</v>
      </c>
      <c r="B271" s="175">
        <v>3935</v>
      </c>
      <c r="C271" s="151" t="s">
        <v>910</v>
      </c>
      <c r="D271" s="149"/>
      <c r="E271" s="179" t="s">
        <v>901</v>
      </c>
      <c r="F271" s="179"/>
      <c r="G271" s="180">
        <v>1275</v>
      </c>
      <c r="H271" s="179"/>
      <c r="I271" s="149" t="s">
        <v>902</v>
      </c>
      <c r="J271" s="153">
        <f t="shared" si="3"/>
        <v>-1275</v>
      </c>
      <c r="K271" s="149"/>
    </row>
    <row r="272" spans="1:11" x14ac:dyDescent="0.2">
      <c r="A272" s="151" t="s">
        <v>934</v>
      </c>
      <c r="B272" s="175">
        <v>3936</v>
      </c>
      <c r="C272" s="151" t="s">
        <v>907</v>
      </c>
      <c r="D272" s="149"/>
      <c r="E272" s="179" t="s">
        <v>901</v>
      </c>
      <c r="F272" s="179"/>
      <c r="G272" s="180">
        <v>1020</v>
      </c>
      <c r="H272" s="179"/>
      <c r="I272" s="149" t="s">
        <v>902</v>
      </c>
      <c r="J272" s="153">
        <f t="shared" si="3"/>
        <v>-1020</v>
      </c>
      <c r="K272" s="149"/>
    </row>
    <row r="273" spans="1:11" x14ac:dyDescent="0.2">
      <c r="A273" s="151" t="s">
        <v>934</v>
      </c>
      <c r="B273" s="175">
        <v>3937</v>
      </c>
      <c r="C273" s="151" t="s">
        <v>906</v>
      </c>
      <c r="D273" s="149"/>
      <c r="E273" s="179" t="s">
        <v>901</v>
      </c>
      <c r="F273" s="179"/>
      <c r="G273" s="180">
        <v>680</v>
      </c>
      <c r="H273" s="179"/>
      <c r="I273" s="149" t="s">
        <v>902</v>
      </c>
      <c r="J273" s="153">
        <f t="shared" si="3"/>
        <v>-680</v>
      </c>
      <c r="K273" s="149"/>
    </row>
    <row r="274" spans="1:11" x14ac:dyDescent="0.2">
      <c r="A274" s="151" t="s">
        <v>934</v>
      </c>
      <c r="B274" s="175">
        <v>3938</v>
      </c>
      <c r="C274" s="151" t="s">
        <v>909</v>
      </c>
      <c r="D274" s="149"/>
      <c r="E274" s="179" t="s">
        <v>901</v>
      </c>
      <c r="F274" s="179"/>
      <c r="G274" s="180">
        <v>425</v>
      </c>
      <c r="H274" s="179"/>
      <c r="I274" s="149" t="s">
        <v>902</v>
      </c>
      <c r="J274" s="153">
        <f t="shared" ref="J274:J342" si="4">IF($C274="","",N($F274)-$G274+$H274)</f>
        <v>-425</v>
      </c>
      <c r="K274" s="149"/>
    </row>
    <row r="275" spans="1:11" x14ac:dyDescent="0.2">
      <c r="A275" s="151" t="s">
        <v>934</v>
      </c>
      <c r="B275" s="175">
        <v>3939</v>
      </c>
      <c r="C275" s="151" t="s">
        <v>92</v>
      </c>
      <c r="D275" s="149"/>
      <c r="E275" s="179" t="s">
        <v>901</v>
      </c>
      <c r="F275" s="179"/>
      <c r="G275" s="180">
        <v>1995</v>
      </c>
      <c r="H275" s="179"/>
      <c r="I275" s="149" t="s">
        <v>902</v>
      </c>
      <c r="J275" s="153">
        <f t="shared" si="4"/>
        <v>-1995</v>
      </c>
      <c r="K275" s="149"/>
    </row>
    <row r="276" spans="1:11" x14ac:dyDescent="0.2">
      <c r="A276" s="151" t="s">
        <v>934</v>
      </c>
      <c r="B276" s="175">
        <v>3940</v>
      </c>
      <c r="C276" s="151" t="s">
        <v>421</v>
      </c>
      <c r="D276" s="149"/>
      <c r="E276" s="179" t="s">
        <v>901</v>
      </c>
      <c r="F276" s="179"/>
      <c r="G276" s="180">
        <v>10700</v>
      </c>
      <c r="H276" s="179"/>
      <c r="I276" s="149" t="s">
        <v>902</v>
      </c>
      <c r="J276" s="153">
        <f t="shared" si="4"/>
        <v>-10700</v>
      </c>
      <c r="K276" s="149"/>
    </row>
    <row r="277" spans="1:11" x14ac:dyDescent="0.2">
      <c r="A277" s="151" t="s">
        <v>934</v>
      </c>
      <c r="B277" s="175">
        <v>3941</v>
      </c>
      <c r="C277" s="151" t="s">
        <v>444</v>
      </c>
      <c r="D277" s="149"/>
      <c r="E277" s="179" t="s">
        <v>901</v>
      </c>
      <c r="F277" s="179"/>
      <c r="G277" s="180">
        <v>1100</v>
      </c>
      <c r="H277" s="179"/>
      <c r="I277" s="149" t="s">
        <v>902</v>
      </c>
      <c r="J277" s="153">
        <f t="shared" si="4"/>
        <v>-1100</v>
      </c>
      <c r="K277" s="149"/>
    </row>
    <row r="278" spans="1:11" x14ac:dyDescent="0.2">
      <c r="A278" s="151" t="s">
        <v>934</v>
      </c>
      <c r="B278" s="175">
        <v>3942</v>
      </c>
      <c r="C278" s="151" t="s">
        <v>116</v>
      </c>
      <c r="D278" s="149"/>
      <c r="E278" s="179" t="s">
        <v>901</v>
      </c>
      <c r="F278" s="179"/>
      <c r="G278" s="180">
        <v>2200</v>
      </c>
      <c r="H278" s="179"/>
      <c r="I278" s="149" t="s">
        <v>902</v>
      </c>
      <c r="J278" s="153">
        <f t="shared" si="4"/>
        <v>-2200</v>
      </c>
      <c r="K278" s="149"/>
    </row>
    <row r="279" spans="1:11" x14ac:dyDescent="0.2">
      <c r="A279" s="151" t="s">
        <v>935</v>
      </c>
      <c r="B279" s="175">
        <v>3943</v>
      </c>
      <c r="C279" s="151" t="s">
        <v>100</v>
      </c>
      <c r="D279" s="149"/>
      <c r="E279" s="179" t="s">
        <v>901</v>
      </c>
      <c r="F279" s="179"/>
      <c r="G279" s="180">
        <v>2200</v>
      </c>
      <c r="H279" s="179"/>
      <c r="I279" s="149" t="s">
        <v>943</v>
      </c>
      <c r="J279" s="153">
        <f t="shared" si="4"/>
        <v>-2200</v>
      </c>
      <c r="K279" s="149" t="s">
        <v>1231</v>
      </c>
    </row>
    <row r="280" spans="1:11" x14ac:dyDescent="0.2">
      <c r="A280" s="151" t="s">
        <v>935</v>
      </c>
      <c r="B280" s="175">
        <v>3944</v>
      </c>
      <c r="C280" s="151" t="s">
        <v>100</v>
      </c>
      <c r="D280" s="149"/>
      <c r="E280" s="179" t="s">
        <v>901</v>
      </c>
      <c r="F280" s="179"/>
      <c r="G280" s="180">
        <v>900</v>
      </c>
      <c r="H280" s="179"/>
      <c r="I280" s="149" t="s">
        <v>943</v>
      </c>
      <c r="J280" s="153">
        <f t="shared" si="4"/>
        <v>-900</v>
      </c>
      <c r="K280" s="149" t="s">
        <v>1231</v>
      </c>
    </row>
    <row r="281" spans="1:11" x14ac:dyDescent="0.2">
      <c r="A281" s="151" t="s">
        <v>935</v>
      </c>
      <c r="B281" s="175">
        <v>3951</v>
      </c>
      <c r="C281" s="151" t="s">
        <v>900</v>
      </c>
      <c r="D281" s="149"/>
      <c r="E281" s="179" t="s">
        <v>901</v>
      </c>
      <c r="F281" s="179"/>
      <c r="G281" s="180">
        <v>5180</v>
      </c>
      <c r="H281" s="179"/>
      <c r="I281" s="149" t="s">
        <v>902</v>
      </c>
      <c r="J281" s="153">
        <f t="shared" si="4"/>
        <v>-5180</v>
      </c>
      <c r="K281" s="149"/>
    </row>
    <row r="282" spans="1:11" x14ac:dyDescent="0.2">
      <c r="A282" s="151" t="s">
        <v>935</v>
      </c>
      <c r="B282" s="175">
        <v>3952</v>
      </c>
      <c r="C282" s="151" t="s">
        <v>903</v>
      </c>
      <c r="D282" s="149"/>
      <c r="E282" s="179" t="s">
        <v>901</v>
      </c>
      <c r="F282" s="179"/>
      <c r="G282" s="180">
        <v>2550</v>
      </c>
      <c r="H282" s="179"/>
      <c r="I282" s="149" t="s">
        <v>902</v>
      </c>
      <c r="J282" s="153">
        <f t="shared" si="4"/>
        <v>-2550</v>
      </c>
      <c r="K282" s="149"/>
    </row>
    <row r="283" spans="1:11" x14ac:dyDescent="0.2">
      <c r="A283" s="151" t="s">
        <v>935</v>
      </c>
      <c r="B283" s="175">
        <v>3953</v>
      </c>
      <c r="C283" s="151" t="s">
        <v>905</v>
      </c>
      <c r="D283" s="149"/>
      <c r="E283" s="179" t="s">
        <v>901</v>
      </c>
      <c r="F283" s="179"/>
      <c r="G283" s="180">
        <v>7500</v>
      </c>
      <c r="H283" s="179"/>
      <c r="I283" s="149" t="s">
        <v>902</v>
      </c>
      <c r="J283" s="153">
        <f t="shared" si="4"/>
        <v>-7500</v>
      </c>
      <c r="K283" s="149"/>
    </row>
    <row r="284" spans="1:11" x14ac:dyDescent="0.2">
      <c r="A284" s="151" t="s">
        <v>935</v>
      </c>
      <c r="B284" s="175">
        <v>3954</v>
      </c>
      <c r="C284" s="151" t="s">
        <v>76</v>
      </c>
      <c r="D284" s="149"/>
      <c r="E284" s="179" t="s">
        <v>901</v>
      </c>
      <c r="F284" s="179"/>
      <c r="G284" s="180">
        <v>1600</v>
      </c>
      <c r="H284" s="179"/>
      <c r="I284" s="149" t="s">
        <v>902</v>
      </c>
      <c r="J284" s="153">
        <f t="shared" si="4"/>
        <v>-1600</v>
      </c>
      <c r="K284" s="149"/>
    </row>
    <row r="285" spans="1:11" x14ac:dyDescent="0.2">
      <c r="A285" s="151" t="s">
        <v>935</v>
      </c>
      <c r="B285" s="175">
        <v>3955</v>
      </c>
      <c r="C285" s="151" t="s">
        <v>907</v>
      </c>
      <c r="D285" s="149"/>
      <c r="E285" s="179" t="s">
        <v>901</v>
      </c>
      <c r="F285" s="179"/>
      <c r="G285" s="180">
        <v>1020</v>
      </c>
      <c r="H285" s="179"/>
      <c r="I285" s="149" t="s">
        <v>902</v>
      </c>
      <c r="J285" s="153">
        <f t="shared" si="4"/>
        <v>-1020</v>
      </c>
      <c r="K285" s="149"/>
    </row>
    <row r="286" spans="1:11" x14ac:dyDescent="0.2">
      <c r="A286" s="151" t="s">
        <v>935</v>
      </c>
      <c r="B286" s="175">
        <v>3956</v>
      </c>
      <c r="C286" s="151" t="s">
        <v>908</v>
      </c>
      <c r="D286" s="149"/>
      <c r="E286" s="179" t="s">
        <v>901</v>
      </c>
      <c r="F286" s="179"/>
      <c r="G286" s="180">
        <v>680</v>
      </c>
      <c r="H286" s="179"/>
      <c r="I286" s="149" t="s">
        <v>902</v>
      </c>
      <c r="J286" s="153">
        <f t="shared" si="4"/>
        <v>-680</v>
      </c>
      <c r="K286" s="149"/>
    </row>
    <row r="287" spans="1:11" x14ac:dyDescent="0.2">
      <c r="A287" s="151" t="s">
        <v>935</v>
      </c>
      <c r="B287" s="175">
        <v>3957</v>
      </c>
      <c r="C287" s="151" t="s">
        <v>910</v>
      </c>
      <c r="D287" s="149"/>
      <c r="E287" s="179" t="s">
        <v>901</v>
      </c>
      <c r="F287" s="179"/>
      <c r="G287" s="180">
        <v>1275</v>
      </c>
      <c r="H287" s="179"/>
      <c r="I287" s="149" t="s">
        <v>902</v>
      </c>
      <c r="J287" s="153">
        <f t="shared" si="4"/>
        <v>-1275</v>
      </c>
      <c r="K287" s="149"/>
    </row>
    <row r="288" spans="1:11" x14ac:dyDescent="0.2">
      <c r="A288" s="151" t="s">
        <v>935</v>
      </c>
      <c r="B288" s="175">
        <v>3958</v>
      </c>
      <c r="C288" s="151" t="s">
        <v>904</v>
      </c>
      <c r="D288" s="149"/>
      <c r="E288" s="179" t="s">
        <v>901</v>
      </c>
      <c r="F288" s="179"/>
      <c r="G288" s="180">
        <v>2125</v>
      </c>
      <c r="H288" s="179"/>
      <c r="I288" s="149" t="s">
        <v>902</v>
      </c>
      <c r="J288" s="153">
        <f t="shared" si="4"/>
        <v>-2125</v>
      </c>
      <c r="K288" s="149"/>
    </row>
    <row r="289" spans="1:11" x14ac:dyDescent="0.2">
      <c r="A289" s="151" t="s">
        <v>935</v>
      </c>
      <c r="B289" s="175">
        <v>3959</v>
      </c>
      <c r="C289" s="151" t="s">
        <v>909</v>
      </c>
      <c r="D289" s="149"/>
      <c r="E289" s="179" t="s">
        <v>901</v>
      </c>
      <c r="F289" s="179"/>
      <c r="G289" s="180">
        <v>425</v>
      </c>
      <c r="H289" s="179"/>
      <c r="I289" s="149" t="s">
        <v>902</v>
      </c>
      <c r="J289" s="153">
        <f t="shared" si="4"/>
        <v>-425</v>
      </c>
      <c r="K289" s="149"/>
    </row>
    <row r="290" spans="1:11" x14ac:dyDescent="0.2">
      <c r="A290" s="151" t="s">
        <v>935</v>
      </c>
      <c r="B290" s="175">
        <v>3960</v>
      </c>
      <c r="C290" s="151" t="s">
        <v>92</v>
      </c>
      <c r="D290" s="149"/>
      <c r="E290" s="179" t="s">
        <v>901</v>
      </c>
      <c r="F290" s="179"/>
      <c r="G290" s="180">
        <v>3650</v>
      </c>
      <c r="H290" s="179"/>
      <c r="I290" s="149" t="s">
        <v>902</v>
      </c>
      <c r="J290" s="153">
        <f t="shared" si="4"/>
        <v>-3650</v>
      </c>
      <c r="K290" s="149"/>
    </row>
    <row r="291" spans="1:11" x14ac:dyDescent="0.2">
      <c r="A291" s="151" t="s">
        <v>935</v>
      </c>
      <c r="B291" s="175">
        <v>3961</v>
      </c>
      <c r="C291" s="151" t="s">
        <v>214</v>
      </c>
      <c r="D291" s="149"/>
      <c r="E291" s="179" t="s">
        <v>901</v>
      </c>
      <c r="F291" s="179"/>
      <c r="G291" s="180">
        <v>600</v>
      </c>
      <c r="H291" s="179"/>
      <c r="I291" s="149" t="s">
        <v>902</v>
      </c>
      <c r="J291" s="153">
        <f t="shared" si="4"/>
        <v>-600</v>
      </c>
      <c r="K291" s="149"/>
    </row>
    <row r="292" spans="1:11" x14ac:dyDescent="0.2">
      <c r="A292" s="151" t="s">
        <v>935</v>
      </c>
      <c r="B292" s="175">
        <v>3962</v>
      </c>
      <c r="C292" s="151" t="s">
        <v>214</v>
      </c>
      <c r="D292" s="149"/>
      <c r="E292" s="179" t="s">
        <v>901</v>
      </c>
      <c r="F292" s="179"/>
      <c r="G292" s="180">
        <v>200</v>
      </c>
      <c r="H292" s="179"/>
      <c r="I292" s="149" t="s">
        <v>902</v>
      </c>
      <c r="J292" s="153">
        <f t="shared" si="4"/>
        <v>-200</v>
      </c>
      <c r="K292" s="149"/>
    </row>
    <row r="293" spans="1:11" x14ac:dyDescent="0.2">
      <c r="A293" s="151" t="s">
        <v>935</v>
      </c>
      <c r="B293" s="175"/>
      <c r="C293" s="151" t="s">
        <v>949</v>
      </c>
      <c r="D293" s="149"/>
      <c r="E293" s="179" t="s">
        <v>950</v>
      </c>
      <c r="F293" s="179"/>
      <c r="G293" s="180">
        <v>0</v>
      </c>
      <c r="H293" s="179">
        <v>1000</v>
      </c>
      <c r="I293" s="149" t="s">
        <v>902</v>
      </c>
      <c r="J293" s="153">
        <f t="shared" si="4"/>
        <v>1000</v>
      </c>
      <c r="K293" s="149"/>
    </row>
    <row r="294" spans="1:11" x14ac:dyDescent="0.2">
      <c r="A294" s="181" t="s">
        <v>935</v>
      </c>
      <c r="B294" s="175">
        <v>6391</v>
      </c>
      <c r="C294" s="151" t="s">
        <v>100</v>
      </c>
      <c r="D294" s="149"/>
      <c r="E294" s="179" t="s">
        <v>901</v>
      </c>
      <c r="F294" s="179"/>
      <c r="G294" s="180">
        <v>450</v>
      </c>
      <c r="H294" s="179"/>
      <c r="I294" s="149" t="s">
        <v>902</v>
      </c>
      <c r="J294" s="153">
        <f t="shared" si="4"/>
        <v>-450</v>
      </c>
      <c r="K294" s="149"/>
    </row>
    <row r="295" spans="1:11" x14ac:dyDescent="0.2">
      <c r="A295" s="151" t="s">
        <v>936</v>
      </c>
      <c r="B295" s="175">
        <v>3963</v>
      </c>
      <c r="C295" s="151" t="s">
        <v>910</v>
      </c>
      <c r="D295" s="149"/>
      <c r="E295" s="179" t="s">
        <v>901</v>
      </c>
      <c r="F295" s="179"/>
      <c r="G295" s="180">
        <v>1275</v>
      </c>
      <c r="H295" s="179"/>
      <c r="I295" s="149" t="s">
        <v>902</v>
      </c>
      <c r="J295" s="153">
        <f t="shared" si="4"/>
        <v>-1275</v>
      </c>
      <c r="K295" s="149"/>
    </row>
    <row r="296" spans="1:11" x14ac:dyDescent="0.2">
      <c r="A296" s="151" t="s">
        <v>936</v>
      </c>
      <c r="B296" s="175">
        <v>3964</v>
      </c>
      <c r="C296" s="151" t="s">
        <v>905</v>
      </c>
      <c r="D296" s="149"/>
      <c r="E296" s="179" t="s">
        <v>901</v>
      </c>
      <c r="F296" s="179"/>
      <c r="G296" s="180">
        <v>5000</v>
      </c>
      <c r="H296" s="179"/>
      <c r="I296" s="149" t="s">
        <v>902</v>
      </c>
      <c r="J296" s="153">
        <f t="shared" si="4"/>
        <v>-5000</v>
      </c>
      <c r="K296" s="149"/>
    </row>
    <row r="297" spans="1:11" x14ac:dyDescent="0.2">
      <c r="A297" s="151" t="s">
        <v>936</v>
      </c>
      <c r="B297" s="175">
        <v>3965</v>
      </c>
      <c r="C297" s="151" t="s">
        <v>119</v>
      </c>
      <c r="D297" s="149"/>
      <c r="E297" s="179" t="s">
        <v>901</v>
      </c>
      <c r="F297" s="179"/>
      <c r="G297" s="180">
        <v>2975</v>
      </c>
      <c r="H297" s="179"/>
      <c r="I297" s="149" t="s">
        <v>902</v>
      </c>
      <c r="J297" s="153">
        <f t="shared" si="4"/>
        <v>-2975</v>
      </c>
      <c r="K297" s="149"/>
    </row>
    <row r="298" spans="1:11" x14ac:dyDescent="0.2">
      <c r="A298" s="151" t="s">
        <v>936</v>
      </c>
      <c r="B298" s="175">
        <v>3966</v>
      </c>
      <c r="C298" s="151" t="s">
        <v>92</v>
      </c>
      <c r="D298" s="149"/>
      <c r="E298" s="179" t="s">
        <v>901</v>
      </c>
      <c r="F298" s="179"/>
      <c r="G298" s="180">
        <v>3870</v>
      </c>
      <c r="H298" s="179"/>
      <c r="I298" s="149" t="s">
        <v>902</v>
      </c>
      <c r="J298" s="153">
        <f t="shared" si="4"/>
        <v>-3870</v>
      </c>
      <c r="K298" s="149"/>
    </row>
    <row r="299" spans="1:11" x14ac:dyDescent="0.2">
      <c r="A299" s="151" t="s">
        <v>936</v>
      </c>
      <c r="B299" s="175">
        <v>3967</v>
      </c>
      <c r="C299" s="151" t="s">
        <v>909</v>
      </c>
      <c r="D299" s="149"/>
      <c r="E299" s="179" t="s">
        <v>901</v>
      </c>
      <c r="F299" s="179"/>
      <c r="G299" s="180">
        <v>425</v>
      </c>
      <c r="H299" s="179"/>
      <c r="I299" s="149" t="s">
        <v>902</v>
      </c>
      <c r="J299" s="153">
        <f t="shared" si="4"/>
        <v>-425</v>
      </c>
      <c r="K299" s="149"/>
    </row>
    <row r="300" spans="1:11" x14ac:dyDescent="0.2">
      <c r="A300" s="151" t="s">
        <v>936</v>
      </c>
      <c r="B300" s="175">
        <v>3945</v>
      </c>
      <c r="C300" s="151" t="s">
        <v>900</v>
      </c>
      <c r="D300" s="149"/>
      <c r="E300" s="179" t="s">
        <v>901</v>
      </c>
      <c r="F300" s="179"/>
      <c r="G300" s="180">
        <v>5180</v>
      </c>
      <c r="H300" s="179"/>
      <c r="I300" s="149" t="s">
        <v>902</v>
      </c>
      <c r="J300" s="153">
        <f t="shared" si="4"/>
        <v>-5180</v>
      </c>
      <c r="K300" s="149"/>
    </row>
    <row r="301" spans="1:11" x14ac:dyDescent="0.2">
      <c r="A301" s="151" t="s">
        <v>936</v>
      </c>
      <c r="B301" s="175">
        <v>3946</v>
      </c>
      <c r="C301" s="151" t="s">
        <v>903</v>
      </c>
      <c r="D301" s="149"/>
      <c r="E301" s="179" t="s">
        <v>901</v>
      </c>
      <c r="F301" s="179"/>
      <c r="G301" s="180">
        <v>3825</v>
      </c>
      <c r="H301" s="179"/>
      <c r="I301" s="149" t="s">
        <v>902</v>
      </c>
      <c r="J301" s="153">
        <f t="shared" si="4"/>
        <v>-3825</v>
      </c>
      <c r="K301" s="149"/>
    </row>
    <row r="302" spans="1:11" x14ac:dyDescent="0.2">
      <c r="A302" s="151" t="s">
        <v>936</v>
      </c>
      <c r="B302" s="175">
        <v>3947</v>
      </c>
      <c r="C302" s="151" t="s">
        <v>908</v>
      </c>
      <c r="D302" s="149"/>
      <c r="E302" s="179" t="s">
        <v>901</v>
      </c>
      <c r="F302" s="179"/>
      <c r="G302" s="180">
        <v>680</v>
      </c>
      <c r="H302" s="179"/>
      <c r="I302" s="149" t="s">
        <v>902</v>
      </c>
      <c r="J302" s="153">
        <f t="shared" si="4"/>
        <v>-680</v>
      </c>
      <c r="K302" s="149"/>
    </row>
    <row r="303" spans="1:11" x14ac:dyDescent="0.2">
      <c r="A303" s="151" t="s">
        <v>936</v>
      </c>
      <c r="B303" s="175">
        <v>3948</v>
      </c>
      <c r="C303" s="151" t="s">
        <v>906</v>
      </c>
      <c r="D303" s="149"/>
      <c r="E303" s="179" t="s">
        <v>901</v>
      </c>
      <c r="F303" s="179"/>
      <c r="G303" s="180">
        <v>425</v>
      </c>
      <c r="H303" s="179"/>
      <c r="I303" s="149" t="s">
        <v>902</v>
      </c>
      <c r="J303" s="153">
        <f t="shared" si="4"/>
        <v>-425</v>
      </c>
      <c r="K303" s="149"/>
    </row>
    <row r="304" spans="1:11" x14ac:dyDescent="0.2">
      <c r="A304" s="151" t="s">
        <v>936</v>
      </c>
      <c r="B304" s="175">
        <v>3949</v>
      </c>
      <c r="C304" s="151" t="s">
        <v>907</v>
      </c>
      <c r="D304" s="149"/>
      <c r="E304" s="179" t="s">
        <v>901</v>
      </c>
      <c r="F304" s="179"/>
      <c r="G304" s="180">
        <v>1020</v>
      </c>
      <c r="H304" s="179"/>
      <c r="I304" s="149" t="s">
        <v>902</v>
      </c>
      <c r="J304" s="153">
        <f t="shared" si="4"/>
        <v>-1020</v>
      </c>
      <c r="K304" s="149"/>
    </row>
    <row r="305" spans="1:11" x14ac:dyDescent="0.2">
      <c r="A305" s="151" t="s">
        <v>936</v>
      </c>
      <c r="B305" s="175">
        <v>3950</v>
      </c>
      <c r="C305" s="151" t="s">
        <v>904</v>
      </c>
      <c r="D305" s="149"/>
      <c r="E305" s="179" t="s">
        <v>901</v>
      </c>
      <c r="F305" s="179"/>
      <c r="G305" s="180">
        <v>1275</v>
      </c>
      <c r="H305" s="179"/>
      <c r="I305" s="149" t="s">
        <v>902</v>
      </c>
      <c r="J305" s="153">
        <f t="shared" si="4"/>
        <v>-1275</v>
      </c>
      <c r="K305" s="149"/>
    </row>
    <row r="306" spans="1:11" x14ac:dyDescent="0.2">
      <c r="A306" s="151" t="s">
        <v>936</v>
      </c>
      <c r="B306" s="175"/>
      <c r="C306" s="151" t="s">
        <v>948</v>
      </c>
      <c r="D306" s="149"/>
      <c r="E306" s="179" t="s">
        <v>946</v>
      </c>
      <c r="F306" s="179"/>
      <c r="G306" s="180">
        <v>0</v>
      </c>
      <c r="H306" s="179">
        <v>200</v>
      </c>
      <c r="I306" s="149" t="s">
        <v>902</v>
      </c>
      <c r="J306" s="153">
        <f t="shared" si="4"/>
        <v>200</v>
      </c>
      <c r="K306" s="149" t="s">
        <v>1232</v>
      </c>
    </row>
    <row r="307" spans="1:11" x14ac:dyDescent="0.2">
      <c r="A307" s="181" t="s">
        <v>936</v>
      </c>
      <c r="B307" s="175">
        <v>6417</v>
      </c>
      <c r="C307" s="151" t="s">
        <v>100</v>
      </c>
      <c r="D307" s="149"/>
      <c r="E307" s="179" t="s">
        <v>901</v>
      </c>
      <c r="F307" s="179"/>
      <c r="G307" s="180">
        <v>470</v>
      </c>
      <c r="H307" s="179"/>
      <c r="I307" s="149" t="s">
        <v>902</v>
      </c>
      <c r="J307" s="153">
        <f t="shared" si="4"/>
        <v>-470</v>
      </c>
      <c r="K307" s="149"/>
    </row>
    <row r="308" spans="1:11" x14ac:dyDescent="0.2">
      <c r="A308" s="151" t="s">
        <v>937</v>
      </c>
      <c r="B308" s="175">
        <v>3968</v>
      </c>
      <c r="C308" s="151" t="s">
        <v>900</v>
      </c>
      <c r="D308" s="149"/>
      <c r="E308" s="179" t="s">
        <v>901</v>
      </c>
      <c r="F308" s="179"/>
      <c r="G308" s="180">
        <v>5180</v>
      </c>
      <c r="H308" s="179"/>
      <c r="I308" s="149" t="s">
        <v>902</v>
      </c>
      <c r="J308" s="153">
        <f t="shared" si="4"/>
        <v>-5180</v>
      </c>
      <c r="K308" s="149"/>
    </row>
    <row r="309" spans="1:11" x14ac:dyDescent="0.2">
      <c r="A309" s="151" t="s">
        <v>937</v>
      </c>
      <c r="B309" s="175">
        <v>3969</v>
      </c>
      <c r="C309" s="151" t="s">
        <v>904</v>
      </c>
      <c r="D309" s="149"/>
      <c r="E309" s="179" t="s">
        <v>901</v>
      </c>
      <c r="F309" s="179"/>
      <c r="G309" s="180">
        <v>1700</v>
      </c>
      <c r="H309" s="179"/>
      <c r="I309" s="149" t="s">
        <v>902</v>
      </c>
      <c r="J309" s="153">
        <f t="shared" si="4"/>
        <v>-1700</v>
      </c>
      <c r="K309" s="149"/>
    </row>
    <row r="310" spans="1:11" x14ac:dyDescent="0.2">
      <c r="A310" s="151" t="s">
        <v>937</v>
      </c>
      <c r="B310" s="175">
        <v>3970</v>
      </c>
      <c r="C310" s="151" t="s">
        <v>905</v>
      </c>
      <c r="D310" s="149"/>
      <c r="E310" s="179" t="s">
        <v>901</v>
      </c>
      <c r="F310" s="179"/>
      <c r="G310" s="180">
        <v>7000</v>
      </c>
      <c r="H310" s="179"/>
      <c r="I310" s="149" t="s">
        <v>902</v>
      </c>
      <c r="J310" s="153">
        <f t="shared" si="4"/>
        <v>-7000</v>
      </c>
      <c r="K310" s="149"/>
    </row>
    <row r="311" spans="1:11" x14ac:dyDescent="0.2">
      <c r="A311" s="151" t="s">
        <v>937</v>
      </c>
      <c r="B311" s="175">
        <v>3971</v>
      </c>
      <c r="C311" s="151" t="s">
        <v>908</v>
      </c>
      <c r="D311" s="149"/>
      <c r="E311" s="179" t="s">
        <v>901</v>
      </c>
      <c r="F311" s="179"/>
      <c r="G311" s="180">
        <v>680</v>
      </c>
      <c r="H311" s="179"/>
      <c r="I311" s="149" t="s">
        <v>902</v>
      </c>
      <c r="J311" s="153">
        <f t="shared" si="4"/>
        <v>-680</v>
      </c>
      <c r="K311" s="149"/>
    </row>
    <row r="312" spans="1:11" x14ac:dyDescent="0.2">
      <c r="A312" s="151" t="s">
        <v>937</v>
      </c>
      <c r="B312" s="175">
        <v>3972</v>
      </c>
      <c r="C312" s="151" t="s">
        <v>910</v>
      </c>
      <c r="D312" s="149"/>
      <c r="E312" s="179" t="s">
        <v>901</v>
      </c>
      <c r="F312" s="179"/>
      <c r="G312" s="180">
        <v>1275</v>
      </c>
      <c r="H312" s="179"/>
      <c r="I312" s="149" t="s">
        <v>902</v>
      </c>
      <c r="J312" s="153">
        <f t="shared" si="4"/>
        <v>-1275</v>
      </c>
      <c r="K312" s="149"/>
    </row>
    <row r="313" spans="1:11" x14ac:dyDescent="0.2">
      <c r="A313" s="151" t="s">
        <v>937</v>
      </c>
      <c r="B313" s="175">
        <v>3973</v>
      </c>
      <c r="C313" s="151" t="s">
        <v>92</v>
      </c>
      <c r="D313" s="149"/>
      <c r="E313" s="179" t="s">
        <v>901</v>
      </c>
      <c r="F313" s="179"/>
      <c r="G313" s="180">
        <v>2375</v>
      </c>
      <c r="H313" s="179"/>
      <c r="I313" s="149" t="s">
        <v>902</v>
      </c>
      <c r="J313" s="153">
        <f t="shared" si="4"/>
        <v>-2375</v>
      </c>
      <c r="K313" s="149"/>
    </row>
    <row r="314" spans="1:11" x14ac:dyDescent="0.2">
      <c r="A314" s="151" t="s">
        <v>937</v>
      </c>
      <c r="B314" s="175">
        <v>3974</v>
      </c>
      <c r="C314" s="151" t="s">
        <v>94</v>
      </c>
      <c r="D314" s="149"/>
      <c r="E314" s="179" t="s">
        <v>901</v>
      </c>
      <c r="F314" s="179"/>
      <c r="G314" s="180">
        <v>15000</v>
      </c>
      <c r="H314" s="179"/>
      <c r="I314" s="149" t="s">
        <v>902</v>
      </c>
      <c r="J314" s="153">
        <f t="shared" si="4"/>
        <v>-15000</v>
      </c>
      <c r="K314" s="149"/>
    </row>
    <row r="315" spans="1:11" x14ac:dyDescent="0.2">
      <c r="A315" s="151" t="s">
        <v>937</v>
      </c>
      <c r="B315" s="175">
        <v>3975</v>
      </c>
      <c r="C315" s="151" t="s">
        <v>907</v>
      </c>
      <c r="D315" s="149"/>
      <c r="E315" s="179" t="s">
        <v>901</v>
      </c>
      <c r="F315" s="179"/>
      <c r="G315" s="180">
        <v>1020</v>
      </c>
      <c r="H315" s="179"/>
      <c r="I315" s="149" t="s">
        <v>902</v>
      </c>
      <c r="J315" s="153">
        <f t="shared" si="4"/>
        <v>-1020</v>
      </c>
      <c r="K315" s="149"/>
    </row>
    <row r="316" spans="1:11" x14ac:dyDescent="0.2">
      <c r="A316" s="151" t="s">
        <v>937</v>
      </c>
      <c r="B316" s="175">
        <v>3976</v>
      </c>
      <c r="C316" s="151" t="s">
        <v>903</v>
      </c>
      <c r="D316" s="149"/>
      <c r="E316" s="179" t="s">
        <v>901</v>
      </c>
      <c r="F316" s="179"/>
      <c r="G316" s="180">
        <v>4250</v>
      </c>
      <c r="H316" s="179"/>
      <c r="I316" s="149" t="s">
        <v>902</v>
      </c>
      <c r="J316" s="153">
        <f t="shared" si="4"/>
        <v>-4250</v>
      </c>
      <c r="K316" s="149"/>
    </row>
    <row r="317" spans="1:11" x14ac:dyDescent="0.2">
      <c r="A317" s="151" t="s">
        <v>937</v>
      </c>
      <c r="B317" s="175">
        <v>3977</v>
      </c>
      <c r="C317" s="151" t="s">
        <v>909</v>
      </c>
      <c r="D317" s="149"/>
      <c r="E317" s="179" t="s">
        <v>901</v>
      </c>
      <c r="F317" s="179"/>
      <c r="G317" s="180">
        <v>425</v>
      </c>
      <c r="H317" s="179"/>
      <c r="I317" s="149" t="s">
        <v>902</v>
      </c>
      <c r="J317" s="153">
        <f t="shared" si="4"/>
        <v>-425</v>
      </c>
      <c r="K317" s="149"/>
    </row>
    <row r="318" spans="1:11" x14ac:dyDescent="0.2">
      <c r="A318" s="151" t="s">
        <v>937</v>
      </c>
      <c r="B318" s="175">
        <v>3978</v>
      </c>
      <c r="C318" s="151" t="s">
        <v>938</v>
      </c>
      <c r="D318" s="149"/>
      <c r="E318" s="179" t="s">
        <v>901</v>
      </c>
      <c r="F318" s="179"/>
      <c r="G318" s="180">
        <v>975</v>
      </c>
      <c r="H318" s="179"/>
      <c r="I318" s="149" t="s">
        <v>902</v>
      </c>
      <c r="J318" s="153">
        <f t="shared" si="4"/>
        <v>-975</v>
      </c>
      <c r="K318" s="149"/>
    </row>
    <row r="319" spans="1:11" x14ac:dyDescent="0.2">
      <c r="A319" s="151" t="s">
        <v>937</v>
      </c>
      <c r="B319" s="175">
        <v>3979</v>
      </c>
      <c r="C319" s="151" t="s">
        <v>939</v>
      </c>
      <c r="D319" s="149"/>
      <c r="E319" s="179" t="s">
        <v>901</v>
      </c>
      <c r="F319" s="179"/>
      <c r="G319" s="180">
        <v>3015</v>
      </c>
      <c r="H319" s="179"/>
      <c r="I319" s="149" t="s">
        <v>902</v>
      </c>
      <c r="J319" s="153">
        <f t="shared" si="4"/>
        <v>-3015</v>
      </c>
      <c r="K319" s="149"/>
    </row>
    <row r="320" spans="1:11" x14ac:dyDescent="0.2">
      <c r="A320" s="181" t="s">
        <v>937</v>
      </c>
      <c r="B320" s="175"/>
      <c r="C320" s="151" t="s">
        <v>158</v>
      </c>
      <c r="D320" s="149"/>
      <c r="E320" s="179" t="s">
        <v>950</v>
      </c>
      <c r="F320" s="179"/>
      <c r="G320" s="180">
        <v>0</v>
      </c>
      <c r="H320" s="179">
        <v>3490</v>
      </c>
      <c r="I320" s="149" t="s">
        <v>902</v>
      </c>
      <c r="J320" s="153">
        <f t="shared" si="4"/>
        <v>3490</v>
      </c>
      <c r="K320" s="149"/>
    </row>
    <row r="321" spans="1:11" ht="30" x14ac:dyDescent="0.2">
      <c r="A321" s="181" t="s">
        <v>937</v>
      </c>
      <c r="B321" s="175">
        <v>6436</v>
      </c>
      <c r="C321" s="151" t="s">
        <v>948</v>
      </c>
      <c r="D321" s="149"/>
      <c r="E321" s="179" t="s">
        <v>946</v>
      </c>
      <c r="F321" s="179"/>
      <c r="G321" s="180">
        <v>0</v>
      </c>
      <c r="H321" s="179">
        <f>500+200+400+600</f>
        <v>1700</v>
      </c>
      <c r="I321" s="149" t="s">
        <v>902</v>
      </c>
      <c r="J321" s="153">
        <f t="shared" si="4"/>
        <v>1700</v>
      </c>
      <c r="K321" s="149" t="s">
        <v>1233</v>
      </c>
    </row>
    <row r="322" spans="1:11" x14ac:dyDescent="0.2">
      <c r="A322" s="181" t="s">
        <v>937</v>
      </c>
      <c r="B322" s="175">
        <v>6436</v>
      </c>
      <c r="C322" s="151" t="s">
        <v>100</v>
      </c>
      <c r="D322" s="149"/>
      <c r="E322" s="179" t="s">
        <v>901</v>
      </c>
      <c r="F322" s="179"/>
      <c r="G322" s="180">
        <v>1100</v>
      </c>
      <c r="H322" s="179"/>
      <c r="I322" s="149" t="s">
        <v>943</v>
      </c>
      <c r="J322" s="153">
        <f t="shared" si="4"/>
        <v>-1100</v>
      </c>
      <c r="K322" s="149" t="s">
        <v>1231</v>
      </c>
    </row>
    <row r="323" spans="1:11" x14ac:dyDescent="0.2">
      <c r="A323" s="181" t="s">
        <v>937</v>
      </c>
      <c r="B323" s="175">
        <v>6436</v>
      </c>
      <c r="C323" s="151" t="s">
        <v>100</v>
      </c>
      <c r="D323" s="149"/>
      <c r="E323" s="179" t="s">
        <v>901</v>
      </c>
      <c r="F323" s="179"/>
      <c r="G323" s="180">
        <v>500</v>
      </c>
      <c r="H323" s="179"/>
      <c r="I323" s="149" t="s">
        <v>902</v>
      </c>
      <c r="J323" s="153">
        <f t="shared" si="4"/>
        <v>-500</v>
      </c>
      <c r="K323" s="149"/>
    </row>
    <row r="324" spans="1:11" x14ac:dyDescent="0.2">
      <c r="A324" s="151" t="s">
        <v>940</v>
      </c>
      <c r="B324" s="175">
        <v>3980</v>
      </c>
      <c r="C324" s="151" t="s">
        <v>900</v>
      </c>
      <c r="D324" s="149"/>
      <c r="E324" s="179" t="s">
        <v>901</v>
      </c>
      <c r="F324" s="179"/>
      <c r="G324" s="180">
        <v>5180</v>
      </c>
      <c r="H324" s="179"/>
      <c r="I324" s="149" t="s">
        <v>902</v>
      </c>
      <c r="J324" s="153">
        <f t="shared" si="4"/>
        <v>-5180</v>
      </c>
      <c r="K324" s="149"/>
    </row>
    <row r="325" spans="1:11" x14ac:dyDescent="0.2">
      <c r="A325" s="151" t="s">
        <v>940</v>
      </c>
      <c r="B325" s="175">
        <v>3981</v>
      </c>
      <c r="C325" s="151" t="s">
        <v>903</v>
      </c>
      <c r="D325" s="149"/>
      <c r="E325" s="179" t="s">
        <v>901</v>
      </c>
      <c r="F325" s="179"/>
      <c r="G325" s="180">
        <v>5100</v>
      </c>
      <c r="H325" s="179"/>
      <c r="I325" s="149" t="s">
        <v>902</v>
      </c>
      <c r="J325" s="153">
        <f t="shared" si="4"/>
        <v>-5100</v>
      </c>
      <c r="K325" s="149"/>
    </row>
    <row r="326" spans="1:11" x14ac:dyDescent="0.2">
      <c r="A326" s="151" t="s">
        <v>940</v>
      </c>
      <c r="B326" s="175">
        <v>3982</v>
      </c>
      <c r="C326" s="151" t="s">
        <v>904</v>
      </c>
      <c r="D326" s="149"/>
      <c r="E326" s="179" t="s">
        <v>901</v>
      </c>
      <c r="F326" s="179"/>
      <c r="G326" s="180">
        <v>1700</v>
      </c>
      <c r="H326" s="179"/>
      <c r="I326" s="149" t="s">
        <v>902</v>
      </c>
      <c r="J326" s="153">
        <f t="shared" si="4"/>
        <v>-1700</v>
      </c>
      <c r="K326" s="149"/>
    </row>
    <row r="327" spans="1:11" x14ac:dyDescent="0.2">
      <c r="A327" s="151" t="s">
        <v>940</v>
      </c>
      <c r="B327" s="175">
        <v>3983</v>
      </c>
      <c r="C327" s="151" t="s">
        <v>905</v>
      </c>
      <c r="D327" s="149"/>
      <c r="E327" s="179" t="s">
        <v>901</v>
      </c>
      <c r="F327" s="179"/>
      <c r="G327" s="180">
        <v>5500</v>
      </c>
      <c r="H327" s="179"/>
      <c r="I327" s="149" t="s">
        <v>902</v>
      </c>
      <c r="J327" s="153">
        <f t="shared" si="4"/>
        <v>-5500</v>
      </c>
      <c r="K327" s="149"/>
    </row>
    <row r="328" spans="1:11" x14ac:dyDescent="0.2">
      <c r="A328" s="151" t="s">
        <v>940</v>
      </c>
      <c r="B328" s="175">
        <v>3984</v>
      </c>
      <c r="C328" s="151" t="s">
        <v>909</v>
      </c>
      <c r="D328" s="149"/>
      <c r="E328" s="179" t="s">
        <v>901</v>
      </c>
      <c r="F328" s="179"/>
      <c r="G328" s="180">
        <v>425</v>
      </c>
      <c r="H328" s="179"/>
      <c r="I328" s="149" t="s">
        <v>902</v>
      </c>
      <c r="J328" s="153">
        <f t="shared" si="4"/>
        <v>-425</v>
      </c>
      <c r="K328" s="149"/>
    </row>
    <row r="329" spans="1:11" x14ac:dyDescent="0.2">
      <c r="A329" s="151" t="s">
        <v>940</v>
      </c>
      <c r="B329" s="175">
        <v>3985</v>
      </c>
      <c r="C329" s="151" t="s">
        <v>910</v>
      </c>
      <c r="D329" s="149"/>
      <c r="E329" s="179" t="s">
        <v>901</v>
      </c>
      <c r="F329" s="179"/>
      <c r="G329" s="180">
        <v>1275</v>
      </c>
      <c r="H329" s="179"/>
      <c r="I329" s="149" t="s">
        <v>902</v>
      </c>
      <c r="J329" s="153">
        <f t="shared" si="4"/>
        <v>-1275</v>
      </c>
      <c r="K329" s="149"/>
    </row>
    <row r="330" spans="1:11" x14ac:dyDescent="0.2">
      <c r="A330" s="151" t="s">
        <v>940</v>
      </c>
      <c r="B330" s="175">
        <v>3986</v>
      </c>
      <c r="C330" s="151" t="s">
        <v>908</v>
      </c>
      <c r="D330" s="149"/>
      <c r="E330" s="179" t="s">
        <v>901</v>
      </c>
      <c r="F330" s="179"/>
      <c r="G330" s="180">
        <v>680</v>
      </c>
      <c r="H330" s="179"/>
      <c r="I330" s="149" t="s">
        <v>902</v>
      </c>
      <c r="J330" s="153">
        <f t="shared" si="4"/>
        <v>-680</v>
      </c>
      <c r="K330" s="149"/>
    </row>
    <row r="331" spans="1:11" x14ac:dyDescent="0.2">
      <c r="A331" s="151" t="s">
        <v>940</v>
      </c>
      <c r="B331" s="175">
        <v>3987</v>
      </c>
      <c r="C331" s="151" t="s">
        <v>907</v>
      </c>
      <c r="D331" s="149"/>
      <c r="E331" s="179" t="s">
        <v>901</v>
      </c>
      <c r="F331" s="179"/>
      <c r="G331" s="180">
        <v>1020</v>
      </c>
      <c r="H331" s="179"/>
      <c r="I331" s="149" t="s">
        <v>902</v>
      </c>
      <c r="J331" s="153">
        <f t="shared" si="4"/>
        <v>-1020</v>
      </c>
      <c r="K331" s="149"/>
    </row>
    <row r="332" spans="1:11" x14ac:dyDescent="0.2">
      <c r="A332" s="151" t="s">
        <v>940</v>
      </c>
      <c r="B332" s="175">
        <v>3988</v>
      </c>
      <c r="C332" s="151" t="s">
        <v>76</v>
      </c>
      <c r="D332" s="149"/>
      <c r="E332" s="179" t="s">
        <v>901</v>
      </c>
      <c r="F332" s="179"/>
      <c r="G332" s="180">
        <v>1900</v>
      </c>
      <c r="H332" s="179"/>
      <c r="I332" s="149" t="s">
        <v>902</v>
      </c>
      <c r="J332" s="153">
        <f t="shared" si="4"/>
        <v>-1900</v>
      </c>
      <c r="K332" s="149"/>
    </row>
    <row r="333" spans="1:11" x14ac:dyDescent="0.2">
      <c r="A333" s="151" t="s">
        <v>940</v>
      </c>
      <c r="B333" s="175">
        <v>3989</v>
      </c>
      <c r="C333" s="151" t="s">
        <v>92</v>
      </c>
      <c r="D333" s="149"/>
      <c r="E333" s="179" t="s">
        <v>901</v>
      </c>
      <c r="F333" s="179"/>
      <c r="G333" s="180">
        <v>2375</v>
      </c>
      <c r="H333" s="179"/>
      <c r="I333" s="149" t="s">
        <v>902</v>
      </c>
      <c r="J333" s="153">
        <f t="shared" si="4"/>
        <v>-2375</v>
      </c>
      <c r="K333" s="149"/>
    </row>
    <row r="334" spans="1:11" x14ac:dyDescent="0.2">
      <c r="A334" s="151" t="s">
        <v>940</v>
      </c>
      <c r="B334" s="175">
        <v>3990</v>
      </c>
      <c r="C334" s="151" t="s">
        <v>941</v>
      </c>
      <c r="D334" s="149"/>
      <c r="E334" s="179" t="s">
        <v>901</v>
      </c>
      <c r="F334" s="179"/>
      <c r="G334" s="180">
        <v>3400</v>
      </c>
      <c r="H334" s="179"/>
      <c r="I334" s="149" t="s">
        <v>902</v>
      </c>
      <c r="J334" s="153">
        <f t="shared" si="4"/>
        <v>-3400</v>
      </c>
      <c r="K334" s="149"/>
    </row>
    <row r="335" spans="1:11" x14ac:dyDescent="0.2">
      <c r="A335" s="151" t="s">
        <v>940</v>
      </c>
      <c r="B335" s="175"/>
      <c r="C335" s="151" t="s">
        <v>158</v>
      </c>
      <c r="D335" s="149"/>
      <c r="E335" s="179" t="s">
        <v>950</v>
      </c>
      <c r="F335" s="179"/>
      <c r="G335" s="180">
        <v>0</v>
      </c>
      <c r="H335" s="179">
        <v>3400</v>
      </c>
      <c r="I335" s="149" t="s">
        <v>902</v>
      </c>
      <c r="J335" s="153">
        <f t="shared" si="4"/>
        <v>3400</v>
      </c>
      <c r="K335" s="149"/>
    </row>
    <row r="336" spans="1:11" x14ac:dyDescent="0.2">
      <c r="A336" s="181" t="s">
        <v>940</v>
      </c>
      <c r="B336" s="175">
        <v>3451</v>
      </c>
      <c r="C336" s="151" t="s">
        <v>100</v>
      </c>
      <c r="D336" s="149"/>
      <c r="E336" s="179" t="s">
        <v>901</v>
      </c>
      <c r="F336" s="179"/>
      <c r="G336" s="180">
        <v>300</v>
      </c>
      <c r="H336" s="179"/>
      <c r="I336" s="149" t="s">
        <v>902</v>
      </c>
      <c r="J336" s="153">
        <f t="shared" si="4"/>
        <v>-300</v>
      </c>
      <c r="K336" s="149"/>
    </row>
    <row r="337" spans="1:11" x14ac:dyDescent="0.2">
      <c r="A337" s="151" t="s">
        <v>41</v>
      </c>
      <c r="B337" s="175">
        <v>6453</v>
      </c>
      <c r="C337" s="151" t="s">
        <v>100</v>
      </c>
      <c r="D337" s="149"/>
      <c r="E337" s="179" t="s">
        <v>901</v>
      </c>
      <c r="F337" s="179"/>
      <c r="G337" s="180">
        <v>2350</v>
      </c>
      <c r="H337" s="179"/>
      <c r="I337" s="149" t="s">
        <v>902</v>
      </c>
      <c r="J337" s="153">
        <f t="shared" si="4"/>
        <v>-2350</v>
      </c>
      <c r="K337" s="149"/>
    </row>
    <row r="338" spans="1:11" x14ac:dyDescent="0.2">
      <c r="A338" s="151" t="s">
        <v>41</v>
      </c>
      <c r="B338" s="175">
        <v>3991</v>
      </c>
      <c r="C338" s="151" t="s">
        <v>900</v>
      </c>
      <c r="D338" s="149"/>
      <c r="E338" s="179" t="s">
        <v>901</v>
      </c>
      <c r="F338" s="179"/>
      <c r="G338" s="180">
        <v>5180</v>
      </c>
      <c r="H338" s="179"/>
      <c r="I338" s="149" t="s">
        <v>902</v>
      </c>
      <c r="J338" s="153">
        <f t="shared" si="4"/>
        <v>-5180</v>
      </c>
      <c r="K338" s="149"/>
    </row>
    <row r="339" spans="1:11" x14ac:dyDescent="0.2">
      <c r="A339" s="151" t="s">
        <v>41</v>
      </c>
      <c r="B339" s="175">
        <v>3992</v>
      </c>
      <c r="C339" s="151" t="s">
        <v>903</v>
      </c>
      <c r="D339" s="149"/>
      <c r="E339" s="179" t="s">
        <v>901</v>
      </c>
      <c r="F339" s="179"/>
      <c r="G339" s="180">
        <v>4250</v>
      </c>
      <c r="H339" s="179"/>
      <c r="I339" s="149" t="s">
        <v>902</v>
      </c>
      <c r="J339" s="153">
        <f t="shared" si="4"/>
        <v>-4250</v>
      </c>
      <c r="K339" s="149"/>
    </row>
    <row r="340" spans="1:11" x14ac:dyDescent="0.2">
      <c r="A340" s="151" t="s">
        <v>41</v>
      </c>
      <c r="B340" s="175">
        <v>3993</v>
      </c>
      <c r="C340" s="151" t="s">
        <v>908</v>
      </c>
      <c r="D340" s="149"/>
      <c r="E340" s="179" t="s">
        <v>901</v>
      </c>
      <c r="F340" s="179"/>
      <c r="G340" s="180">
        <v>680</v>
      </c>
      <c r="H340" s="179"/>
      <c r="I340" s="149" t="s">
        <v>902</v>
      </c>
      <c r="J340" s="153">
        <f t="shared" si="4"/>
        <v>-680</v>
      </c>
      <c r="K340" s="149"/>
    </row>
    <row r="341" spans="1:11" x14ac:dyDescent="0.2">
      <c r="A341" s="151" t="s">
        <v>41</v>
      </c>
      <c r="B341" s="175">
        <v>3994</v>
      </c>
      <c r="C341" s="151" t="s">
        <v>905</v>
      </c>
      <c r="D341" s="149"/>
      <c r="E341" s="179" t="s">
        <v>901</v>
      </c>
      <c r="F341" s="179"/>
      <c r="G341" s="180">
        <v>10000</v>
      </c>
      <c r="H341" s="179"/>
      <c r="I341" s="149" t="s">
        <v>902</v>
      </c>
      <c r="J341" s="153">
        <f t="shared" si="4"/>
        <v>-10000</v>
      </c>
      <c r="K341" s="149"/>
    </row>
    <row r="342" spans="1:11" x14ac:dyDescent="0.2">
      <c r="A342" s="151" t="s">
        <v>41</v>
      </c>
      <c r="B342" s="175">
        <v>3995</v>
      </c>
      <c r="C342" s="151" t="s">
        <v>906</v>
      </c>
      <c r="D342" s="149"/>
      <c r="E342" s="179" t="s">
        <v>901</v>
      </c>
      <c r="F342" s="179"/>
      <c r="G342" s="180">
        <v>425</v>
      </c>
      <c r="H342" s="179"/>
      <c r="I342" s="149" t="s">
        <v>902</v>
      </c>
      <c r="J342" s="153">
        <f t="shared" si="4"/>
        <v>-425</v>
      </c>
      <c r="K342" s="149"/>
    </row>
    <row r="343" spans="1:11" x14ac:dyDescent="0.2">
      <c r="A343" s="151" t="s">
        <v>41</v>
      </c>
      <c r="B343" s="175">
        <v>3996</v>
      </c>
      <c r="C343" s="151" t="s">
        <v>907</v>
      </c>
      <c r="D343" s="149"/>
      <c r="E343" s="179" t="s">
        <v>901</v>
      </c>
      <c r="F343" s="179"/>
      <c r="G343" s="180">
        <v>1020</v>
      </c>
      <c r="H343" s="179"/>
      <c r="I343" s="149" t="s">
        <v>902</v>
      </c>
      <c r="J343" s="153">
        <f t="shared" ref="J343:J408" si="5">IF($C343="","",N($F343)-$G343+$H343)</f>
        <v>-1020</v>
      </c>
      <c r="K343" s="149"/>
    </row>
    <row r="344" spans="1:11" x14ac:dyDescent="0.2">
      <c r="A344" s="151" t="s">
        <v>41</v>
      </c>
      <c r="B344" s="175">
        <v>3997</v>
      </c>
      <c r="C344" s="151" t="s">
        <v>904</v>
      </c>
      <c r="D344" s="149"/>
      <c r="E344" s="179" t="s">
        <v>901</v>
      </c>
      <c r="F344" s="179"/>
      <c r="G344" s="180">
        <v>2125</v>
      </c>
      <c r="H344" s="179"/>
      <c r="I344" s="149" t="s">
        <v>902</v>
      </c>
      <c r="J344" s="153">
        <f t="shared" si="5"/>
        <v>-2125</v>
      </c>
      <c r="K344" s="149"/>
    </row>
    <row r="345" spans="1:11" x14ac:dyDescent="0.2">
      <c r="A345" s="151" t="s">
        <v>41</v>
      </c>
      <c r="B345" s="175">
        <v>3998</v>
      </c>
      <c r="C345" s="151" t="s">
        <v>909</v>
      </c>
      <c r="D345" s="149"/>
      <c r="E345" s="179" t="s">
        <v>901</v>
      </c>
      <c r="F345" s="179"/>
      <c r="G345" s="180">
        <v>425</v>
      </c>
      <c r="H345" s="179"/>
      <c r="I345" s="149" t="s">
        <v>902</v>
      </c>
      <c r="J345" s="153">
        <f t="shared" si="5"/>
        <v>-425</v>
      </c>
      <c r="K345" s="149"/>
    </row>
    <row r="346" spans="1:11" x14ac:dyDescent="0.2">
      <c r="A346" s="151" t="s">
        <v>41</v>
      </c>
      <c r="B346" s="175">
        <v>3999</v>
      </c>
      <c r="C346" s="151" t="s">
        <v>910</v>
      </c>
      <c r="D346" s="149"/>
      <c r="E346" s="179" t="s">
        <v>901</v>
      </c>
      <c r="F346" s="179"/>
      <c r="G346" s="180">
        <v>1275</v>
      </c>
      <c r="H346" s="179"/>
      <c r="I346" s="149" t="s">
        <v>902</v>
      </c>
      <c r="J346" s="153">
        <f t="shared" si="5"/>
        <v>-1275</v>
      </c>
      <c r="K346" s="149"/>
    </row>
    <row r="347" spans="1:11" x14ac:dyDescent="0.2">
      <c r="A347" s="151" t="s">
        <v>41</v>
      </c>
      <c r="B347" s="175">
        <v>4000</v>
      </c>
      <c r="C347" s="151" t="s">
        <v>92</v>
      </c>
      <c r="D347" s="149"/>
      <c r="E347" s="179" t="s">
        <v>901</v>
      </c>
      <c r="F347" s="179"/>
      <c r="G347" s="180">
        <v>2495</v>
      </c>
      <c r="H347" s="179"/>
      <c r="I347" s="149" t="s">
        <v>902</v>
      </c>
      <c r="J347" s="153">
        <f t="shared" si="5"/>
        <v>-2495</v>
      </c>
      <c r="K347" s="149"/>
    </row>
    <row r="348" spans="1:11" x14ac:dyDescent="0.2">
      <c r="A348" s="151" t="s">
        <v>41</v>
      </c>
      <c r="B348" s="175">
        <v>4001</v>
      </c>
      <c r="C348" s="151" t="s">
        <v>214</v>
      </c>
      <c r="D348" s="149"/>
      <c r="E348" s="179" t="s">
        <v>901</v>
      </c>
      <c r="F348" s="179"/>
      <c r="G348" s="180">
        <v>400</v>
      </c>
      <c r="H348" s="179"/>
      <c r="I348" s="149" t="s">
        <v>902</v>
      </c>
      <c r="J348" s="153">
        <f t="shared" si="5"/>
        <v>-400</v>
      </c>
      <c r="K348" s="149"/>
    </row>
    <row r="349" spans="1:11" x14ac:dyDescent="0.2">
      <c r="A349" s="151" t="s">
        <v>41</v>
      </c>
      <c r="B349" s="175">
        <v>4002</v>
      </c>
      <c r="C349" s="151" t="s">
        <v>942</v>
      </c>
      <c r="D349" s="149"/>
      <c r="E349" s="179" t="s">
        <v>901</v>
      </c>
      <c r="F349" s="179"/>
      <c r="G349" s="180">
        <v>5000</v>
      </c>
      <c r="H349" s="179"/>
      <c r="I349" s="149" t="s">
        <v>943</v>
      </c>
      <c r="J349" s="153">
        <f t="shared" si="5"/>
        <v>-5000</v>
      </c>
      <c r="K349" s="149" t="s">
        <v>1231</v>
      </c>
    </row>
    <row r="350" spans="1:11" x14ac:dyDescent="0.2">
      <c r="A350" s="181" t="s">
        <v>41</v>
      </c>
      <c r="B350" s="175"/>
      <c r="C350" s="151" t="s">
        <v>948</v>
      </c>
      <c r="D350" s="149"/>
      <c r="E350" s="179" t="s">
        <v>946</v>
      </c>
      <c r="F350" s="179"/>
      <c r="G350" s="180">
        <v>0</v>
      </c>
      <c r="H350" s="179">
        <v>5000</v>
      </c>
      <c r="I350" s="149" t="s">
        <v>902</v>
      </c>
      <c r="J350" s="153">
        <f t="shared" si="5"/>
        <v>5000</v>
      </c>
      <c r="K350" s="149" t="s">
        <v>1234</v>
      </c>
    </row>
    <row r="351" spans="1:11" x14ac:dyDescent="0.2">
      <c r="A351" s="181" t="s">
        <v>41</v>
      </c>
      <c r="B351" s="175"/>
      <c r="C351" s="151" t="s">
        <v>948</v>
      </c>
      <c r="D351" s="149"/>
      <c r="E351" s="179" t="s">
        <v>946</v>
      </c>
      <c r="F351" s="179"/>
      <c r="G351" s="180">
        <v>0</v>
      </c>
      <c r="H351" s="179">
        <v>7500</v>
      </c>
      <c r="I351" s="149" t="s">
        <v>902</v>
      </c>
      <c r="J351" s="153">
        <f t="shared" si="5"/>
        <v>7500</v>
      </c>
      <c r="K351" s="149" t="s">
        <v>1235</v>
      </c>
    </row>
    <row r="352" spans="1:11" x14ac:dyDescent="0.2">
      <c r="A352" s="181" t="s">
        <v>41</v>
      </c>
      <c r="B352" s="175">
        <v>6452</v>
      </c>
      <c r="C352" s="151" t="s">
        <v>100</v>
      </c>
      <c r="D352" s="149"/>
      <c r="E352" s="179" t="s">
        <v>901</v>
      </c>
      <c r="F352" s="179"/>
      <c r="G352" s="180">
        <v>650</v>
      </c>
      <c r="H352" s="179"/>
      <c r="I352" s="149" t="s">
        <v>902</v>
      </c>
      <c r="J352" s="153">
        <f t="shared" si="5"/>
        <v>-650</v>
      </c>
      <c r="K352" s="149"/>
    </row>
    <row r="353" spans="1:11" x14ac:dyDescent="0.2">
      <c r="A353" s="182" t="s">
        <v>593</v>
      </c>
      <c r="B353" s="175">
        <v>4003</v>
      </c>
      <c r="C353" s="170" t="s">
        <v>909</v>
      </c>
      <c r="D353" s="149"/>
      <c r="E353" s="179" t="s">
        <v>901</v>
      </c>
      <c r="F353" s="179"/>
      <c r="G353" s="149">
        <v>425</v>
      </c>
      <c r="H353" s="179"/>
      <c r="I353" s="149" t="s">
        <v>902</v>
      </c>
      <c r="J353" s="153">
        <f t="shared" si="5"/>
        <v>-425</v>
      </c>
      <c r="K353" s="149"/>
    </row>
    <row r="354" spans="1:11" x14ac:dyDescent="0.2">
      <c r="A354" s="182" t="s">
        <v>593</v>
      </c>
      <c r="B354" s="175">
        <v>4004</v>
      </c>
      <c r="C354" s="170" t="s">
        <v>98</v>
      </c>
      <c r="D354" s="149"/>
      <c r="E354" s="179" t="s">
        <v>901</v>
      </c>
      <c r="F354" s="179"/>
      <c r="G354" s="149">
        <v>5000</v>
      </c>
      <c r="H354" s="179"/>
      <c r="I354" s="149" t="s">
        <v>902</v>
      </c>
      <c r="J354" s="153">
        <f t="shared" si="5"/>
        <v>-5000</v>
      </c>
      <c r="K354" s="149"/>
    </row>
    <row r="355" spans="1:11" x14ac:dyDescent="0.2">
      <c r="A355" s="182" t="s">
        <v>593</v>
      </c>
      <c r="B355" s="175">
        <v>4005</v>
      </c>
      <c r="C355" s="170" t="s">
        <v>900</v>
      </c>
      <c r="D355" s="149"/>
      <c r="E355" s="179" t="s">
        <v>901</v>
      </c>
      <c r="F355" s="179"/>
      <c r="G355" s="149">
        <v>4755</v>
      </c>
      <c r="H355" s="179"/>
      <c r="I355" s="149" t="s">
        <v>902</v>
      </c>
      <c r="J355" s="153">
        <f t="shared" si="5"/>
        <v>-4755</v>
      </c>
      <c r="K355" s="149"/>
    </row>
    <row r="356" spans="1:11" x14ac:dyDescent="0.2">
      <c r="A356" s="182" t="s">
        <v>593</v>
      </c>
      <c r="B356" s="175">
        <v>4006</v>
      </c>
      <c r="C356" s="170" t="s">
        <v>903</v>
      </c>
      <c r="D356" s="149"/>
      <c r="E356" s="179" t="s">
        <v>901</v>
      </c>
      <c r="F356" s="179"/>
      <c r="G356" s="149">
        <v>4250</v>
      </c>
      <c r="H356" s="179"/>
      <c r="I356" s="149" t="s">
        <v>902</v>
      </c>
      <c r="J356" s="153">
        <f t="shared" si="5"/>
        <v>-4250</v>
      </c>
      <c r="K356" s="149"/>
    </row>
    <row r="357" spans="1:11" x14ac:dyDescent="0.2">
      <c r="A357" s="182" t="s">
        <v>593</v>
      </c>
      <c r="B357" s="175">
        <v>4007</v>
      </c>
      <c r="C357" s="170" t="s">
        <v>904</v>
      </c>
      <c r="D357" s="149"/>
      <c r="E357" s="179" t="s">
        <v>901</v>
      </c>
      <c r="F357" s="179"/>
      <c r="G357" s="149">
        <v>2125</v>
      </c>
      <c r="H357" s="179"/>
      <c r="I357" s="149" t="s">
        <v>902</v>
      </c>
      <c r="J357" s="153">
        <f t="shared" si="5"/>
        <v>-2125</v>
      </c>
      <c r="K357" s="149"/>
    </row>
    <row r="358" spans="1:11" x14ac:dyDescent="0.2">
      <c r="A358" s="182" t="s">
        <v>593</v>
      </c>
      <c r="B358" s="175">
        <v>4008</v>
      </c>
      <c r="C358" s="170" t="s">
        <v>905</v>
      </c>
      <c r="D358" s="149"/>
      <c r="E358" s="179" t="s">
        <v>901</v>
      </c>
      <c r="F358" s="179"/>
      <c r="G358" s="149">
        <v>9700</v>
      </c>
      <c r="H358" s="179"/>
      <c r="I358" s="149" t="s">
        <v>902</v>
      </c>
      <c r="J358" s="153">
        <f t="shared" si="5"/>
        <v>-9700</v>
      </c>
      <c r="K358" s="149"/>
    </row>
    <row r="359" spans="1:11" x14ac:dyDescent="0.2">
      <c r="A359" s="182" t="s">
        <v>593</v>
      </c>
      <c r="B359" s="175">
        <v>4009</v>
      </c>
      <c r="C359" s="170" t="s">
        <v>910</v>
      </c>
      <c r="D359" s="149"/>
      <c r="E359" s="179" t="s">
        <v>901</v>
      </c>
      <c r="F359" s="179"/>
      <c r="G359" s="149">
        <v>1700</v>
      </c>
      <c r="H359" s="179"/>
      <c r="I359" s="149" t="s">
        <v>902</v>
      </c>
      <c r="J359" s="153">
        <f t="shared" si="5"/>
        <v>-1700</v>
      </c>
      <c r="K359" s="149"/>
    </row>
    <row r="360" spans="1:11" x14ac:dyDescent="0.2">
      <c r="A360" s="182" t="s">
        <v>593</v>
      </c>
      <c r="B360" s="175">
        <v>4010</v>
      </c>
      <c r="C360" s="170" t="s">
        <v>908</v>
      </c>
      <c r="D360" s="149"/>
      <c r="E360" s="179" t="s">
        <v>901</v>
      </c>
      <c r="F360" s="179"/>
      <c r="G360" s="149">
        <v>680</v>
      </c>
      <c r="H360" s="179"/>
      <c r="I360" s="149" t="s">
        <v>902</v>
      </c>
      <c r="J360" s="153">
        <f t="shared" si="5"/>
        <v>-680</v>
      </c>
      <c r="K360" s="149"/>
    </row>
    <row r="361" spans="1:11" x14ac:dyDescent="0.2">
      <c r="A361" s="182" t="s">
        <v>593</v>
      </c>
      <c r="B361" s="175">
        <v>4011</v>
      </c>
      <c r="C361" s="170" t="s">
        <v>907</v>
      </c>
      <c r="D361" s="149"/>
      <c r="E361" s="179" t="s">
        <v>901</v>
      </c>
      <c r="F361" s="179"/>
      <c r="G361" s="149">
        <v>1020</v>
      </c>
      <c r="H361" s="179"/>
      <c r="I361" s="149" t="s">
        <v>902</v>
      </c>
      <c r="J361" s="153">
        <f t="shared" si="5"/>
        <v>-1020</v>
      </c>
      <c r="K361" s="149"/>
    </row>
    <row r="362" spans="1:11" x14ac:dyDescent="0.2">
      <c r="A362" s="182" t="s">
        <v>593</v>
      </c>
      <c r="B362" s="175">
        <v>4012</v>
      </c>
      <c r="C362" s="170" t="s">
        <v>92</v>
      </c>
      <c r="D362" s="149"/>
      <c r="E362" s="179" t="s">
        <v>901</v>
      </c>
      <c r="F362" s="179"/>
      <c r="G362" s="149">
        <v>7420</v>
      </c>
      <c r="H362" s="179"/>
      <c r="I362" s="149" t="s">
        <v>902</v>
      </c>
      <c r="J362" s="153">
        <f t="shared" si="5"/>
        <v>-7420</v>
      </c>
      <c r="K362" s="149"/>
    </row>
    <row r="363" spans="1:11" x14ac:dyDescent="0.2">
      <c r="A363" s="182" t="s">
        <v>610</v>
      </c>
      <c r="B363" s="175">
        <v>4013</v>
      </c>
      <c r="C363" s="170" t="s">
        <v>908</v>
      </c>
      <c r="D363" s="149"/>
      <c r="E363" s="179" t="s">
        <v>901</v>
      </c>
      <c r="F363" s="179"/>
      <c r="G363" s="149">
        <v>680</v>
      </c>
      <c r="H363" s="179"/>
      <c r="I363" s="149" t="s">
        <v>902</v>
      </c>
      <c r="J363" s="153">
        <f t="shared" si="5"/>
        <v>-680</v>
      </c>
      <c r="K363" s="149"/>
    </row>
    <row r="364" spans="1:11" x14ac:dyDescent="0.2">
      <c r="A364" s="182" t="s">
        <v>610</v>
      </c>
      <c r="B364" s="175">
        <v>4014</v>
      </c>
      <c r="C364" s="170" t="s">
        <v>900</v>
      </c>
      <c r="D364" s="149"/>
      <c r="E364" s="179" t="s">
        <v>901</v>
      </c>
      <c r="F364" s="179"/>
      <c r="G364" s="149">
        <v>5180</v>
      </c>
      <c r="H364" s="179"/>
      <c r="I364" s="149" t="s">
        <v>902</v>
      </c>
      <c r="J364" s="153">
        <f t="shared" si="5"/>
        <v>-5180</v>
      </c>
      <c r="K364" s="149"/>
    </row>
    <row r="365" spans="1:11" x14ac:dyDescent="0.2">
      <c r="A365" s="182" t="s">
        <v>610</v>
      </c>
      <c r="B365" s="175">
        <v>4015</v>
      </c>
      <c r="C365" s="170" t="s">
        <v>76</v>
      </c>
      <c r="D365" s="149"/>
      <c r="E365" s="179" t="s">
        <v>901</v>
      </c>
      <c r="F365" s="179"/>
      <c r="G365" s="149">
        <v>1650</v>
      </c>
      <c r="H365" s="179"/>
      <c r="I365" s="149" t="s">
        <v>902</v>
      </c>
      <c r="J365" s="153">
        <f t="shared" si="5"/>
        <v>-1650</v>
      </c>
      <c r="K365" s="149"/>
    </row>
    <row r="366" spans="1:11" x14ac:dyDescent="0.2">
      <c r="A366" s="182" t="s">
        <v>610</v>
      </c>
      <c r="B366" s="175">
        <v>4016</v>
      </c>
      <c r="C366" s="170" t="s">
        <v>907</v>
      </c>
      <c r="D366" s="149"/>
      <c r="E366" s="179" t="s">
        <v>901</v>
      </c>
      <c r="F366" s="179"/>
      <c r="G366" s="149">
        <v>1275</v>
      </c>
      <c r="H366" s="179"/>
      <c r="I366" s="149" t="s">
        <v>902</v>
      </c>
      <c r="J366" s="153">
        <f t="shared" si="5"/>
        <v>-1275</v>
      </c>
      <c r="K366" s="149"/>
    </row>
    <row r="367" spans="1:11" x14ac:dyDescent="0.2">
      <c r="A367" s="182" t="s">
        <v>610</v>
      </c>
      <c r="B367" s="175">
        <v>4017</v>
      </c>
      <c r="C367" s="170" t="s">
        <v>904</v>
      </c>
      <c r="D367" s="149"/>
      <c r="E367" s="179" t="s">
        <v>901</v>
      </c>
      <c r="F367" s="179"/>
      <c r="G367" s="149">
        <v>2975</v>
      </c>
      <c r="H367" s="179"/>
      <c r="I367" s="149" t="s">
        <v>902</v>
      </c>
      <c r="J367" s="153">
        <f t="shared" si="5"/>
        <v>-2975</v>
      </c>
      <c r="K367" s="149"/>
    </row>
    <row r="368" spans="1:11" x14ac:dyDescent="0.2">
      <c r="A368" s="182" t="s">
        <v>610</v>
      </c>
      <c r="B368" s="175">
        <v>4018</v>
      </c>
      <c r="C368" s="170" t="s">
        <v>910</v>
      </c>
      <c r="D368" s="149"/>
      <c r="E368" s="179" t="s">
        <v>901</v>
      </c>
      <c r="F368" s="179"/>
      <c r="G368" s="149">
        <v>1275</v>
      </c>
      <c r="H368" s="179"/>
      <c r="I368" s="149" t="s">
        <v>902</v>
      </c>
      <c r="J368" s="153">
        <f t="shared" si="5"/>
        <v>-1275</v>
      </c>
      <c r="K368" s="149"/>
    </row>
    <row r="369" spans="1:11" x14ac:dyDescent="0.2">
      <c r="A369" s="182" t="s">
        <v>610</v>
      </c>
      <c r="B369" s="175">
        <v>4019</v>
      </c>
      <c r="C369" s="170" t="s">
        <v>903</v>
      </c>
      <c r="D369" s="149"/>
      <c r="E369" s="179" t="s">
        <v>901</v>
      </c>
      <c r="F369" s="179"/>
      <c r="G369" s="149">
        <v>3825</v>
      </c>
      <c r="H369" s="179"/>
      <c r="I369" s="149" t="s">
        <v>902</v>
      </c>
      <c r="J369" s="153">
        <f t="shared" si="5"/>
        <v>-3825</v>
      </c>
      <c r="K369" s="149"/>
    </row>
    <row r="370" spans="1:11" x14ac:dyDescent="0.2">
      <c r="A370" s="182" t="s">
        <v>610</v>
      </c>
      <c r="B370" s="175">
        <v>4020</v>
      </c>
      <c r="C370" s="170" t="s">
        <v>905</v>
      </c>
      <c r="D370" s="149"/>
      <c r="E370" s="179" t="s">
        <v>901</v>
      </c>
      <c r="F370" s="179"/>
      <c r="G370" s="149">
        <v>3000</v>
      </c>
      <c r="H370" s="179"/>
      <c r="I370" s="149" t="s">
        <v>902</v>
      </c>
      <c r="J370" s="153">
        <f t="shared" si="5"/>
        <v>-3000</v>
      </c>
      <c r="K370" s="149"/>
    </row>
    <row r="371" spans="1:11" x14ac:dyDescent="0.2">
      <c r="A371" s="182" t="s">
        <v>610</v>
      </c>
      <c r="B371" s="175">
        <v>4021</v>
      </c>
      <c r="C371" s="170" t="s">
        <v>909</v>
      </c>
      <c r="D371" s="149"/>
      <c r="E371" s="179" t="s">
        <v>901</v>
      </c>
      <c r="F371" s="179"/>
      <c r="G371" s="149">
        <v>425</v>
      </c>
      <c r="H371" s="179"/>
      <c r="I371" s="149" t="s">
        <v>902</v>
      </c>
      <c r="J371" s="153">
        <f t="shared" si="5"/>
        <v>-425</v>
      </c>
      <c r="K371" s="149"/>
    </row>
    <row r="372" spans="1:11" x14ac:dyDescent="0.2">
      <c r="A372" s="182" t="s">
        <v>610</v>
      </c>
      <c r="B372" s="175">
        <v>4022</v>
      </c>
      <c r="C372" s="170" t="s">
        <v>214</v>
      </c>
      <c r="D372" s="149"/>
      <c r="E372" s="179" t="s">
        <v>901</v>
      </c>
      <c r="F372" s="179"/>
      <c r="G372" s="149">
        <v>400</v>
      </c>
      <c r="H372" s="179"/>
      <c r="I372" s="149" t="s">
        <v>902</v>
      </c>
      <c r="J372" s="153">
        <f t="shared" si="5"/>
        <v>-400</v>
      </c>
      <c r="K372" s="149"/>
    </row>
    <row r="373" spans="1:11" x14ac:dyDescent="0.2">
      <c r="A373" s="182" t="s">
        <v>610</v>
      </c>
      <c r="B373" s="175">
        <v>4023</v>
      </c>
      <c r="C373" s="170" t="s">
        <v>92</v>
      </c>
      <c r="D373" s="149"/>
      <c r="E373" s="179" t="s">
        <v>901</v>
      </c>
      <c r="F373" s="179"/>
      <c r="G373" s="149">
        <v>3395</v>
      </c>
      <c r="H373" s="179"/>
      <c r="I373" s="149" t="s">
        <v>902</v>
      </c>
      <c r="J373" s="153">
        <f t="shared" si="5"/>
        <v>-3395</v>
      </c>
      <c r="K373" s="149"/>
    </row>
    <row r="374" spans="1:11" x14ac:dyDescent="0.2">
      <c r="A374" s="182" t="s">
        <v>610</v>
      </c>
      <c r="B374" s="175">
        <v>4024</v>
      </c>
      <c r="C374" s="170" t="s">
        <v>905</v>
      </c>
      <c r="D374" s="149"/>
      <c r="E374" s="179" t="s">
        <v>901</v>
      </c>
      <c r="F374" s="179"/>
      <c r="G374" s="149">
        <v>7000</v>
      </c>
      <c r="H374" s="179"/>
      <c r="I374" s="149" t="s">
        <v>943</v>
      </c>
      <c r="J374" s="153">
        <f t="shared" si="5"/>
        <v>-7000</v>
      </c>
      <c r="K374" s="149" t="s">
        <v>944</v>
      </c>
    </row>
    <row r="375" spans="1:11" x14ac:dyDescent="0.2">
      <c r="A375" s="182" t="s">
        <v>610</v>
      </c>
      <c r="B375" s="175">
        <v>6454</v>
      </c>
      <c r="C375" s="170" t="s">
        <v>100</v>
      </c>
      <c r="D375" s="149"/>
      <c r="E375" s="179" t="s">
        <v>901</v>
      </c>
      <c r="F375" s="179"/>
      <c r="G375" s="149">
        <v>350</v>
      </c>
      <c r="H375" s="179"/>
      <c r="I375" s="149" t="s">
        <v>902</v>
      </c>
      <c r="J375" s="153">
        <f t="shared" si="5"/>
        <v>-350</v>
      </c>
      <c r="K375" s="149"/>
    </row>
    <row r="376" spans="1:11" x14ac:dyDescent="0.2">
      <c r="A376" s="182" t="s">
        <v>610</v>
      </c>
      <c r="B376" s="175"/>
      <c r="C376" s="170" t="s">
        <v>945</v>
      </c>
      <c r="D376" s="149"/>
      <c r="E376" s="179" t="s">
        <v>946</v>
      </c>
      <c r="F376" s="179"/>
      <c r="G376" s="149"/>
      <c r="H376" s="179">
        <v>5000</v>
      </c>
      <c r="I376" s="149" t="s">
        <v>902</v>
      </c>
      <c r="J376" s="153">
        <f t="shared" si="5"/>
        <v>5000</v>
      </c>
      <c r="K376" s="149"/>
    </row>
    <row r="377" spans="1:11" x14ac:dyDescent="0.2">
      <c r="A377" s="182" t="s">
        <v>610</v>
      </c>
      <c r="B377" s="175"/>
      <c r="C377" s="170" t="s">
        <v>947</v>
      </c>
      <c r="D377" s="149"/>
      <c r="E377" s="179" t="s">
        <v>946</v>
      </c>
      <c r="F377" s="179"/>
      <c r="G377" s="149"/>
      <c r="H377" s="179">
        <v>7105</v>
      </c>
      <c r="I377" s="149" t="s">
        <v>902</v>
      </c>
      <c r="J377" s="153">
        <f t="shared" si="5"/>
        <v>7105</v>
      </c>
      <c r="K377" s="149"/>
    </row>
    <row r="378" spans="1:11" x14ac:dyDescent="0.2">
      <c r="A378" s="182" t="s">
        <v>610</v>
      </c>
      <c r="B378" s="175"/>
      <c r="C378" s="170" t="s">
        <v>948</v>
      </c>
      <c r="D378" s="149"/>
      <c r="E378" s="179" t="s">
        <v>946</v>
      </c>
      <c r="F378" s="179"/>
      <c r="G378" s="149"/>
      <c r="H378" s="179">
        <v>540</v>
      </c>
      <c r="I378" s="149" t="s">
        <v>902</v>
      </c>
      <c r="J378" s="153">
        <f t="shared" si="5"/>
        <v>540</v>
      </c>
      <c r="K378" s="149"/>
    </row>
    <row r="379" spans="1:11" x14ac:dyDescent="0.2">
      <c r="A379" s="182" t="s">
        <v>633</v>
      </c>
      <c r="B379" s="175">
        <v>4025</v>
      </c>
      <c r="C379" s="170" t="s">
        <v>900</v>
      </c>
      <c r="D379" s="149"/>
      <c r="E379" s="179" t="s">
        <v>901</v>
      </c>
      <c r="F379" s="179"/>
      <c r="G379" s="149">
        <v>5180</v>
      </c>
      <c r="H379" s="179"/>
      <c r="I379" s="149" t="s">
        <v>902</v>
      </c>
      <c r="J379" s="153">
        <f t="shared" si="5"/>
        <v>-5180</v>
      </c>
      <c r="K379" s="149"/>
    </row>
    <row r="380" spans="1:11" x14ac:dyDescent="0.2">
      <c r="A380" s="182" t="s">
        <v>633</v>
      </c>
      <c r="B380" s="175">
        <v>4026</v>
      </c>
      <c r="C380" s="170" t="s">
        <v>903</v>
      </c>
      <c r="D380" s="149"/>
      <c r="E380" s="179" t="s">
        <v>901</v>
      </c>
      <c r="F380" s="179"/>
      <c r="G380" s="149">
        <v>1700</v>
      </c>
      <c r="H380" s="179"/>
      <c r="I380" s="149" t="s">
        <v>902</v>
      </c>
      <c r="J380" s="153">
        <f t="shared" si="5"/>
        <v>-1700</v>
      </c>
      <c r="K380" s="149"/>
    </row>
    <row r="381" spans="1:11" x14ac:dyDescent="0.2">
      <c r="A381" s="182" t="s">
        <v>633</v>
      </c>
      <c r="B381" s="175">
        <v>4027</v>
      </c>
      <c r="C381" s="170" t="s">
        <v>910</v>
      </c>
      <c r="D381" s="149"/>
      <c r="E381" s="179" t="s">
        <v>901</v>
      </c>
      <c r="F381" s="179"/>
      <c r="G381" s="149">
        <v>1275</v>
      </c>
      <c r="H381" s="179"/>
      <c r="I381" s="149" t="s">
        <v>902</v>
      </c>
      <c r="J381" s="153">
        <f t="shared" si="5"/>
        <v>-1275</v>
      </c>
      <c r="K381" s="149"/>
    </row>
    <row r="382" spans="1:11" x14ac:dyDescent="0.2">
      <c r="A382" s="182" t="s">
        <v>633</v>
      </c>
      <c r="B382" s="175">
        <v>4028</v>
      </c>
      <c r="C382" s="170" t="s">
        <v>905</v>
      </c>
      <c r="D382" s="149"/>
      <c r="E382" s="179" t="s">
        <v>901</v>
      </c>
      <c r="F382" s="179"/>
      <c r="G382" s="149">
        <v>7700</v>
      </c>
      <c r="H382" s="179"/>
      <c r="I382" s="149" t="s">
        <v>902</v>
      </c>
      <c r="J382" s="153">
        <f t="shared" si="5"/>
        <v>-7700</v>
      </c>
      <c r="K382" s="149"/>
    </row>
    <row r="383" spans="1:11" x14ac:dyDescent="0.2">
      <c r="A383" s="182" t="s">
        <v>633</v>
      </c>
      <c r="B383" s="175">
        <v>4029</v>
      </c>
      <c r="C383" s="170" t="s">
        <v>909</v>
      </c>
      <c r="D383" s="149"/>
      <c r="E383" s="179" t="s">
        <v>901</v>
      </c>
      <c r="F383" s="179"/>
      <c r="G383" s="149">
        <v>425</v>
      </c>
      <c r="H383" s="179"/>
      <c r="I383" s="149" t="s">
        <v>902</v>
      </c>
      <c r="J383" s="153">
        <f t="shared" si="5"/>
        <v>-425</v>
      </c>
      <c r="K383" s="149"/>
    </row>
    <row r="384" spans="1:11" x14ac:dyDescent="0.2">
      <c r="A384" s="182" t="s">
        <v>633</v>
      </c>
      <c r="B384" s="175">
        <v>4030</v>
      </c>
      <c r="C384" s="170" t="s">
        <v>904</v>
      </c>
      <c r="D384" s="149"/>
      <c r="E384" s="179" t="s">
        <v>901</v>
      </c>
      <c r="F384" s="179"/>
      <c r="G384" s="149">
        <v>1700</v>
      </c>
      <c r="H384" s="179"/>
      <c r="I384" s="149" t="s">
        <v>902</v>
      </c>
      <c r="J384" s="153">
        <f t="shared" si="5"/>
        <v>-1700</v>
      </c>
      <c r="K384" s="149"/>
    </row>
    <row r="385" spans="1:11" x14ac:dyDescent="0.2">
      <c r="A385" s="182" t="s">
        <v>633</v>
      </c>
      <c r="B385" s="175">
        <v>4031</v>
      </c>
      <c r="C385" s="170" t="s">
        <v>908</v>
      </c>
      <c r="D385" s="149"/>
      <c r="E385" s="179" t="s">
        <v>901</v>
      </c>
      <c r="F385" s="179"/>
      <c r="G385" s="149">
        <v>680</v>
      </c>
      <c r="H385" s="179"/>
      <c r="I385" s="149" t="s">
        <v>902</v>
      </c>
      <c r="J385" s="153">
        <f t="shared" si="5"/>
        <v>-680</v>
      </c>
      <c r="K385" s="149"/>
    </row>
    <row r="386" spans="1:11" x14ac:dyDescent="0.2">
      <c r="A386" s="182" t="s">
        <v>633</v>
      </c>
      <c r="B386" s="175">
        <v>4032</v>
      </c>
      <c r="C386" s="170" t="s">
        <v>907</v>
      </c>
      <c r="D386" s="149"/>
      <c r="E386" s="179" t="s">
        <v>901</v>
      </c>
      <c r="F386" s="179"/>
      <c r="G386" s="149">
        <v>1360</v>
      </c>
      <c r="H386" s="179"/>
      <c r="I386" s="149" t="s">
        <v>902</v>
      </c>
      <c r="J386" s="153">
        <f t="shared" si="5"/>
        <v>-1360</v>
      </c>
      <c r="K386" s="149"/>
    </row>
    <row r="387" spans="1:11" x14ac:dyDescent="0.2">
      <c r="A387" s="182" t="s">
        <v>633</v>
      </c>
      <c r="B387" s="175">
        <v>4033</v>
      </c>
      <c r="C387" s="170" t="s">
        <v>906</v>
      </c>
      <c r="D387" s="149"/>
      <c r="E387" s="179" t="s">
        <v>901</v>
      </c>
      <c r="F387" s="179"/>
      <c r="G387" s="149">
        <v>1020</v>
      </c>
      <c r="H387" s="179"/>
      <c r="I387" s="149" t="s">
        <v>902</v>
      </c>
      <c r="J387" s="153">
        <f t="shared" si="5"/>
        <v>-1020</v>
      </c>
      <c r="K387" s="149"/>
    </row>
    <row r="388" spans="1:11" x14ac:dyDescent="0.2">
      <c r="A388" s="182" t="s">
        <v>633</v>
      </c>
      <c r="B388" s="175">
        <v>4034</v>
      </c>
      <c r="C388" s="170" t="s">
        <v>92</v>
      </c>
      <c r="D388" s="149"/>
      <c r="E388" s="179" t="s">
        <v>901</v>
      </c>
      <c r="F388" s="179"/>
      <c r="G388" s="149">
        <v>2850</v>
      </c>
      <c r="H388" s="179"/>
      <c r="I388" s="149" t="s">
        <v>902</v>
      </c>
      <c r="J388" s="153">
        <f t="shared" si="5"/>
        <v>-2850</v>
      </c>
      <c r="K388" s="149"/>
    </row>
    <row r="389" spans="1:11" x14ac:dyDescent="0.2">
      <c r="A389" s="182" t="s">
        <v>633</v>
      </c>
      <c r="B389" s="175">
        <v>4035</v>
      </c>
      <c r="C389" s="170" t="s">
        <v>911</v>
      </c>
      <c r="D389" s="149"/>
      <c r="E389" s="179" t="s">
        <v>901</v>
      </c>
      <c r="F389" s="179"/>
      <c r="G389" s="149">
        <v>430</v>
      </c>
      <c r="H389" s="179"/>
      <c r="I389" s="149" t="s">
        <v>902</v>
      </c>
      <c r="J389" s="153">
        <f t="shared" si="5"/>
        <v>-430</v>
      </c>
      <c r="K389" s="149"/>
    </row>
    <row r="390" spans="1:11" x14ac:dyDescent="0.2">
      <c r="A390" s="182" t="s">
        <v>633</v>
      </c>
      <c r="B390" s="175">
        <v>6455</v>
      </c>
      <c r="C390" s="170" t="s">
        <v>100</v>
      </c>
      <c r="D390" s="149"/>
      <c r="E390" s="179" t="s">
        <v>901</v>
      </c>
      <c r="F390" s="179"/>
      <c r="G390" s="149">
        <v>600</v>
      </c>
      <c r="H390" s="179"/>
      <c r="I390" s="149" t="s">
        <v>902</v>
      </c>
      <c r="J390" s="153">
        <f t="shared" si="5"/>
        <v>-600</v>
      </c>
      <c r="K390" s="149"/>
    </row>
    <row r="391" spans="1:11" x14ac:dyDescent="0.2">
      <c r="A391" s="182" t="s">
        <v>633</v>
      </c>
      <c r="B391" s="175"/>
      <c r="C391" s="170" t="s">
        <v>949</v>
      </c>
      <c r="D391" s="149"/>
      <c r="E391" s="179" t="s">
        <v>950</v>
      </c>
      <c r="F391" s="179"/>
      <c r="G391" s="149"/>
      <c r="H391" s="179">
        <v>1000</v>
      </c>
      <c r="I391" s="149" t="s">
        <v>902</v>
      </c>
      <c r="J391" s="153">
        <f t="shared" si="5"/>
        <v>1000</v>
      </c>
      <c r="K391" s="149"/>
    </row>
    <row r="392" spans="1:11" x14ac:dyDescent="0.2">
      <c r="A392" s="182" t="s">
        <v>633</v>
      </c>
      <c r="B392" s="175"/>
      <c r="C392" s="170" t="s">
        <v>948</v>
      </c>
      <c r="D392" s="149"/>
      <c r="E392" s="179" t="s">
        <v>946</v>
      </c>
      <c r="F392" s="179"/>
      <c r="G392" s="149"/>
      <c r="H392" s="179">
        <f>200+240</f>
        <v>440</v>
      </c>
      <c r="I392" s="149" t="s">
        <v>902</v>
      </c>
      <c r="J392" s="153">
        <f t="shared" si="5"/>
        <v>440</v>
      </c>
      <c r="K392" s="149"/>
    </row>
    <row r="393" spans="1:11" x14ac:dyDescent="0.2">
      <c r="A393" s="182" t="s">
        <v>633</v>
      </c>
      <c r="B393" s="175"/>
      <c r="C393" s="170" t="s">
        <v>350</v>
      </c>
      <c r="D393" s="149"/>
      <c r="E393" s="179" t="s">
        <v>946</v>
      </c>
      <c r="F393" s="179"/>
      <c r="G393" s="149"/>
      <c r="H393" s="179">
        <v>8410</v>
      </c>
      <c r="I393" s="149" t="s">
        <v>902</v>
      </c>
      <c r="J393" s="153">
        <f t="shared" si="5"/>
        <v>8410</v>
      </c>
      <c r="K393" s="149"/>
    </row>
    <row r="394" spans="1:11" x14ac:dyDescent="0.2">
      <c r="A394" s="182" t="s">
        <v>652</v>
      </c>
      <c r="B394" s="175">
        <v>4036</v>
      </c>
      <c r="C394" s="170" t="s">
        <v>900</v>
      </c>
      <c r="D394" s="149"/>
      <c r="E394" s="179" t="s">
        <v>901</v>
      </c>
      <c r="F394" s="179"/>
      <c r="G394" s="149">
        <v>5100</v>
      </c>
      <c r="H394" s="179"/>
      <c r="I394" s="149" t="s">
        <v>902</v>
      </c>
      <c r="J394" s="153">
        <f t="shared" si="5"/>
        <v>-5100</v>
      </c>
      <c r="K394" s="149"/>
    </row>
    <row r="395" spans="1:11" x14ac:dyDescent="0.2">
      <c r="A395" s="182" t="s">
        <v>652</v>
      </c>
      <c r="B395" s="175">
        <v>4037</v>
      </c>
      <c r="C395" s="170" t="s">
        <v>903</v>
      </c>
      <c r="D395" s="149"/>
      <c r="E395" s="179" t="s">
        <v>901</v>
      </c>
      <c r="F395" s="179"/>
      <c r="G395" s="149">
        <v>5100</v>
      </c>
      <c r="H395" s="179"/>
      <c r="I395" s="149" t="s">
        <v>902</v>
      </c>
      <c r="J395" s="153">
        <f t="shared" si="5"/>
        <v>-5100</v>
      </c>
      <c r="K395" s="149"/>
    </row>
    <row r="396" spans="1:11" x14ac:dyDescent="0.2">
      <c r="A396" s="182" t="s">
        <v>652</v>
      </c>
      <c r="B396" s="175">
        <v>4038</v>
      </c>
      <c r="C396" s="170" t="s">
        <v>910</v>
      </c>
      <c r="D396" s="149"/>
      <c r="E396" s="179" t="s">
        <v>901</v>
      </c>
      <c r="F396" s="179"/>
      <c r="G396" s="149">
        <v>1275</v>
      </c>
      <c r="H396" s="179"/>
      <c r="I396" s="149" t="s">
        <v>902</v>
      </c>
      <c r="J396" s="153">
        <f t="shared" si="5"/>
        <v>-1275</v>
      </c>
      <c r="K396" s="149"/>
    </row>
    <row r="397" spans="1:11" x14ac:dyDescent="0.2">
      <c r="A397" s="182" t="s">
        <v>652</v>
      </c>
      <c r="B397" s="175">
        <v>4039</v>
      </c>
      <c r="C397" s="170" t="s">
        <v>905</v>
      </c>
      <c r="D397" s="149"/>
      <c r="E397" s="179" t="s">
        <v>901</v>
      </c>
      <c r="F397" s="179"/>
      <c r="G397" s="149">
        <v>5500</v>
      </c>
      <c r="H397" s="179"/>
      <c r="I397" s="149" t="s">
        <v>902</v>
      </c>
      <c r="J397" s="153">
        <f t="shared" si="5"/>
        <v>-5500</v>
      </c>
      <c r="K397" s="149"/>
    </row>
    <row r="398" spans="1:11" x14ac:dyDescent="0.2">
      <c r="A398" s="182" t="s">
        <v>652</v>
      </c>
      <c r="B398" s="175">
        <v>4040</v>
      </c>
      <c r="C398" s="170" t="s">
        <v>909</v>
      </c>
      <c r="D398" s="149"/>
      <c r="E398" s="179" t="s">
        <v>901</v>
      </c>
      <c r="F398" s="179"/>
      <c r="G398" s="149">
        <v>425</v>
      </c>
      <c r="H398" s="179"/>
      <c r="I398" s="149" t="s">
        <v>902</v>
      </c>
      <c r="J398" s="153">
        <f t="shared" si="5"/>
        <v>-425</v>
      </c>
      <c r="K398" s="149"/>
    </row>
    <row r="399" spans="1:11" x14ac:dyDescent="0.2">
      <c r="A399" s="182" t="s">
        <v>652</v>
      </c>
      <c r="B399" s="175">
        <v>4041</v>
      </c>
      <c r="C399" s="170" t="s">
        <v>904</v>
      </c>
      <c r="D399" s="149"/>
      <c r="E399" s="179" t="s">
        <v>901</v>
      </c>
      <c r="F399" s="179"/>
      <c r="G399" s="149">
        <v>2125</v>
      </c>
      <c r="H399" s="179"/>
      <c r="I399" s="149" t="s">
        <v>902</v>
      </c>
      <c r="J399" s="153">
        <f t="shared" si="5"/>
        <v>-2125</v>
      </c>
      <c r="K399" s="149"/>
    </row>
    <row r="400" spans="1:11" x14ac:dyDescent="0.2">
      <c r="A400" s="182" t="s">
        <v>652</v>
      </c>
      <c r="B400" s="175">
        <v>4042</v>
      </c>
      <c r="C400" s="170" t="s">
        <v>908</v>
      </c>
      <c r="D400" s="149"/>
      <c r="E400" s="179" t="s">
        <v>901</v>
      </c>
      <c r="F400" s="179"/>
      <c r="G400" s="149">
        <v>680</v>
      </c>
      <c r="H400" s="179"/>
      <c r="I400" s="149" t="s">
        <v>902</v>
      </c>
      <c r="J400" s="153">
        <f t="shared" si="5"/>
        <v>-680</v>
      </c>
      <c r="K400" s="149"/>
    </row>
    <row r="401" spans="1:11" x14ac:dyDescent="0.2">
      <c r="A401" s="182" t="s">
        <v>652</v>
      </c>
      <c r="B401" s="175">
        <v>4043</v>
      </c>
      <c r="C401" s="170" t="s">
        <v>907</v>
      </c>
      <c r="D401" s="149"/>
      <c r="E401" s="179" t="s">
        <v>901</v>
      </c>
      <c r="F401" s="179"/>
      <c r="G401" s="149">
        <v>1020</v>
      </c>
      <c r="H401" s="179"/>
      <c r="I401" s="149" t="s">
        <v>902</v>
      </c>
      <c r="J401" s="153">
        <f t="shared" si="5"/>
        <v>-1020</v>
      </c>
      <c r="K401" s="149"/>
    </row>
    <row r="402" spans="1:11" x14ac:dyDescent="0.2">
      <c r="A402" s="182" t="s">
        <v>652</v>
      </c>
      <c r="B402" s="175">
        <v>4044</v>
      </c>
      <c r="C402" s="170" t="s">
        <v>119</v>
      </c>
      <c r="D402" s="149"/>
      <c r="E402" s="179" t="s">
        <v>901</v>
      </c>
      <c r="F402" s="179"/>
      <c r="G402" s="149">
        <v>2975</v>
      </c>
      <c r="H402" s="179"/>
      <c r="I402" s="149" t="s">
        <v>902</v>
      </c>
      <c r="J402" s="153">
        <f t="shared" si="5"/>
        <v>-2975</v>
      </c>
      <c r="K402" s="149"/>
    </row>
    <row r="403" spans="1:11" x14ac:dyDescent="0.2">
      <c r="A403" s="182" t="s">
        <v>652</v>
      </c>
      <c r="B403" s="175">
        <v>4045</v>
      </c>
      <c r="C403" s="170" t="s">
        <v>92</v>
      </c>
      <c r="D403" s="149"/>
      <c r="E403" s="179" t="s">
        <v>901</v>
      </c>
      <c r="F403" s="179"/>
      <c r="G403" s="149">
        <v>3395</v>
      </c>
      <c r="H403" s="179"/>
      <c r="I403" s="149" t="s">
        <v>902</v>
      </c>
      <c r="J403" s="153">
        <f t="shared" si="5"/>
        <v>-3395</v>
      </c>
      <c r="K403" s="149"/>
    </row>
    <row r="404" spans="1:11" x14ac:dyDescent="0.2">
      <c r="A404" s="182" t="s">
        <v>652</v>
      </c>
      <c r="B404" s="175">
        <v>4046</v>
      </c>
      <c r="C404" s="170" t="s">
        <v>94</v>
      </c>
      <c r="D404" s="149"/>
      <c r="E404" s="179" t="s">
        <v>901</v>
      </c>
      <c r="F404" s="179"/>
      <c r="G404" s="149">
        <v>10000</v>
      </c>
      <c r="H404" s="179"/>
      <c r="I404" s="149" t="s">
        <v>902</v>
      </c>
      <c r="J404" s="153">
        <f t="shared" si="5"/>
        <v>-10000</v>
      </c>
      <c r="K404" s="149"/>
    </row>
    <row r="405" spans="1:11" x14ac:dyDescent="0.2">
      <c r="A405" s="182" t="s">
        <v>652</v>
      </c>
      <c r="B405" s="175">
        <v>4047</v>
      </c>
      <c r="C405" s="170" t="s">
        <v>214</v>
      </c>
      <c r="D405" s="149"/>
      <c r="E405" s="179" t="s">
        <v>901</v>
      </c>
      <c r="F405" s="179"/>
      <c r="G405" s="149">
        <v>400</v>
      </c>
      <c r="H405" s="179"/>
      <c r="I405" s="149" t="s">
        <v>902</v>
      </c>
      <c r="J405" s="153">
        <f t="shared" si="5"/>
        <v>-400</v>
      </c>
      <c r="K405" s="149"/>
    </row>
    <row r="406" spans="1:11" x14ac:dyDescent="0.2">
      <c r="A406" s="182" t="s">
        <v>652</v>
      </c>
      <c r="B406" s="175">
        <v>6456</v>
      </c>
      <c r="C406" s="170" t="s">
        <v>100</v>
      </c>
      <c r="D406" s="149"/>
      <c r="E406" s="179" t="s">
        <v>901</v>
      </c>
      <c r="F406" s="179"/>
      <c r="G406" s="149">
        <v>1675</v>
      </c>
      <c r="H406" s="179"/>
      <c r="I406" s="149" t="s">
        <v>902</v>
      </c>
      <c r="J406" s="153">
        <f t="shared" si="5"/>
        <v>-1675</v>
      </c>
      <c r="K406" s="149"/>
    </row>
    <row r="407" spans="1:11" x14ac:dyDescent="0.2">
      <c r="A407" s="182" t="s">
        <v>652</v>
      </c>
      <c r="B407" s="175">
        <v>6457</v>
      </c>
      <c r="C407" s="170" t="s">
        <v>100</v>
      </c>
      <c r="D407" s="149"/>
      <c r="E407" s="179" t="s">
        <v>901</v>
      </c>
      <c r="F407" s="179"/>
      <c r="G407" s="149">
        <v>2100</v>
      </c>
      <c r="H407" s="179"/>
      <c r="I407" s="149" t="s">
        <v>902</v>
      </c>
      <c r="J407" s="153">
        <f t="shared" si="5"/>
        <v>-2100</v>
      </c>
      <c r="K407" s="149"/>
    </row>
    <row r="408" spans="1:11" x14ac:dyDescent="0.2">
      <c r="A408" s="182" t="s">
        <v>670</v>
      </c>
      <c r="B408" s="175">
        <v>4048</v>
      </c>
      <c r="C408" s="170" t="s">
        <v>904</v>
      </c>
      <c r="D408" s="149"/>
      <c r="E408" s="179" t="s">
        <v>901</v>
      </c>
      <c r="F408" s="179"/>
      <c r="G408" s="149">
        <v>1700</v>
      </c>
      <c r="H408" s="179"/>
      <c r="I408" s="149" t="s">
        <v>902</v>
      </c>
      <c r="J408" s="153">
        <f t="shared" si="5"/>
        <v>-1700</v>
      </c>
      <c r="K408" s="149"/>
    </row>
    <row r="409" spans="1:11" x14ac:dyDescent="0.2">
      <c r="A409" s="182" t="s">
        <v>670</v>
      </c>
      <c r="B409" s="175">
        <v>4049</v>
      </c>
      <c r="C409" s="170" t="s">
        <v>908</v>
      </c>
      <c r="D409" s="149"/>
      <c r="E409" s="179" t="s">
        <v>901</v>
      </c>
      <c r="F409" s="179"/>
      <c r="G409" s="149">
        <v>680</v>
      </c>
      <c r="H409" s="179"/>
      <c r="I409" s="149" t="s">
        <v>902</v>
      </c>
      <c r="J409" s="153">
        <f t="shared" ref="J409:J472" si="6">IF($C409="","",N($F409)-$G409+$H409)</f>
        <v>-680</v>
      </c>
      <c r="K409" s="149"/>
    </row>
    <row r="410" spans="1:11" x14ac:dyDescent="0.2">
      <c r="A410" s="182" t="s">
        <v>670</v>
      </c>
      <c r="B410" s="175">
        <v>4050</v>
      </c>
      <c r="C410" s="170" t="s">
        <v>406</v>
      </c>
      <c r="D410" s="149"/>
      <c r="E410" s="179" t="s">
        <v>901</v>
      </c>
      <c r="F410" s="179"/>
      <c r="G410" s="149">
        <v>0</v>
      </c>
      <c r="H410" s="179"/>
      <c r="I410" s="149" t="s">
        <v>902</v>
      </c>
      <c r="J410" s="153">
        <f t="shared" si="6"/>
        <v>0</v>
      </c>
      <c r="K410" s="149"/>
    </row>
    <row r="411" spans="1:11" x14ac:dyDescent="0.2">
      <c r="A411" s="182" t="s">
        <v>670</v>
      </c>
      <c r="B411" s="175">
        <v>4051</v>
      </c>
      <c r="C411" s="170" t="s">
        <v>900</v>
      </c>
      <c r="D411" s="149"/>
      <c r="E411" s="179" t="s">
        <v>901</v>
      </c>
      <c r="F411" s="179"/>
      <c r="G411" s="149">
        <v>5260</v>
      </c>
      <c r="H411" s="179"/>
      <c r="I411" s="149" t="s">
        <v>902</v>
      </c>
      <c r="J411" s="153">
        <f t="shared" si="6"/>
        <v>-5260</v>
      </c>
      <c r="K411" s="149"/>
    </row>
    <row r="412" spans="1:11" x14ac:dyDescent="0.2">
      <c r="A412" s="182" t="s">
        <v>670</v>
      </c>
      <c r="B412" s="175">
        <v>4052</v>
      </c>
      <c r="C412" s="170" t="s">
        <v>903</v>
      </c>
      <c r="D412" s="149"/>
      <c r="E412" s="179" t="s">
        <v>901</v>
      </c>
      <c r="F412" s="179"/>
      <c r="G412" s="149">
        <v>5100</v>
      </c>
      <c r="H412" s="179"/>
      <c r="I412" s="149" t="s">
        <v>902</v>
      </c>
      <c r="J412" s="153">
        <f t="shared" si="6"/>
        <v>-5100</v>
      </c>
      <c r="K412" s="149"/>
    </row>
    <row r="413" spans="1:11" x14ac:dyDescent="0.2">
      <c r="A413" s="182" t="s">
        <v>670</v>
      </c>
      <c r="B413" s="175">
        <v>4053</v>
      </c>
      <c r="C413" s="170" t="s">
        <v>910</v>
      </c>
      <c r="D413" s="149"/>
      <c r="E413" s="179" t="s">
        <v>901</v>
      </c>
      <c r="F413" s="179"/>
      <c r="G413" s="149">
        <v>1275</v>
      </c>
      <c r="H413" s="179"/>
      <c r="I413" s="149" t="s">
        <v>902</v>
      </c>
      <c r="J413" s="153">
        <f t="shared" si="6"/>
        <v>-1275</v>
      </c>
      <c r="K413" s="149"/>
    </row>
    <row r="414" spans="1:11" x14ac:dyDescent="0.2">
      <c r="A414" s="182" t="s">
        <v>670</v>
      </c>
      <c r="B414" s="175">
        <v>4054</v>
      </c>
      <c r="C414" s="170" t="s">
        <v>909</v>
      </c>
      <c r="D414" s="149"/>
      <c r="E414" s="179" t="s">
        <v>901</v>
      </c>
      <c r="F414" s="179"/>
      <c r="G414" s="149">
        <v>425</v>
      </c>
      <c r="H414" s="179"/>
      <c r="I414" s="149" t="s">
        <v>902</v>
      </c>
      <c r="J414" s="153">
        <f t="shared" si="6"/>
        <v>-425</v>
      </c>
      <c r="K414" s="149"/>
    </row>
    <row r="415" spans="1:11" x14ac:dyDescent="0.2">
      <c r="A415" s="182" t="s">
        <v>670</v>
      </c>
      <c r="B415" s="175">
        <v>4055</v>
      </c>
      <c r="C415" s="170" t="s">
        <v>905</v>
      </c>
      <c r="D415" s="149"/>
      <c r="E415" s="179" t="s">
        <v>901</v>
      </c>
      <c r="F415" s="179"/>
      <c r="G415" s="149">
        <v>7900</v>
      </c>
      <c r="H415" s="179"/>
      <c r="I415" s="149" t="s">
        <v>902</v>
      </c>
      <c r="J415" s="153">
        <f t="shared" si="6"/>
        <v>-7900</v>
      </c>
      <c r="K415" s="149"/>
    </row>
    <row r="416" spans="1:11" x14ac:dyDescent="0.2">
      <c r="A416" s="182" t="s">
        <v>670</v>
      </c>
      <c r="B416" s="175">
        <v>4056</v>
      </c>
      <c r="C416" s="170" t="s">
        <v>907</v>
      </c>
      <c r="D416" s="149"/>
      <c r="E416" s="179" t="s">
        <v>901</v>
      </c>
      <c r="F416" s="179"/>
      <c r="G416" s="149">
        <v>1020</v>
      </c>
      <c r="H416" s="179"/>
      <c r="I416" s="149" t="s">
        <v>902</v>
      </c>
      <c r="J416" s="153">
        <f t="shared" si="6"/>
        <v>-1020</v>
      </c>
      <c r="K416" s="149"/>
    </row>
    <row r="417" spans="1:11" x14ac:dyDescent="0.2">
      <c r="A417" s="182" t="s">
        <v>670</v>
      </c>
      <c r="B417" s="175">
        <v>4057</v>
      </c>
      <c r="C417" s="170" t="s">
        <v>92</v>
      </c>
      <c r="D417" s="149"/>
      <c r="E417" s="179" t="s">
        <v>901</v>
      </c>
      <c r="F417" s="179"/>
      <c r="G417" s="149">
        <v>2375</v>
      </c>
      <c r="H417" s="179"/>
      <c r="I417" s="149" t="s">
        <v>902</v>
      </c>
      <c r="J417" s="153">
        <f t="shared" si="6"/>
        <v>-2375</v>
      </c>
      <c r="K417" s="149"/>
    </row>
    <row r="418" spans="1:11" x14ac:dyDescent="0.2">
      <c r="A418" s="182" t="s">
        <v>670</v>
      </c>
      <c r="B418" s="175">
        <v>4058</v>
      </c>
      <c r="C418" s="170" t="s">
        <v>951</v>
      </c>
      <c r="D418" s="149"/>
      <c r="E418" s="179" t="s">
        <v>901</v>
      </c>
      <c r="F418" s="179"/>
      <c r="G418" s="149">
        <v>850</v>
      </c>
      <c r="H418" s="179"/>
      <c r="I418" s="149" t="s">
        <v>902</v>
      </c>
      <c r="J418" s="153">
        <f t="shared" si="6"/>
        <v>-850</v>
      </c>
      <c r="K418" s="149"/>
    </row>
    <row r="419" spans="1:11" x14ac:dyDescent="0.2">
      <c r="A419" s="182" t="s">
        <v>670</v>
      </c>
      <c r="B419" s="175">
        <v>4059</v>
      </c>
      <c r="C419" s="170" t="s">
        <v>952</v>
      </c>
      <c r="D419" s="149"/>
      <c r="E419" s="179" t="s">
        <v>901</v>
      </c>
      <c r="F419" s="179"/>
      <c r="G419" s="149">
        <v>170</v>
      </c>
      <c r="H419" s="179"/>
      <c r="I419" s="149" t="s">
        <v>902</v>
      </c>
      <c r="J419" s="153">
        <f t="shared" si="6"/>
        <v>-170</v>
      </c>
      <c r="K419" s="149"/>
    </row>
    <row r="420" spans="1:11" x14ac:dyDescent="0.2">
      <c r="A420" s="182" t="s">
        <v>670</v>
      </c>
      <c r="B420" s="175"/>
      <c r="C420" s="170" t="s">
        <v>948</v>
      </c>
      <c r="D420" s="149"/>
      <c r="E420" s="179" t="s">
        <v>946</v>
      </c>
      <c r="F420" s="179"/>
      <c r="G420" s="149">
        <v>0</v>
      </c>
      <c r="H420" s="179">
        <f>18000+1800</f>
        <v>19800</v>
      </c>
      <c r="I420" s="149" t="s">
        <v>902</v>
      </c>
      <c r="J420" s="153">
        <f t="shared" si="6"/>
        <v>19800</v>
      </c>
      <c r="K420" s="149" t="s">
        <v>953</v>
      </c>
    </row>
    <row r="421" spans="1:11" x14ac:dyDescent="0.2">
      <c r="A421" s="182" t="s">
        <v>670</v>
      </c>
      <c r="B421" s="175">
        <v>6458</v>
      </c>
      <c r="C421" s="170" t="s">
        <v>100</v>
      </c>
      <c r="D421" s="149"/>
      <c r="E421" s="179" t="s">
        <v>901</v>
      </c>
      <c r="F421" s="179"/>
      <c r="G421" s="149">
        <v>200</v>
      </c>
      <c r="H421" s="179"/>
      <c r="I421" s="149" t="s">
        <v>902</v>
      </c>
      <c r="J421" s="153">
        <f t="shared" si="6"/>
        <v>-200</v>
      </c>
      <c r="K421" s="149"/>
    </row>
    <row r="422" spans="1:11" x14ac:dyDescent="0.2">
      <c r="A422" s="182" t="s">
        <v>695</v>
      </c>
      <c r="B422" s="175">
        <v>4060</v>
      </c>
      <c r="C422" s="170" t="s">
        <v>900</v>
      </c>
      <c r="D422" s="149"/>
      <c r="E422" s="179" t="s">
        <v>901</v>
      </c>
      <c r="F422" s="179"/>
      <c r="G422" s="149">
        <v>8580</v>
      </c>
      <c r="H422" s="179"/>
      <c r="I422" s="149" t="s">
        <v>902</v>
      </c>
      <c r="J422" s="153">
        <f t="shared" si="6"/>
        <v>-8580</v>
      </c>
      <c r="K422" s="149"/>
    </row>
    <row r="423" spans="1:11" x14ac:dyDescent="0.2">
      <c r="A423" s="182" t="s">
        <v>695</v>
      </c>
      <c r="B423" s="175">
        <v>4061</v>
      </c>
      <c r="C423" s="170" t="s">
        <v>903</v>
      </c>
      <c r="D423" s="149"/>
      <c r="E423" s="179" t="s">
        <v>901</v>
      </c>
      <c r="F423" s="179"/>
      <c r="G423" s="149">
        <v>8500</v>
      </c>
      <c r="H423" s="179"/>
      <c r="I423" s="149" t="s">
        <v>902</v>
      </c>
      <c r="J423" s="153">
        <f t="shared" si="6"/>
        <v>-8500</v>
      </c>
      <c r="K423" s="149"/>
    </row>
    <row r="424" spans="1:11" x14ac:dyDescent="0.2">
      <c r="A424" s="182" t="s">
        <v>695</v>
      </c>
      <c r="B424" s="175">
        <v>4062</v>
      </c>
      <c r="C424" s="170" t="s">
        <v>910</v>
      </c>
      <c r="D424" s="149"/>
      <c r="E424" s="179" t="s">
        <v>901</v>
      </c>
      <c r="F424" s="179"/>
      <c r="G424" s="149">
        <v>1275</v>
      </c>
      <c r="H424" s="179"/>
      <c r="I424" s="149" t="s">
        <v>902</v>
      </c>
      <c r="J424" s="153">
        <f t="shared" si="6"/>
        <v>-1275</v>
      </c>
      <c r="K424" s="149"/>
    </row>
    <row r="425" spans="1:11" x14ac:dyDescent="0.2">
      <c r="A425" s="182" t="s">
        <v>695</v>
      </c>
      <c r="B425" s="175">
        <v>4063</v>
      </c>
      <c r="C425" s="170" t="s">
        <v>905</v>
      </c>
      <c r="D425" s="149"/>
      <c r="E425" s="179" t="s">
        <v>901</v>
      </c>
      <c r="F425" s="179"/>
      <c r="G425" s="149">
        <v>7000</v>
      </c>
      <c r="H425" s="179"/>
      <c r="I425" s="149" t="s">
        <v>902</v>
      </c>
      <c r="J425" s="153">
        <f t="shared" si="6"/>
        <v>-7000</v>
      </c>
      <c r="K425" s="149"/>
    </row>
    <row r="426" spans="1:11" x14ac:dyDescent="0.2">
      <c r="A426" s="182" t="s">
        <v>695</v>
      </c>
      <c r="B426" s="175">
        <v>4064</v>
      </c>
      <c r="C426" s="170" t="s">
        <v>909</v>
      </c>
      <c r="D426" s="149"/>
      <c r="E426" s="179" t="s">
        <v>901</v>
      </c>
      <c r="F426" s="179"/>
      <c r="G426" s="149">
        <v>425</v>
      </c>
      <c r="H426" s="179"/>
      <c r="I426" s="149" t="s">
        <v>902</v>
      </c>
      <c r="J426" s="153">
        <f t="shared" si="6"/>
        <v>-425</v>
      </c>
      <c r="K426" s="149"/>
    </row>
    <row r="427" spans="1:11" x14ac:dyDescent="0.2">
      <c r="A427" s="182" t="s">
        <v>695</v>
      </c>
      <c r="B427" s="175">
        <v>4065</v>
      </c>
      <c r="C427" s="170" t="s">
        <v>904</v>
      </c>
      <c r="D427" s="149"/>
      <c r="E427" s="179" t="s">
        <v>901</v>
      </c>
      <c r="F427" s="179"/>
      <c r="G427" s="149">
        <v>3400</v>
      </c>
      <c r="H427" s="179"/>
      <c r="I427" s="149" t="s">
        <v>902</v>
      </c>
      <c r="J427" s="153">
        <f t="shared" si="6"/>
        <v>-3400</v>
      </c>
      <c r="K427" s="149"/>
    </row>
    <row r="428" spans="1:11" x14ac:dyDescent="0.2">
      <c r="A428" s="182" t="s">
        <v>695</v>
      </c>
      <c r="B428" s="175">
        <v>4066</v>
      </c>
      <c r="C428" s="170" t="s">
        <v>908</v>
      </c>
      <c r="D428" s="149"/>
      <c r="E428" s="179" t="s">
        <v>901</v>
      </c>
      <c r="F428" s="179"/>
      <c r="G428" s="149">
        <v>850</v>
      </c>
      <c r="H428" s="179"/>
      <c r="I428" s="149" t="s">
        <v>902</v>
      </c>
      <c r="J428" s="153">
        <f t="shared" si="6"/>
        <v>-850</v>
      </c>
      <c r="K428" s="149"/>
    </row>
    <row r="429" spans="1:11" x14ac:dyDescent="0.2">
      <c r="A429" s="182" t="s">
        <v>695</v>
      </c>
      <c r="B429" s="175">
        <v>4067</v>
      </c>
      <c r="C429" s="170" t="s">
        <v>907</v>
      </c>
      <c r="D429" s="149"/>
      <c r="E429" s="179" t="s">
        <v>901</v>
      </c>
      <c r="F429" s="179"/>
      <c r="G429" s="149">
        <v>1360</v>
      </c>
      <c r="H429" s="179"/>
      <c r="I429" s="149" t="s">
        <v>902</v>
      </c>
      <c r="J429" s="153">
        <f t="shared" si="6"/>
        <v>-1360</v>
      </c>
      <c r="K429" s="149"/>
    </row>
    <row r="430" spans="1:11" x14ac:dyDescent="0.2">
      <c r="A430" s="182" t="s">
        <v>695</v>
      </c>
      <c r="B430" s="175">
        <v>4068</v>
      </c>
      <c r="C430" s="170" t="s">
        <v>76</v>
      </c>
      <c r="D430" s="149"/>
      <c r="E430" s="179" t="s">
        <v>901</v>
      </c>
      <c r="F430" s="179"/>
      <c r="G430" s="149">
        <v>1550</v>
      </c>
      <c r="H430" s="179"/>
      <c r="I430" s="149" t="s">
        <v>902</v>
      </c>
      <c r="J430" s="153">
        <f t="shared" si="6"/>
        <v>-1550</v>
      </c>
      <c r="K430" s="149"/>
    </row>
    <row r="431" spans="1:11" x14ac:dyDescent="0.2">
      <c r="A431" s="182" t="s">
        <v>695</v>
      </c>
      <c r="B431" s="175">
        <v>4069</v>
      </c>
      <c r="C431" s="170" t="s">
        <v>119</v>
      </c>
      <c r="D431" s="149"/>
      <c r="E431" s="179" t="s">
        <v>901</v>
      </c>
      <c r="F431" s="179"/>
      <c r="G431" s="149">
        <v>2975</v>
      </c>
      <c r="H431" s="179"/>
      <c r="I431" s="149" t="s">
        <v>902</v>
      </c>
      <c r="J431" s="153">
        <f t="shared" si="6"/>
        <v>-2975</v>
      </c>
      <c r="K431" s="149"/>
    </row>
    <row r="432" spans="1:11" x14ac:dyDescent="0.2">
      <c r="A432" s="182" t="s">
        <v>695</v>
      </c>
      <c r="B432" s="175">
        <v>4070</v>
      </c>
      <c r="C432" s="170" t="s">
        <v>92</v>
      </c>
      <c r="D432" s="149"/>
      <c r="E432" s="179" t="s">
        <v>901</v>
      </c>
      <c r="F432" s="179"/>
      <c r="G432" s="149">
        <v>3395</v>
      </c>
      <c r="H432" s="179"/>
      <c r="I432" s="149" t="s">
        <v>902</v>
      </c>
      <c r="J432" s="153">
        <f t="shared" si="6"/>
        <v>-3395</v>
      </c>
      <c r="K432" s="149"/>
    </row>
    <row r="433" spans="1:12" x14ac:dyDescent="0.2">
      <c r="A433" s="182" t="s">
        <v>695</v>
      </c>
      <c r="B433" s="175">
        <v>4071</v>
      </c>
      <c r="C433" s="170" t="s">
        <v>214</v>
      </c>
      <c r="D433" s="149"/>
      <c r="E433" s="179" t="s">
        <v>901</v>
      </c>
      <c r="F433" s="179"/>
      <c r="G433" s="149">
        <v>400</v>
      </c>
      <c r="H433" s="179"/>
      <c r="I433" s="149" t="s">
        <v>902</v>
      </c>
      <c r="J433" s="153">
        <f t="shared" si="6"/>
        <v>-400</v>
      </c>
      <c r="K433" s="149"/>
    </row>
    <row r="434" spans="1:12" x14ac:dyDescent="0.2">
      <c r="A434" s="182" t="s">
        <v>695</v>
      </c>
      <c r="B434" s="175">
        <v>6459</v>
      </c>
      <c r="C434" s="170" t="s">
        <v>100</v>
      </c>
      <c r="D434" s="149"/>
      <c r="E434" s="179" t="s">
        <v>901</v>
      </c>
      <c r="F434" s="179"/>
      <c r="G434" s="149">
        <v>5750</v>
      </c>
      <c r="H434" s="179"/>
      <c r="I434" s="149" t="s">
        <v>902</v>
      </c>
      <c r="J434" s="153">
        <f t="shared" si="6"/>
        <v>-5750</v>
      </c>
      <c r="K434" s="149"/>
      <c r="L434">
        <f>3400+200+50+200+175+150+1080+550</f>
        <v>5805</v>
      </c>
    </row>
    <row r="435" spans="1:12" x14ac:dyDescent="0.2">
      <c r="A435" s="182" t="s">
        <v>695</v>
      </c>
      <c r="B435" s="175">
        <v>6460</v>
      </c>
      <c r="C435" s="170" t="s">
        <v>100</v>
      </c>
      <c r="D435" s="149"/>
      <c r="E435" s="179" t="s">
        <v>901</v>
      </c>
      <c r="F435" s="179"/>
      <c r="G435" s="149">
        <v>1630</v>
      </c>
      <c r="H435" s="179"/>
      <c r="I435" s="149" t="s">
        <v>902</v>
      </c>
      <c r="J435" s="153">
        <f t="shared" si="6"/>
        <v>-1630</v>
      </c>
      <c r="K435" s="149"/>
      <c r="L435">
        <f>3400+200+50+200+175+150+1080+550</f>
        <v>5805</v>
      </c>
    </row>
    <row r="436" spans="1:12" x14ac:dyDescent="0.2">
      <c r="A436" s="182" t="s">
        <v>717</v>
      </c>
      <c r="B436" s="175">
        <v>4072</v>
      </c>
      <c r="C436" s="170" t="s">
        <v>900</v>
      </c>
      <c r="D436" s="149"/>
      <c r="E436" s="179" t="s">
        <v>901</v>
      </c>
      <c r="F436" s="179"/>
      <c r="G436" s="149">
        <v>5180</v>
      </c>
      <c r="H436" s="179"/>
      <c r="I436" s="149" t="s">
        <v>902</v>
      </c>
      <c r="J436" s="153">
        <f t="shared" si="6"/>
        <v>-5180</v>
      </c>
      <c r="K436" s="149"/>
    </row>
    <row r="437" spans="1:12" x14ac:dyDescent="0.2">
      <c r="A437" s="182" t="s">
        <v>717</v>
      </c>
      <c r="B437" s="175">
        <v>4073</v>
      </c>
      <c r="C437" s="170" t="s">
        <v>905</v>
      </c>
      <c r="D437" s="149"/>
      <c r="E437" s="179" t="s">
        <v>901</v>
      </c>
      <c r="F437" s="179"/>
      <c r="G437" s="149">
        <v>10000</v>
      </c>
      <c r="H437" s="179"/>
      <c r="I437" s="149" t="s">
        <v>902</v>
      </c>
      <c r="J437" s="153">
        <f t="shared" si="6"/>
        <v>-10000</v>
      </c>
      <c r="K437" s="149"/>
    </row>
    <row r="438" spans="1:12" x14ac:dyDescent="0.2">
      <c r="A438" s="182" t="s">
        <v>717</v>
      </c>
      <c r="B438" s="175">
        <v>4074</v>
      </c>
      <c r="C438" s="170" t="s">
        <v>903</v>
      </c>
      <c r="D438" s="149"/>
      <c r="E438" s="179" t="s">
        <v>901</v>
      </c>
      <c r="F438" s="179"/>
      <c r="G438" s="149">
        <v>2550</v>
      </c>
      <c r="H438" s="179"/>
      <c r="I438" s="149" t="s">
        <v>902</v>
      </c>
      <c r="J438" s="153">
        <f t="shared" si="6"/>
        <v>-2550</v>
      </c>
      <c r="K438" s="149"/>
    </row>
    <row r="439" spans="1:12" x14ac:dyDescent="0.2">
      <c r="A439" s="182" t="s">
        <v>717</v>
      </c>
      <c r="B439" s="175">
        <v>4075</v>
      </c>
      <c r="C439" s="170" t="s">
        <v>908</v>
      </c>
      <c r="D439" s="149"/>
      <c r="E439" s="179" t="s">
        <v>901</v>
      </c>
      <c r="F439" s="179"/>
      <c r="G439" s="149">
        <v>680</v>
      </c>
      <c r="H439" s="179"/>
      <c r="I439" s="149" t="s">
        <v>902</v>
      </c>
      <c r="J439" s="153">
        <f t="shared" si="6"/>
        <v>-680</v>
      </c>
      <c r="K439" s="149"/>
    </row>
    <row r="440" spans="1:12" x14ac:dyDescent="0.2">
      <c r="A440" s="182" t="s">
        <v>717</v>
      </c>
      <c r="B440" s="175">
        <v>4076</v>
      </c>
      <c r="C440" s="170" t="s">
        <v>906</v>
      </c>
      <c r="D440" s="149"/>
      <c r="E440" s="179" t="s">
        <v>901</v>
      </c>
      <c r="F440" s="179"/>
      <c r="G440" s="149">
        <v>425</v>
      </c>
      <c r="H440" s="179"/>
      <c r="I440" s="149" t="s">
        <v>902</v>
      </c>
      <c r="J440" s="153">
        <f t="shared" si="6"/>
        <v>-425</v>
      </c>
      <c r="K440" s="149"/>
    </row>
    <row r="441" spans="1:12" x14ac:dyDescent="0.2">
      <c r="A441" s="182" t="s">
        <v>717</v>
      </c>
      <c r="B441" s="175">
        <v>4077</v>
      </c>
      <c r="C441" s="170" t="s">
        <v>909</v>
      </c>
      <c r="D441" s="149"/>
      <c r="E441" s="179" t="s">
        <v>901</v>
      </c>
      <c r="F441" s="179"/>
      <c r="G441" s="149">
        <v>425</v>
      </c>
      <c r="H441" s="179"/>
      <c r="I441" s="149" t="s">
        <v>902</v>
      </c>
      <c r="J441" s="153">
        <f t="shared" si="6"/>
        <v>-425</v>
      </c>
      <c r="K441" s="149"/>
    </row>
    <row r="442" spans="1:12" x14ac:dyDescent="0.2">
      <c r="A442" s="182" t="s">
        <v>717</v>
      </c>
      <c r="B442" s="175">
        <v>4078</v>
      </c>
      <c r="C442" s="170" t="s">
        <v>911</v>
      </c>
      <c r="D442" s="149"/>
      <c r="E442" s="179" t="s">
        <v>901</v>
      </c>
      <c r="F442" s="179"/>
      <c r="G442" s="149">
        <v>860</v>
      </c>
      <c r="H442" s="179"/>
      <c r="I442" s="149" t="s">
        <v>902</v>
      </c>
      <c r="J442" s="153">
        <f t="shared" si="6"/>
        <v>-860</v>
      </c>
      <c r="K442" s="149"/>
    </row>
    <row r="443" spans="1:12" x14ac:dyDescent="0.2">
      <c r="A443" s="182" t="s">
        <v>717</v>
      </c>
      <c r="B443" s="175">
        <v>4079</v>
      </c>
      <c r="C443" s="170" t="s">
        <v>92</v>
      </c>
      <c r="D443" s="149"/>
      <c r="E443" s="179" t="s">
        <v>901</v>
      </c>
      <c r="F443" s="179"/>
      <c r="G443" s="149">
        <v>5600</v>
      </c>
      <c r="H443" s="179"/>
      <c r="I443" s="149" t="s">
        <v>902</v>
      </c>
      <c r="J443" s="153">
        <f t="shared" si="6"/>
        <v>-5600</v>
      </c>
      <c r="K443" s="149"/>
    </row>
    <row r="444" spans="1:12" x14ac:dyDescent="0.2">
      <c r="A444" s="182" t="s">
        <v>717</v>
      </c>
      <c r="B444" s="175">
        <v>4080</v>
      </c>
      <c r="C444" s="170" t="s">
        <v>954</v>
      </c>
      <c r="D444" s="149"/>
      <c r="E444" s="179" t="s">
        <v>901</v>
      </c>
      <c r="F444" s="179"/>
      <c r="G444" s="149">
        <v>10685</v>
      </c>
      <c r="H444" s="179"/>
      <c r="I444" s="149" t="s">
        <v>943</v>
      </c>
      <c r="J444" s="153">
        <f t="shared" si="6"/>
        <v>-10685</v>
      </c>
      <c r="K444" s="149" t="s">
        <v>944</v>
      </c>
    </row>
    <row r="445" spans="1:12" x14ac:dyDescent="0.2">
      <c r="A445" s="182" t="s">
        <v>717</v>
      </c>
      <c r="B445" s="175"/>
      <c r="C445" s="170" t="s">
        <v>949</v>
      </c>
      <c r="D445" s="149"/>
      <c r="E445" s="179" t="s">
        <v>950</v>
      </c>
      <c r="F445" s="179"/>
      <c r="G445" s="149"/>
      <c r="H445" s="179">
        <v>500</v>
      </c>
      <c r="I445" s="149" t="s">
        <v>902</v>
      </c>
      <c r="J445" s="153">
        <f t="shared" si="6"/>
        <v>500</v>
      </c>
      <c r="K445" s="149"/>
    </row>
    <row r="446" spans="1:12" x14ac:dyDescent="0.2">
      <c r="A446" s="182" t="s">
        <v>717</v>
      </c>
      <c r="B446" s="175"/>
      <c r="C446" s="170" t="s">
        <v>948</v>
      </c>
      <c r="D446" s="149"/>
      <c r="E446" s="179" t="s">
        <v>946</v>
      </c>
      <c r="F446" s="179"/>
      <c r="G446" s="149"/>
      <c r="H446" s="179">
        <v>400</v>
      </c>
      <c r="I446" s="149" t="s">
        <v>902</v>
      </c>
      <c r="J446" s="153">
        <f t="shared" si="6"/>
        <v>400</v>
      </c>
      <c r="K446" s="149" t="s">
        <v>955</v>
      </c>
    </row>
    <row r="447" spans="1:12" x14ac:dyDescent="0.2">
      <c r="A447" s="182" t="s">
        <v>717</v>
      </c>
      <c r="B447" s="175">
        <v>6461</v>
      </c>
      <c r="C447" s="170" t="s">
        <v>100</v>
      </c>
      <c r="D447" s="149"/>
      <c r="E447" s="179" t="s">
        <v>901</v>
      </c>
      <c r="F447" s="179"/>
      <c r="G447" s="149">
        <v>650</v>
      </c>
      <c r="H447" s="179"/>
      <c r="I447" s="149" t="s">
        <v>902</v>
      </c>
      <c r="J447" s="153">
        <f t="shared" si="6"/>
        <v>-650</v>
      </c>
      <c r="K447" s="149"/>
    </row>
    <row r="448" spans="1:12" x14ac:dyDescent="0.2">
      <c r="A448" s="182" t="s">
        <v>717</v>
      </c>
      <c r="B448" s="175">
        <v>6461</v>
      </c>
      <c r="C448" s="170" t="s">
        <v>100</v>
      </c>
      <c r="D448" s="149"/>
      <c r="E448" s="179" t="s">
        <v>901</v>
      </c>
      <c r="F448" s="179"/>
      <c r="G448" s="149">
        <v>1100</v>
      </c>
      <c r="H448" s="179"/>
      <c r="I448" s="149" t="s">
        <v>943</v>
      </c>
      <c r="J448" s="153">
        <f t="shared" si="6"/>
        <v>-1100</v>
      </c>
      <c r="K448" s="149" t="s">
        <v>956</v>
      </c>
    </row>
    <row r="449" spans="1:11" x14ac:dyDescent="0.2">
      <c r="A449" s="182" t="s">
        <v>957</v>
      </c>
      <c r="B449" s="175">
        <v>4081</v>
      </c>
      <c r="C449" s="170" t="s">
        <v>900</v>
      </c>
      <c r="D449" s="149"/>
      <c r="E449" s="179" t="s">
        <v>901</v>
      </c>
      <c r="F449" s="179"/>
      <c r="G449" s="149">
        <v>5180</v>
      </c>
      <c r="H449" s="179"/>
      <c r="I449" s="149" t="s">
        <v>902</v>
      </c>
      <c r="J449" s="153">
        <f t="shared" si="6"/>
        <v>-5180</v>
      </c>
      <c r="K449" s="149"/>
    </row>
    <row r="450" spans="1:11" x14ac:dyDescent="0.2">
      <c r="A450" s="182" t="s">
        <v>957</v>
      </c>
      <c r="B450" s="175">
        <v>4082</v>
      </c>
      <c r="C450" s="170" t="s">
        <v>903</v>
      </c>
      <c r="D450" s="149"/>
      <c r="E450" s="179" t="s">
        <v>901</v>
      </c>
      <c r="F450" s="179"/>
      <c r="G450" s="149">
        <v>4675</v>
      </c>
      <c r="H450" s="179"/>
      <c r="I450" s="149" t="s">
        <v>902</v>
      </c>
      <c r="J450" s="153">
        <f t="shared" si="6"/>
        <v>-4675</v>
      </c>
      <c r="K450" s="149"/>
    </row>
    <row r="451" spans="1:11" x14ac:dyDescent="0.2">
      <c r="A451" s="182" t="s">
        <v>957</v>
      </c>
      <c r="B451" s="175">
        <v>4083</v>
      </c>
      <c r="C451" s="170" t="s">
        <v>910</v>
      </c>
      <c r="D451" s="149"/>
      <c r="E451" s="179" t="s">
        <v>901</v>
      </c>
      <c r="F451" s="179"/>
      <c r="G451" s="149">
        <v>3400</v>
      </c>
      <c r="H451" s="179"/>
      <c r="I451" s="149" t="s">
        <v>902</v>
      </c>
      <c r="J451" s="153">
        <f t="shared" si="6"/>
        <v>-3400</v>
      </c>
      <c r="K451" s="149"/>
    </row>
    <row r="452" spans="1:11" x14ac:dyDescent="0.2">
      <c r="A452" s="182" t="s">
        <v>957</v>
      </c>
      <c r="B452" s="175">
        <v>4084</v>
      </c>
      <c r="C452" s="170" t="s">
        <v>905</v>
      </c>
      <c r="D452" s="149"/>
      <c r="E452" s="179" t="s">
        <v>901</v>
      </c>
      <c r="F452" s="179"/>
      <c r="G452" s="149">
        <v>7500</v>
      </c>
      <c r="H452" s="179"/>
      <c r="I452" s="149" t="s">
        <v>902</v>
      </c>
      <c r="J452" s="153">
        <f t="shared" si="6"/>
        <v>-7500</v>
      </c>
      <c r="K452" s="149"/>
    </row>
    <row r="453" spans="1:11" x14ac:dyDescent="0.2">
      <c r="A453" s="182" t="s">
        <v>957</v>
      </c>
      <c r="B453" s="175">
        <v>4085</v>
      </c>
      <c r="C453" s="170" t="s">
        <v>908</v>
      </c>
      <c r="D453" s="149"/>
      <c r="E453" s="179" t="s">
        <v>901</v>
      </c>
      <c r="F453" s="179"/>
      <c r="G453" s="149">
        <v>680</v>
      </c>
      <c r="H453" s="179"/>
      <c r="I453" s="149" t="s">
        <v>902</v>
      </c>
      <c r="J453" s="153">
        <f t="shared" si="6"/>
        <v>-680</v>
      </c>
      <c r="K453" s="149"/>
    </row>
    <row r="454" spans="1:11" x14ac:dyDescent="0.2">
      <c r="A454" s="182" t="s">
        <v>957</v>
      </c>
      <c r="B454" s="175">
        <v>4086</v>
      </c>
      <c r="C454" s="170" t="s">
        <v>76</v>
      </c>
      <c r="D454" s="149"/>
      <c r="E454" s="179" t="s">
        <v>901</v>
      </c>
      <c r="F454" s="179"/>
      <c r="G454" s="149">
        <v>1550</v>
      </c>
      <c r="H454" s="179"/>
      <c r="I454" s="149" t="s">
        <v>902</v>
      </c>
      <c r="J454" s="153">
        <f t="shared" si="6"/>
        <v>-1550</v>
      </c>
      <c r="K454" s="149"/>
    </row>
    <row r="455" spans="1:11" x14ac:dyDescent="0.2">
      <c r="A455" s="182" t="s">
        <v>957</v>
      </c>
      <c r="B455" s="175">
        <v>4087</v>
      </c>
      <c r="C455" s="170" t="s">
        <v>92</v>
      </c>
      <c r="D455" s="149"/>
      <c r="E455" s="179" t="s">
        <v>901</v>
      </c>
      <c r="F455" s="179"/>
      <c r="G455" s="149">
        <v>2850</v>
      </c>
      <c r="H455" s="179"/>
      <c r="I455" s="149" t="s">
        <v>902</v>
      </c>
      <c r="J455" s="153">
        <f t="shared" si="6"/>
        <v>-2850</v>
      </c>
      <c r="K455" s="149"/>
    </row>
    <row r="456" spans="1:11" x14ac:dyDescent="0.2">
      <c r="A456" s="182" t="s">
        <v>957</v>
      </c>
      <c r="B456" s="175">
        <v>4088</v>
      </c>
      <c r="C456" s="170" t="s">
        <v>909</v>
      </c>
      <c r="D456" s="149"/>
      <c r="E456" s="179" t="s">
        <v>901</v>
      </c>
      <c r="F456" s="179"/>
      <c r="G456" s="149">
        <v>1275</v>
      </c>
      <c r="H456" s="179"/>
      <c r="I456" s="149" t="s">
        <v>902</v>
      </c>
      <c r="J456" s="153">
        <f t="shared" si="6"/>
        <v>-1275</v>
      </c>
      <c r="K456" s="149"/>
    </row>
    <row r="457" spans="1:11" x14ac:dyDescent="0.2">
      <c r="A457" s="182" t="s">
        <v>957</v>
      </c>
      <c r="B457" s="175">
        <v>4089</v>
      </c>
      <c r="C457" s="170" t="s">
        <v>904</v>
      </c>
      <c r="D457" s="149"/>
      <c r="E457" s="179" t="s">
        <v>901</v>
      </c>
      <c r="F457" s="179"/>
      <c r="G457" s="149">
        <v>2975</v>
      </c>
      <c r="H457" s="179"/>
      <c r="I457" s="149" t="s">
        <v>902</v>
      </c>
      <c r="J457" s="153">
        <f t="shared" si="6"/>
        <v>-2975</v>
      </c>
      <c r="K457" s="149"/>
    </row>
    <row r="458" spans="1:11" x14ac:dyDescent="0.2">
      <c r="A458" s="182" t="s">
        <v>957</v>
      </c>
      <c r="B458" s="175">
        <v>4090</v>
      </c>
      <c r="C458" s="170" t="s">
        <v>907</v>
      </c>
      <c r="D458" s="149"/>
      <c r="E458" s="179" t="s">
        <v>901</v>
      </c>
      <c r="F458" s="179"/>
      <c r="G458" s="149">
        <v>1530</v>
      </c>
      <c r="H458" s="179"/>
      <c r="I458" s="149" t="s">
        <v>902</v>
      </c>
      <c r="J458" s="153">
        <f t="shared" si="6"/>
        <v>-1530</v>
      </c>
      <c r="K458" s="149"/>
    </row>
    <row r="459" spans="1:11" x14ac:dyDescent="0.2">
      <c r="A459" s="182" t="s">
        <v>957</v>
      </c>
      <c r="B459" s="175">
        <v>4091</v>
      </c>
      <c r="C459" s="170" t="s">
        <v>94</v>
      </c>
      <c r="D459" s="149"/>
      <c r="E459" s="179" t="s">
        <v>901</v>
      </c>
      <c r="F459" s="179"/>
      <c r="G459" s="149">
        <v>5000</v>
      </c>
      <c r="H459" s="179"/>
      <c r="I459" s="149" t="s">
        <v>902</v>
      </c>
      <c r="J459" s="153">
        <f t="shared" si="6"/>
        <v>-5000</v>
      </c>
      <c r="K459" s="149"/>
    </row>
    <row r="460" spans="1:11" x14ac:dyDescent="0.2">
      <c r="A460" s="182" t="s">
        <v>957</v>
      </c>
      <c r="B460" s="175">
        <v>6462</v>
      </c>
      <c r="C460" s="170" t="s">
        <v>100</v>
      </c>
      <c r="D460" s="149"/>
      <c r="E460" s="179" t="s">
        <v>901</v>
      </c>
      <c r="F460" s="179"/>
      <c r="G460" s="149">
        <v>1300</v>
      </c>
      <c r="H460" s="179"/>
      <c r="I460" s="149" t="s">
        <v>902</v>
      </c>
      <c r="J460" s="153">
        <f t="shared" si="6"/>
        <v>-1300</v>
      </c>
      <c r="K460" s="149"/>
    </row>
    <row r="461" spans="1:11" x14ac:dyDescent="0.2">
      <c r="A461" s="182" t="s">
        <v>957</v>
      </c>
      <c r="B461" s="175"/>
      <c r="C461" s="170" t="s">
        <v>948</v>
      </c>
      <c r="D461" s="149"/>
      <c r="E461" s="179" t="s">
        <v>946</v>
      </c>
      <c r="F461" s="179"/>
      <c r="G461" s="149"/>
      <c r="H461" s="179">
        <v>300</v>
      </c>
      <c r="I461" s="149" t="s">
        <v>902</v>
      </c>
      <c r="J461" s="153">
        <f t="shared" si="6"/>
        <v>300</v>
      </c>
      <c r="K461" s="149" t="s">
        <v>958</v>
      </c>
    </row>
    <row r="462" spans="1:11" x14ac:dyDescent="0.2">
      <c r="A462" s="182" t="s">
        <v>957</v>
      </c>
      <c r="B462" s="175"/>
      <c r="C462" s="170" t="s">
        <v>948</v>
      </c>
      <c r="D462" s="149"/>
      <c r="E462" s="179" t="s">
        <v>946</v>
      </c>
      <c r="F462" s="179"/>
      <c r="G462" s="149"/>
      <c r="H462" s="179">
        <v>800</v>
      </c>
      <c r="I462" s="149" t="s">
        <v>902</v>
      </c>
      <c r="J462" s="153">
        <f t="shared" si="6"/>
        <v>800</v>
      </c>
      <c r="K462" s="149" t="s">
        <v>959</v>
      </c>
    </row>
    <row r="463" spans="1:11" x14ac:dyDescent="0.2">
      <c r="A463" s="182" t="s">
        <v>957</v>
      </c>
      <c r="B463" s="175"/>
      <c r="C463" s="170" t="s">
        <v>948</v>
      </c>
      <c r="D463" s="149"/>
      <c r="E463" s="179" t="s">
        <v>946</v>
      </c>
      <c r="F463" s="179"/>
      <c r="G463" s="149"/>
      <c r="H463" s="179">
        <v>200</v>
      </c>
      <c r="I463" s="149" t="s">
        <v>902</v>
      </c>
      <c r="J463" s="153">
        <f t="shared" si="6"/>
        <v>200</v>
      </c>
      <c r="K463" s="149" t="s">
        <v>955</v>
      </c>
    </row>
    <row r="464" spans="1:11" x14ac:dyDescent="0.2">
      <c r="A464" s="182"/>
      <c r="B464" s="149"/>
      <c r="C464" s="170"/>
      <c r="D464" s="149"/>
      <c r="E464" s="179"/>
      <c r="F464" s="179"/>
      <c r="G464" s="149"/>
      <c r="H464" s="179"/>
      <c r="I464" s="149" t="s">
        <v>902</v>
      </c>
      <c r="J464" s="153" t="str">
        <f t="shared" si="6"/>
        <v/>
      </c>
      <c r="K464" s="149"/>
    </row>
    <row r="465" spans="1:11" x14ac:dyDescent="0.2">
      <c r="A465" s="182"/>
      <c r="B465" s="149"/>
      <c r="C465" s="170"/>
      <c r="D465" s="149"/>
      <c r="E465" s="179"/>
      <c r="F465" s="179"/>
      <c r="G465" s="149"/>
      <c r="H465" s="179"/>
      <c r="I465" s="149" t="s">
        <v>902</v>
      </c>
      <c r="J465" s="153" t="str">
        <f t="shared" si="6"/>
        <v/>
      </c>
      <c r="K465" s="149"/>
    </row>
    <row r="466" spans="1:11" x14ac:dyDescent="0.2">
      <c r="A466" s="182"/>
      <c r="B466" s="149"/>
      <c r="C466" s="170"/>
      <c r="D466" s="149"/>
      <c r="E466" s="179"/>
      <c r="F466" s="179"/>
      <c r="G466" s="149"/>
      <c r="H466" s="179"/>
      <c r="I466" s="149" t="s">
        <v>902</v>
      </c>
      <c r="J466" s="153" t="str">
        <f t="shared" si="6"/>
        <v/>
      </c>
      <c r="K466" s="149"/>
    </row>
    <row r="467" spans="1:11" x14ac:dyDescent="0.2">
      <c r="A467" s="182"/>
      <c r="B467" s="149"/>
      <c r="C467" s="170"/>
      <c r="D467" s="149"/>
      <c r="E467" s="179"/>
      <c r="F467" s="179"/>
      <c r="G467" s="149"/>
      <c r="H467" s="179"/>
      <c r="I467" s="149" t="s">
        <v>902</v>
      </c>
      <c r="J467" s="153" t="str">
        <f t="shared" si="6"/>
        <v/>
      </c>
      <c r="K467" s="149"/>
    </row>
    <row r="468" spans="1:11" x14ac:dyDescent="0.2">
      <c r="A468" s="182"/>
      <c r="B468" s="149"/>
      <c r="C468" s="170"/>
      <c r="D468" s="149"/>
      <c r="E468" s="179"/>
      <c r="F468" s="179"/>
      <c r="G468" s="149"/>
      <c r="H468" s="179"/>
      <c r="I468" s="149" t="s">
        <v>902</v>
      </c>
      <c r="J468" s="153" t="str">
        <f t="shared" si="6"/>
        <v/>
      </c>
      <c r="K468" s="149"/>
    </row>
    <row r="469" spans="1:11" x14ac:dyDescent="0.2">
      <c r="A469" s="182"/>
      <c r="B469" s="149"/>
      <c r="C469" s="170"/>
      <c r="D469" s="149"/>
      <c r="E469" s="179"/>
      <c r="F469" s="179"/>
      <c r="G469" s="149"/>
      <c r="H469" s="179"/>
      <c r="I469" s="149" t="s">
        <v>902</v>
      </c>
      <c r="J469" s="153" t="str">
        <f t="shared" si="6"/>
        <v/>
      </c>
      <c r="K469" s="149"/>
    </row>
    <row r="470" spans="1:11" x14ac:dyDescent="0.2">
      <c r="A470" s="182"/>
      <c r="B470" s="149"/>
      <c r="C470" s="170"/>
      <c r="D470" s="149"/>
      <c r="E470" s="179"/>
      <c r="F470" s="179"/>
      <c r="G470" s="149"/>
      <c r="H470" s="179"/>
      <c r="I470" s="149" t="s">
        <v>902</v>
      </c>
      <c r="J470" s="153" t="str">
        <f t="shared" si="6"/>
        <v/>
      </c>
      <c r="K470" s="149"/>
    </row>
    <row r="471" spans="1:11" x14ac:dyDescent="0.2">
      <c r="A471" s="182"/>
      <c r="B471" s="149"/>
      <c r="C471" s="170"/>
      <c r="D471" s="149"/>
      <c r="E471" s="179"/>
      <c r="F471" s="179"/>
      <c r="G471" s="149"/>
      <c r="H471" s="179"/>
      <c r="I471" s="149" t="s">
        <v>902</v>
      </c>
      <c r="J471" s="153" t="str">
        <f t="shared" si="6"/>
        <v/>
      </c>
      <c r="K471" s="149"/>
    </row>
    <row r="472" spans="1:11" x14ac:dyDescent="0.2">
      <c r="A472" s="182"/>
      <c r="B472" s="149"/>
      <c r="C472" s="170"/>
      <c r="D472" s="149"/>
      <c r="E472" s="179"/>
      <c r="F472" s="179"/>
      <c r="G472" s="149"/>
      <c r="H472" s="179"/>
      <c r="I472" s="149" t="s">
        <v>902</v>
      </c>
      <c r="J472" s="153" t="str">
        <f t="shared" si="6"/>
        <v/>
      </c>
      <c r="K472" s="149"/>
    </row>
    <row r="473" spans="1:11" x14ac:dyDescent="0.2">
      <c r="A473" s="182"/>
      <c r="B473" s="149"/>
      <c r="C473" s="170"/>
      <c r="D473" s="149"/>
      <c r="E473" s="179"/>
      <c r="F473" s="179"/>
      <c r="G473" s="149"/>
      <c r="H473" s="179"/>
      <c r="I473" s="149" t="s">
        <v>902</v>
      </c>
      <c r="J473" s="153" t="str">
        <f t="shared" ref="J473:J537" si="7">IF($C473="","",N($F473)-$G473+$H473)</f>
        <v/>
      </c>
      <c r="K473" s="149"/>
    </row>
    <row r="474" spans="1:11" x14ac:dyDescent="0.2">
      <c r="A474" s="182"/>
      <c r="B474" s="149"/>
      <c r="C474" s="170"/>
      <c r="D474" s="149"/>
      <c r="E474" s="179"/>
      <c r="F474" s="179"/>
      <c r="G474" s="149"/>
      <c r="H474" s="179"/>
      <c r="I474" s="149" t="s">
        <v>902</v>
      </c>
      <c r="J474" s="153" t="str">
        <f t="shared" si="7"/>
        <v/>
      </c>
      <c r="K474" s="149"/>
    </row>
    <row r="475" spans="1:11" x14ac:dyDescent="0.2">
      <c r="A475" s="182"/>
      <c r="B475" s="149"/>
      <c r="C475" s="170"/>
      <c r="D475" s="149"/>
      <c r="E475" s="179"/>
      <c r="F475" s="179"/>
      <c r="G475" s="149"/>
      <c r="H475" s="179"/>
      <c r="I475" s="149" t="s">
        <v>902</v>
      </c>
      <c r="J475" s="153" t="str">
        <f t="shared" si="7"/>
        <v/>
      </c>
      <c r="K475" s="149"/>
    </row>
    <row r="476" spans="1:11" x14ac:dyDescent="0.2">
      <c r="A476" s="182"/>
      <c r="B476" s="149"/>
      <c r="C476" s="170"/>
      <c r="D476" s="149"/>
      <c r="E476" s="179"/>
      <c r="F476" s="179"/>
      <c r="G476" s="149"/>
      <c r="H476" s="179"/>
      <c r="I476" s="149" t="s">
        <v>902</v>
      </c>
      <c r="J476" s="153" t="str">
        <f t="shared" si="7"/>
        <v/>
      </c>
      <c r="K476" s="149"/>
    </row>
    <row r="477" spans="1:11" x14ac:dyDescent="0.2">
      <c r="A477" s="182"/>
      <c r="B477" s="149"/>
      <c r="C477" s="170"/>
      <c r="D477" s="149"/>
      <c r="E477" s="179"/>
      <c r="F477" s="179"/>
      <c r="G477" s="149"/>
      <c r="H477" s="179"/>
      <c r="I477" s="149" t="s">
        <v>902</v>
      </c>
      <c r="J477" s="153" t="str">
        <f t="shared" si="7"/>
        <v/>
      </c>
      <c r="K477" s="149"/>
    </row>
    <row r="478" spans="1:11" x14ac:dyDescent="0.2">
      <c r="A478" s="182"/>
      <c r="B478" s="149"/>
      <c r="C478" s="170"/>
      <c r="D478" s="149"/>
      <c r="E478" s="179"/>
      <c r="F478" s="179"/>
      <c r="G478" s="149"/>
      <c r="H478" s="179"/>
      <c r="I478" s="149" t="s">
        <v>902</v>
      </c>
      <c r="J478" s="153" t="str">
        <f t="shared" si="7"/>
        <v/>
      </c>
      <c r="K478" s="149"/>
    </row>
    <row r="479" spans="1:11" x14ac:dyDescent="0.2">
      <c r="A479" s="182"/>
      <c r="B479" s="149"/>
      <c r="C479" s="170"/>
      <c r="D479" s="149"/>
      <c r="E479" s="179"/>
      <c r="F479" s="179"/>
      <c r="G479" s="149"/>
      <c r="H479" s="179"/>
      <c r="I479" s="149" t="s">
        <v>902</v>
      </c>
      <c r="J479" s="153" t="str">
        <f t="shared" si="7"/>
        <v/>
      </c>
      <c r="K479" s="149"/>
    </row>
    <row r="480" spans="1:11" x14ac:dyDescent="0.2">
      <c r="A480" s="182"/>
      <c r="B480" s="149"/>
      <c r="C480" s="170"/>
      <c r="D480" s="149"/>
      <c r="E480" s="179"/>
      <c r="F480" s="179"/>
      <c r="G480" s="149"/>
      <c r="H480" s="179"/>
      <c r="I480" s="149" t="s">
        <v>902</v>
      </c>
      <c r="J480" s="153" t="str">
        <f t="shared" si="7"/>
        <v/>
      </c>
      <c r="K480" s="149"/>
    </row>
    <row r="481" spans="1:11" x14ac:dyDescent="0.2">
      <c r="A481" s="182"/>
      <c r="B481" s="149"/>
      <c r="C481" s="170"/>
      <c r="D481" s="149"/>
      <c r="E481" s="179"/>
      <c r="F481" s="179"/>
      <c r="G481" s="149"/>
      <c r="H481" s="179"/>
      <c r="I481" s="149" t="s">
        <v>902</v>
      </c>
      <c r="J481" s="153" t="str">
        <f t="shared" si="7"/>
        <v/>
      </c>
      <c r="K481" s="149"/>
    </row>
    <row r="482" spans="1:11" x14ac:dyDescent="0.2">
      <c r="A482" s="182"/>
      <c r="B482" s="149"/>
      <c r="C482" s="170"/>
      <c r="D482" s="149"/>
      <c r="E482" s="179"/>
      <c r="F482" s="179"/>
      <c r="G482" s="149"/>
      <c r="H482" s="179"/>
      <c r="I482" s="149" t="s">
        <v>902</v>
      </c>
      <c r="J482" s="153" t="str">
        <f t="shared" si="7"/>
        <v/>
      </c>
      <c r="K482" s="149"/>
    </row>
    <row r="483" spans="1:11" x14ac:dyDescent="0.2">
      <c r="A483" s="182"/>
      <c r="B483" s="149"/>
      <c r="C483" s="170"/>
      <c r="D483" s="149"/>
      <c r="E483" s="179"/>
      <c r="F483" s="179"/>
      <c r="G483" s="149"/>
      <c r="H483" s="179"/>
      <c r="I483" s="149" t="s">
        <v>902</v>
      </c>
      <c r="J483" s="153" t="str">
        <f t="shared" si="7"/>
        <v/>
      </c>
      <c r="K483" s="149"/>
    </row>
    <row r="484" spans="1:11" x14ac:dyDescent="0.2">
      <c r="A484" s="182"/>
      <c r="B484" s="149"/>
      <c r="C484" s="170"/>
      <c r="D484" s="149"/>
      <c r="E484" s="179"/>
      <c r="F484" s="179"/>
      <c r="G484" s="149"/>
      <c r="H484" s="179"/>
      <c r="I484" s="149" t="s">
        <v>902</v>
      </c>
      <c r="J484" s="153" t="str">
        <f t="shared" si="7"/>
        <v/>
      </c>
      <c r="K484" s="149"/>
    </row>
    <row r="485" spans="1:11" x14ac:dyDescent="0.2">
      <c r="A485" s="182"/>
      <c r="B485" s="149"/>
      <c r="C485" s="170"/>
      <c r="D485" s="149"/>
      <c r="E485" s="179"/>
      <c r="F485" s="179"/>
      <c r="G485" s="149"/>
      <c r="H485" s="179"/>
      <c r="I485" s="149" t="s">
        <v>902</v>
      </c>
      <c r="J485" s="153" t="str">
        <f t="shared" si="7"/>
        <v/>
      </c>
      <c r="K485" s="149"/>
    </row>
    <row r="486" spans="1:11" x14ac:dyDescent="0.2">
      <c r="A486" s="182"/>
      <c r="B486" s="149"/>
      <c r="C486" s="170"/>
      <c r="D486" s="149"/>
      <c r="E486" s="179"/>
      <c r="F486" s="179"/>
      <c r="G486" s="149"/>
      <c r="H486" s="179"/>
      <c r="I486" s="149" t="s">
        <v>902</v>
      </c>
      <c r="J486" s="153" t="str">
        <f t="shared" si="7"/>
        <v/>
      </c>
      <c r="K486" s="149"/>
    </row>
    <row r="487" spans="1:11" x14ac:dyDescent="0.2">
      <c r="A487" s="182"/>
      <c r="B487" s="149"/>
      <c r="C487" s="170"/>
      <c r="D487" s="149"/>
      <c r="E487" s="179"/>
      <c r="F487" s="179"/>
      <c r="G487" s="149"/>
      <c r="H487" s="179"/>
      <c r="I487" s="149" t="s">
        <v>902</v>
      </c>
      <c r="J487" s="153" t="str">
        <f t="shared" si="7"/>
        <v/>
      </c>
      <c r="K487" s="149"/>
    </row>
    <row r="488" spans="1:11" x14ac:dyDescent="0.2">
      <c r="A488" s="182"/>
      <c r="B488" s="149"/>
      <c r="C488" s="170"/>
      <c r="D488" s="149"/>
      <c r="E488" s="179"/>
      <c r="F488" s="179"/>
      <c r="G488" s="149"/>
      <c r="H488" s="179"/>
      <c r="I488" s="149" t="s">
        <v>902</v>
      </c>
      <c r="J488" s="153" t="str">
        <f t="shared" si="7"/>
        <v/>
      </c>
      <c r="K488" s="149"/>
    </row>
    <row r="489" spans="1:11" x14ac:dyDescent="0.2">
      <c r="A489" s="182"/>
      <c r="B489" s="149"/>
      <c r="C489" s="170"/>
      <c r="D489" s="149"/>
      <c r="E489" s="179"/>
      <c r="F489" s="179"/>
      <c r="G489" s="149"/>
      <c r="H489" s="179"/>
      <c r="I489" s="149" t="s">
        <v>902</v>
      </c>
      <c r="J489" s="153" t="str">
        <f t="shared" si="7"/>
        <v/>
      </c>
      <c r="K489" s="149"/>
    </row>
    <row r="490" spans="1:11" x14ac:dyDescent="0.2">
      <c r="A490" s="182"/>
      <c r="B490" s="149"/>
      <c r="C490" s="170"/>
      <c r="D490" s="149"/>
      <c r="E490" s="179"/>
      <c r="F490" s="179"/>
      <c r="G490" s="149"/>
      <c r="H490" s="179"/>
      <c r="I490" s="149" t="s">
        <v>902</v>
      </c>
      <c r="J490" s="153" t="str">
        <f t="shared" si="7"/>
        <v/>
      </c>
      <c r="K490" s="149"/>
    </row>
    <row r="491" spans="1:11" x14ac:dyDescent="0.2">
      <c r="A491" s="182"/>
      <c r="B491" s="149"/>
      <c r="C491" s="170"/>
      <c r="D491" s="149"/>
      <c r="E491" s="179"/>
      <c r="F491" s="179"/>
      <c r="G491" s="149"/>
      <c r="H491" s="179"/>
      <c r="I491" s="149" t="s">
        <v>902</v>
      </c>
      <c r="J491" s="153" t="str">
        <f t="shared" si="7"/>
        <v/>
      </c>
      <c r="K491" s="149"/>
    </row>
    <row r="492" spans="1:11" x14ac:dyDescent="0.2">
      <c r="A492" s="182"/>
      <c r="B492" s="149"/>
      <c r="C492" s="170"/>
      <c r="D492" s="149"/>
      <c r="E492" s="179"/>
      <c r="F492" s="179"/>
      <c r="G492" s="149"/>
      <c r="H492" s="179"/>
      <c r="I492" s="149" t="s">
        <v>902</v>
      </c>
      <c r="J492" s="153" t="str">
        <f t="shared" si="7"/>
        <v/>
      </c>
      <c r="K492" s="149"/>
    </row>
    <row r="493" spans="1:11" x14ac:dyDescent="0.2">
      <c r="A493" s="182"/>
      <c r="B493" s="149"/>
      <c r="C493" s="170"/>
      <c r="D493" s="149"/>
      <c r="E493" s="179"/>
      <c r="F493" s="179"/>
      <c r="G493" s="149"/>
      <c r="H493" s="179"/>
      <c r="I493" s="149" t="s">
        <v>902</v>
      </c>
      <c r="J493" s="153" t="str">
        <f t="shared" si="7"/>
        <v/>
      </c>
      <c r="K493" s="149"/>
    </row>
    <row r="494" spans="1:11" x14ac:dyDescent="0.2">
      <c r="A494" s="182"/>
      <c r="B494" s="149"/>
      <c r="C494" s="170"/>
      <c r="D494" s="149"/>
      <c r="E494" s="179"/>
      <c r="F494" s="179"/>
      <c r="G494" s="149"/>
      <c r="H494" s="179"/>
      <c r="I494" s="149" t="s">
        <v>902</v>
      </c>
      <c r="J494" s="153" t="str">
        <f t="shared" si="7"/>
        <v/>
      </c>
      <c r="K494" s="149"/>
    </row>
    <row r="495" spans="1:11" x14ac:dyDescent="0.2">
      <c r="A495" s="182"/>
      <c r="B495" s="149"/>
      <c r="C495" s="170"/>
      <c r="D495" s="149"/>
      <c r="E495" s="179"/>
      <c r="F495" s="179"/>
      <c r="G495" s="149"/>
      <c r="H495" s="179"/>
      <c r="I495" s="149" t="s">
        <v>902</v>
      </c>
      <c r="J495" s="153" t="str">
        <f t="shared" si="7"/>
        <v/>
      </c>
      <c r="K495" s="149"/>
    </row>
    <row r="496" spans="1:11" x14ac:dyDescent="0.2">
      <c r="A496" s="182"/>
      <c r="B496" s="149"/>
      <c r="C496" s="170"/>
      <c r="D496" s="149"/>
      <c r="E496" s="179"/>
      <c r="F496" s="179"/>
      <c r="G496" s="149"/>
      <c r="H496" s="179"/>
      <c r="I496" s="149" t="s">
        <v>902</v>
      </c>
      <c r="J496" s="153" t="str">
        <f t="shared" si="7"/>
        <v/>
      </c>
      <c r="K496" s="149"/>
    </row>
    <row r="497" spans="1:11" x14ac:dyDescent="0.2">
      <c r="A497" s="182"/>
      <c r="B497" s="149"/>
      <c r="C497" s="170"/>
      <c r="D497" s="149"/>
      <c r="E497" s="179"/>
      <c r="F497" s="179"/>
      <c r="G497" s="149"/>
      <c r="H497" s="179"/>
      <c r="I497" s="149" t="s">
        <v>902</v>
      </c>
      <c r="J497" s="153" t="str">
        <f t="shared" si="7"/>
        <v/>
      </c>
      <c r="K497" s="149"/>
    </row>
    <row r="498" spans="1:11" x14ac:dyDescent="0.2">
      <c r="A498" s="182"/>
      <c r="B498" s="149"/>
      <c r="C498" s="170"/>
      <c r="D498" s="149"/>
      <c r="E498" s="179"/>
      <c r="F498" s="179"/>
      <c r="G498" s="149"/>
      <c r="H498" s="179"/>
      <c r="I498" s="149" t="s">
        <v>902</v>
      </c>
      <c r="J498" s="153" t="str">
        <f t="shared" si="7"/>
        <v/>
      </c>
      <c r="K498" s="149"/>
    </row>
    <row r="499" spans="1:11" x14ac:dyDescent="0.2">
      <c r="A499" s="182"/>
      <c r="B499" s="149"/>
      <c r="C499" s="170"/>
      <c r="D499" s="149"/>
      <c r="E499" s="179"/>
      <c r="F499" s="179"/>
      <c r="G499" s="149"/>
      <c r="H499" s="179"/>
      <c r="I499" s="149" t="s">
        <v>902</v>
      </c>
      <c r="J499" s="153" t="str">
        <f t="shared" si="7"/>
        <v/>
      </c>
      <c r="K499" s="149"/>
    </row>
    <row r="500" spans="1:11" x14ac:dyDescent="0.2">
      <c r="A500" s="182"/>
      <c r="B500" s="149"/>
      <c r="C500" s="170"/>
      <c r="D500" s="149"/>
      <c r="E500" s="179"/>
      <c r="F500" s="179"/>
      <c r="G500" s="149"/>
      <c r="H500" s="179"/>
      <c r="I500" s="149" t="s">
        <v>902</v>
      </c>
      <c r="J500" s="153" t="str">
        <f t="shared" si="7"/>
        <v/>
      </c>
      <c r="K500" s="149"/>
    </row>
    <row r="501" spans="1:11" x14ac:dyDescent="0.2">
      <c r="A501" s="182"/>
      <c r="B501" s="149"/>
      <c r="C501" s="170"/>
      <c r="D501" s="149"/>
      <c r="E501" s="179"/>
      <c r="F501" s="179"/>
      <c r="G501" s="149"/>
      <c r="H501" s="179"/>
      <c r="I501" s="149" t="s">
        <v>902</v>
      </c>
      <c r="J501" s="153" t="str">
        <f t="shared" si="7"/>
        <v/>
      </c>
      <c r="K501" s="149"/>
    </row>
    <row r="502" spans="1:11" x14ac:dyDescent="0.2">
      <c r="A502" s="182"/>
      <c r="B502" s="149"/>
      <c r="C502" s="170"/>
      <c r="D502" s="149"/>
      <c r="E502" s="179"/>
      <c r="F502" s="179"/>
      <c r="G502" s="149"/>
      <c r="H502" s="179"/>
      <c r="I502" s="149" t="s">
        <v>902</v>
      </c>
      <c r="J502" s="153" t="str">
        <f t="shared" si="7"/>
        <v/>
      </c>
      <c r="K502" s="149"/>
    </row>
    <row r="503" spans="1:11" x14ac:dyDescent="0.2">
      <c r="A503" s="182"/>
      <c r="B503" s="149"/>
      <c r="C503" s="170"/>
      <c r="D503" s="149"/>
      <c r="E503" s="179"/>
      <c r="F503" s="179"/>
      <c r="G503" s="149"/>
      <c r="H503" s="179"/>
      <c r="I503" s="149" t="s">
        <v>902</v>
      </c>
      <c r="J503" s="153" t="str">
        <f t="shared" si="7"/>
        <v/>
      </c>
      <c r="K503" s="149"/>
    </row>
    <row r="504" spans="1:11" x14ac:dyDescent="0.2">
      <c r="A504" s="182"/>
      <c r="B504" s="149"/>
      <c r="C504" s="170"/>
      <c r="D504" s="149"/>
      <c r="E504" s="179"/>
      <c r="F504" s="179"/>
      <c r="G504" s="149"/>
      <c r="H504" s="179"/>
      <c r="I504" s="149" t="s">
        <v>902</v>
      </c>
      <c r="J504" s="153" t="str">
        <f t="shared" si="7"/>
        <v/>
      </c>
      <c r="K504" s="149"/>
    </row>
    <row r="505" spans="1:11" x14ac:dyDescent="0.2">
      <c r="A505" s="182"/>
      <c r="B505" s="149"/>
      <c r="C505" s="170"/>
      <c r="D505" s="149"/>
      <c r="E505" s="179"/>
      <c r="F505" s="179"/>
      <c r="G505" s="149"/>
      <c r="H505" s="179"/>
      <c r="I505" s="149" t="s">
        <v>902</v>
      </c>
      <c r="J505" s="153" t="str">
        <f t="shared" si="7"/>
        <v/>
      </c>
      <c r="K505" s="149"/>
    </row>
    <row r="506" spans="1:11" x14ac:dyDescent="0.2">
      <c r="A506" s="182"/>
      <c r="B506" s="149"/>
      <c r="C506" s="170"/>
      <c r="D506" s="149"/>
      <c r="E506" s="179"/>
      <c r="F506" s="179"/>
      <c r="G506" s="149"/>
      <c r="H506" s="179"/>
      <c r="I506" s="149" t="s">
        <v>902</v>
      </c>
      <c r="J506" s="153" t="str">
        <f t="shared" si="7"/>
        <v/>
      </c>
      <c r="K506" s="149"/>
    </row>
    <row r="507" spans="1:11" x14ac:dyDescent="0.2">
      <c r="A507" s="182"/>
      <c r="B507" s="149"/>
      <c r="C507" s="170"/>
      <c r="D507" s="149"/>
      <c r="E507" s="179"/>
      <c r="F507" s="179"/>
      <c r="G507" s="149"/>
      <c r="H507" s="179"/>
      <c r="I507" s="149" t="s">
        <v>902</v>
      </c>
      <c r="J507" s="153" t="str">
        <f t="shared" si="7"/>
        <v/>
      </c>
      <c r="K507" s="149"/>
    </row>
    <row r="508" spans="1:11" x14ac:dyDescent="0.2">
      <c r="A508" s="182"/>
      <c r="B508" s="149"/>
      <c r="C508" s="170"/>
      <c r="D508" s="149"/>
      <c r="E508" s="179"/>
      <c r="F508" s="179"/>
      <c r="G508" s="149"/>
      <c r="H508" s="179"/>
      <c r="I508" s="149" t="s">
        <v>902</v>
      </c>
      <c r="J508" s="153" t="str">
        <f t="shared" si="7"/>
        <v/>
      </c>
      <c r="K508" s="149"/>
    </row>
    <row r="509" spans="1:11" x14ac:dyDescent="0.2">
      <c r="A509" s="182"/>
      <c r="B509" s="149"/>
      <c r="C509" s="170"/>
      <c r="D509" s="149"/>
      <c r="E509" s="179"/>
      <c r="F509" s="179"/>
      <c r="G509" s="149"/>
      <c r="H509" s="179"/>
      <c r="I509" s="149" t="s">
        <v>902</v>
      </c>
      <c r="J509" s="153" t="str">
        <f t="shared" si="7"/>
        <v/>
      </c>
      <c r="K509" s="149"/>
    </row>
    <row r="510" spans="1:11" x14ac:dyDescent="0.2">
      <c r="A510" s="182"/>
      <c r="B510" s="149"/>
      <c r="C510" s="170"/>
      <c r="D510" s="149"/>
      <c r="E510" s="179"/>
      <c r="F510" s="179"/>
      <c r="G510" s="149"/>
      <c r="H510" s="179"/>
      <c r="I510" s="149" t="s">
        <v>902</v>
      </c>
      <c r="J510" s="153" t="str">
        <f t="shared" si="7"/>
        <v/>
      </c>
      <c r="K510" s="149"/>
    </row>
    <row r="511" spans="1:11" x14ac:dyDescent="0.2">
      <c r="A511" s="182"/>
      <c r="B511" s="149"/>
      <c r="C511" s="170"/>
      <c r="D511" s="149"/>
      <c r="E511" s="179"/>
      <c r="F511" s="179"/>
      <c r="G511" s="149"/>
      <c r="H511" s="179"/>
      <c r="I511" s="149" t="s">
        <v>902</v>
      </c>
      <c r="J511" s="153" t="str">
        <f t="shared" si="7"/>
        <v/>
      </c>
      <c r="K511" s="149"/>
    </row>
    <row r="512" spans="1:11" x14ac:dyDescent="0.2">
      <c r="A512" s="182"/>
      <c r="B512" s="149"/>
      <c r="C512" s="170"/>
      <c r="D512" s="149"/>
      <c r="E512" s="179"/>
      <c r="F512" s="179"/>
      <c r="G512" s="149"/>
      <c r="H512" s="179"/>
      <c r="I512" s="149" t="s">
        <v>902</v>
      </c>
      <c r="J512" s="153" t="str">
        <f t="shared" si="7"/>
        <v/>
      </c>
      <c r="K512" s="149"/>
    </row>
    <row r="513" spans="1:11" x14ac:dyDescent="0.2">
      <c r="A513" s="182"/>
      <c r="B513" s="149"/>
      <c r="C513" s="170"/>
      <c r="D513" s="149"/>
      <c r="E513" s="179"/>
      <c r="F513" s="179"/>
      <c r="G513" s="149"/>
      <c r="H513" s="179"/>
      <c r="I513" s="149" t="s">
        <v>902</v>
      </c>
      <c r="J513" s="153" t="str">
        <f t="shared" si="7"/>
        <v/>
      </c>
      <c r="K513" s="149"/>
    </row>
    <row r="514" spans="1:11" x14ac:dyDescent="0.2">
      <c r="A514" s="182"/>
      <c r="B514" s="149"/>
      <c r="C514" s="170"/>
      <c r="D514" s="149"/>
      <c r="E514" s="179"/>
      <c r="F514" s="179"/>
      <c r="G514" s="149"/>
      <c r="H514" s="179"/>
      <c r="I514" s="149" t="s">
        <v>902</v>
      </c>
      <c r="J514" s="153" t="str">
        <f t="shared" si="7"/>
        <v/>
      </c>
      <c r="K514" s="149"/>
    </row>
    <row r="515" spans="1:11" x14ac:dyDescent="0.2">
      <c r="A515" s="182"/>
      <c r="B515" s="149"/>
      <c r="C515" s="170"/>
      <c r="D515" s="149"/>
      <c r="E515" s="179"/>
      <c r="F515" s="179"/>
      <c r="G515" s="149"/>
      <c r="H515" s="179"/>
      <c r="I515" s="149" t="s">
        <v>902</v>
      </c>
      <c r="J515" s="153" t="str">
        <f t="shared" si="7"/>
        <v/>
      </c>
      <c r="K515" s="149"/>
    </row>
    <row r="516" spans="1:11" x14ac:dyDescent="0.2">
      <c r="A516" s="182"/>
      <c r="B516" s="149"/>
      <c r="C516" s="170"/>
      <c r="D516" s="149"/>
      <c r="E516" s="179"/>
      <c r="F516" s="179"/>
      <c r="G516" s="149"/>
      <c r="H516" s="179"/>
      <c r="I516" s="149" t="s">
        <v>902</v>
      </c>
      <c r="J516" s="153" t="str">
        <f t="shared" si="7"/>
        <v/>
      </c>
      <c r="K516" s="149"/>
    </row>
    <row r="517" spans="1:11" x14ac:dyDescent="0.2">
      <c r="A517" s="182"/>
      <c r="B517" s="149"/>
      <c r="C517" s="170"/>
      <c r="D517" s="149"/>
      <c r="E517" s="179"/>
      <c r="F517" s="179"/>
      <c r="G517" s="149"/>
      <c r="H517" s="179"/>
      <c r="I517" s="149" t="s">
        <v>902</v>
      </c>
      <c r="J517" s="153" t="str">
        <f t="shared" si="7"/>
        <v/>
      </c>
      <c r="K517" s="149"/>
    </row>
    <row r="518" spans="1:11" x14ac:dyDescent="0.2">
      <c r="A518" s="182"/>
      <c r="B518" s="149"/>
      <c r="C518" s="170"/>
      <c r="D518" s="149"/>
      <c r="E518" s="179"/>
      <c r="F518" s="179"/>
      <c r="G518" s="149"/>
      <c r="H518" s="179"/>
      <c r="I518" s="149" t="s">
        <v>902</v>
      </c>
      <c r="J518" s="153" t="str">
        <f t="shared" si="7"/>
        <v/>
      </c>
      <c r="K518" s="149"/>
    </row>
    <row r="519" spans="1:11" x14ac:dyDescent="0.2">
      <c r="A519" s="182"/>
      <c r="B519" s="149"/>
      <c r="C519" s="170"/>
      <c r="D519" s="149"/>
      <c r="E519" s="179"/>
      <c r="F519" s="179"/>
      <c r="G519" s="149"/>
      <c r="H519" s="179"/>
      <c r="I519" s="149" t="s">
        <v>902</v>
      </c>
      <c r="J519" s="153" t="str">
        <f t="shared" si="7"/>
        <v/>
      </c>
      <c r="K519" s="149"/>
    </row>
    <row r="520" spans="1:11" x14ac:dyDescent="0.2">
      <c r="A520" s="182"/>
      <c r="B520" s="149"/>
      <c r="C520" s="170"/>
      <c r="D520" s="149"/>
      <c r="E520" s="179"/>
      <c r="F520" s="179"/>
      <c r="G520" s="149"/>
      <c r="H520" s="179"/>
      <c r="I520" s="149" t="s">
        <v>902</v>
      </c>
      <c r="J520" s="153" t="str">
        <f t="shared" si="7"/>
        <v/>
      </c>
      <c r="K520" s="149"/>
    </row>
    <row r="521" spans="1:11" x14ac:dyDescent="0.2">
      <c r="A521" s="182"/>
      <c r="B521" s="149"/>
      <c r="C521" s="170"/>
      <c r="D521" s="149"/>
      <c r="E521" s="179"/>
      <c r="F521" s="179"/>
      <c r="G521" s="149"/>
      <c r="H521" s="179"/>
      <c r="I521" s="149" t="s">
        <v>902</v>
      </c>
      <c r="J521" s="153" t="str">
        <f t="shared" si="7"/>
        <v/>
      </c>
      <c r="K521" s="149"/>
    </row>
    <row r="522" spans="1:11" x14ac:dyDescent="0.2">
      <c r="A522" s="182"/>
      <c r="B522" s="149"/>
      <c r="C522" s="170"/>
      <c r="D522" s="149"/>
      <c r="E522" s="179"/>
      <c r="F522" s="179"/>
      <c r="G522" s="149"/>
      <c r="H522" s="179"/>
      <c r="I522" s="149" t="s">
        <v>902</v>
      </c>
      <c r="J522" s="153" t="str">
        <f t="shared" si="7"/>
        <v/>
      </c>
      <c r="K522" s="149"/>
    </row>
    <row r="523" spans="1:11" x14ac:dyDescent="0.2">
      <c r="A523" s="182"/>
      <c r="B523" s="149"/>
      <c r="C523" s="170"/>
      <c r="D523" s="149"/>
      <c r="E523" s="179"/>
      <c r="F523" s="179"/>
      <c r="G523" s="149"/>
      <c r="H523" s="179"/>
      <c r="I523" s="149" t="s">
        <v>902</v>
      </c>
      <c r="J523" s="153" t="str">
        <f t="shared" si="7"/>
        <v/>
      </c>
      <c r="K523" s="149"/>
    </row>
    <row r="524" spans="1:11" x14ac:dyDescent="0.2">
      <c r="A524" s="182"/>
      <c r="B524" s="149"/>
      <c r="C524" s="170"/>
      <c r="D524" s="149"/>
      <c r="E524" s="179"/>
      <c r="F524" s="179"/>
      <c r="G524" s="149"/>
      <c r="H524" s="179"/>
      <c r="I524" s="149" t="s">
        <v>902</v>
      </c>
      <c r="J524" s="153" t="str">
        <f t="shared" si="7"/>
        <v/>
      </c>
      <c r="K524" s="149"/>
    </row>
    <row r="525" spans="1:11" x14ac:dyDescent="0.2">
      <c r="A525" s="182"/>
      <c r="B525" s="149"/>
      <c r="C525" s="170"/>
      <c r="D525" s="149"/>
      <c r="E525" s="179"/>
      <c r="F525" s="179"/>
      <c r="G525" s="149"/>
      <c r="H525" s="179"/>
      <c r="I525" s="149" t="s">
        <v>902</v>
      </c>
      <c r="J525" s="153" t="str">
        <f t="shared" si="7"/>
        <v/>
      </c>
      <c r="K525" s="149"/>
    </row>
    <row r="526" spans="1:11" x14ac:dyDescent="0.2">
      <c r="A526" s="182"/>
      <c r="B526" s="149"/>
      <c r="C526" s="170"/>
      <c r="D526" s="149"/>
      <c r="E526" s="179"/>
      <c r="F526" s="179"/>
      <c r="G526" s="149"/>
      <c r="H526" s="179"/>
      <c r="I526" s="149" t="s">
        <v>902</v>
      </c>
      <c r="J526" s="153" t="str">
        <f t="shared" si="7"/>
        <v/>
      </c>
      <c r="K526" s="149"/>
    </row>
    <row r="527" spans="1:11" x14ac:dyDescent="0.2">
      <c r="A527" s="182"/>
      <c r="B527" s="149"/>
      <c r="C527" s="170"/>
      <c r="D527" s="149"/>
      <c r="E527" s="179"/>
      <c r="F527" s="179"/>
      <c r="G527" s="149"/>
      <c r="H527" s="179"/>
      <c r="I527" s="149" t="s">
        <v>902</v>
      </c>
      <c r="J527" s="153" t="str">
        <f t="shared" si="7"/>
        <v/>
      </c>
      <c r="K527" s="149"/>
    </row>
    <row r="528" spans="1:11" x14ac:dyDescent="0.2">
      <c r="A528" s="182"/>
      <c r="B528" s="149"/>
      <c r="C528" s="170"/>
      <c r="D528" s="149"/>
      <c r="E528" s="179"/>
      <c r="F528" s="179"/>
      <c r="G528" s="149"/>
      <c r="H528" s="179"/>
      <c r="I528" s="149" t="s">
        <v>902</v>
      </c>
      <c r="J528" s="153" t="str">
        <f t="shared" si="7"/>
        <v/>
      </c>
      <c r="K528" s="149"/>
    </row>
    <row r="529" spans="1:11" x14ac:dyDescent="0.2">
      <c r="A529" s="182"/>
      <c r="B529" s="149"/>
      <c r="C529" s="170"/>
      <c r="D529" s="149"/>
      <c r="E529" s="179"/>
      <c r="F529" s="179"/>
      <c r="G529" s="149"/>
      <c r="H529" s="179"/>
      <c r="I529" s="149" t="s">
        <v>902</v>
      </c>
      <c r="J529" s="153" t="str">
        <f t="shared" si="7"/>
        <v/>
      </c>
      <c r="K529" s="149"/>
    </row>
    <row r="530" spans="1:11" x14ac:dyDescent="0.2">
      <c r="A530" s="182"/>
      <c r="B530" s="149"/>
      <c r="C530" s="170"/>
      <c r="D530" s="149"/>
      <c r="E530" s="179"/>
      <c r="F530" s="179"/>
      <c r="G530" s="149"/>
      <c r="H530" s="179"/>
      <c r="I530" s="149" t="s">
        <v>902</v>
      </c>
      <c r="J530" s="153" t="str">
        <f t="shared" si="7"/>
        <v/>
      </c>
      <c r="K530" s="149"/>
    </row>
    <row r="531" spans="1:11" x14ac:dyDescent="0.2">
      <c r="A531" s="182"/>
      <c r="B531" s="149"/>
      <c r="C531" s="170"/>
      <c r="D531" s="149"/>
      <c r="E531" s="179"/>
      <c r="F531" s="179"/>
      <c r="G531" s="149"/>
      <c r="H531" s="179"/>
      <c r="I531" s="149" t="s">
        <v>902</v>
      </c>
      <c r="J531" s="153" t="str">
        <f t="shared" si="7"/>
        <v/>
      </c>
      <c r="K531" s="149"/>
    </row>
    <row r="532" spans="1:11" x14ac:dyDescent="0.2">
      <c r="A532" s="182"/>
      <c r="B532" s="149"/>
      <c r="C532" s="170"/>
      <c r="D532" s="149"/>
      <c r="E532" s="179"/>
      <c r="F532" s="179"/>
      <c r="G532" s="149"/>
      <c r="H532" s="179"/>
      <c r="I532" s="149" t="s">
        <v>902</v>
      </c>
      <c r="J532" s="153" t="str">
        <f t="shared" si="7"/>
        <v/>
      </c>
      <c r="K532" s="149"/>
    </row>
    <row r="533" spans="1:11" x14ac:dyDescent="0.2">
      <c r="A533" s="182"/>
      <c r="B533" s="149"/>
      <c r="C533" s="170"/>
      <c r="D533" s="149"/>
      <c r="E533" s="179"/>
      <c r="F533" s="179"/>
      <c r="G533" s="149"/>
      <c r="H533" s="179"/>
      <c r="I533" s="149" t="s">
        <v>902</v>
      </c>
      <c r="J533" s="153" t="str">
        <f t="shared" si="7"/>
        <v/>
      </c>
      <c r="K533" s="149"/>
    </row>
    <row r="534" spans="1:11" x14ac:dyDescent="0.2">
      <c r="A534" s="182"/>
      <c r="B534" s="149"/>
      <c r="C534" s="170"/>
      <c r="D534" s="149"/>
      <c r="E534" s="179"/>
      <c r="F534" s="179"/>
      <c r="G534" s="149"/>
      <c r="H534" s="179"/>
      <c r="I534" s="149" t="s">
        <v>902</v>
      </c>
      <c r="J534" s="153" t="str">
        <f t="shared" si="7"/>
        <v/>
      </c>
      <c r="K534" s="149"/>
    </row>
    <row r="535" spans="1:11" x14ac:dyDescent="0.2">
      <c r="A535" s="182"/>
      <c r="B535" s="149"/>
      <c r="C535" s="170"/>
      <c r="D535" s="149"/>
      <c r="E535" s="179"/>
      <c r="F535" s="179"/>
      <c r="G535" s="149"/>
      <c r="H535" s="179"/>
      <c r="I535" s="149" t="s">
        <v>902</v>
      </c>
      <c r="J535" s="153" t="str">
        <f t="shared" si="7"/>
        <v/>
      </c>
      <c r="K535" s="149"/>
    </row>
    <row r="536" spans="1:11" x14ac:dyDescent="0.2">
      <c r="A536" s="182"/>
      <c r="B536" s="149"/>
      <c r="C536" s="170"/>
      <c r="D536" s="149"/>
      <c r="E536" s="179"/>
      <c r="F536" s="179"/>
      <c r="G536" s="149"/>
      <c r="H536" s="179"/>
      <c r="I536" s="149" t="s">
        <v>902</v>
      </c>
      <c r="J536" s="153" t="str">
        <f t="shared" si="7"/>
        <v/>
      </c>
      <c r="K536" s="149"/>
    </row>
    <row r="537" spans="1:11" x14ac:dyDescent="0.2">
      <c r="A537" s="182"/>
      <c r="B537" s="149"/>
      <c r="C537" s="170"/>
      <c r="D537" s="149"/>
      <c r="E537" s="179"/>
      <c r="F537" s="179"/>
      <c r="G537" s="149"/>
      <c r="H537" s="179"/>
      <c r="I537" s="149" t="s">
        <v>902</v>
      </c>
      <c r="J537" s="153" t="str">
        <f t="shared" si="7"/>
        <v/>
      </c>
      <c r="K537" s="149"/>
    </row>
    <row r="538" spans="1:11" ht="24" customHeight="1" x14ac:dyDescent="0.2">
      <c r="A538" s="183" t="s">
        <v>960</v>
      </c>
      <c r="B538" s="183"/>
      <c r="C538" s="184" t="s">
        <v>50</v>
      </c>
      <c r="D538" s="183"/>
      <c r="E538" s="185">
        <f>SUBTOTAL(9,E3:E537)</f>
        <v>0</v>
      </c>
      <c r="F538" s="186">
        <f>SUBTOTAL(9,F3:F537)</f>
        <v>0</v>
      </c>
      <c r="G538" s="187">
        <f>SUBTOTAL(9,G3:G537)</f>
        <v>1147020</v>
      </c>
      <c r="H538" s="186">
        <f>SUBTOTAL(9,H3:H537)</f>
        <v>85610</v>
      </c>
      <c r="I538" s="183"/>
      <c r="J538" s="188">
        <f>SUBTOTAL(9,J3:J537)</f>
        <v>-1061410</v>
      </c>
      <c r="K538" s="183"/>
    </row>
  </sheetData>
  <autoFilter ref="A2:K537" xr:uid="{00000000-0009-0000-0000-000005000000}"/>
  <conditionalFormatting sqref="A3:I537 K3:K537">
    <cfRule type="expression" dxfId="13" priority="3">
      <formula>AND($A3&lt;&gt;"",MOD(ROW(),2)=0)</formula>
    </cfRule>
  </conditionalFormatting>
  <conditionalFormatting sqref="B1:B1048576">
    <cfRule type="duplicateValues" dxfId="12" priority="1"/>
  </conditionalFormatting>
  <dataValidations count="3">
    <dataValidation type="list" allowBlank="1" sqref="K538 I3:I538" xr:uid="{00000000-0002-0000-0500-000000000000}">
      <formula1>"Cash,Bank,Cheque,QR"</formula1>
    </dataValidation>
    <dataValidation allowBlank="1" sqref="K3:K537" xr:uid="{00000000-0002-0000-0500-000001000000}"/>
    <dataValidation type="list" allowBlank="1" showInputMessage="1" showErrorMessage="1" sqref="E2:E538" xr:uid="{00000000-0002-0000-0500-000002000000}">
      <formula1>"Collection, Payment, Advance"</formula1>
    </dataValidation>
  </dataValidation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72"/>
  <sheetViews>
    <sheetView zoomScaleNormal="100" workbookViewId="0">
      <selection activeCell="K39" sqref="K39"/>
    </sheetView>
  </sheetViews>
  <sheetFormatPr baseColWidth="10" defaultColWidth="8.83203125" defaultRowHeight="15" x14ac:dyDescent="0.2"/>
  <cols>
    <col min="1" max="1" width="14.5" customWidth="1"/>
    <col min="2" max="2" width="12" bestFit="1" customWidth="1"/>
    <col min="3" max="3" width="10.1640625" bestFit="1" customWidth="1"/>
    <col min="4" max="4" width="6" customWidth="1"/>
    <col min="5" max="5" width="6.5" customWidth="1"/>
    <col min="6" max="6" width="6.83203125" customWidth="1"/>
    <col min="7" max="7" width="6.6640625" customWidth="1"/>
    <col min="8" max="8" width="6.5" customWidth="1"/>
    <col min="9" max="9" width="7.1640625" customWidth="1"/>
    <col min="10" max="10" width="6.6640625" customWidth="1"/>
    <col min="11" max="11" width="9.1640625" bestFit="1" customWidth="1"/>
    <col min="12" max="12" width="11" customWidth="1"/>
    <col min="13" max="13" width="14.1640625" bestFit="1" customWidth="1"/>
    <col min="14" max="15" width="13.6640625" bestFit="1" customWidth="1"/>
  </cols>
  <sheetData>
    <row r="1" spans="1:15" ht="19" customHeight="1" x14ac:dyDescent="0.25">
      <c r="A1" s="211" t="s">
        <v>961</v>
      </c>
      <c r="B1" s="202"/>
      <c r="C1" s="202"/>
      <c r="D1" s="202"/>
      <c r="E1" s="202"/>
      <c r="F1" s="202"/>
    </row>
    <row r="2" spans="1:15" x14ac:dyDescent="0.2">
      <c r="A2" s="165"/>
    </row>
    <row r="3" spans="1:15" x14ac:dyDescent="0.2">
      <c r="A3" s="196" t="s">
        <v>11</v>
      </c>
      <c r="B3" s="197" t="s">
        <v>962</v>
      </c>
      <c r="C3" s="197" t="s">
        <v>963</v>
      </c>
      <c r="D3" s="197" t="s">
        <v>964</v>
      </c>
      <c r="E3" s="197" t="s">
        <v>965</v>
      </c>
      <c r="F3" s="197" t="s">
        <v>966</v>
      </c>
      <c r="G3" s="197" t="s">
        <v>967</v>
      </c>
      <c r="H3" s="197" t="s">
        <v>968</v>
      </c>
      <c r="I3" s="197" t="s">
        <v>969</v>
      </c>
      <c r="J3" s="197" t="s">
        <v>970</v>
      </c>
      <c r="K3" s="197" t="s">
        <v>971</v>
      </c>
      <c r="L3" s="197" t="s">
        <v>972</v>
      </c>
      <c r="M3" s="196" t="s">
        <v>973</v>
      </c>
      <c r="N3" s="196" t="s">
        <v>974</v>
      </c>
      <c r="O3" s="196" t="s">
        <v>60</v>
      </c>
    </row>
    <row r="4" spans="1:15" x14ac:dyDescent="0.2">
      <c r="A4" s="193" t="s">
        <v>899</v>
      </c>
      <c r="B4" s="194">
        <v>34</v>
      </c>
      <c r="C4" s="194"/>
      <c r="D4" s="194"/>
      <c r="E4" s="194"/>
      <c r="F4" s="194"/>
      <c r="G4" s="194"/>
      <c r="H4" s="194"/>
      <c r="I4" s="194"/>
      <c r="J4" s="194"/>
      <c r="K4" s="153"/>
      <c r="L4" s="153">
        <f t="shared" ref="L4:L37" si="0">B4*1000+C4*500+D4*100+E4*50+F4*20+G4*10+H4*5+I4*2+J4*1+K4</f>
        <v>34000</v>
      </c>
      <c r="M4" s="153">
        <f>SUMIFS(Collection!G:G,Collection!A:A,A4)-SUMIFS(Collection!H:H,Collection!A:A,A4)</f>
        <v>34000</v>
      </c>
      <c r="N4" s="198">
        <f t="shared" ref="N4:N46" si="1">M4-L4</f>
        <v>0</v>
      </c>
      <c r="O4" s="198" t="s">
        <v>1223</v>
      </c>
    </row>
    <row r="5" spans="1:15" x14ac:dyDescent="0.2">
      <c r="A5" s="193" t="s">
        <v>912</v>
      </c>
      <c r="B5" s="194">
        <v>36</v>
      </c>
      <c r="C5" s="194">
        <v>1</v>
      </c>
      <c r="D5" s="194">
        <v>4</v>
      </c>
      <c r="E5" s="194"/>
      <c r="F5" s="194">
        <v>1</v>
      </c>
      <c r="G5" s="194"/>
      <c r="H5" s="194"/>
      <c r="I5" s="194"/>
      <c r="J5" s="194"/>
      <c r="K5" s="153"/>
      <c r="L5" s="153">
        <f t="shared" si="0"/>
        <v>36920</v>
      </c>
      <c r="M5" s="153">
        <f>SUMIFS(Collection!G:G,Collection!A:A,A5)-SUMIFS(Collection!H:H,Collection!A:A,A5)</f>
        <v>36965</v>
      </c>
      <c r="N5" s="198">
        <f t="shared" si="1"/>
        <v>45</v>
      </c>
      <c r="O5" s="198" t="s">
        <v>1223</v>
      </c>
    </row>
    <row r="6" spans="1:15" x14ac:dyDescent="0.2">
      <c r="A6" s="193" t="s">
        <v>913</v>
      </c>
      <c r="B6" s="194">
        <v>19</v>
      </c>
      <c r="C6" s="194"/>
      <c r="D6" s="194">
        <v>3</v>
      </c>
      <c r="E6" s="194"/>
      <c r="F6" s="194">
        <v>3</v>
      </c>
      <c r="G6" s="194"/>
      <c r="H6" s="194">
        <v>1</v>
      </c>
      <c r="I6" s="194"/>
      <c r="J6" s="194"/>
      <c r="K6" s="153"/>
      <c r="L6" s="153">
        <f t="shared" si="0"/>
        <v>19365</v>
      </c>
      <c r="M6" s="153">
        <f>SUMIFS(Collection!G:G,Collection!A:A,A6)-SUMIFS(Collection!H:H,Collection!A:A,A6)</f>
        <v>19365</v>
      </c>
      <c r="N6" s="198">
        <f t="shared" si="1"/>
        <v>0</v>
      </c>
      <c r="O6" s="198" t="s">
        <v>1223</v>
      </c>
    </row>
    <row r="7" spans="1:15" x14ac:dyDescent="0.2">
      <c r="A7" s="193" t="s">
        <v>914</v>
      </c>
      <c r="B7" s="194">
        <v>24</v>
      </c>
      <c r="C7" s="194"/>
      <c r="D7" s="194">
        <v>4</v>
      </c>
      <c r="E7" s="194">
        <v>1</v>
      </c>
      <c r="F7" s="194">
        <v>2</v>
      </c>
      <c r="G7" s="194"/>
      <c r="H7" s="194"/>
      <c r="I7" s="194"/>
      <c r="J7" s="194"/>
      <c r="K7" s="153"/>
      <c r="L7" s="153">
        <f t="shared" si="0"/>
        <v>24490</v>
      </c>
      <c r="M7" s="153">
        <f>SUMIFS(Collection!G:G,Collection!A:A,A7)-SUMIFS(Collection!H:H,Collection!A:A,A7)</f>
        <v>24490</v>
      </c>
      <c r="N7" s="198">
        <f t="shared" si="1"/>
        <v>0</v>
      </c>
      <c r="O7" s="198" t="s">
        <v>1223</v>
      </c>
    </row>
    <row r="8" spans="1:15" x14ac:dyDescent="0.2">
      <c r="A8" s="193" t="s">
        <v>915</v>
      </c>
      <c r="B8" s="194">
        <v>26</v>
      </c>
      <c r="C8" s="194">
        <v>1</v>
      </c>
      <c r="D8" s="194">
        <v>1</v>
      </c>
      <c r="E8" s="194">
        <v>1</v>
      </c>
      <c r="F8" s="194"/>
      <c r="G8" s="194"/>
      <c r="H8" s="194">
        <v>1</v>
      </c>
      <c r="I8" s="194"/>
      <c r="J8" s="194"/>
      <c r="K8" s="153"/>
      <c r="L8" s="153">
        <f t="shared" si="0"/>
        <v>26655</v>
      </c>
      <c r="M8" s="153">
        <f>SUMIFS(Collection!G:G,Collection!A:A,A8)-SUMIFS(Collection!H:H,Collection!A:A,A8)</f>
        <v>26835</v>
      </c>
      <c r="N8" s="198">
        <f t="shared" si="1"/>
        <v>180</v>
      </c>
      <c r="O8" s="198" t="s">
        <v>1223</v>
      </c>
    </row>
    <row r="9" spans="1:15" x14ac:dyDescent="0.2">
      <c r="A9" s="193" t="s">
        <v>916</v>
      </c>
      <c r="B9" s="194">
        <v>27</v>
      </c>
      <c r="C9" s="194">
        <v>1</v>
      </c>
      <c r="D9" s="194">
        <v>3</v>
      </c>
      <c r="E9" s="194"/>
      <c r="F9" s="194"/>
      <c r="G9" s="194">
        <v>1</v>
      </c>
      <c r="H9" s="194"/>
      <c r="I9" s="194"/>
      <c r="J9" s="194"/>
      <c r="K9" s="153"/>
      <c r="L9" s="153">
        <f t="shared" si="0"/>
        <v>27810</v>
      </c>
      <c r="M9" s="153">
        <f>SUMIFS(Collection!G:G,Collection!A:A,A9)-SUMIFS(Collection!H:H,Collection!A:A,A9)</f>
        <v>27810</v>
      </c>
      <c r="N9" s="198">
        <f t="shared" si="1"/>
        <v>0</v>
      </c>
      <c r="O9" s="198" t="s">
        <v>1223</v>
      </c>
    </row>
    <row r="10" spans="1:15" x14ac:dyDescent="0.2">
      <c r="A10" s="193" t="s">
        <v>918</v>
      </c>
      <c r="B10" s="194">
        <v>9</v>
      </c>
      <c r="C10" s="194">
        <v>21</v>
      </c>
      <c r="D10" s="194">
        <v>55</v>
      </c>
      <c r="E10" s="194">
        <v>34</v>
      </c>
      <c r="F10" s="194">
        <v>10</v>
      </c>
      <c r="G10" s="194">
        <v>36</v>
      </c>
      <c r="H10" s="194">
        <v>70</v>
      </c>
      <c r="I10" s="194"/>
      <c r="J10" s="194"/>
      <c r="K10" s="153"/>
      <c r="L10" s="153">
        <f t="shared" si="0"/>
        <v>27610</v>
      </c>
      <c r="M10" s="153">
        <f>SUMIFS(Collection!G:G,Collection!A:A,A10)-SUMIFS(Collection!H:H,Collection!A:A,A10)</f>
        <v>27180</v>
      </c>
      <c r="N10" s="198">
        <f t="shared" si="1"/>
        <v>-430</v>
      </c>
      <c r="O10" s="198" t="s">
        <v>1224</v>
      </c>
    </row>
    <row r="11" spans="1:15" x14ac:dyDescent="0.2">
      <c r="A11" s="193" t="s">
        <v>919</v>
      </c>
      <c r="B11" s="194">
        <v>11</v>
      </c>
      <c r="C11" s="194">
        <v>14</v>
      </c>
      <c r="D11" s="194">
        <v>45</v>
      </c>
      <c r="E11" s="194">
        <v>42</v>
      </c>
      <c r="F11" s="194">
        <v>46</v>
      </c>
      <c r="G11" s="194">
        <v>20</v>
      </c>
      <c r="H11" s="194">
        <v>7</v>
      </c>
      <c r="I11" s="194"/>
      <c r="J11" s="194"/>
      <c r="K11" s="153">
        <v>320</v>
      </c>
      <c r="L11" s="153">
        <f t="shared" si="0"/>
        <v>26075</v>
      </c>
      <c r="M11" s="153">
        <f>SUMIFS(Collection!G:G,Collection!A:A,A11)-SUMIFS(Collection!H:H,Collection!A:A,A11)</f>
        <v>25760</v>
      </c>
      <c r="N11" s="198">
        <f t="shared" si="1"/>
        <v>-315</v>
      </c>
      <c r="O11" s="198" t="s">
        <v>1224</v>
      </c>
    </row>
    <row r="12" spans="1:15" x14ac:dyDescent="0.2">
      <c r="A12" s="193" t="s">
        <v>920</v>
      </c>
      <c r="B12" s="194">
        <v>5</v>
      </c>
      <c r="C12" s="194">
        <v>13</v>
      </c>
      <c r="D12" s="194">
        <v>70</v>
      </c>
      <c r="E12" s="194">
        <v>59</v>
      </c>
      <c r="F12" s="194">
        <v>57</v>
      </c>
      <c r="G12" s="194">
        <v>53</v>
      </c>
      <c r="H12" s="194">
        <v>9</v>
      </c>
      <c r="I12" s="194"/>
      <c r="J12" s="194"/>
      <c r="K12" s="153">
        <v>350</v>
      </c>
      <c r="L12" s="153">
        <f t="shared" si="0"/>
        <v>23515</v>
      </c>
      <c r="M12" s="153">
        <f>SUMIFS(Collection!G:G,Collection!A:A,A12)-SUMIFS(Collection!H:H,Collection!A:A,A12)</f>
        <v>24380</v>
      </c>
      <c r="N12" s="198">
        <f t="shared" si="1"/>
        <v>865</v>
      </c>
      <c r="O12" s="198" t="s">
        <v>1224</v>
      </c>
    </row>
    <row r="13" spans="1:15" x14ac:dyDescent="0.2">
      <c r="A13" s="193" t="s">
        <v>921</v>
      </c>
      <c r="B13" s="194">
        <v>12</v>
      </c>
      <c r="C13" s="194">
        <v>19</v>
      </c>
      <c r="D13" s="194">
        <v>54</v>
      </c>
      <c r="E13" s="194">
        <v>24</v>
      </c>
      <c r="F13" s="194">
        <v>26</v>
      </c>
      <c r="G13" s="194">
        <v>26</v>
      </c>
      <c r="H13" s="194">
        <v>2</v>
      </c>
      <c r="I13" s="194"/>
      <c r="J13" s="194"/>
      <c r="K13" s="153"/>
      <c r="L13" s="153">
        <f t="shared" si="0"/>
        <v>28890</v>
      </c>
      <c r="M13" s="153">
        <f>SUMIFS(Collection!G:G,Collection!A:A,A13)-SUMIFS(Collection!H:H,Collection!A:A,A13)</f>
        <v>28790</v>
      </c>
      <c r="N13" s="198">
        <f t="shared" si="1"/>
        <v>-100</v>
      </c>
      <c r="O13" s="198" t="s">
        <v>1224</v>
      </c>
    </row>
    <row r="14" spans="1:15" x14ac:dyDescent="0.2">
      <c r="A14" s="193" t="s">
        <v>922</v>
      </c>
      <c r="B14" s="194">
        <v>7</v>
      </c>
      <c r="C14" s="194">
        <v>17</v>
      </c>
      <c r="D14" s="194">
        <v>45</v>
      </c>
      <c r="E14" s="194">
        <v>38</v>
      </c>
      <c r="F14" s="194">
        <v>40</v>
      </c>
      <c r="G14" s="194">
        <v>18</v>
      </c>
      <c r="H14" s="194">
        <v>11</v>
      </c>
      <c r="I14" s="194"/>
      <c r="J14" s="194"/>
      <c r="K14" s="153">
        <v>17600</v>
      </c>
      <c r="L14" s="153">
        <f t="shared" si="0"/>
        <v>40535</v>
      </c>
      <c r="M14" s="153">
        <f>SUMIFS(Collection!G:G,Collection!A:A,A14)-SUMIFS(Collection!H:H,Collection!A:A,A14)</f>
        <v>40535</v>
      </c>
      <c r="N14" s="198">
        <f t="shared" si="1"/>
        <v>0</v>
      </c>
      <c r="O14" s="198" t="s">
        <v>1224</v>
      </c>
    </row>
    <row r="15" spans="1:15" x14ac:dyDescent="0.2">
      <c r="A15" s="193" t="s">
        <v>924</v>
      </c>
      <c r="B15" s="194">
        <v>8</v>
      </c>
      <c r="C15" s="194">
        <v>16</v>
      </c>
      <c r="D15" s="194">
        <v>41</v>
      </c>
      <c r="E15" s="194">
        <v>43</v>
      </c>
      <c r="F15" s="194">
        <v>10</v>
      </c>
      <c r="G15" s="194">
        <v>50</v>
      </c>
      <c r="H15" s="194">
        <v>4</v>
      </c>
      <c r="I15" s="194"/>
      <c r="J15" s="194"/>
      <c r="K15" s="153"/>
      <c r="L15" s="153">
        <f t="shared" si="0"/>
        <v>22970</v>
      </c>
      <c r="M15" s="153">
        <f>SUMIFS(Collection!G:G,Collection!A:A,A15)-SUMIFS(Collection!H:H,Collection!A:A,A15)</f>
        <v>22970</v>
      </c>
      <c r="N15" s="198">
        <f t="shared" si="1"/>
        <v>0</v>
      </c>
      <c r="O15" s="198" t="s">
        <v>1224</v>
      </c>
    </row>
    <row r="16" spans="1:15" x14ac:dyDescent="0.2">
      <c r="A16" s="193" t="s">
        <v>925</v>
      </c>
      <c r="B16" s="194">
        <v>10</v>
      </c>
      <c r="C16" s="194">
        <v>7</v>
      </c>
      <c r="D16" s="194">
        <v>36</v>
      </c>
      <c r="E16" s="194">
        <v>29</v>
      </c>
      <c r="F16" s="194">
        <v>20</v>
      </c>
      <c r="G16" s="194">
        <v>3</v>
      </c>
      <c r="H16" s="194">
        <v>4</v>
      </c>
      <c r="I16" s="194"/>
      <c r="J16" s="194"/>
      <c r="K16" s="153"/>
      <c r="L16" s="153">
        <f t="shared" si="0"/>
        <v>19000</v>
      </c>
      <c r="M16" s="153">
        <f>SUMIFS(Collection!G:G,Collection!A:A,A16)-SUMIFS(Collection!H:H,Collection!A:A,A16)</f>
        <v>18610</v>
      </c>
      <c r="N16" s="198">
        <f t="shared" si="1"/>
        <v>-390</v>
      </c>
      <c r="O16" s="198" t="s">
        <v>1224</v>
      </c>
    </row>
    <row r="17" spans="1:15" x14ac:dyDescent="0.2">
      <c r="A17" s="193" t="s">
        <v>926</v>
      </c>
      <c r="B17" s="194">
        <v>5</v>
      </c>
      <c r="C17" s="194">
        <v>13</v>
      </c>
      <c r="D17" s="194">
        <v>41</v>
      </c>
      <c r="E17" s="194">
        <v>70</v>
      </c>
      <c r="F17" s="194">
        <v>62</v>
      </c>
      <c r="G17" s="194">
        <v>94</v>
      </c>
      <c r="H17" s="194">
        <v>76</v>
      </c>
      <c r="I17" s="194"/>
      <c r="J17" s="194"/>
      <c r="K17" s="153"/>
      <c r="L17" s="153">
        <f t="shared" si="0"/>
        <v>21660</v>
      </c>
      <c r="M17" s="153">
        <f>SUMIFS(Collection!G:G,Collection!A:A,A17)-SUMIFS(Collection!H:H,Collection!A:A,A17)</f>
        <v>22215</v>
      </c>
      <c r="N17" s="198">
        <f t="shared" si="1"/>
        <v>555</v>
      </c>
      <c r="O17" s="198" t="s">
        <v>1224</v>
      </c>
    </row>
    <row r="18" spans="1:15" x14ac:dyDescent="0.2">
      <c r="A18" s="193" t="s">
        <v>927</v>
      </c>
      <c r="B18" s="194">
        <v>17</v>
      </c>
      <c r="C18" s="194">
        <v>22</v>
      </c>
      <c r="D18" s="194">
        <v>48</v>
      </c>
      <c r="E18" s="194">
        <v>63</v>
      </c>
      <c r="F18" s="194">
        <v>25</v>
      </c>
      <c r="G18" s="194">
        <v>17</v>
      </c>
      <c r="H18" s="194">
        <v>4</v>
      </c>
      <c r="I18" s="194"/>
      <c r="J18" s="194"/>
      <c r="K18" s="153">
        <v>525</v>
      </c>
      <c r="L18" s="153">
        <f t="shared" si="0"/>
        <v>37165</v>
      </c>
      <c r="M18" s="153">
        <f>SUMIFS(Collection!G:G,Collection!A:A,A18)-SUMIFS(Collection!H:H,Collection!A:A,A18)</f>
        <v>36990</v>
      </c>
      <c r="N18" s="198">
        <f t="shared" si="1"/>
        <v>-175</v>
      </c>
      <c r="O18" s="198" t="s">
        <v>1224</v>
      </c>
    </row>
    <row r="19" spans="1:15" x14ac:dyDescent="0.2">
      <c r="A19" s="193" t="s">
        <v>928</v>
      </c>
      <c r="B19" s="194">
        <v>7</v>
      </c>
      <c r="C19" s="194">
        <v>25</v>
      </c>
      <c r="D19" s="194">
        <v>40</v>
      </c>
      <c r="E19" s="194">
        <v>32</v>
      </c>
      <c r="F19" s="194">
        <v>31</v>
      </c>
      <c r="G19" s="194">
        <v>61</v>
      </c>
      <c r="H19" s="194">
        <v>7</v>
      </c>
      <c r="I19" s="194"/>
      <c r="J19" s="194"/>
      <c r="K19" s="153"/>
      <c r="L19" s="153">
        <f t="shared" si="0"/>
        <v>26365</v>
      </c>
      <c r="M19" s="153">
        <f>SUMIFS(Collection!G:G,Collection!A:A,A19)-SUMIFS(Collection!H:H,Collection!A:A,A19)</f>
        <v>26365</v>
      </c>
      <c r="N19" s="198">
        <f t="shared" si="1"/>
        <v>0</v>
      </c>
      <c r="O19" s="198" t="s">
        <v>1225</v>
      </c>
    </row>
    <row r="20" spans="1:15" x14ac:dyDescent="0.2">
      <c r="A20" s="193" t="s">
        <v>404</v>
      </c>
      <c r="B20" s="194">
        <v>10</v>
      </c>
      <c r="C20" s="194">
        <v>12</v>
      </c>
      <c r="D20" s="194">
        <v>49</v>
      </c>
      <c r="E20" s="194">
        <v>55</v>
      </c>
      <c r="F20" s="194">
        <v>36</v>
      </c>
      <c r="G20" s="194">
        <v>41</v>
      </c>
      <c r="H20" s="194">
        <v>2</v>
      </c>
      <c r="I20" s="194"/>
      <c r="J20" s="194"/>
      <c r="K20" s="153">
        <v>1600</v>
      </c>
      <c r="L20" s="153">
        <f t="shared" si="0"/>
        <v>26390</v>
      </c>
      <c r="M20" s="153">
        <f>SUMIFS(Collection!G:G,Collection!A:A,A20)-SUMIFS(Collection!H:H,Collection!A:A,A20)</f>
        <v>26390</v>
      </c>
      <c r="N20" s="198">
        <f t="shared" si="1"/>
        <v>0</v>
      </c>
      <c r="O20" s="198" t="s">
        <v>1225</v>
      </c>
    </row>
    <row r="21" spans="1:15" x14ac:dyDescent="0.2">
      <c r="A21" s="195">
        <v>66932</v>
      </c>
      <c r="B21" s="194">
        <v>31</v>
      </c>
      <c r="C21" s="194">
        <v>9</v>
      </c>
      <c r="D21" s="194">
        <v>58</v>
      </c>
      <c r="E21" s="194">
        <v>41</v>
      </c>
      <c r="F21" s="194">
        <v>16</v>
      </c>
      <c r="G21" s="194">
        <v>60</v>
      </c>
      <c r="H21" s="194">
        <v>42</v>
      </c>
      <c r="I21" s="194"/>
      <c r="J21" s="194"/>
      <c r="K21" s="153"/>
      <c r="L21" s="153">
        <f t="shared" si="0"/>
        <v>44480</v>
      </c>
      <c r="M21" s="153">
        <f>SUMIFS(Collection!G:G,Collection!A:A,A21)-SUMIFS(Collection!H:H,Collection!A:A,A21)</f>
        <v>44470</v>
      </c>
      <c r="N21" s="198">
        <f t="shared" si="1"/>
        <v>-10</v>
      </c>
      <c r="O21" s="198" t="s">
        <v>1225</v>
      </c>
    </row>
    <row r="22" spans="1:15" x14ac:dyDescent="0.2">
      <c r="A22" s="195">
        <v>66933</v>
      </c>
      <c r="B22" s="194">
        <v>50</v>
      </c>
      <c r="C22" s="194">
        <v>28</v>
      </c>
      <c r="D22" s="194">
        <v>111</v>
      </c>
      <c r="E22" s="194">
        <v>37</v>
      </c>
      <c r="F22" s="194">
        <v>2</v>
      </c>
      <c r="G22" s="194">
        <v>9</v>
      </c>
      <c r="H22" s="194">
        <v>2</v>
      </c>
      <c r="I22" s="194"/>
      <c r="J22" s="194"/>
      <c r="K22" s="153"/>
      <c r="L22" s="153">
        <f t="shared" si="0"/>
        <v>77090</v>
      </c>
      <c r="M22" s="153">
        <f>SUMIFS(Collection!G:G,Collection!A:A,A22)-SUMIFS(Collection!H:H,Collection!A:A,A22)</f>
        <v>77160</v>
      </c>
      <c r="N22" s="198">
        <f t="shared" si="1"/>
        <v>70</v>
      </c>
      <c r="O22" s="198" t="s">
        <v>1225</v>
      </c>
    </row>
    <row r="23" spans="1:15" x14ac:dyDescent="0.2">
      <c r="A23" s="195">
        <v>66934</v>
      </c>
      <c r="B23" s="194">
        <v>26</v>
      </c>
      <c r="C23" s="194">
        <v>16</v>
      </c>
      <c r="D23" s="194">
        <v>38</v>
      </c>
      <c r="E23" s="194">
        <v>40</v>
      </c>
      <c r="F23" s="194">
        <v>36</v>
      </c>
      <c r="G23" s="194">
        <v>36</v>
      </c>
      <c r="H23" s="194"/>
      <c r="I23" s="194"/>
      <c r="J23" s="194"/>
      <c r="K23" s="153"/>
      <c r="L23" s="153">
        <f t="shared" si="0"/>
        <v>40880</v>
      </c>
      <c r="M23" s="153">
        <f>SUMIFS(Collection!G:G,Collection!A:A,A23)-SUMIFS(Collection!H:H,Collection!A:A,A23)</f>
        <v>40850</v>
      </c>
      <c r="N23" s="198">
        <f t="shared" si="1"/>
        <v>-30</v>
      </c>
      <c r="O23" s="198" t="s">
        <v>1225</v>
      </c>
    </row>
    <row r="24" spans="1:15" x14ac:dyDescent="0.2">
      <c r="A24" s="195">
        <v>66935</v>
      </c>
      <c r="B24" s="194">
        <v>20</v>
      </c>
      <c r="C24" s="194">
        <v>23</v>
      </c>
      <c r="D24" s="194">
        <v>81</v>
      </c>
      <c r="E24" s="194">
        <v>11</v>
      </c>
      <c r="F24" s="194">
        <v>35</v>
      </c>
      <c r="G24" s="194">
        <v>53</v>
      </c>
      <c r="H24" s="194">
        <v>15</v>
      </c>
      <c r="I24" s="194"/>
      <c r="J24" s="194"/>
      <c r="K24" s="153">
        <v>2880</v>
      </c>
      <c r="L24" s="153">
        <f t="shared" si="0"/>
        <v>44335</v>
      </c>
      <c r="M24" s="153">
        <f>SUMIFS(Collection!G:G,Collection!A:A,A24)-SUMIFS(Collection!H:H,Collection!A:A,A24)</f>
        <v>44355</v>
      </c>
      <c r="N24" s="198">
        <f t="shared" si="1"/>
        <v>20</v>
      </c>
      <c r="O24" s="198" t="s">
        <v>1225</v>
      </c>
    </row>
    <row r="25" spans="1:15" x14ac:dyDescent="0.2">
      <c r="A25" s="195">
        <v>66936</v>
      </c>
      <c r="B25" s="194">
        <v>13</v>
      </c>
      <c r="C25" s="194">
        <v>13</v>
      </c>
      <c r="D25" s="194">
        <v>49</v>
      </c>
      <c r="E25" s="194">
        <v>31</v>
      </c>
      <c r="F25" s="194">
        <v>15</v>
      </c>
      <c r="G25" s="194"/>
      <c r="H25" s="194">
        <v>1</v>
      </c>
      <c r="I25" s="194"/>
      <c r="J25" s="194"/>
      <c r="K25" s="153">
        <v>3100</v>
      </c>
      <c r="L25" s="153">
        <f t="shared" si="0"/>
        <v>29355</v>
      </c>
      <c r="M25" s="153">
        <f>SUMIFS(Collection!G:G,Collection!A:A,A25)-SUMIFS(Collection!H:H,Collection!A:A,A25)</f>
        <v>29355</v>
      </c>
      <c r="N25" s="198">
        <f t="shared" si="1"/>
        <v>0</v>
      </c>
      <c r="O25" s="198" t="s">
        <v>1225</v>
      </c>
    </row>
    <row r="26" spans="1:15" x14ac:dyDescent="0.2">
      <c r="A26" s="195">
        <v>66937</v>
      </c>
      <c r="B26" s="194">
        <v>12</v>
      </c>
      <c r="C26" s="194">
        <v>9</v>
      </c>
      <c r="D26" s="194">
        <v>56</v>
      </c>
      <c r="E26" s="194">
        <v>82</v>
      </c>
      <c r="F26" s="194">
        <v>2</v>
      </c>
      <c r="G26" s="194">
        <v>6</v>
      </c>
      <c r="H26" s="194">
        <v>1</v>
      </c>
      <c r="I26" s="194"/>
      <c r="J26" s="194"/>
      <c r="K26" s="153">
        <v>15</v>
      </c>
      <c r="L26" s="153">
        <f t="shared" si="0"/>
        <v>26320</v>
      </c>
      <c r="M26" s="153">
        <f>SUMIFS(Collection!G:G,Collection!A:A,A26)-SUMIFS(Collection!H:H,Collection!A:A,A26)</f>
        <v>26220</v>
      </c>
      <c r="N26" s="198">
        <f t="shared" si="1"/>
        <v>-100</v>
      </c>
      <c r="O26" s="198" t="s">
        <v>1225</v>
      </c>
    </row>
    <row r="27" spans="1:15" x14ac:dyDescent="0.2">
      <c r="A27" s="195">
        <v>66938</v>
      </c>
      <c r="B27" s="194">
        <v>28</v>
      </c>
      <c r="C27" s="194">
        <v>11</v>
      </c>
      <c r="D27" s="194">
        <v>34</v>
      </c>
      <c r="E27" s="194">
        <v>23</v>
      </c>
      <c r="F27" s="194">
        <v>23</v>
      </c>
      <c r="G27" s="194">
        <v>8</v>
      </c>
      <c r="H27" s="194">
        <v>2</v>
      </c>
      <c r="I27" s="194"/>
      <c r="J27" s="194"/>
      <c r="K27" s="153">
        <v>1100</v>
      </c>
      <c r="L27" s="153">
        <f t="shared" si="0"/>
        <v>39700</v>
      </c>
      <c r="M27" s="153">
        <f>SUMIFS(Collection!G:G,Collection!A:A,A27)-SUMIFS(Collection!H:H,Collection!A:A,A27)</f>
        <v>39305</v>
      </c>
      <c r="N27" s="198">
        <f t="shared" si="1"/>
        <v>-395</v>
      </c>
      <c r="O27" s="198" t="s">
        <v>1225</v>
      </c>
    </row>
    <row r="28" spans="1:15" x14ac:dyDescent="0.2">
      <c r="A28" s="195">
        <v>66939</v>
      </c>
      <c r="B28" s="194">
        <v>11</v>
      </c>
      <c r="C28" s="194">
        <v>15</v>
      </c>
      <c r="D28" s="194">
        <v>44</v>
      </c>
      <c r="E28" s="194">
        <v>36</v>
      </c>
      <c r="F28" s="194">
        <v>31</v>
      </c>
      <c r="G28" s="194">
        <v>15</v>
      </c>
      <c r="H28" s="194">
        <v>1</v>
      </c>
      <c r="I28" s="194"/>
      <c r="J28" s="194"/>
      <c r="K28" s="153"/>
      <c r="L28" s="153">
        <f t="shared" si="0"/>
        <v>25475</v>
      </c>
      <c r="M28" s="153">
        <f>SUMIFS(Collection!G:G,Collection!A:A,A28)-SUMIFS(Collection!H:H,Collection!A:A,A28)</f>
        <v>25455</v>
      </c>
      <c r="N28" s="198">
        <f t="shared" si="1"/>
        <v>-20</v>
      </c>
      <c r="O28" s="198" t="s">
        <v>1225</v>
      </c>
    </row>
    <row r="29" spans="1:15" x14ac:dyDescent="0.2">
      <c r="A29" s="195">
        <v>66940</v>
      </c>
      <c r="B29" s="194">
        <v>6</v>
      </c>
      <c r="C29" s="194">
        <v>13</v>
      </c>
      <c r="D29" s="194">
        <v>55</v>
      </c>
      <c r="E29" s="194">
        <v>9</v>
      </c>
      <c r="F29" s="194">
        <v>13</v>
      </c>
      <c r="G29" s="194">
        <v>4</v>
      </c>
      <c r="H29" s="194">
        <v>5</v>
      </c>
      <c r="I29" s="194"/>
      <c r="J29" s="194"/>
      <c r="K29" s="153">
        <v>5000</v>
      </c>
      <c r="L29" s="153">
        <f t="shared" si="0"/>
        <v>23775</v>
      </c>
      <c r="M29" s="153">
        <f>SUMIFS(Collection!G:G,Collection!A:A,A29)-SUMIFS(Collection!H:H,Collection!A:A,A29)</f>
        <v>23775</v>
      </c>
      <c r="N29" s="198">
        <f t="shared" si="1"/>
        <v>0</v>
      </c>
      <c r="O29" s="198" t="s">
        <v>1225</v>
      </c>
    </row>
    <row r="30" spans="1:15" x14ac:dyDescent="0.2">
      <c r="A30" s="195">
        <v>66941</v>
      </c>
      <c r="B30" s="194"/>
      <c r="C30" s="194"/>
      <c r="D30" s="194"/>
      <c r="E30" s="194"/>
      <c r="F30" s="194"/>
      <c r="G30" s="194"/>
      <c r="H30" s="194"/>
      <c r="I30" s="194"/>
      <c r="J30" s="194"/>
      <c r="K30" s="153"/>
      <c r="L30" s="153">
        <f t="shared" si="0"/>
        <v>0</v>
      </c>
      <c r="M30" s="153">
        <f>SUMIFS(Collection!G:G,Collection!A:A,A30)-SUMIFS(Collection!H:H,Collection!A:A,A30)</f>
        <v>37075</v>
      </c>
      <c r="N30" s="198">
        <f t="shared" si="1"/>
        <v>37075</v>
      </c>
      <c r="O30" s="198" t="s">
        <v>1225</v>
      </c>
    </row>
    <row r="31" spans="1:15" x14ac:dyDescent="0.2">
      <c r="A31" s="195">
        <v>66942</v>
      </c>
      <c r="B31" s="194">
        <v>2</v>
      </c>
      <c r="C31" s="194">
        <v>7</v>
      </c>
      <c r="D31" s="194">
        <v>40</v>
      </c>
      <c r="E31" s="194">
        <v>18</v>
      </c>
      <c r="F31" s="194">
        <v>31</v>
      </c>
      <c r="G31" s="194">
        <v>49</v>
      </c>
      <c r="H31" s="194">
        <v>39</v>
      </c>
      <c r="I31" s="194"/>
      <c r="J31" s="194">
        <f>7000+80</f>
        <v>7080</v>
      </c>
      <c r="K31" s="153"/>
      <c r="L31" s="153">
        <f t="shared" si="0"/>
        <v>18785</v>
      </c>
      <c r="M31" s="153">
        <f>SUMIFS(Collection!G:G,Collection!A:A,A31)-SUMIFS(Collection!H:H,Collection!A:A,A31)</f>
        <v>18785</v>
      </c>
      <c r="N31" s="198">
        <f t="shared" si="1"/>
        <v>0</v>
      </c>
      <c r="O31" s="198" t="s">
        <v>1224</v>
      </c>
    </row>
    <row r="32" spans="1:15" x14ac:dyDescent="0.2">
      <c r="A32" s="195">
        <v>66943</v>
      </c>
      <c r="B32" s="194">
        <v>4</v>
      </c>
      <c r="C32" s="194">
        <v>8</v>
      </c>
      <c r="D32" s="194">
        <v>31</v>
      </c>
      <c r="E32" s="194">
        <v>59</v>
      </c>
      <c r="F32" s="194">
        <v>23</v>
      </c>
      <c r="G32" s="194">
        <v>10</v>
      </c>
      <c r="H32" s="194">
        <v>76</v>
      </c>
      <c r="I32" s="194"/>
      <c r="J32" s="194"/>
      <c r="K32" s="153">
        <v>80</v>
      </c>
      <c r="L32" s="153">
        <f t="shared" si="0"/>
        <v>15070</v>
      </c>
      <c r="M32" s="153">
        <f>SUMIFS(Collection!G:G,Collection!A:A,A32)-SUMIFS(Collection!H:H,Collection!A:A,A32)</f>
        <v>15070</v>
      </c>
      <c r="N32" s="198">
        <f t="shared" si="1"/>
        <v>0</v>
      </c>
      <c r="O32" s="198" t="s">
        <v>1224</v>
      </c>
    </row>
    <row r="33" spans="1:15" x14ac:dyDescent="0.2">
      <c r="A33" s="195">
        <v>66944</v>
      </c>
      <c r="B33" s="194">
        <v>26</v>
      </c>
      <c r="C33" s="194">
        <v>18</v>
      </c>
      <c r="D33" s="194">
        <v>25</v>
      </c>
      <c r="E33" s="194">
        <v>17</v>
      </c>
      <c r="F33" s="194">
        <v>123</v>
      </c>
      <c r="G33" s="194">
        <v>91</v>
      </c>
      <c r="H33" s="194">
        <v>10</v>
      </c>
      <c r="I33" s="194"/>
      <c r="J33" s="194"/>
      <c r="K33" s="153"/>
      <c r="L33" s="153">
        <f t="shared" si="0"/>
        <v>41770</v>
      </c>
      <c r="M33" s="153">
        <f>SUMIFS(Collection!G:G,Collection!A:A,A33)-SUMIFS(Collection!H:H,Collection!A:A,A33)</f>
        <v>41770</v>
      </c>
      <c r="N33" s="198">
        <f t="shared" si="1"/>
        <v>0</v>
      </c>
      <c r="O33" s="198" t="s">
        <v>1224</v>
      </c>
    </row>
    <row r="34" spans="1:15" x14ac:dyDescent="0.2">
      <c r="A34" s="195">
        <v>66945</v>
      </c>
      <c r="B34" s="194">
        <v>6</v>
      </c>
      <c r="C34" s="194"/>
      <c r="D34" s="194">
        <v>5</v>
      </c>
      <c r="E34" s="194">
        <v>4</v>
      </c>
      <c r="F34" s="194">
        <v>9</v>
      </c>
      <c r="G34" s="194">
        <v>9</v>
      </c>
      <c r="H34" s="194">
        <v>5</v>
      </c>
      <c r="I34" s="194"/>
      <c r="J34" s="194"/>
      <c r="K34" s="153">
        <v>160</v>
      </c>
      <c r="L34" s="153">
        <f t="shared" si="0"/>
        <v>7155</v>
      </c>
      <c r="M34" s="153">
        <f>SUMIFS(Collection!G:G,Collection!A:A,A34)-SUMIFS(Collection!H:H,Collection!A:A,A34)</f>
        <v>7155</v>
      </c>
      <c r="N34" s="198">
        <f t="shared" si="1"/>
        <v>0</v>
      </c>
      <c r="O34" s="198" t="s">
        <v>1224</v>
      </c>
    </row>
    <row r="35" spans="1:15" x14ac:dyDescent="0.2">
      <c r="A35" s="195">
        <v>66946</v>
      </c>
      <c r="B35" s="194">
        <v>39</v>
      </c>
      <c r="C35" s="194">
        <v>15</v>
      </c>
      <c r="D35" s="194">
        <v>5</v>
      </c>
      <c r="E35" s="194">
        <v>1</v>
      </c>
      <c r="F35" s="194"/>
      <c r="G35" s="194">
        <v>3</v>
      </c>
      <c r="H35" s="194">
        <v>2</v>
      </c>
      <c r="I35" s="194"/>
      <c r="J35" s="194"/>
      <c r="K35" s="153"/>
      <c r="L35" s="153">
        <f t="shared" si="0"/>
        <v>47090</v>
      </c>
      <c r="M35" s="153">
        <f>SUMIFS(Collection!G:G,Collection!A:A,A35)-SUMIFS(Collection!H:H,Collection!A:A,A35)</f>
        <v>47090</v>
      </c>
      <c r="N35" s="198">
        <f t="shared" si="1"/>
        <v>0</v>
      </c>
      <c r="O35" s="198" t="s">
        <v>1224</v>
      </c>
    </row>
    <row r="36" spans="1:15" x14ac:dyDescent="0.2">
      <c r="A36" s="195">
        <v>66947</v>
      </c>
      <c r="B36" s="194">
        <v>3</v>
      </c>
      <c r="C36" s="194">
        <v>15</v>
      </c>
      <c r="D36" s="194">
        <v>76</v>
      </c>
      <c r="E36" s="194">
        <v>52</v>
      </c>
      <c r="F36" s="194">
        <v>143</v>
      </c>
      <c r="G36" s="194"/>
      <c r="H36" s="194">
        <v>7</v>
      </c>
      <c r="I36" s="194"/>
      <c r="J36" s="194">
        <f>10685+1100</f>
        <v>11785</v>
      </c>
      <c r="K36" s="153">
        <v>800</v>
      </c>
      <c r="L36" s="153">
        <f t="shared" si="0"/>
        <v>36180</v>
      </c>
      <c r="M36" s="153">
        <f>SUMIFS(Collection!G:G,Collection!A:A,A36)-SUMIFS(Collection!H:H,Collection!A:A,A36)</f>
        <v>37255</v>
      </c>
      <c r="N36" s="198">
        <f t="shared" si="1"/>
        <v>1075</v>
      </c>
      <c r="O36" s="198" t="s">
        <v>1224</v>
      </c>
    </row>
    <row r="37" spans="1:15" x14ac:dyDescent="0.2">
      <c r="A37" s="195">
        <v>66948</v>
      </c>
      <c r="B37" s="194">
        <v>20</v>
      </c>
      <c r="C37" s="194">
        <v>16</v>
      </c>
      <c r="D37" s="194">
        <v>46</v>
      </c>
      <c r="E37" s="194">
        <v>28</v>
      </c>
      <c r="F37" s="194">
        <v>61</v>
      </c>
      <c r="G37" s="194">
        <v>29</v>
      </c>
      <c r="H37" s="194"/>
      <c r="I37" s="194"/>
      <c r="J37" s="194"/>
      <c r="K37" s="153">
        <v>80</v>
      </c>
      <c r="L37" s="153">
        <f t="shared" si="0"/>
        <v>35590</v>
      </c>
      <c r="M37" s="153">
        <f>SUMIFS(Collection!G:G,Collection!A:A,A37)-SUMIFS(Collection!H:H,Collection!A:A,A37)</f>
        <v>36615</v>
      </c>
      <c r="N37" s="198">
        <f t="shared" si="1"/>
        <v>1025</v>
      </c>
      <c r="O37" s="198" t="s">
        <v>1224</v>
      </c>
    </row>
    <row r="38" spans="1:15" x14ac:dyDescent="0.2">
      <c r="A38" s="195">
        <v>66949</v>
      </c>
      <c r="B38" s="194"/>
      <c r="C38" s="194"/>
      <c r="D38" s="194"/>
      <c r="E38" s="194"/>
      <c r="F38" s="194"/>
      <c r="G38" s="194"/>
      <c r="H38" s="194"/>
      <c r="I38" s="194"/>
      <c r="J38" s="194"/>
      <c r="K38" s="153"/>
      <c r="L38" s="153"/>
      <c r="M38" s="153">
        <f>SUMIFS(Collection!G:G,Collection!A:A,A38)-SUMIFS(Collection!H:H,Collection!A:A,A38)</f>
        <v>0</v>
      </c>
      <c r="N38" s="198">
        <f t="shared" si="1"/>
        <v>0</v>
      </c>
      <c r="O38" s="198"/>
    </row>
    <row r="39" spans="1:15" x14ac:dyDescent="0.2">
      <c r="A39" s="195">
        <v>66950</v>
      </c>
      <c r="B39" s="194"/>
      <c r="C39" s="194"/>
      <c r="D39" s="194"/>
      <c r="E39" s="194"/>
      <c r="F39" s="194"/>
      <c r="G39" s="194"/>
      <c r="H39" s="194"/>
      <c r="I39" s="194"/>
      <c r="J39" s="194"/>
      <c r="K39" s="153"/>
      <c r="L39" s="153"/>
      <c r="M39" s="153">
        <f>SUMIFS(Collection!G:G,Collection!A:A,A39)-SUMIFS(Collection!H:H,Collection!A:A,A39)</f>
        <v>0</v>
      </c>
      <c r="N39" s="198">
        <f t="shared" si="1"/>
        <v>0</v>
      </c>
      <c r="O39" s="198"/>
    </row>
    <row r="40" spans="1:15" x14ac:dyDescent="0.2">
      <c r="A40" s="195">
        <v>66951</v>
      </c>
      <c r="B40" s="194"/>
      <c r="C40" s="194"/>
      <c r="D40" s="194"/>
      <c r="E40" s="194"/>
      <c r="F40" s="194"/>
      <c r="G40" s="194"/>
      <c r="H40" s="194"/>
      <c r="I40" s="194"/>
      <c r="J40" s="194"/>
      <c r="K40" s="153"/>
      <c r="L40" s="153"/>
      <c r="M40" s="153">
        <f>SUMIFS(Collection!G:G,Collection!A:A,A40)-SUMIFS(Collection!H:H,Collection!A:A,A40)</f>
        <v>0</v>
      </c>
      <c r="N40" s="198">
        <f t="shared" si="1"/>
        <v>0</v>
      </c>
      <c r="O40" s="198"/>
    </row>
    <row r="41" spans="1:15" x14ac:dyDescent="0.2">
      <c r="A41" s="195">
        <v>66952</v>
      </c>
      <c r="B41" s="194"/>
      <c r="C41" s="194"/>
      <c r="D41" s="194"/>
      <c r="E41" s="194"/>
      <c r="F41" s="194"/>
      <c r="G41" s="194"/>
      <c r="H41" s="194"/>
      <c r="I41" s="194"/>
      <c r="J41" s="194"/>
      <c r="K41" s="153"/>
      <c r="L41" s="153"/>
      <c r="M41" s="153">
        <f>SUMIFS(Collection!G:G,Collection!A:A,A41)-SUMIFS(Collection!H:H,Collection!A:A,A41)</f>
        <v>0</v>
      </c>
      <c r="N41" s="198">
        <f t="shared" si="1"/>
        <v>0</v>
      </c>
      <c r="O41" s="198"/>
    </row>
    <row r="42" spans="1:15" x14ac:dyDescent="0.2">
      <c r="A42" s="195">
        <v>66953</v>
      </c>
      <c r="B42" s="194"/>
      <c r="C42" s="194"/>
      <c r="D42" s="194"/>
      <c r="E42" s="194"/>
      <c r="F42" s="194"/>
      <c r="G42" s="194"/>
      <c r="H42" s="194"/>
      <c r="I42" s="194"/>
      <c r="J42" s="194"/>
      <c r="K42" s="153"/>
      <c r="L42" s="153"/>
      <c r="M42" s="153">
        <f>SUMIFS(Collection!G:G,Collection!A:A,A42)-SUMIFS(Collection!H:H,Collection!A:A,A42)</f>
        <v>0</v>
      </c>
      <c r="N42" s="198">
        <f t="shared" si="1"/>
        <v>0</v>
      </c>
      <c r="O42" s="198"/>
    </row>
    <row r="43" spans="1:15" x14ac:dyDescent="0.2">
      <c r="A43" s="195">
        <v>66954</v>
      </c>
      <c r="B43" s="194"/>
      <c r="C43" s="194"/>
      <c r="D43" s="194"/>
      <c r="E43" s="194"/>
      <c r="F43" s="194"/>
      <c r="G43" s="194"/>
      <c r="H43" s="194"/>
      <c r="I43" s="194"/>
      <c r="J43" s="194"/>
      <c r="K43" s="153"/>
      <c r="L43" s="153"/>
      <c r="M43" s="153">
        <f>SUMIFS(Collection!G:G,Collection!A:A,A43)-SUMIFS(Collection!H:H,Collection!A:A,A43)</f>
        <v>0</v>
      </c>
      <c r="N43" s="198">
        <f t="shared" si="1"/>
        <v>0</v>
      </c>
      <c r="O43" s="198"/>
    </row>
    <row r="44" spans="1:15" x14ac:dyDescent="0.2">
      <c r="A44" s="195">
        <v>66955</v>
      </c>
      <c r="B44" s="194"/>
      <c r="C44" s="194"/>
      <c r="D44" s="194"/>
      <c r="E44" s="194"/>
      <c r="F44" s="194"/>
      <c r="G44" s="194"/>
      <c r="H44" s="194"/>
      <c r="I44" s="194"/>
      <c r="J44" s="194"/>
      <c r="K44" s="153"/>
      <c r="L44" s="153"/>
      <c r="M44" s="153">
        <f>SUMIFS(Collection!G:G,Collection!A:A,A44)-SUMIFS(Collection!H:H,Collection!A:A,A44)</f>
        <v>0</v>
      </c>
      <c r="N44" s="198">
        <f t="shared" si="1"/>
        <v>0</v>
      </c>
      <c r="O44" s="198"/>
    </row>
    <row r="45" spans="1:15" x14ac:dyDescent="0.2">
      <c r="A45" s="195">
        <v>66956</v>
      </c>
      <c r="B45" s="194"/>
      <c r="C45" s="194"/>
      <c r="D45" s="194"/>
      <c r="E45" s="194"/>
      <c r="F45" s="194"/>
      <c r="G45" s="194"/>
      <c r="H45" s="194"/>
      <c r="I45" s="194"/>
      <c r="J45" s="194"/>
      <c r="K45" s="153"/>
      <c r="L45" s="153"/>
      <c r="M45" s="153">
        <f>SUMIFS(Collection!G:G,Collection!A:A,A45)-SUMIFS(Collection!H:H,Collection!A:A,A45)</f>
        <v>0</v>
      </c>
      <c r="N45" s="198">
        <f t="shared" si="1"/>
        <v>0</v>
      </c>
      <c r="O45" s="198"/>
    </row>
    <row r="46" spans="1:15" x14ac:dyDescent="0.2">
      <c r="A46" s="195">
        <v>66957</v>
      </c>
      <c r="B46" s="194"/>
      <c r="C46" s="194"/>
      <c r="D46" s="194"/>
      <c r="E46" s="194"/>
      <c r="F46" s="194"/>
      <c r="G46" s="194"/>
      <c r="H46" s="194"/>
      <c r="I46" s="194"/>
      <c r="J46" s="194"/>
      <c r="K46" s="153"/>
      <c r="L46" s="153">
        <f>B46*1000+C46*500+D46*100+E46*50+F46*20+G46*10+H46*5+I46*2+J46*1+K46</f>
        <v>0</v>
      </c>
      <c r="M46" s="153">
        <f>SUMIFS(Collection!G:G,Collection!A:A,A46)-SUMIFS(Collection!H:H,Collection!A:A,A46)</f>
        <v>0</v>
      </c>
      <c r="N46" s="198">
        <f t="shared" si="1"/>
        <v>0</v>
      </c>
      <c r="O46" s="198"/>
    </row>
    <row r="47" spans="1:15" x14ac:dyDescent="0.2">
      <c r="A47" s="196"/>
      <c r="B47" s="197">
        <f t="shared" ref="B47:I47" si="2">SUBTOTAL(9,B4:B46)</f>
        <v>564</v>
      </c>
      <c r="C47" s="197">
        <f t="shared" si="2"/>
        <v>398</v>
      </c>
      <c r="D47" s="197">
        <f t="shared" si="2"/>
        <v>1293</v>
      </c>
      <c r="E47" s="197">
        <f t="shared" si="2"/>
        <v>980</v>
      </c>
      <c r="F47" s="197">
        <f t="shared" si="2"/>
        <v>932</v>
      </c>
      <c r="G47" s="197">
        <f t="shared" si="2"/>
        <v>802</v>
      </c>
      <c r="H47" s="197">
        <f t="shared" si="2"/>
        <v>406</v>
      </c>
      <c r="I47" s="197">
        <f t="shared" si="2"/>
        <v>0</v>
      </c>
      <c r="J47" s="197"/>
      <c r="K47" s="197"/>
      <c r="L47" s="197">
        <f>SUBTOTAL(9,L4:L46)</f>
        <v>1022465</v>
      </c>
      <c r="M47" s="197">
        <f>SUBTOTAL(9,M4:M46)</f>
        <v>1061410</v>
      </c>
      <c r="N47" s="197">
        <f>SUBTOTAL(9,N4:N46)</f>
        <v>38945</v>
      </c>
      <c r="O47" s="197">
        <f>SUBTOTAL(9,O4:O46)</f>
        <v>0</v>
      </c>
    </row>
    <row r="48" spans="1:15" x14ac:dyDescent="0.2">
      <c r="A48" s="165"/>
    </row>
    <row r="49" spans="1:1" x14ac:dyDescent="0.2">
      <c r="A49" s="165"/>
    </row>
    <row r="50" spans="1:1" x14ac:dyDescent="0.2">
      <c r="A50" s="165"/>
    </row>
    <row r="51" spans="1:1" x14ac:dyDescent="0.2">
      <c r="A51" s="165"/>
    </row>
    <row r="52" spans="1:1" x14ac:dyDescent="0.2">
      <c r="A52" s="165"/>
    </row>
    <row r="53" spans="1:1" x14ac:dyDescent="0.2">
      <c r="A53" s="165"/>
    </row>
    <row r="54" spans="1:1" x14ac:dyDescent="0.2">
      <c r="A54" s="165"/>
    </row>
    <row r="55" spans="1:1" x14ac:dyDescent="0.2">
      <c r="A55" s="165"/>
    </row>
    <row r="56" spans="1:1" x14ac:dyDescent="0.2">
      <c r="A56" s="165"/>
    </row>
    <row r="57" spans="1:1" x14ac:dyDescent="0.2">
      <c r="A57" s="165"/>
    </row>
    <row r="58" spans="1:1" x14ac:dyDescent="0.2">
      <c r="A58" s="165"/>
    </row>
    <row r="59" spans="1:1" x14ac:dyDescent="0.2">
      <c r="A59" s="165"/>
    </row>
    <row r="60" spans="1:1" x14ac:dyDescent="0.2">
      <c r="A60" s="165"/>
    </row>
    <row r="61" spans="1:1" x14ac:dyDescent="0.2">
      <c r="A61" s="165"/>
    </row>
    <row r="62" spans="1:1" x14ac:dyDescent="0.2">
      <c r="A62" s="165"/>
    </row>
    <row r="63" spans="1:1" x14ac:dyDescent="0.2">
      <c r="A63" s="165"/>
    </row>
    <row r="64" spans="1:1" x14ac:dyDescent="0.2">
      <c r="A64" s="165"/>
    </row>
    <row r="65" spans="1:1" x14ac:dyDescent="0.2">
      <c r="A65" s="165"/>
    </row>
    <row r="66" spans="1:1" x14ac:dyDescent="0.2">
      <c r="A66" s="165"/>
    </row>
    <row r="67" spans="1:1" x14ac:dyDescent="0.2">
      <c r="A67" s="165"/>
    </row>
    <row r="68" spans="1:1" x14ac:dyDescent="0.2">
      <c r="A68" s="165"/>
    </row>
    <row r="69" spans="1:1" x14ac:dyDescent="0.2">
      <c r="A69" s="165"/>
    </row>
    <row r="70" spans="1:1" x14ac:dyDescent="0.2">
      <c r="A70" s="165"/>
    </row>
    <row r="71" spans="1:1" x14ac:dyDescent="0.2">
      <c r="A71" s="165"/>
    </row>
    <row r="72" spans="1:1" x14ac:dyDescent="0.2">
      <c r="A72" s="165"/>
    </row>
  </sheetData>
  <autoFilter ref="A3:O47" xr:uid="{00000000-0001-0000-0600-000000000000}"/>
  <mergeCells count="1">
    <mergeCell ref="A1:F1"/>
  </mergeCells>
  <pageMargins left="0.75" right="0.75" top="1" bottom="1" header="0.5" footer="0.5"/>
  <pageSetup paperSize="9" orientation="landscape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  <pageSetUpPr fitToPage="1"/>
  </sheetPr>
  <dimension ref="A1:H502"/>
  <sheetViews>
    <sheetView showGridLines="0" workbookViewId="0">
      <pane ySplit="2" topLeftCell="A21" activePane="bottomLeft" state="frozen"/>
      <selection pane="bottomLeft" activeCell="E21" sqref="E21"/>
    </sheetView>
  </sheetViews>
  <sheetFormatPr baseColWidth="10" defaultColWidth="8.83203125" defaultRowHeight="15" x14ac:dyDescent="0.2"/>
  <cols>
    <col min="1" max="1" width="10.33203125" bestFit="1" customWidth="1"/>
    <col min="2" max="2" width="24" customWidth="1"/>
    <col min="5" max="6" width="12.5" bestFit="1" customWidth="1"/>
    <col min="7" max="7" width="13.5" bestFit="1" customWidth="1"/>
    <col min="8" max="8" width="28" customWidth="1"/>
  </cols>
  <sheetData>
    <row r="1" spans="1:8" ht="32" customHeight="1" x14ac:dyDescent="0.2">
      <c r="A1" s="201" t="s">
        <v>975</v>
      </c>
      <c r="B1" s="202"/>
      <c r="C1" s="202"/>
      <c r="D1" s="202"/>
      <c r="E1" s="202"/>
      <c r="F1" s="202"/>
      <c r="G1" s="202"/>
      <c r="H1" s="202"/>
    </row>
    <row r="2" spans="1:8" ht="28" customHeight="1" x14ac:dyDescent="0.2">
      <c r="A2" s="3" t="s">
        <v>11</v>
      </c>
      <c r="B2" s="3" t="s">
        <v>976</v>
      </c>
      <c r="C2" s="3" t="s">
        <v>977</v>
      </c>
      <c r="D2" s="3" t="s">
        <v>978</v>
      </c>
      <c r="E2" s="3" t="s">
        <v>46</v>
      </c>
      <c r="F2" s="3" t="s">
        <v>47</v>
      </c>
      <c r="G2" s="3" t="s">
        <v>979</v>
      </c>
      <c r="H2" s="3" t="s">
        <v>980</v>
      </c>
    </row>
    <row r="3" spans="1:8" x14ac:dyDescent="0.2">
      <c r="A3" s="130">
        <v>66916</v>
      </c>
      <c r="B3" s="4" t="s">
        <v>981</v>
      </c>
      <c r="C3" s="4" t="s">
        <v>982</v>
      </c>
      <c r="D3" s="4"/>
      <c r="E3" s="5"/>
      <c r="F3" s="5">
        <v>0</v>
      </c>
      <c r="G3" s="5">
        <f>IF($B3="","",$F3-$E3)</f>
        <v>0</v>
      </c>
      <c r="H3" s="4" t="s">
        <v>983</v>
      </c>
    </row>
    <row r="4" spans="1:8" x14ac:dyDescent="0.2">
      <c r="A4" s="130">
        <v>66916</v>
      </c>
      <c r="B4" s="4" t="s">
        <v>18</v>
      </c>
      <c r="C4" s="4" t="s">
        <v>984</v>
      </c>
      <c r="D4" s="4"/>
      <c r="E4" s="5">
        <v>0</v>
      </c>
      <c r="F4" s="5">
        <v>30294</v>
      </c>
      <c r="G4" s="5">
        <f t="shared" ref="G4:G67" si="0">IF($B4="","",$G3+$F4-$E4)</f>
        <v>30294</v>
      </c>
      <c r="H4" s="4" t="s">
        <v>985</v>
      </c>
    </row>
    <row r="5" spans="1:8" x14ac:dyDescent="0.2">
      <c r="A5" s="130">
        <v>66916</v>
      </c>
      <c r="B5" s="4" t="s">
        <v>19</v>
      </c>
      <c r="C5" s="4" t="s">
        <v>986</v>
      </c>
      <c r="D5" s="4"/>
      <c r="E5" s="5">
        <v>46566.06</v>
      </c>
      <c r="F5" s="5">
        <v>0</v>
      </c>
      <c r="G5" s="5">
        <f t="shared" si="0"/>
        <v>-16272.059999999998</v>
      </c>
      <c r="H5" s="4" t="s">
        <v>987</v>
      </c>
    </row>
    <row r="6" spans="1:8" x14ac:dyDescent="0.2">
      <c r="A6" s="130">
        <v>66917</v>
      </c>
      <c r="B6" s="4" t="s">
        <v>18</v>
      </c>
      <c r="C6" s="4" t="s">
        <v>984</v>
      </c>
      <c r="D6" s="4"/>
      <c r="E6" s="5">
        <v>0</v>
      </c>
      <c r="F6" s="5">
        <v>56542</v>
      </c>
      <c r="G6" s="5">
        <f t="shared" si="0"/>
        <v>40269.94</v>
      </c>
      <c r="H6" s="4" t="s">
        <v>985</v>
      </c>
    </row>
    <row r="7" spans="1:8" x14ac:dyDescent="0.2">
      <c r="A7" s="130">
        <v>66917</v>
      </c>
      <c r="B7" s="4" t="s">
        <v>19</v>
      </c>
      <c r="C7" s="4" t="s">
        <v>986</v>
      </c>
      <c r="D7" s="4"/>
      <c r="E7" s="5">
        <v>18628.82</v>
      </c>
      <c r="F7" s="5">
        <v>0</v>
      </c>
      <c r="G7" s="5">
        <f t="shared" si="0"/>
        <v>21641.120000000003</v>
      </c>
      <c r="H7" s="4" t="s">
        <v>987</v>
      </c>
    </row>
    <row r="8" spans="1:8" x14ac:dyDescent="0.2">
      <c r="A8" s="130">
        <v>66918</v>
      </c>
      <c r="B8" s="4" t="s">
        <v>18</v>
      </c>
      <c r="C8" s="4" t="s">
        <v>984</v>
      </c>
      <c r="D8" s="4"/>
      <c r="E8" s="5">
        <v>0</v>
      </c>
      <c r="F8" s="5">
        <v>31244</v>
      </c>
      <c r="G8" s="5">
        <f t="shared" si="0"/>
        <v>52885.120000000003</v>
      </c>
      <c r="H8" s="4" t="s">
        <v>985</v>
      </c>
    </row>
    <row r="9" spans="1:8" x14ac:dyDescent="0.2">
      <c r="A9" s="130">
        <v>66918</v>
      </c>
      <c r="B9" s="4" t="s">
        <v>19</v>
      </c>
      <c r="C9" s="4" t="s">
        <v>986</v>
      </c>
      <c r="D9" s="4"/>
      <c r="E9" s="5">
        <v>52313.7</v>
      </c>
      <c r="F9" s="5">
        <v>0</v>
      </c>
      <c r="G9" s="5">
        <f t="shared" si="0"/>
        <v>571.42000000000553</v>
      </c>
      <c r="H9" s="4" t="s">
        <v>987</v>
      </c>
    </row>
    <row r="10" spans="1:8" x14ac:dyDescent="0.2">
      <c r="A10" s="130">
        <v>66919</v>
      </c>
      <c r="B10" s="4" t="s">
        <v>18</v>
      </c>
      <c r="C10" s="4" t="s">
        <v>984</v>
      </c>
      <c r="D10" s="4"/>
      <c r="E10" s="5">
        <v>0</v>
      </c>
      <c r="F10" s="5">
        <v>36698.99</v>
      </c>
      <c r="G10" s="5">
        <f t="shared" si="0"/>
        <v>37270.410000000003</v>
      </c>
      <c r="H10" s="4" t="s">
        <v>985</v>
      </c>
    </row>
    <row r="11" spans="1:8" x14ac:dyDescent="0.2">
      <c r="A11" s="130">
        <v>66919</v>
      </c>
      <c r="B11" s="4" t="s">
        <v>19</v>
      </c>
      <c r="C11" s="4" t="s">
        <v>986</v>
      </c>
      <c r="D11" s="4"/>
      <c r="E11" s="5">
        <v>21620.59</v>
      </c>
      <c r="F11" s="5">
        <v>0</v>
      </c>
      <c r="G11" s="5">
        <f t="shared" si="0"/>
        <v>15649.820000000003</v>
      </c>
      <c r="H11" s="4" t="s">
        <v>987</v>
      </c>
    </row>
    <row r="12" spans="1:8" x14ac:dyDescent="0.2">
      <c r="A12" s="130">
        <v>66920</v>
      </c>
      <c r="B12" s="4" t="s">
        <v>18</v>
      </c>
      <c r="C12" s="4" t="s">
        <v>984</v>
      </c>
      <c r="D12" s="4"/>
      <c r="E12" s="5">
        <v>0</v>
      </c>
      <c r="F12" s="5">
        <v>32424</v>
      </c>
      <c r="G12" s="5">
        <f t="shared" si="0"/>
        <v>48073.820000000007</v>
      </c>
      <c r="H12" s="4" t="s">
        <v>985</v>
      </c>
    </row>
    <row r="13" spans="1:8" x14ac:dyDescent="0.2">
      <c r="A13" s="130">
        <v>66920</v>
      </c>
      <c r="B13" s="4" t="s">
        <v>19</v>
      </c>
      <c r="C13" s="4" t="s">
        <v>986</v>
      </c>
      <c r="D13" s="4"/>
      <c r="E13" s="5">
        <v>42413.84</v>
      </c>
      <c r="F13" s="5">
        <v>0</v>
      </c>
      <c r="G13" s="5">
        <f t="shared" si="0"/>
        <v>5659.9800000000105</v>
      </c>
      <c r="H13" s="4" t="s">
        <v>987</v>
      </c>
    </row>
    <row r="14" spans="1:8" x14ac:dyDescent="0.2">
      <c r="A14" s="130">
        <v>66921</v>
      </c>
      <c r="B14" s="4" t="s">
        <v>18</v>
      </c>
      <c r="C14" s="4" t="s">
        <v>984</v>
      </c>
      <c r="D14" s="4"/>
      <c r="E14" s="5">
        <v>0</v>
      </c>
      <c r="F14" s="5">
        <v>51791</v>
      </c>
      <c r="G14" s="5">
        <f t="shared" si="0"/>
        <v>57450.98000000001</v>
      </c>
      <c r="H14" s="4" t="s">
        <v>985</v>
      </c>
    </row>
    <row r="15" spans="1:8" x14ac:dyDescent="0.2">
      <c r="A15" s="130">
        <v>66921</v>
      </c>
      <c r="B15" s="4" t="s">
        <v>19</v>
      </c>
      <c r="C15" s="4" t="s">
        <v>986</v>
      </c>
      <c r="D15" s="4"/>
      <c r="E15" s="5">
        <v>18422.740000000002</v>
      </c>
      <c r="F15" s="5">
        <v>0</v>
      </c>
      <c r="G15" s="5">
        <f t="shared" si="0"/>
        <v>39028.240000000005</v>
      </c>
      <c r="H15" s="4" t="s">
        <v>987</v>
      </c>
    </row>
    <row r="16" spans="1:8" x14ac:dyDescent="0.2">
      <c r="A16" s="130">
        <v>66922</v>
      </c>
      <c r="B16" s="4" t="s">
        <v>18</v>
      </c>
      <c r="C16" s="4" t="s">
        <v>984</v>
      </c>
      <c r="D16" s="4"/>
      <c r="E16" s="5">
        <v>0</v>
      </c>
      <c r="F16" s="5">
        <v>33341.019999999997</v>
      </c>
      <c r="G16" s="5">
        <f t="shared" si="0"/>
        <v>72369.260000000009</v>
      </c>
      <c r="H16" s="4" t="s">
        <v>985</v>
      </c>
    </row>
    <row r="17" spans="1:8" x14ac:dyDescent="0.2">
      <c r="A17" s="130">
        <v>66922</v>
      </c>
      <c r="B17" s="4" t="s">
        <v>19</v>
      </c>
      <c r="C17" s="4" t="s">
        <v>986</v>
      </c>
      <c r="D17" s="4"/>
      <c r="E17" s="5">
        <v>40581.21</v>
      </c>
      <c r="F17" s="5">
        <v>0</v>
      </c>
      <c r="G17" s="5">
        <f t="shared" si="0"/>
        <v>31788.05000000001</v>
      </c>
      <c r="H17" s="4" t="s">
        <v>987</v>
      </c>
    </row>
    <row r="18" spans="1:8" x14ac:dyDescent="0.2">
      <c r="A18" s="130">
        <v>66923</v>
      </c>
      <c r="B18" s="4" t="s">
        <v>18</v>
      </c>
      <c r="C18" s="4" t="s">
        <v>984</v>
      </c>
      <c r="D18" s="4"/>
      <c r="E18" s="5">
        <v>0</v>
      </c>
      <c r="F18" s="5">
        <v>35376.5</v>
      </c>
      <c r="G18" s="5">
        <f t="shared" si="0"/>
        <v>67164.550000000017</v>
      </c>
      <c r="H18" s="4" t="s">
        <v>985</v>
      </c>
    </row>
    <row r="19" spans="1:8" x14ac:dyDescent="0.2">
      <c r="A19" s="130">
        <v>66923</v>
      </c>
      <c r="B19" s="4" t="s">
        <v>19</v>
      </c>
      <c r="C19" s="4" t="s">
        <v>986</v>
      </c>
      <c r="D19" s="4"/>
      <c r="E19" s="5">
        <v>25300.68</v>
      </c>
      <c r="F19" s="5">
        <v>0</v>
      </c>
      <c r="G19" s="5">
        <f t="shared" si="0"/>
        <v>41863.870000000017</v>
      </c>
      <c r="H19" s="4" t="s">
        <v>987</v>
      </c>
    </row>
    <row r="20" spans="1:8" x14ac:dyDescent="0.2">
      <c r="A20" s="130">
        <v>66924</v>
      </c>
      <c r="B20" s="4" t="s">
        <v>18</v>
      </c>
      <c r="C20" s="4" t="s">
        <v>984</v>
      </c>
      <c r="D20" s="4"/>
      <c r="E20" s="5">
        <v>0</v>
      </c>
      <c r="F20" s="5">
        <v>58519.02</v>
      </c>
      <c r="G20" s="5">
        <f t="shared" si="0"/>
        <v>100382.89000000001</v>
      </c>
      <c r="H20" s="4" t="s">
        <v>985</v>
      </c>
    </row>
    <row r="21" spans="1:8" x14ac:dyDescent="0.2">
      <c r="A21" s="130">
        <v>66924</v>
      </c>
      <c r="B21" s="4" t="s">
        <v>19</v>
      </c>
      <c r="C21" s="4" t="s">
        <v>986</v>
      </c>
      <c r="D21" s="4"/>
      <c r="E21" s="5">
        <v>48279.74</v>
      </c>
      <c r="F21" s="5">
        <v>0</v>
      </c>
      <c r="G21" s="5">
        <f t="shared" si="0"/>
        <v>52103.150000000016</v>
      </c>
      <c r="H21" s="4" t="s">
        <v>987</v>
      </c>
    </row>
    <row r="22" spans="1:8" x14ac:dyDescent="0.2">
      <c r="A22" s="130">
        <v>66925</v>
      </c>
      <c r="B22" s="4" t="s">
        <v>18</v>
      </c>
      <c r="C22" s="4" t="s">
        <v>984</v>
      </c>
      <c r="D22" s="4"/>
      <c r="E22" s="5">
        <v>0</v>
      </c>
      <c r="F22" s="5">
        <v>36819</v>
      </c>
      <c r="G22" s="5">
        <f t="shared" si="0"/>
        <v>88922.150000000023</v>
      </c>
      <c r="H22" s="4" t="s">
        <v>985</v>
      </c>
    </row>
    <row r="23" spans="1:8" x14ac:dyDescent="0.2">
      <c r="A23" s="130">
        <v>66925</v>
      </c>
      <c r="B23" s="4" t="s">
        <v>19</v>
      </c>
      <c r="C23" s="4" t="s">
        <v>986</v>
      </c>
      <c r="D23" s="4"/>
      <c r="E23" s="5">
        <v>28056.07</v>
      </c>
      <c r="F23" s="5">
        <v>0</v>
      </c>
      <c r="G23" s="5">
        <f t="shared" si="0"/>
        <v>60866.080000000024</v>
      </c>
      <c r="H23" s="4" t="s">
        <v>987</v>
      </c>
    </row>
    <row r="24" spans="1:8" x14ac:dyDescent="0.2">
      <c r="A24" s="130">
        <v>66926</v>
      </c>
      <c r="B24" s="4" t="s">
        <v>18</v>
      </c>
      <c r="C24" s="4" t="s">
        <v>984</v>
      </c>
      <c r="D24" s="4"/>
      <c r="E24" s="5">
        <v>0</v>
      </c>
      <c r="F24" s="5">
        <v>34236</v>
      </c>
      <c r="G24" s="5">
        <f t="shared" si="0"/>
        <v>95102.080000000016</v>
      </c>
      <c r="H24" s="4" t="s">
        <v>985</v>
      </c>
    </row>
    <row r="25" spans="1:8" x14ac:dyDescent="0.2">
      <c r="A25" s="130">
        <v>66926</v>
      </c>
      <c r="B25" s="4" t="s">
        <v>19</v>
      </c>
      <c r="C25" s="4" t="s">
        <v>986</v>
      </c>
      <c r="D25" s="4"/>
      <c r="E25" s="5">
        <v>34324.28</v>
      </c>
      <c r="F25" s="5">
        <v>0</v>
      </c>
      <c r="G25" s="5">
        <f t="shared" si="0"/>
        <v>60777.800000000017</v>
      </c>
      <c r="H25" s="4" t="s">
        <v>987</v>
      </c>
    </row>
    <row r="26" spans="1:8" x14ac:dyDescent="0.2">
      <c r="A26" s="130">
        <v>66927</v>
      </c>
      <c r="B26" s="4" t="s">
        <v>18</v>
      </c>
      <c r="C26" s="4" t="s">
        <v>984</v>
      </c>
      <c r="D26" s="4"/>
      <c r="E26" s="5">
        <v>0</v>
      </c>
      <c r="F26" s="5">
        <v>29714.01</v>
      </c>
      <c r="G26" s="5">
        <f t="shared" si="0"/>
        <v>90491.810000000012</v>
      </c>
      <c r="H26" s="4" t="s">
        <v>985</v>
      </c>
    </row>
    <row r="27" spans="1:8" x14ac:dyDescent="0.2">
      <c r="A27" s="130">
        <v>66927</v>
      </c>
      <c r="B27" s="4" t="s">
        <v>19</v>
      </c>
      <c r="C27" s="4" t="s">
        <v>986</v>
      </c>
      <c r="D27" s="4"/>
      <c r="E27" s="5">
        <v>30418.59</v>
      </c>
      <c r="F27" s="5">
        <v>0</v>
      </c>
      <c r="G27" s="5">
        <f t="shared" si="0"/>
        <v>60073.220000000016</v>
      </c>
      <c r="H27" s="4" t="s">
        <v>987</v>
      </c>
    </row>
    <row r="28" spans="1:8" x14ac:dyDescent="0.2">
      <c r="A28" s="130">
        <v>66928</v>
      </c>
      <c r="B28" s="4" t="s">
        <v>18</v>
      </c>
      <c r="C28" s="4" t="s">
        <v>984</v>
      </c>
      <c r="D28" s="4"/>
      <c r="E28" s="5">
        <v>0</v>
      </c>
      <c r="F28" s="5">
        <v>27524</v>
      </c>
      <c r="G28" s="5">
        <f t="shared" si="0"/>
        <v>87597.220000000016</v>
      </c>
      <c r="H28" s="4" t="s">
        <v>985</v>
      </c>
    </row>
    <row r="29" spans="1:8" x14ac:dyDescent="0.2">
      <c r="A29" s="130">
        <v>66928</v>
      </c>
      <c r="B29" s="4" t="s">
        <v>19</v>
      </c>
      <c r="C29" s="4" t="s">
        <v>986</v>
      </c>
      <c r="D29" s="4"/>
      <c r="E29" s="5">
        <v>55786.21</v>
      </c>
      <c r="F29" s="5">
        <v>0</v>
      </c>
      <c r="G29" s="5">
        <f t="shared" si="0"/>
        <v>31811.010000000017</v>
      </c>
      <c r="H29" s="4" t="s">
        <v>987</v>
      </c>
    </row>
    <row r="30" spans="1:8" x14ac:dyDescent="0.2">
      <c r="A30" s="130">
        <v>66929</v>
      </c>
      <c r="B30" s="4" t="s">
        <v>18</v>
      </c>
      <c r="C30" s="4" t="s">
        <v>984</v>
      </c>
      <c r="D30" s="4"/>
      <c r="E30" s="5">
        <v>0</v>
      </c>
      <c r="F30" s="5">
        <v>36413.01</v>
      </c>
      <c r="G30" s="5">
        <f t="shared" si="0"/>
        <v>68224.020000000019</v>
      </c>
      <c r="H30" s="4" t="s">
        <v>985</v>
      </c>
    </row>
    <row r="31" spans="1:8" x14ac:dyDescent="0.2">
      <c r="A31" s="130">
        <v>66929</v>
      </c>
      <c r="B31" s="4" t="s">
        <v>19</v>
      </c>
      <c r="C31" s="4" t="s">
        <v>986</v>
      </c>
      <c r="D31" s="4"/>
      <c r="E31" s="5">
        <v>12102.32</v>
      </c>
      <c r="F31" s="5">
        <v>0</v>
      </c>
      <c r="G31" s="5">
        <f t="shared" si="0"/>
        <v>56121.700000000019</v>
      </c>
      <c r="H31" s="4" t="s">
        <v>987</v>
      </c>
    </row>
    <row r="32" spans="1:8" x14ac:dyDescent="0.2">
      <c r="A32" s="130">
        <v>66930</v>
      </c>
      <c r="B32" s="4" t="s">
        <v>18</v>
      </c>
      <c r="C32" s="4" t="s">
        <v>984</v>
      </c>
      <c r="D32" s="4"/>
      <c r="E32" s="5">
        <v>0</v>
      </c>
      <c r="F32" s="5">
        <v>32259</v>
      </c>
      <c r="G32" s="5">
        <f t="shared" si="0"/>
        <v>88380.700000000012</v>
      </c>
      <c r="H32" s="4" t="s">
        <v>985</v>
      </c>
    </row>
    <row r="33" spans="1:8" x14ac:dyDescent="0.2">
      <c r="A33" s="130">
        <v>66930</v>
      </c>
      <c r="B33" s="4" t="s">
        <v>19</v>
      </c>
      <c r="C33" s="4" t="s">
        <v>986</v>
      </c>
      <c r="D33" s="4"/>
      <c r="E33" s="5">
        <v>41521.839999999997</v>
      </c>
      <c r="F33" s="5">
        <v>0</v>
      </c>
      <c r="G33" s="5">
        <f t="shared" si="0"/>
        <v>46858.860000000015</v>
      </c>
      <c r="H33" s="4" t="s">
        <v>987</v>
      </c>
    </row>
    <row r="34" spans="1:8" x14ac:dyDescent="0.2">
      <c r="A34" s="130">
        <v>66931</v>
      </c>
      <c r="B34" s="4" t="s">
        <v>18</v>
      </c>
      <c r="C34" s="4" t="s">
        <v>984</v>
      </c>
      <c r="D34" s="4"/>
      <c r="E34" s="5">
        <v>0</v>
      </c>
      <c r="F34" s="5">
        <v>38035.49</v>
      </c>
      <c r="G34" s="5">
        <f t="shared" si="0"/>
        <v>84894.35</v>
      </c>
      <c r="H34" s="4" t="s">
        <v>985</v>
      </c>
    </row>
    <row r="35" spans="1:8" x14ac:dyDescent="0.2">
      <c r="A35" s="130">
        <v>66931</v>
      </c>
      <c r="B35" s="4" t="s">
        <v>19</v>
      </c>
      <c r="C35" s="4" t="s">
        <v>986</v>
      </c>
      <c r="D35" s="4"/>
      <c r="E35" s="5">
        <v>14118.2</v>
      </c>
      <c r="F35" s="5">
        <v>0</v>
      </c>
      <c r="G35" s="5">
        <f t="shared" si="0"/>
        <v>70776.150000000009</v>
      </c>
      <c r="H35" s="4" t="s">
        <v>987</v>
      </c>
    </row>
    <row r="36" spans="1:8" x14ac:dyDescent="0.2">
      <c r="A36" s="130"/>
      <c r="B36" s="4"/>
      <c r="C36" s="4"/>
      <c r="D36" s="4"/>
      <c r="E36" s="5"/>
      <c r="F36" s="5"/>
      <c r="G36" s="5" t="str">
        <f t="shared" si="0"/>
        <v/>
      </c>
      <c r="H36" s="4"/>
    </row>
    <row r="37" spans="1:8" x14ac:dyDescent="0.2">
      <c r="A37" s="130"/>
      <c r="B37" s="4"/>
      <c r="C37" s="4"/>
      <c r="D37" s="4"/>
      <c r="E37" s="5"/>
      <c r="F37" s="5"/>
      <c r="G37" s="5" t="str">
        <f t="shared" si="0"/>
        <v/>
      </c>
      <c r="H37" s="4"/>
    </row>
    <row r="38" spans="1:8" x14ac:dyDescent="0.2">
      <c r="A38" s="130"/>
      <c r="B38" s="4"/>
      <c r="C38" s="4"/>
      <c r="D38" s="4"/>
      <c r="E38" s="5"/>
      <c r="F38" s="5"/>
      <c r="G38" s="5" t="str">
        <f t="shared" si="0"/>
        <v/>
      </c>
      <c r="H38" s="4"/>
    </row>
    <row r="39" spans="1:8" x14ac:dyDescent="0.2">
      <c r="A39" s="130"/>
      <c r="B39" s="4"/>
      <c r="C39" s="4"/>
      <c r="D39" s="4"/>
      <c r="E39" s="5"/>
      <c r="F39" s="5"/>
      <c r="G39" s="5" t="str">
        <f t="shared" si="0"/>
        <v/>
      </c>
      <c r="H39" s="4"/>
    </row>
    <row r="40" spans="1:8" x14ac:dyDescent="0.2">
      <c r="A40" s="130"/>
      <c r="B40" s="4"/>
      <c r="C40" s="4"/>
      <c r="D40" s="4"/>
      <c r="E40" s="5"/>
      <c r="F40" s="5"/>
      <c r="G40" s="5" t="str">
        <f t="shared" si="0"/>
        <v/>
      </c>
      <c r="H40" s="4"/>
    </row>
    <row r="41" spans="1:8" x14ac:dyDescent="0.2">
      <c r="A41" s="130"/>
      <c r="B41" s="4"/>
      <c r="C41" s="4"/>
      <c r="D41" s="4"/>
      <c r="E41" s="5"/>
      <c r="F41" s="5"/>
      <c r="G41" s="5" t="str">
        <f t="shared" si="0"/>
        <v/>
      </c>
      <c r="H41" s="4"/>
    </row>
    <row r="42" spans="1:8" x14ac:dyDescent="0.2">
      <c r="A42" s="130"/>
      <c r="B42" s="4"/>
      <c r="C42" s="4"/>
      <c r="D42" s="4"/>
      <c r="E42" s="5"/>
      <c r="F42" s="5"/>
      <c r="G42" s="5" t="str">
        <f t="shared" si="0"/>
        <v/>
      </c>
      <c r="H42" s="4"/>
    </row>
    <row r="43" spans="1:8" x14ac:dyDescent="0.2">
      <c r="A43" s="130"/>
      <c r="B43" s="4"/>
      <c r="C43" s="4"/>
      <c r="D43" s="4"/>
      <c r="E43" s="5"/>
      <c r="F43" s="5"/>
      <c r="G43" s="5" t="str">
        <f t="shared" si="0"/>
        <v/>
      </c>
      <c r="H43" s="4"/>
    </row>
    <row r="44" spans="1:8" x14ac:dyDescent="0.2">
      <c r="A44" s="130"/>
      <c r="B44" s="4"/>
      <c r="C44" s="4"/>
      <c r="D44" s="4"/>
      <c r="E44" s="5"/>
      <c r="F44" s="5"/>
      <c r="G44" s="5" t="str">
        <f t="shared" si="0"/>
        <v/>
      </c>
      <c r="H44" s="4"/>
    </row>
    <row r="45" spans="1:8" x14ac:dyDescent="0.2">
      <c r="A45" s="130"/>
      <c r="B45" s="4"/>
      <c r="C45" s="4"/>
      <c r="D45" s="4"/>
      <c r="E45" s="5"/>
      <c r="F45" s="5"/>
      <c r="G45" s="5" t="str">
        <f t="shared" si="0"/>
        <v/>
      </c>
      <c r="H45" s="4"/>
    </row>
    <row r="46" spans="1:8" x14ac:dyDescent="0.2">
      <c r="A46" s="130"/>
      <c r="B46" s="4"/>
      <c r="C46" s="4"/>
      <c r="D46" s="4"/>
      <c r="E46" s="5"/>
      <c r="F46" s="5"/>
      <c r="G46" s="5" t="str">
        <f t="shared" si="0"/>
        <v/>
      </c>
      <c r="H46" s="4"/>
    </row>
    <row r="47" spans="1:8" x14ac:dyDescent="0.2">
      <c r="A47" s="130"/>
      <c r="B47" s="4"/>
      <c r="C47" s="4"/>
      <c r="D47" s="4"/>
      <c r="E47" s="5"/>
      <c r="F47" s="5"/>
      <c r="G47" s="5" t="str">
        <f t="shared" si="0"/>
        <v/>
      </c>
      <c r="H47" s="4"/>
    </row>
    <row r="48" spans="1:8" x14ac:dyDescent="0.2">
      <c r="A48" s="130"/>
      <c r="B48" s="4"/>
      <c r="C48" s="4"/>
      <c r="D48" s="4"/>
      <c r="E48" s="5"/>
      <c r="F48" s="5"/>
      <c r="G48" s="5" t="str">
        <f t="shared" si="0"/>
        <v/>
      </c>
      <c r="H48" s="4"/>
    </row>
    <row r="49" spans="1:8" x14ac:dyDescent="0.2">
      <c r="A49" s="130"/>
      <c r="B49" s="4"/>
      <c r="C49" s="4"/>
      <c r="D49" s="4"/>
      <c r="E49" s="5"/>
      <c r="F49" s="5"/>
      <c r="G49" s="5" t="str">
        <f t="shared" si="0"/>
        <v/>
      </c>
      <c r="H49" s="4"/>
    </row>
    <row r="50" spans="1:8" x14ac:dyDescent="0.2">
      <c r="A50" s="130"/>
      <c r="B50" s="4"/>
      <c r="C50" s="4"/>
      <c r="D50" s="4"/>
      <c r="E50" s="5"/>
      <c r="F50" s="5"/>
      <c r="G50" s="5" t="str">
        <f t="shared" si="0"/>
        <v/>
      </c>
      <c r="H50" s="4"/>
    </row>
    <row r="51" spans="1:8" x14ac:dyDescent="0.2">
      <c r="A51" s="130"/>
      <c r="B51" s="4"/>
      <c r="C51" s="4"/>
      <c r="D51" s="4"/>
      <c r="E51" s="5"/>
      <c r="F51" s="5"/>
      <c r="G51" s="5" t="str">
        <f t="shared" si="0"/>
        <v/>
      </c>
      <c r="H51" s="4"/>
    </row>
    <row r="52" spans="1:8" x14ac:dyDescent="0.2">
      <c r="A52" s="130"/>
      <c r="B52" s="4"/>
      <c r="C52" s="4"/>
      <c r="D52" s="4"/>
      <c r="E52" s="5"/>
      <c r="F52" s="5"/>
      <c r="G52" s="5" t="str">
        <f t="shared" si="0"/>
        <v/>
      </c>
      <c r="H52" s="4"/>
    </row>
    <row r="53" spans="1:8" x14ac:dyDescent="0.2">
      <c r="A53" s="130"/>
      <c r="B53" s="4"/>
      <c r="C53" s="4"/>
      <c r="D53" s="4"/>
      <c r="E53" s="5"/>
      <c r="F53" s="5"/>
      <c r="G53" s="5" t="str">
        <f t="shared" si="0"/>
        <v/>
      </c>
      <c r="H53" s="4"/>
    </row>
    <row r="54" spans="1:8" x14ac:dyDescent="0.2">
      <c r="A54" s="130"/>
      <c r="B54" s="4"/>
      <c r="C54" s="4"/>
      <c r="D54" s="4"/>
      <c r="E54" s="5"/>
      <c r="F54" s="5"/>
      <c r="G54" s="5" t="str">
        <f t="shared" si="0"/>
        <v/>
      </c>
      <c r="H54" s="4"/>
    </row>
    <row r="55" spans="1:8" x14ac:dyDescent="0.2">
      <c r="A55" s="130"/>
      <c r="B55" s="4"/>
      <c r="C55" s="4"/>
      <c r="D55" s="4"/>
      <c r="E55" s="5"/>
      <c r="F55" s="5"/>
      <c r="G55" s="5" t="str">
        <f t="shared" si="0"/>
        <v/>
      </c>
      <c r="H55" s="4"/>
    </row>
    <row r="56" spans="1:8" x14ac:dyDescent="0.2">
      <c r="A56" s="130"/>
      <c r="B56" s="4"/>
      <c r="C56" s="4"/>
      <c r="D56" s="4"/>
      <c r="E56" s="5"/>
      <c r="F56" s="5"/>
      <c r="G56" s="5" t="str">
        <f t="shared" si="0"/>
        <v/>
      </c>
      <c r="H56" s="4"/>
    </row>
    <row r="57" spans="1:8" x14ac:dyDescent="0.2">
      <c r="A57" s="130"/>
      <c r="B57" s="4"/>
      <c r="C57" s="4"/>
      <c r="D57" s="4"/>
      <c r="E57" s="5"/>
      <c r="F57" s="5"/>
      <c r="G57" s="5" t="str">
        <f t="shared" si="0"/>
        <v/>
      </c>
      <c r="H57" s="4"/>
    </row>
    <row r="58" spans="1:8" x14ac:dyDescent="0.2">
      <c r="A58" s="130"/>
      <c r="B58" s="4"/>
      <c r="C58" s="4"/>
      <c r="D58" s="4"/>
      <c r="E58" s="5"/>
      <c r="F58" s="5"/>
      <c r="G58" s="5" t="str">
        <f t="shared" si="0"/>
        <v/>
      </c>
      <c r="H58" s="4"/>
    </row>
    <row r="59" spans="1:8" x14ac:dyDescent="0.2">
      <c r="A59" s="130"/>
      <c r="B59" s="4"/>
      <c r="C59" s="4"/>
      <c r="D59" s="4"/>
      <c r="E59" s="5"/>
      <c r="F59" s="5"/>
      <c r="G59" s="5" t="str">
        <f t="shared" si="0"/>
        <v/>
      </c>
      <c r="H59" s="4"/>
    </row>
    <row r="60" spans="1:8" x14ac:dyDescent="0.2">
      <c r="A60" s="130"/>
      <c r="B60" s="4"/>
      <c r="C60" s="4"/>
      <c r="D60" s="4"/>
      <c r="E60" s="5"/>
      <c r="F60" s="5"/>
      <c r="G60" s="5" t="str">
        <f t="shared" si="0"/>
        <v/>
      </c>
      <c r="H60" s="4"/>
    </row>
    <row r="61" spans="1:8" x14ac:dyDescent="0.2">
      <c r="A61" s="130"/>
      <c r="B61" s="4"/>
      <c r="C61" s="4"/>
      <c r="D61" s="4"/>
      <c r="E61" s="5"/>
      <c r="F61" s="5"/>
      <c r="G61" s="5" t="str">
        <f t="shared" si="0"/>
        <v/>
      </c>
      <c r="H61" s="4"/>
    </row>
    <row r="62" spans="1:8" x14ac:dyDescent="0.2">
      <c r="A62" s="130"/>
      <c r="B62" s="4"/>
      <c r="C62" s="4"/>
      <c r="D62" s="4"/>
      <c r="E62" s="5"/>
      <c r="F62" s="5"/>
      <c r="G62" s="5" t="str">
        <f t="shared" si="0"/>
        <v/>
      </c>
      <c r="H62" s="4"/>
    </row>
    <row r="63" spans="1:8" x14ac:dyDescent="0.2">
      <c r="A63" s="130"/>
      <c r="B63" s="4"/>
      <c r="C63" s="4"/>
      <c r="D63" s="4"/>
      <c r="E63" s="5"/>
      <c r="F63" s="5"/>
      <c r="G63" s="5" t="str">
        <f t="shared" si="0"/>
        <v/>
      </c>
      <c r="H63" s="4"/>
    </row>
    <row r="64" spans="1:8" x14ac:dyDescent="0.2">
      <c r="A64" s="130"/>
      <c r="B64" s="4"/>
      <c r="C64" s="4"/>
      <c r="D64" s="4"/>
      <c r="E64" s="5"/>
      <c r="F64" s="5"/>
      <c r="G64" s="5" t="str">
        <f t="shared" si="0"/>
        <v/>
      </c>
      <c r="H64" s="4"/>
    </row>
    <row r="65" spans="1:8" x14ac:dyDescent="0.2">
      <c r="A65" s="130"/>
      <c r="B65" s="4"/>
      <c r="C65" s="4"/>
      <c r="D65" s="4"/>
      <c r="E65" s="5"/>
      <c r="F65" s="5"/>
      <c r="G65" s="5" t="str">
        <f t="shared" si="0"/>
        <v/>
      </c>
      <c r="H65" s="4"/>
    </row>
    <row r="66" spans="1:8" x14ac:dyDescent="0.2">
      <c r="A66" s="130"/>
      <c r="B66" s="4"/>
      <c r="C66" s="4"/>
      <c r="D66" s="4"/>
      <c r="E66" s="5"/>
      <c r="F66" s="5"/>
      <c r="G66" s="5" t="str">
        <f t="shared" si="0"/>
        <v/>
      </c>
      <c r="H66" s="4"/>
    </row>
    <row r="67" spans="1:8" x14ac:dyDescent="0.2">
      <c r="A67" s="130"/>
      <c r="B67" s="4"/>
      <c r="C67" s="4"/>
      <c r="D67" s="4"/>
      <c r="E67" s="5"/>
      <c r="F67" s="5"/>
      <c r="G67" s="5" t="str">
        <f t="shared" si="0"/>
        <v/>
      </c>
      <c r="H67" s="4"/>
    </row>
    <row r="68" spans="1:8" x14ac:dyDescent="0.2">
      <c r="A68" s="130"/>
      <c r="B68" s="4"/>
      <c r="C68" s="4"/>
      <c r="D68" s="4"/>
      <c r="E68" s="5"/>
      <c r="F68" s="5"/>
      <c r="G68" s="5" t="str">
        <f t="shared" ref="G68:G131" si="1">IF($B68="","",$G67+$F68-$E68)</f>
        <v/>
      </c>
      <c r="H68" s="4"/>
    </row>
    <row r="69" spans="1:8" x14ac:dyDescent="0.2">
      <c r="A69" s="130"/>
      <c r="B69" s="4"/>
      <c r="C69" s="4"/>
      <c r="D69" s="4"/>
      <c r="E69" s="5"/>
      <c r="F69" s="5"/>
      <c r="G69" s="5" t="str">
        <f t="shared" si="1"/>
        <v/>
      </c>
      <c r="H69" s="4"/>
    </row>
    <row r="70" spans="1:8" x14ac:dyDescent="0.2">
      <c r="A70" s="130"/>
      <c r="B70" s="4"/>
      <c r="C70" s="4"/>
      <c r="D70" s="4"/>
      <c r="E70" s="5"/>
      <c r="F70" s="5"/>
      <c r="G70" s="5" t="str">
        <f t="shared" si="1"/>
        <v/>
      </c>
      <c r="H70" s="4"/>
    </row>
    <row r="71" spans="1:8" x14ac:dyDescent="0.2">
      <c r="A71" s="130"/>
      <c r="B71" s="4"/>
      <c r="C71" s="4"/>
      <c r="D71" s="4"/>
      <c r="E71" s="5"/>
      <c r="F71" s="5"/>
      <c r="G71" s="5" t="str">
        <f t="shared" si="1"/>
        <v/>
      </c>
      <c r="H71" s="4"/>
    </row>
    <row r="72" spans="1:8" x14ac:dyDescent="0.2">
      <c r="A72" s="130"/>
      <c r="B72" s="4"/>
      <c r="C72" s="4"/>
      <c r="D72" s="4"/>
      <c r="E72" s="5"/>
      <c r="F72" s="5"/>
      <c r="G72" s="5" t="str">
        <f t="shared" si="1"/>
        <v/>
      </c>
      <c r="H72" s="4"/>
    </row>
    <row r="73" spans="1:8" x14ac:dyDescent="0.2">
      <c r="A73" s="130"/>
      <c r="B73" s="4"/>
      <c r="C73" s="4"/>
      <c r="D73" s="4"/>
      <c r="E73" s="5"/>
      <c r="F73" s="5"/>
      <c r="G73" s="5" t="str">
        <f t="shared" si="1"/>
        <v/>
      </c>
      <c r="H73" s="4"/>
    </row>
    <row r="74" spans="1:8" x14ac:dyDescent="0.2">
      <c r="A74" s="130"/>
      <c r="B74" s="4"/>
      <c r="C74" s="4"/>
      <c r="D74" s="4"/>
      <c r="E74" s="5"/>
      <c r="F74" s="5"/>
      <c r="G74" s="5" t="str">
        <f t="shared" si="1"/>
        <v/>
      </c>
      <c r="H74" s="4"/>
    </row>
    <row r="75" spans="1:8" x14ac:dyDescent="0.2">
      <c r="A75" s="130"/>
      <c r="B75" s="4"/>
      <c r="C75" s="4"/>
      <c r="D75" s="4"/>
      <c r="E75" s="5"/>
      <c r="F75" s="5"/>
      <c r="G75" s="5" t="str">
        <f t="shared" si="1"/>
        <v/>
      </c>
      <c r="H75" s="4"/>
    </row>
    <row r="76" spans="1:8" x14ac:dyDescent="0.2">
      <c r="A76" s="130"/>
      <c r="B76" s="4"/>
      <c r="C76" s="4"/>
      <c r="D76" s="4"/>
      <c r="E76" s="5"/>
      <c r="F76" s="5"/>
      <c r="G76" s="5" t="str">
        <f t="shared" si="1"/>
        <v/>
      </c>
      <c r="H76" s="4"/>
    </row>
    <row r="77" spans="1:8" x14ac:dyDescent="0.2">
      <c r="A77" s="130"/>
      <c r="B77" s="4"/>
      <c r="C77" s="4"/>
      <c r="D77" s="4"/>
      <c r="E77" s="5"/>
      <c r="F77" s="5"/>
      <c r="G77" s="5" t="str">
        <f t="shared" si="1"/>
        <v/>
      </c>
      <c r="H77" s="4"/>
    </row>
    <row r="78" spans="1:8" x14ac:dyDescent="0.2">
      <c r="A78" s="130"/>
      <c r="B78" s="4"/>
      <c r="C78" s="4"/>
      <c r="D78" s="4"/>
      <c r="E78" s="5"/>
      <c r="F78" s="5"/>
      <c r="G78" s="5" t="str">
        <f t="shared" si="1"/>
        <v/>
      </c>
      <c r="H78" s="4"/>
    </row>
    <row r="79" spans="1:8" x14ac:dyDescent="0.2">
      <c r="A79" s="130"/>
      <c r="B79" s="4"/>
      <c r="C79" s="4"/>
      <c r="D79" s="4"/>
      <c r="E79" s="5"/>
      <c r="F79" s="5"/>
      <c r="G79" s="5" t="str">
        <f t="shared" si="1"/>
        <v/>
      </c>
      <c r="H79" s="4"/>
    </row>
    <row r="80" spans="1:8" x14ac:dyDescent="0.2">
      <c r="A80" s="130"/>
      <c r="B80" s="4"/>
      <c r="C80" s="4"/>
      <c r="D80" s="4"/>
      <c r="E80" s="5"/>
      <c r="F80" s="5"/>
      <c r="G80" s="5" t="str">
        <f t="shared" si="1"/>
        <v/>
      </c>
      <c r="H80" s="4"/>
    </row>
    <row r="81" spans="1:8" x14ac:dyDescent="0.2">
      <c r="A81" s="130"/>
      <c r="B81" s="4"/>
      <c r="C81" s="4"/>
      <c r="D81" s="4"/>
      <c r="E81" s="5"/>
      <c r="F81" s="5"/>
      <c r="G81" s="5" t="str">
        <f t="shared" si="1"/>
        <v/>
      </c>
      <c r="H81" s="4"/>
    </row>
    <row r="82" spans="1:8" x14ac:dyDescent="0.2">
      <c r="A82" s="130"/>
      <c r="B82" s="4"/>
      <c r="C82" s="4"/>
      <c r="D82" s="4"/>
      <c r="E82" s="5"/>
      <c r="F82" s="5"/>
      <c r="G82" s="5" t="str">
        <f t="shared" si="1"/>
        <v/>
      </c>
      <c r="H82" s="4"/>
    </row>
    <row r="83" spans="1:8" x14ac:dyDescent="0.2">
      <c r="A83" s="130"/>
      <c r="B83" s="4"/>
      <c r="C83" s="4"/>
      <c r="D83" s="4"/>
      <c r="E83" s="5"/>
      <c r="F83" s="5"/>
      <c r="G83" s="5" t="str">
        <f t="shared" si="1"/>
        <v/>
      </c>
      <c r="H83" s="4"/>
    </row>
    <row r="84" spans="1:8" x14ac:dyDescent="0.2">
      <c r="A84" s="130"/>
      <c r="B84" s="4"/>
      <c r="C84" s="4"/>
      <c r="D84" s="4"/>
      <c r="E84" s="5"/>
      <c r="F84" s="5"/>
      <c r="G84" s="5" t="str">
        <f t="shared" si="1"/>
        <v/>
      </c>
      <c r="H84" s="4"/>
    </row>
    <row r="85" spans="1:8" x14ac:dyDescent="0.2">
      <c r="A85" s="130"/>
      <c r="B85" s="4"/>
      <c r="C85" s="4"/>
      <c r="D85" s="4"/>
      <c r="E85" s="5"/>
      <c r="F85" s="5"/>
      <c r="G85" s="5" t="str">
        <f t="shared" si="1"/>
        <v/>
      </c>
      <c r="H85" s="4"/>
    </row>
    <row r="86" spans="1:8" x14ac:dyDescent="0.2">
      <c r="A86" s="130"/>
      <c r="B86" s="4"/>
      <c r="C86" s="4"/>
      <c r="D86" s="4"/>
      <c r="E86" s="5"/>
      <c r="F86" s="5"/>
      <c r="G86" s="5" t="str">
        <f t="shared" si="1"/>
        <v/>
      </c>
      <c r="H86" s="4"/>
    </row>
    <row r="87" spans="1:8" x14ac:dyDescent="0.2">
      <c r="A87" s="130"/>
      <c r="B87" s="4"/>
      <c r="C87" s="4"/>
      <c r="D87" s="4"/>
      <c r="E87" s="5"/>
      <c r="F87" s="5"/>
      <c r="G87" s="5" t="str">
        <f t="shared" si="1"/>
        <v/>
      </c>
      <c r="H87" s="4"/>
    </row>
    <row r="88" spans="1:8" x14ac:dyDescent="0.2">
      <c r="A88" s="130"/>
      <c r="B88" s="4"/>
      <c r="C88" s="4"/>
      <c r="D88" s="4"/>
      <c r="E88" s="5"/>
      <c r="F88" s="5"/>
      <c r="G88" s="5" t="str">
        <f t="shared" si="1"/>
        <v/>
      </c>
      <c r="H88" s="4"/>
    </row>
    <row r="89" spans="1:8" x14ac:dyDescent="0.2">
      <c r="A89" s="130"/>
      <c r="B89" s="4"/>
      <c r="C89" s="4"/>
      <c r="D89" s="4"/>
      <c r="E89" s="5"/>
      <c r="F89" s="5"/>
      <c r="G89" s="5" t="str">
        <f t="shared" si="1"/>
        <v/>
      </c>
      <c r="H89" s="4"/>
    </row>
    <row r="90" spans="1:8" x14ac:dyDescent="0.2">
      <c r="A90" s="130"/>
      <c r="B90" s="4"/>
      <c r="C90" s="4"/>
      <c r="D90" s="4"/>
      <c r="E90" s="5"/>
      <c r="F90" s="5"/>
      <c r="G90" s="5" t="str">
        <f t="shared" si="1"/>
        <v/>
      </c>
      <c r="H90" s="4"/>
    </row>
    <row r="91" spans="1:8" x14ac:dyDescent="0.2">
      <c r="A91" s="130"/>
      <c r="B91" s="4"/>
      <c r="C91" s="4"/>
      <c r="D91" s="4"/>
      <c r="E91" s="5"/>
      <c r="F91" s="5"/>
      <c r="G91" s="5" t="str">
        <f t="shared" si="1"/>
        <v/>
      </c>
      <c r="H91" s="4"/>
    </row>
    <row r="92" spans="1:8" x14ac:dyDescent="0.2">
      <c r="A92" s="130"/>
      <c r="B92" s="4"/>
      <c r="C92" s="4"/>
      <c r="D92" s="4"/>
      <c r="E92" s="5"/>
      <c r="F92" s="5"/>
      <c r="G92" s="5" t="str">
        <f t="shared" si="1"/>
        <v/>
      </c>
      <c r="H92" s="4"/>
    </row>
    <row r="93" spans="1:8" x14ac:dyDescent="0.2">
      <c r="A93" s="130"/>
      <c r="B93" s="4"/>
      <c r="C93" s="4"/>
      <c r="D93" s="4"/>
      <c r="E93" s="5"/>
      <c r="F93" s="5"/>
      <c r="G93" s="5" t="str">
        <f t="shared" si="1"/>
        <v/>
      </c>
      <c r="H93" s="4"/>
    </row>
    <row r="94" spans="1:8" x14ac:dyDescent="0.2">
      <c r="A94" s="130"/>
      <c r="B94" s="4"/>
      <c r="C94" s="4"/>
      <c r="D94" s="4"/>
      <c r="E94" s="5"/>
      <c r="F94" s="5"/>
      <c r="G94" s="5" t="str">
        <f t="shared" si="1"/>
        <v/>
      </c>
      <c r="H94" s="4"/>
    </row>
    <row r="95" spans="1:8" x14ac:dyDescent="0.2">
      <c r="A95" s="130"/>
      <c r="B95" s="4"/>
      <c r="C95" s="4"/>
      <c r="D95" s="4"/>
      <c r="E95" s="5"/>
      <c r="F95" s="5"/>
      <c r="G95" s="5" t="str">
        <f t="shared" si="1"/>
        <v/>
      </c>
      <c r="H95" s="4"/>
    </row>
    <row r="96" spans="1:8" x14ac:dyDescent="0.2">
      <c r="A96" s="130"/>
      <c r="B96" s="4"/>
      <c r="C96" s="4"/>
      <c r="D96" s="4"/>
      <c r="E96" s="5"/>
      <c r="F96" s="5"/>
      <c r="G96" s="5" t="str">
        <f t="shared" si="1"/>
        <v/>
      </c>
      <c r="H96" s="4"/>
    </row>
    <row r="97" spans="1:8" x14ac:dyDescent="0.2">
      <c r="A97" s="130"/>
      <c r="B97" s="4"/>
      <c r="C97" s="4"/>
      <c r="D97" s="4"/>
      <c r="E97" s="5"/>
      <c r="F97" s="5"/>
      <c r="G97" s="5" t="str">
        <f t="shared" si="1"/>
        <v/>
      </c>
      <c r="H97" s="4"/>
    </row>
    <row r="98" spans="1:8" x14ac:dyDescent="0.2">
      <c r="A98" s="130"/>
      <c r="B98" s="4"/>
      <c r="C98" s="4"/>
      <c r="D98" s="4"/>
      <c r="E98" s="5"/>
      <c r="F98" s="5"/>
      <c r="G98" s="5" t="str">
        <f t="shared" si="1"/>
        <v/>
      </c>
      <c r="H98" s="4"/>
    </row>
    <row r="99" spans="1:8" x14ac:dyDescent="0.2">
      <c r="A99" s="130"/>
      <c r="B99" s="4"/>
      <c r="C99" s="4"/>
      <c r="D99" s="4"/>
      <c r="E99" s="5"/>
      <c r="F99" s="5"/>
      <c r="G99" s="5" t="str">
        <f t="shared" si="1"/>
        <v/>
      </c>
      <c r="H99" s="4"/>
    </row>
    <row r="100" spans="1:8" x14ac:dyDescent="0.2">
      <c r="A100" s="130"/>
      <c r="B100" s="4"/>
      <c r="C100" s="4"/>
      <c r="D100" s="4"/>
      <c r="E100" s="5"/>
      <c r="F100" s="5"/>
      <c r="G100" s="5" t="str">
        <f t="shared" si="1"/>
        <v/>
      </c>
      <c r="H100" s="4"/>
    </row>
    <row r="101" spans="1:8" x14ac:dyDescent="0.2">
      <c r="A101" s="130"/>
      <c r="B101" s="4"/>
      <c r="C101" s="4"/>
      <c r="D101" s="4"/>
      <c r="E101" s="5"/>
      <c r="F101" s="5"/>
      <c r="G101" s="5" t="str">
        <f t="shared" si="1"/>
        <v/>
      </c>
      <c r="H101" s="4"/>
    </row>
    <row r="102" spans="1:8" x14ac:dyDescent="0.2">
      <c r="A102" s="130"/>
      <c r="B102" s="4"/>
      <c r="C102" s="4"/>
      <c r="D102" s="4"/>
      <c r="E102" s="5"/>
      <c r="F102" s="5"/>
      <c r="G102" s="5" t="str">
        <f t="shared" si="1"/>
        <v/>
      </c>
      <c r="H102" s="4"/>
    </row>
    <row r="103" spans="1:8" x14ac:dyDescent="0.2">
      <c r="A103" s="130"/>
      <c r="B103" s="4"/>
      <c r="C103" s="4"/>
      <c r="D103" s="4"/>
      <c r="E103" s="5"/>
      <c r="F103" s="5"/>
      <c r="G103" s="5" t="str">
        <f t="shared" si="1"/>
        <v/>
      </c>
      <c r="H103" s="4"/>
    </row>
    <row r="104" spans="1:8" x14ac:dyDescent="0.2">
      <c r="A104" s="130"/>
      <c r="B104" s="4"/>
      <c r="C104" s="4"/>
      <c r="D104" s="4"/>
      <c r="E104" s="5"/>
      <c r="F104" s="5"/>
      <c r="G104" s="5" t="str">
        <f t="shared" si="1"/>
        <v/>
      </c>
      <c r="H104" s="4"/>
    </row>
    <row r="105" spans="1:8" x14ac:dyDescent="0.2">
      <c r="A105" s="130"/>
      <c r="B105" s="4"/>
      <c r="C105" s="4"/>
      <c r="D105" s="4"/>
      <c r="E105" s="5"/>
      <c r="F105" s="5"/>
      <c r="G105" s="5" t="str">
        <f t="shared" si="1"/>
        <v/>
      </c>
      <c r="H105" s="4"/>
    </row>
    <row r="106" spans="1:8" x14ac:dyDescent="0.2">
      <c r="A106" s="130"/>
      <c r="B106" s="4"/>
      <c r="C106" s="4"/>
      <c r="D106" s="4"/>
      <c r="E106" s="5"/>
      <c r="F106" s="5"/>
      <c r="G106" s="5" t="str">
        <f t="shared" si="1"/>
        <v/>
      </c>
      <c r="H106" s="4"/>
    </row>
    <row r="107" spans="1:8" x14ac:dyDescent="0.2">
      <c r="A107" s="130"/>
      <c r="B107" s="4"/>
      <c r="C107" s="4"/>
      <c r="D107" s="4"/>
      <c r="E107" s="5"/>
      <c r="F107" s="5"/>
      <c r="G107" s="5" t="str">
        <f t="shared" si="1"/>
        <v/>
      </c>
      <c r="H107" s="4"/>
    </row>
    <row r="108" spans="1:8" x14ac:dyDescent="0.2">
      <c r="A108" s="130"/>
      <c r="B108" s="4"/>
      <c r="C108" s="4"/>
      <c r="D108" s="4"/>
      <c r="E108" s="5"/>
      <c r="F108" s="5"/>
      <c r="G108" s="5" t="str">
        <f t="shared" si="1"/>
        <v/>
      </c>
      <c r="H108" s="4"/>
    </row>
    <row r="109" spans="1:8" x14ac:dyDescent="0.2">
      <c r="A109" s="130"/>
      <c r="B109" s="4"/>
      <c r="C109" s="4"/>
      <c r="D109" s="4"/>
      <c r="E109" s="5"/>
      <c r="F109" s="5"/>
      <c r="G109" s="5" t="str">
        <f t="shared" si="1"/>
        <v/>
      </c>
      <c r="H109" s="4"/>
    </row>
    <row r="110" spans="1:8" x14ac:dyDescent="0.2">
      <c r="A110" s="130"/>
      <c r="B110" s="4"/>
      <c r="C110" s="4"/>
      <c r="D110" s="4"/>
      <c r="E110" s="5"/>
      <c r="F110" s="5"/>
      <c r="G110" s="5" t="str">
        <f t="shared" si="1"/>
        <v/>
      </c>
      <c r="H110" s="4"/>
    </row>
    <row r="111" spans="1:8" x14ac:dyDescent="0.2">
      <c r="A111" s="130"/>
      <c r="B111" s="4"/>
      <c r="C111" s="4"/>
      <c r="D111" s="4"/>
      <c r="E111" s="5"/>
      <c r="F111" s="5"/>
      <c r="G111" s="5" t="str">
        <f t="shared" si="1"/>
        <v/>
      </c>
      <c r="H111" s="4"/>
    </row>
    <row r="112" spans="1:8" x14ac:dyDescent="0.2">
      <c r="A112" s="130"/>
      <c r="B112" s="4"/>
      <c r="C112" s="4"/>
      <c r="D112" s="4"/>
      <c r="E112" s="5"/>
      <c r="F112" s="5"/>
      <c r="G112" s="5" t="str">
        <f t="shared" si="1"/>
        <v/>
      </c>
      <c r="H112" s="4"/>
    </row>
    <row r="113" spans="1:8" x14ac:dyDescent="0.2">
      <c r="A113" s="130"/>
      <c r="B113" s="4"/>
      <c r="C113" s="4"/>
      <c r="D113" s="4"/>
      <c r="E113" s="5"/>
      <c r="F113" s="5"/>
      <c r="G113" s="5" t="str">
        <f t="shared" si="1"/>
        <v/>
      </c>
      <c r="H113" s="4"/>
    </row>
    <row r="114" spans="1:8" x14ac:dyDescent="0.2">
      <c r="A114" s="130"/>
      <c r="B114" s="4"/>
      <c r="C114" s="4"/>
      <c r="D114" s="4"/>
      <c r="E114" s="5"/>
      <c r="F114" s="5"/>
      <c r="G114" s="5" t="str">
        <f t="shared" si="1"/>
        <v/>
      </c>
      <c r="H114" s="4"/>
    </row>
    <row r="115" spans="1:8" x14ac:dyDescent="0.2">
      <c r="A115" s="130"/>
      <c r="B115" s="4"/>
      <c r="C115" s="4"/>
      <c r="D115" s="4"/>
      <c r="E115" s="5"/>
      <c r="F115" s="5"/>
      <c r="G115" s="5" t="str">
        <f t="shared" si="1"/>
        <v/>
      </c>
      <c r="H115" s="4"/>
    </row>
    <row r="116" spans="1:8" x14ac:dyDescent="0.2">
      <c r="A116" s="130"/>
      <c r="B116" s="4"/>
      <c r="C116" s="4"/>
      <c r="D116" s="4"/>
      <c r="E116" s="5"/>
      <c r="F116" s="5"/>
      <c r="G116" s="5" t="str">
        <f t="shared" si="1"/>
        <v/>
      </c>
      <c r="H116" s="4"/>
    </row>
    <row r="117" spans="1:8" x14ac:dyDescent="0.2">
      <c r="A117" s="130"/>
      <c r="B117" s="4"/>
      <c r="C117" s="4"/>
      <c r="D117" s="4"/>
      <c r="E117" s="5"/>
      <c r="F117" s="5"/>
      <c r="G117" s="5" t="str">
        <f t="shared" si="1"/>
        <v/>
      </c>
      <c r="H117" s="4"/>
    </row>
    <row r="118" spans="1:8" x14ac:dyDescent="0.2">
      <c r="A118" s="130"/>
      <c r="B118" s="4"/>
      <c r="C118" s="4"/>
      <c r="D118" s="4"/>
      <c r="E118" s="5"/>
      <c r="F118" s="5"/>
      <c r="G118" s="5" t="str">
        <f t="shared" si="1"/>
        <v/>
      </c>
      <c r="H118" s="4"/>
    </row>
    <row r="119" spans="1:8" x14ac:dyDescent="0.2">
      <c r="A119" s="130"/>
      <c r="B119" s="4"/>
      <c r="C119" s="4"/>
      <c r="D119" s="4"/>
      <c r="E119" s="5"/>
      <c r="F119" s="5"/>
      <c r="G119" s="5" t="str">
        <f t="shared" si="1"/>
        <v/>
      </c>
      <c r="H119" s="4"/>
    </row>
    <row r="120" spans="1:8" x14ac:dyDescent="0.2">
      <c r="A120" s="130"/>
      <c r="B120" s="4"/>
      <c r="C120" s="4"/>
      <c r="D120" s="4"/>
      <c r="E120" s="5"/>
      <c r="F120" s="5"/>
      <c r="G120" s="5" t="str">
        <f t="shared" si="1"/>
        <v/>
      </c>
      <c r="H120" s="4"/>
    </row>
    <row r="121" spans="1:8" x14ac:dyDescent="0.2">
      <c r="A121" s="130"/>
      <c r="B121" s="4"/>
      <c r="C121" s="4"/>
      <c r="D121" s="4"/>
      <c r="E121" s="5"/>
      <c r="F121" s="5"/>
      <c r="G121" s="5" t="str">
        <f t="shared" si="1"/>
        <v/>
      </c>
      <c r="H121" s="4"/>
    </row>
    <row r="122" spans="1:8" x14ac:dyDescent="0.2">
      <c r="A122" s="130"/>
      <c r="B122" s="4"/>
      <c r="C122" s="4"/>
      <c r="D122" s="4"/>
      <c r="E122" s="5"/>
      <c r="F122" s="5"/>
      <c r="G122" s="5" t="str">
        <f t="shared" si="1"/>
        <v/>
      </c>
      <c r="H122" s="4"/>
    </row>
    <row r="123" spans="1:8" x14ac:dyDescent="0.2">
      <c r="A123" s="130"/>
      <c r="B123" s="4"/>
      <c r="C123" s="4"/>
      <c r="D123" s="4"/>
      <c r="E123" s="5"/>
      <c r="F123" s="5"/>
      <c r="G123" s="5" t="str">
        <f t="shared" si="1"/>
        <v/>
      </c>
      <c r="H123" s="4"/>
    </row>
    <row r="124" spans="1:8" x14ac:dyDescent="0.2">
      <c r="A124" s="130"/>
      <c r="B124" s="4"/>
      <c r="C124" s="4"/>
      <c r="D124" s="4"/>
      <c r="E124" s="5"/>
      <c r="F124" s="5"/>
      <c r="G124" s="5" t="str">
        <f t="shared" si="1"/>
        <v/>
      </c>
      <c r="H124" s="4"/>
    </row>
    <row r="125" spans="1:8" x14ac:dyDescent="0.2">
      <c r="A125" s="130"/>
      <c r="B125" s="4"/>
      <c r="C125" s="4"/>
      <c r="D125" s="4"/>
      <c r="E125" s="5"/>
      <c r="F125" s="5"/>
      <c r="G125" s="5" t="str">
        <f t="shared" si="1"/>
        <v/>
      </c>
      <c r="H125" s="4"/>
    </row>
    <row r="126" spans="1:8" x14ac:dyDescent="0.2">
      <c r="A126" s="130"/>
      <c r="B126" s="4"/>
      <c r="C126" s="4"/>
      <c r="D126" s="4"/>
      <c r="E126" s="5"/>
      <c r="F126" s="5"/>
      <c r="G126" s="5" t="str">
        <f t="shared" si="1"/>
        <v/>
      </c>
      <c r="H126" s="4"/>
    </row>
    <row r="127" spans="1:8" x14ac:dyDescent="0.2">
      <c r="A127" s="130"/>
      <c r="B127" s="4"/>
      <c r="C127" s="4"/>
      <c r="D127" s="4"/>
      <c r="E127" s="5"/>
      <c r="F127" s="5"/>
      <c r="G127" s="5" t="str">
        <f t="shared" si="1"/>
        <v/>
      </c>
      <c r="H127" s="4"/>
    </row>
    <row r="128" spans="1:8" x14ac:dyDescent="0.2">
      <c r="A128" s="130"/>
      <c r="B128" s="4"/>
      <c r="C128" s="4"/>
      <c r="D128" s="4"/>
      <c r="E128" s="5"/>
      <c r="F128" s="5"/>
      <c r="G128" s="5" t="str">
        <f t="shared" si="1"/>
        <v/>
      </c>
      <c r="H128" s="4"/>
    </row>
    <row r="129" spans="1:8" x14ac:dyDescent="0.2">
      <c r="A129" s="130"/>
      <c r="B129" s="4"/>
      <c r="C129" s="4"/>
      <c r="D129" s="4"/>
      <c r="E129" s="5"/>
      <c r="F129" s="5"/>
      <c r="G129" s="5" t="str">
        <f t="shared" si="1"/>
        <v/>
      </c>
      <c r="H129" s="4"/>
    </row>
    <row r="130" spans="1:8" x14ac:dyDescent="0.2">
      <c r="A130" s="130"/>
      <c r="B130" s="4"/>
      <c r="C130" s="4"/>
      <c r="D130" s="4"/>
      <c r="E130" s="5"/>
      <c r="F130" s="5"/>
      <c r="G130" s="5" t="str">
        <f t="shared" si="1"/>
        <v/>
      </c>
      <c r="H130" s="4"/>
    </row>
    <row r="131" spans="1:8" x14ac:dyDescent="0.2">
      <c r="A131" s="130"/>
      <c r="B131" s="4"/>
      <c r="C131" s="4"/>
      <c r="D131" s="4"/>
      <c r="E131" s="5"/>
      <c r="F131" s="5"/>
      <c r="G131" s="5" t="str">
        <f t="shared" si="1"/>
        <v/>
      </c>
      <c r="H131" s="4"/>
    </row>
    <row r="132" spans="1:8" x14ac:dyDescent="0.2">
      <c r="A132" s="130"/>
      <c r="B132" s="4"/>
      <c r="C132" s="4"/>
      <c r="D132" s="4"/>
      <c r="E132" s="5"/>
      <c r="F132" s="5"/>
      <c r="G132" s="5" t="str">
        <f t="shared" ref="G132:G195" si="2">IF($B132="","",$G131+$F132-$E132)</f>
        <v/>
      </c>
      <c r="H132" s="4"/>
    </row>
    <row r="133" spans="1:8" x14ac:dyDescent="0.2">
      <c r="A133" s="130"/>
      <c r="B133" s="4"/>
      <c r="C133" s="4"/>
      <c r="D133" s="4"/>
      <c r="E133" s="5"/>
      <c r="F133" s="5"/>
      <c r="G133" s="5" t="str">
        <f t="shared" si="2"/>
        <v/>
      </c>
      <c r="H133" s="4"/>
    </row>
    <row r="134" spans="1:8" x14ac:dyDescent="0.2">
      <c r="A134" s="130"/>
      <c r="B134" s="4"/>
      <c r="C134" s="4"/>
      <c r="D134" s="4"/>
      <c r="E134" s="5"/>
      <c r="F134" s="5"/>
      <c r="G134" s="5" t="str">
        <f t="shared" si="2"/>
        <v/>
      </c>
      <c r="H134" s="4"/>
    </row>
    <row r="135" spans="1:8" x14ac:dyDescent="0.2">
      <c r="A135" s="130"/>
      <c r="B135" s="4"/>
      <c r="C135" s="4"/>
      <c r="D135" s="4"/>
      <c r="E135" s="5"/>
      <c r="F135" s="5"/>
      <c r="G135" s="5" t="str">
        <f t="shared" si="2"/>
        <v/>
      </c>
      <c r="H135" s="4"/>
    </row>
    <row r="136" spans="1:8" x14ac:dyDescent="0.2">
      <c r="A136" s="130"/>
      <c r="B136" s="4"/>
      <c r="C136" s="4"/>
      <c r="D136" s="4"/>
      <c r="E136" s="5"/>
      <c r="F136" s="5"/>
      <c r="G136" s="5" t="str">
        <f t="shared" si="2"/>
        <v/>
      </c>
      <c r="H136" s="4"/>
    </row>
    <row r="137" spans="1:8" x14ac:dyDescent="0.2">
      <c r="A137" s="130"/>
      <c r="B137" s="4"/>
      <c r="C137" s="4"/>
      <c r="D137" s="4"/>
      <c r="E137" s="5"/>
      <c r="F137" s="5"/>
      <c r="G137" s="5" t="str">
        <f t="shared" si="2"/>
        <v/>
      </c>
      <c r="H137" s="4"/>
    </row>
    <row r="138" spans="1:8" x14ac:dyDescent="0.2">
      <c r="A138" s="130"/>
      <c r="B138" s="4"/>
      <c r="C138" s="4"/>
      <c r="D138" s="4"/>
      <c r="E138" s="5"/>
      <c r="F138" s="5"/>
      <c r="G138" s="5" t="str">
        <f t="shared" si="2"/>
        <v/>
      </c>
      <c r="H138" s="4"/>
    </row>
    <row r="139" spans="1:8" x14ac:dyDescent="0.2">
      <c r="A139" s="130"/>
      <c r="B139" s="4"/>
      <c r="C139" s="4"/>
      <c r="D139" s="4"/>
      <c r="E139" s="5"/>
      <c r="F139" s="5"/>
      <c r="G139" s="5" t="str">
        <f t="shared" si="2"/>
        <v/>
      </c>
      <c r="H139" s="4"/>
    </row>
    <row r="140" spans="1:8" x14ac:dyDescent="0.2">
      <c r="A140" s="130"/>
      <c r="B140" s="4"/>
      <c r="C140" s="4"/>
      <c r="D140" s="4"/>
      <c r="E140" s="5"/>
      <c r="F140" s="5"/>
      <c r="G140" s="5" t="str">
        <f t="shared" si="2"/>
        <v/>
      </c>
      <c r="H140" s="4"/>
    </row>
    <row r="141" spans="1:8" x14ac:dyDescent="0.2">
      <c r="A141" s="130"/>
      <c r="B141" s="4"/>
      <c r="C141" s="4"/>
      <c r="D141" s="4"/>
      <c r="E141" s="5"/>
      <c r="F141" s="5"/>
      <c r="G141" s="5" t="str">
        <f t="shared" si="2"/>
        <v/>
      </c>
      <c r="H141" s="4"/>
    </row>
    <row r="142" spans="1:8" x14ac:dyDescent="0.2">
      <c r="A142" s="130"/>
      <c r="B142" s="4"/>
      <c r="C142" s="4"/>
      <c r="D142" s="4"/>
      <c r="E142" s="5"/>
      <c r="F142" s="5"/>
      <c r="G142" s="5" t="str">
        <f t="shared" si="2"/>
        <v/>
      </c>
      <c r="H142" s="4"/>
    </row>
    <row r="143" spans="1:8" x14ac:dyDescent="0.2">
      <c r="A143" s="130"/>
      <c r="B143" s="4"/>
      <c r="C143" s="4"/>
      <c r="D143" s="4"/>
      <c r="E143" s="5"/>
      <c r="F143" s="5"/>
      <c r="G143" s="5" t="str">
        <f t="shared" si="2"/>
        <v/>
      </c>
      <c r="H143" s="4"/>
    </row>
    <row r="144" spans="1:8" x14ac:dyDescent="0.2">
      <c r="A144" s="130"/>
      <c r="B144" s="4"/>
      <c r="C144" s="4"/>
      <c r="D144" s="4"/>
      <c r="E144" s="5"/>
      <c r="F144" s="5"/>
      <c r="G144" s="5" t="str">
        <f t="shared" si="2"/>
        <v/>
      </c>
      <c r="H144" s="4"/>
    </row>
    <row r="145" spans="1:8" x14ac:dyDescent="0.2">
      <c r="A145" s="130"/>
      <c r="B145" s="4"/>
      <c r="C145" s="4"/>
      <c r="D145" s="4"/>
      <c r="E145" s="5"/>
      <c r="F145" s="5"/>
      <c r="G145" s="5" t="str">
        <f t="shared" si="2"/>
        <v/>
      </c>
      <c r="H145" s="4"/>
    </row>
    <row r="146" spans="1:8" x14ac:dyDescent="0.2">
      <c r="A146" s="130"/>
      <c r="B146" s="4"/>
      <c r="C146" s="4"/>
      <c r="D146" s="4"/>
      <c r="E146" s="5"/>
      <c r="F146" s="5"/>
      <c r="G146" s="5" t="str">
        <f t="shared" si="2"/>
        <v/>
      </c>
      <c r="H146" s="4"/>
    </row>
    <row r="147" spans="1:8" x14ac:dyDescent="0.2">
      <c r="A147" s="130"/>
      <c r="B147" s="4"/>
      <c r="C147" s="4"/>
      <c r="D147" s="4"/>
      <c r="E147" s="5"/>
      <c r="F147" s="5"/>
      <c r="G147" s="5" t="str">
        <f t="shared" si="2"/>
        <v/>
      </c>
      <c r="H147" s="4"/>
    </row>
    <row r="148" spans="1:8" x14ac:dyDescent="0.2">
      <c r="A148" s="130"/>
      <c r="B148" s="4"/>
      <c r="C148" s="4"/>
      <c r="D148" s="4"/>
      <c r="E148" s="5"/>
      <c r="F148" s="5"/>
      <c r="G148" s="5" t="str">
        <f t="shared" si="2"/>
        <v/>
      </c>
      <c r="H148" s="4"/>
    </row>
    <row r="149" spans="1:8" x14ac:dyDescent="0.2">
      <c r="A149" s="130"/>
      <c r="B149" s="4"/>
      <c r="C149" s="4"/>
      <c r="D149" s="4"/>
      <c r="E149" s="5"/>
      <c r="F149" s="5"/>
      <c r="G149" s="5" t="str">
        <f t="shared" si="2"/>
        <v/>
      </c>
      <c r="H149" s="4"/>
    </row>
    <row r="150" spans="1:8" x14ac:dyDescent="0.2">
      <c r="A150" s="130"/>
      <c r="B150" s="4"/>
      <c r="C150" s="4"/>
      <c r="D150" s="4"/>
      <c r="E150" s="5"/>
      <c r="F150" s="5"/>
      <c r="G150" s="5" t="str">
        <f t="shared" si="2"/>
        <v/>
      </c>
      <c r="H150" s="4"/>
    </row>
    <row r="151" spans="1:8" x14ac:dyDescent="0.2">
      <c r="A151" s="130"/>
      <c r="B151" s="4"/>
      <c r="C151" s="4"/>
      <c r="D151" s="4"/>
      <c r="E151" s="5"/>
      <c r="F151" s="5"/>
      <c r="G151" s="5" t="str">
        <f t="shared" si="2"/>
        <v/>
      </c>
      <c r="H151" s="4"/>
    </row>
    <row r="152" spans="1:8" x14ac:dyDescent="0.2">
      <c r="A152" s="130"/>
      <c r="B152" s="4"/>
      <c r="C152" s="4"/>
      <c r="D152" s="4"/>
      <c r="E152" s="5"/>
      <c r="F152" s="5"/>
      <c r="G152" s="5" t="str">
        <f t="shared" si="2"/>
        <v/>
      </c>
      <c r="H152" s="4"/>
    </row>
    <row r="153" spans="1:8" x14ac:dyDescent="0.2">
      <c r="A153" s="130"/>
      <c r="B153" s="4"/>
      <c r="C153" s="4"/>
      <c r="D153" s="4"/>
      <c r="E153" s="5"/>
      <c r="F153" s="5"/>
      <c r="G153" s="5" t="str">
        <f t="shared" si="2"/>
        <v/>
      </c>
      <c r="H153" s="4"/>
    </row>
    <row r="154" spans="1:8" x14ac:dyDescent="0.2">
      <c r="A154" s="130"/>
      <c r="B154" s="4"/>
      <c r="C154" s="4"/>
      <c r="D154" s="4"/>
      <c r="E154" s="5"/>
      <c r="F154" s="5"/>
      <c r="G154" s="5" t="str">
        <f t="shared" si="2"/>
        <v/>
      </c>
      <c r="H154" s="4"/>
    </row>
    <row r="155" spans="1:8" x14ac:dyDescent="0.2">
      <c r="A155" s="130"/>
      <c r="B155" s="4"/>
      <c r="C155" s="4"/>
      <c r="D155" s="4"/>
      <c r="E155" s="5"/>
      <c r="F155" s="5"/>
      <c r="G155" s="5" t="str">
        <f t="shared" si="2"/>
        <v/>
      </c>
      <c r="H155" s="4"/>
    </row>
    <row r="156" spans="1:8" x14ac:dyDescent="0.2">
      <c r="A156" s="130"/>
      <c r="B156" s="4"/>
      <c r="C156" s="4"/>
      <c r="D156" s="4"/>
      <c r="E156" s="5"/>
      <c r="F156" s="5"/>
      <c r="G156" s="5" t="str">
        <f t="shared" si="2"/>
        <v/>
      </c>
      <c r="H156" s="4"/>
    </row>
    <row r="157" spans="1:8" x14ac:dyDescent="0.2">
      <c r="A157" s="130"/>
      <c r="B157" s="4"/>
      <c r="C157" s="4"/>
      <c r="D157" s="4"/>
      <c r="E157" s="5"/>
      <c r="F157" s="5"/>
      <c r="G157" s="5" t="str">
        <f t="shared" si="2"/>
        <v/>
      </c>
      <c r="H157" s="4"/>
    </row>
    <row r="158" spans="1:8" x14ac:dyDescent="0.2">
      <c r="A158" s="130"/>
      <c r="B158" s="4"/>
      <c r="C158" s="4"/>
      <c r="D158" s="4"/>
      <c r="E158" s="5"/>
      <c r="F158" s="5"/>
      <c r="G158" s="5" t="str">
        <f t="shared" si="2"/>
        <v/>
      </c>
      <c r="H158" s="4"/>
    </row>
    <row r="159" spans="1:8" x14ac:dyDescent="0.2">
      <c r="A159" s="130"/>
      <c r="B159" s="4"/>
      <c r="C159" s="4"/>
      <c r="D159" s="4"/>
      <c r="E159" s="5"/>
      <c r="F159" s="5"/>
      <c r="G159" s="5" t="str">
        <f t="shared" si="2"/>
        <v/>
      </c>
      <c r="H159" s="4"/>
    </row>
    <row r="160" spans="1:8" x14ac:dyDescent="0.2">
      <c r="A160" s="130"/>
      <c r="B160" s="4"/>
      <c r="C160" s="4"/>
      <c r="D160" s="4"/>
      <c r="E160" s="5"/>
      <c r="F160" s="5"/>
      <c r="G160" s="5" t="str">
        <f t="shared" si="2"/>
        <v/>
      </c>
      <c r="H160" s="4"/>
    </row>
    <row r="161" spans="1:8" x14ac:dyDescent="0.2">
      <c r="A161" s="130"/>
      <c r="B161" s="4"/>
      <c r="C161" s="4"/>
      <c r="D161" s="4"/>
      <c r="E161" s="5"/>
      <c r="F161" s="5"/>
      <c r="G161" s="5" t="str">
        <f t="shared" si="2"/>
        <v/>
      </c>
      <c r="H161" s="4"/>
    </row>
    <row r="162" spans="1:8" x14ac:dyDescent="0.2">
      <c r="A162" s="130"/>
      <c r="B162" s="4"/>
      <c r="C162" s="4"/>
      <c r="D162" s="4"/>
      <c r="E162" s="5"/>
      <c r="F162" s="5"/>
      <c r="G162" s="5" t="str">
        <f t="shared" si="2"/>
        <v/>
      </c>
      <c r="H162" s="4"/>
    </row>
    <row r="163" spans="1:8" x14ac:dyDescent="0.2">
      <c r="A163" s="130"/>
      <c r="B163" s="4"/>
      <c r="C163" s="4"/>
      <c r="D163" s="4"/>
      <c r="E163" s="5"/>
      <c r="F163" s="5"/>
      <c r="G163" s="5" t="str">
        <f t="shared" si="2"/>
        <v/>
      </c>
      <c r="H163" s="4"/>
    </row>
    <row r="164" spans="1:8" x14ac:dyDescent="0.2">
      <c r="A164" s="130"/>
      <c r="B164" s="4"/>
      <c r="C164" s="4"/>
      <c r="D164" s="4"/>
      <c r="E164" s="5"/>
      <c r="F164" s="5"/>
      <c r="G164" s="5" t="str">
        <f t="shared" si="2"/>
        <v/>
      </c>
      <c r="H164" s="4"/>
    </row>
    <row r="165" spans="1:8" x14ac:dyDescent="0.2">
      <c r="A165" s="130"/>
      <c r="B165" s="4"/>
      <c r="C165" s="4"/>
      <c r="D165" s="4"/>
      <c r="E165" s="5"/>
      <c r="F165" s="5"/>
      <c r="G165" s="5" t="str">
        <f t="shared" si="2"/>
        <v/>
      </c>
      <c r="H165" s="4"/>
    </row>
    <row r="166" spans="1:8" x14ac:dyDescent="0.2">
      <c r="A166" s="130"/>
      <c r="B166" s="4"/>
      <c r="C166" s="4"/>
      <c r="D166" s="4"/>
      <c r="E166" s="5"/>
      <c r="F166" s="5"/>
      <c r="G166" s="5" t="str">
        <f t="shared" si="2"/>
        <v/>
      </c>
      <c r="H166" s="4"/>
    </row>
    <row r="167" spans="1:8" x14ac:dyDescent="0.2">
      <c r="A167" s="130"/>
      <c r="B167" s="4"/>
      <c r="C167" s="4"/>
      <c r="D167" s="4"/>
      <c r="E167" s="5"/>
      <c r="F167" s="5"/>
      <c r="G167" s="5" t="str">
        <f t="shared" si="2"/>
        <v/>
      </c>
      <c r="H167" s="4"/>
    </row>
    <row r="168" spans="1:8" x14ac:dyDescent="0.2">
      <c r="A168" s="130"/>
      <c r="B168" s="4"/>
      <c r="C168" s="4"/>
      <c r="D168" s="4"/>
      <c r="E168" s="5"/>
      <c r="F168" s="5"/>
      <c r="G168" s="5" t="str">
        <f t="shared" si="2"/>
        <v/>
      </c>
      <c r="H168" s="4"/>
    </row>
    <row r="169" spans="1:8" x14ac:dyDescent="0.2">
      <c r="A169" s="130"/>
      <c r="B169" s="4"/>
      <c r="C169" s="4"/>
      <c r="D169" s="4"/>
      <c r="E169" s="5"/>
      <c r="F169" s="5"/>
      <c r="G169" s="5" t="str">
        <f t="shared" si="2"/>
        <v/>
      </c>
      <c r="H169" s="4"/>
    </row>
    <row r="170" spans="1:8" x14ac:dyDescent="0.2">
      <c r="A170" s="130"/>
      <c r="B170" s="4"/>
      <c r="C170" s="4"/>
      <c r="D170" s="4"/>
      <c r="E170" s="5"/>
      <c r="F170" s="5"/>
      <c r="G170" s="5" t="str">
        <f t="shared" si="2"/>
        <v/>
      </c>
      <c r="H170" s="4"/>
    </row>
    <row r="171" spans="1:8" x14ac:dyDescent="0.2">
      <c r="A171" s="130"/>
      <c r="B171" s="4"/>
      <c r="C171" s="4"/>
      <c r="D171" s="4"/>
      <c r="E171" s="5"/>
      <c r="F171" s="5"/>
      <c r="G171" s="5" t="str">
        <f t="shared" si="2"/>
        <v/>
      </c>
      <c r="H171" s="4"/>
    </row>
    <row r="172" spans="1:8" x14ac:dyDescent="0.2">
      <c r="A172" s="130"/>
      <c r="B172" s="4"/>
      <c r="C172" s="4"/>
      <c r="D172" s="4"/>
      <c r="E172" s="5"/>
      <c r="F172" s="5"/>
      <c r="G172" s="5" t="str">
        <f t="shared" si="2"/>
        <v/>
      </c>
      <c r="H172" s="4"/>
    </row>
    <row r="173" spans="1:8" x14ac:dyDescent="0.2">
      <c r="A173" s="130"/>
      <c r="B173" s="4"/>
      <c r="C173" s="4"/>
      <c r="D173" s="4"/>
      <c r="E173" s="5"/>
      <c r="F173" s="5"/>
      <c r="G173" s="5" t="str">
        <f t="shared" si="2"/>
        <v/>
      </c>
      <c r="H173" s="4"/>
    </row>
    <row r="174" spans="1:8" x14ac:dyDescent="0.2">
      <c r="A174" s="130"/>
      <c r="B174" s="4"/>
      <c r="C174" s="4"/>
      <c r="D174" s="4"/>
      <c r="E174" s="5"/>
      <c r="F174" s="5"/>
      <c r="G174" s="5" t="str">
        <f t="shared" si="2"/>
        <v/>
      </c>
      <c r="H174" s="4"/>
    </row>
    <row r="175" spans="1:8" x14ac:dyDescent="0.2">
      <c r="A175" s="130"/>
      <c r="B175" s="4"/>
      <c r="C175" s="4"/>
      <c r="D175" s="4"/>
      <c r="E175" s="5"/>
      <c r="F175" s="5"/>
      <c r="G175" s="5" t="str">
        <f t="shared" si="2"/>
        <v/>
      </c>
      <c r="H175" s="4"/>
    </row>
    <row r="176" spans="1:8" x14ac:dyDescent="0.2">
      <c r="A176" s="130"/>
      <c r="B176" s="4"/>
      <c r="C176" s="4"/>
      <c r="D176" s="4"/>
      <c r="E176" s="5"/>
      <c r="F176" s="5"/>
      <c r="G176" s="5" t="str">
        <f t="shared" si="2"/>
        <v/>
      </c>
      <c r="H176" s="4"/>
    </row>
    <row r="177" spans="1:8" x14ac:dyDescent="0.2">
      <c r="A177" s="130"/>
      <c r="B177" s="4"/>
      <c r="C177" s="4"/>
      <c r="D177" s="4"/>
      <c r="E177" s="5"/>
      <c r="F177" s="5"/>
      <c r="G177" s="5" t="str">
        <f t="shared" si="2"/>
        <v/>
      </c>
      <c r="H177" s="4"/>
    </row>
    <row r="178" spans="1:8" x14ac:dyDescent="0.2">
      <c r="A178" s="130"/>
      <c r="B178" s="4"/>
      <c r="C178" s="4"/>
      <c r="D178" s="4"/>
      <c r="E178" s="5"/>
      <c r="F178" s="5"/>
      <c r="G178" s="5" t="str">
        <f t="shared" si="2"/>
        <v/>
      </c>
      <c r="H178" s="4"/>
    </row>
    <row r="179" spans="1:8" x14ac:dyDescent="0.2">
      <c r="A179" s="130"/>
      <c r="B179" s="4"/>
      <c r="C179" s="4"/>
      <c r="D179" s="4"/>
      <c r="E179" s="5"/>
      <c r="F179" s="5"/>
      <c r="G179" s="5" t="str">
        <f t="shared" si="2"/>
        <v/>
      </c>
      <c r="H179" s="4"/>
    </row>
    <row r="180" spans="1:8" x14ac:dyDescent="0.2">
      <c r="A180" s="130"/>
      <c r="B180" s="4"/>
      <c r="C180" s="4"/>
      <c r="D180" s="4"/>
      <c r="E180" s="5"/>
      <c r="F180" s="5"/>
      <c r="G180" s="5" t="str">
        <f t="shared" si="2"/>
        <v/>
      </c>
      <c r="H180" s="4"/>
    </row>
    <row r="181" spans="1:8" x14ac:dyDescent="0.2">
      <c r="A181" s="130"/>
      <c r="B181" s="4"/>
      <c r="C181" s="4"/>
      <c r="D181" s="4"/>
      <c r="E181" s="5"/>
      <c r="F181" s="5"/>
      <c r="G181" s="5" t="str">
        <f t="shared" si="2"/>
        <v/>
      </c>
      <c r="H181" s="4"/>
    </row>
    <row r="182" spans="1:8" x14ac:dyDescent="0.2">
      <c r="A182" s="130"/>
      <c r="B182" s="4"/>
      <c r="C182" s="4"/>
      <c r="D182" s="4"/>
      <c r="E182" s="5"/>
      <c r="F182" s="5"/>
      <c r="G182" s="5" t="str">
        <f t="shared" si="2"/>
        <v/>
      </c>
      <c r="H182" s="4"/>
    </row>
    <row r="183" spans="1:8" x14ac:dyDescent="0.2">
      <c r="A183" s="130"/>
      <c r="B183" s="4"/>
      <c r="C183" s="4"/>
      <c r="D183" s="4"/>
      <c r="E183" s="5"/>
      <c r="F183" s="5"/>
      <c r="G183" s="5" t="str">
        <f t="shared" si="2"/>
        <v/>
      </c>
      <c r="H183" s="4"/>
    </row>
    <row r="184" spans="1:8" x14ac:dyDescent="0.2">
      <c r="A184" s="130"/>
      <c r="B184" s="4"/>
      <c r="C184" s="4"/>
      <c r="D184" s="4"/>
      <c r="E184" s="5"/>
      <c r="F184" s="5"/>
      <c r="G184" s="5" t="str">
        <f t="shared" si="2"/>
        <v/>
      </c>
      <c r="H184" s="4"/>
    </row>
    <row r="185" spans="1:8" x14ac:dyDescent="0.2">
      <c r="A185" s="130"/>
      <c r="B185" s="4"/>
      <c r="C185" s="4"/>
      <c r="D185" s="4"/>
      <c r="E185" s="5"/>
      <c r="F185" s="5"/>
      <c r="G185" s="5" t="str">
        <f t="shared" si="2"/>
        <v/>
      </c>
      <c r="H185" s="4"/>
    </row>
    <row r="186" spans="1:8" x14ac:dyDescent="0.2">
      <c r="A186" s="130"/>
      <c r="B186" s="4"/>
      <c r="C186" s="4"/>
      <c r="D186" s="4"/>
      <c r="E186" s="5"/>
      <c r="F186" s="5"/>
      <c r="G186" s="5" t="str">
        <f t="shared" si="2"/>
        <v/>
      </c>
      <c r="H186" s="4"/>
    </row>
    <row r="187" spans="1:8" x14ac:dyDescent="0.2">
      <c r="A187" s="130"/>
      <c r="B187" s="4"/>
      <c r="C187" s="4"/>
      <c r="D187" s="4"/>
      <c r="E187" s="5"/>
      <c r="F187" s="5"/>
      <c r="G187" s="5" t="str">
        <f t="shared" si="2"/>
        <v/>
      </c>
      <c r="H187" s="4"/>
    </row>
    <row r="188" spans="1:8" x14ac:dyDescent="0.2">
      <c r="A188" s="130"/>
      <c r="B188" s="4"/>
      <c r="C188" s="4"/>
      <c r="D188" s="4"/>
      <c r="E188" s="5"/>
      <c r="F188" s="5"/>
      <c r="G188" s="5" t="str">
        <f t="shared" si="2"/>
        <v/>
      </c>
      <c r="H188" s="4"/>
    </row>
    <row r="189" spans="1:8" x14ac:dyDescent="0.2">
      <c r="A189" s="130"/>
      <c r="B189" s="4"/>
      <c r="C189" s="4"/>
      <c r="D189" s="4"/>
      <c r="E189" s="5"/>
      <c r="F189" s="5"/>
      <c r="G189" s="5" t="str">
        <f t="shared" si="2"/>
        <v/>
      </c>
      <c r="H189" s="4"/>
    </row>
    <row r="190" spans="1:8" x14ac:dyDescent="0.2">
      <c r="A190" s="130"/>
      <c r="B190" s="4"/>
      <c r="C190" s="4"/>
      <c r="D190" s="4"/>
      <c r="E190" s="5"/>
      <c r="F190" s="5"/>
      <c r="G190" s="5" t="str">
        <f t="shared" si="2"/>
        <v/>
      </c>
      <c r="H190" s="4"/>
    </row>
    <row r="191" spans="1:8" x14ac:dyDescent="0.2">
      <c r="A191" s="130"/>
      <c r="B191" s="4"/>
      <c r="C191" s="4"/>
      <c r="D191" s="4"/>
      <c r="E191" s="5"/>
      <c r="F191" s="5"/>
      <c r="G191" s="5" t="str">
        <f t="shared" si="2"/>
        <v/>
      </c>
      <c r="H191" s="4"/>
    </row>
    <row r="192" spans="1:8" x14ac:dyDescent="0.2">
      <c r="A192" s="130"/>
      <c r="B192" s="4"/>
      <c r="C192" s="4"/>
      <c r="D192" s="4"/>
      <c r="E192" s="5"/>
      <c r="F192" s="5"/>
      <c r="G192" s="5" t="str">
        <f t="shared" si="2"/>
        <v/>
      </c>
      <c r="H192" s="4"/>
    </row>
    <row r="193" spans="1:8" x14ac:dyDescent="0.2">
      <c r="A193" s="130"/>
      <c r="B193" s="4"/>
      <c r="C193" s="4"/>
      <c r="D193" s="4"/>
      <c r="E193" s="5"/>
      <c r="F193" s="5"/>
      <c r="G193" s="5" t="str">
        <f t="shared" si="2"/>
        <v/>
      </c>
      <c r="H193" s="4"/>
    </row>
    <row r="194" spans="1:8" x14ac:dyDescent="0.2">
      <c r="A194" s="130"/>
      <c r="B194" s="4"/>
      <c r="C194" s="4"/>
      <c r="D194" s="4"/>
      <c r="E194" s="5"/>
      <c r="F194" s="5"/>
      <c r="G194" s="5" t="str">
        <f t="shared" si="2"/>
        <v/>
      </c>
      <c r="H194" s="4"/>
    </row>
    <row r="195" spans="1:8" x14ac:dyDescent="0.2">
      <c r="A195" s="130"/>
      <c r="B195" s="4"/>
      <c r="C195" s="4"/>
      <c r="D195" s="4"/>
      <c r="E195" s="5"/>
      <c r="F195" s="5"/>
      <c r="G195" s="5" t="str">
        <f t="shared" si="2"/>
        <v/>
      </c>
      <c r="H195" s="4"/>
    </row>
    <row r="196" spans="1:8" x14ac:dyDescent="0.2">
      <c r="A196" s="130"/>
      <c r="B196" s="4"/>
      <c r="C196" s="4"/>
      <c r="D196" s="4"/>
      <c r="E196" s="5"/>
      <c r="F196" s="5"/>
      <c r="G196" s="5" t="str">
        <f t="shared" ref="G196:G259" si="3">IF($B196="","",$G195+$F196-$E196)</f>
        <v/>
      </c>
      <c r="H196" s="4"/>
    </row>
    <row r="197" spans="1:8" x14ac:dyDescent="0.2">
      <c r="A197" s="130"/>
      <c r="B197" s="4"/>
      <c r="C197" s="4"/>
      <c r="D197" s="4"/>
      <c r="E197" s="5"/>
      <c r="F197" s="5"/>
      <c r="G197" s="5" t="str">
        <f t="shared" si="3"/>
        <v/>
      </c>
      <c r="H197" s="4"/>
    </row>
    <row r="198" spans="1:8" x14ac:dyDescent="0.2">
      <c r="A198" s="130"/>
      <c r="B198" s="4"/>
      <c r="C198" s="4"/>
      <c r="D198" s="4"/>
      <c r="E198" s="5"/>
      <c r="F198" s="5"/>
      <c r="G198" s="5" t="str">
        <f t="shared" si="3"/>
        <v/>
      </c>
      <c r="H198" s="4"/>
    </row>
    <row r="199" spans="1:8" x14ac:dyDescent="0.2">
      <c r="A199" s="130"/>
      <c r="B199" s="4"/>
      <c r="C199" s="4"/>
      <c r="D199" s="4"/>
      <c r="E199" s="5"/>
      <c r="F199" s="5"/>
      <c r="G199" s="5" t="str">
        <f t="shared" si="3"/>
        <v/>
      </c>
      <c r="H199" s="4"/>
    </row>
    <row r="200" spans="1:8" x14ac:dyDescent="0.2">
      <c r="A200" s="130"/>
      <c r="B200" s="4"/>
      <c r="C200" s="4"/>
      <c r="D200" s="4"/>
      <c r="E200" s="5"/>
      <c r="F200" s="5"/>
      <c r="G200" s="5" t="str">
        <f t="shared" si="3"/>
        <v/>
      </c>
      <c r="H200" s="4"/>
    </row>
    <row r="201" spans="1:8" x14ac:dyDescent="0.2">
      <c r="A201" s="130"/>
      <c r="B201" s="4"/>
      <c r="C201" s="4"/>
      <c r="D201" s="4"/>
      <c r="E201" s="5"/>
      <c r="F201" s="5"/>
      <c r="G201" s="5" t="str">
        <f t="shared" si="3"/>
        <v/>
      </c>
      <c r="H201" s="4"/>
    </row>
    <row r="202" spans="1:8" x14ac:dyDescent="0.2">
      <c r="A202" s="130"/>
      <c r="B202" s="4"/>
      <c r="C202" s="4"/>
      <c r="D202" s="4"/>
      <c r="E202" s="5"/>
      <c r="F202" s="5"/>
      <c r="G202" s="5" t="str">
        <f t="shared" si="3"/>
        <v/>
      </c>
      <c r="H202" s="4"/>
    </row>
    <row r="203" spans="1:8" x14ac:dyDescent="0.2">
      <c r="A203" s="130"/>
      <c r="B203" s="4"/>
      <c r="C203" s="4"/>
      <c r="D203" s="4"/>
      <c r="E203" s="5"/>
      <c r="F203" s="5"/>
      <c r="G203" s="5" t="str">
        <f t="shared" si="3"/>
        <v/>
      </c>
      <c r="H203" s="4"/>
    </row>
    <row r="204" spans="1:8" x14ac:dyDescent="0.2">
      <c r="A204" s="130"/>
      <c r="B204" s="4"/>
      <c r="C204" s="4"/>
      <c r="D204" s="4"/>
      <c r="E204" s="5"/>
      <c r="F204" s="5"/>
      <c r="G204" s="5" t="str">
        <f t="shared" si="3"/>
        <v/>
      </c>
      <c r="H204" s="4"/>
    </row>
    <row r="205" spans="1:8" x14ac:dyDescent="0.2">
      <c r="A205" s="130"/>
      <c r="B205" s="4"/>
      <c r="C205" s="4"/>
      <c r="D205" s="4"/>
      <c r="E205" s="5"/>
      <c r="F205" s="5"/>
      <c r="G205" s="5" t="str">
        <f t="shared" si="3"/>
        <v/>
      </c>
      <c r="H205" s="4"/>
    </row>
    <row r="206" spans="1:8" x14ac:dyDescent="0.2">
      <c r="A206" s="130"/>
      <c r="B206" s="4"/>
      <c r="C206" s="4"/>
      <c r="D206" s="4"/>
      <c r="E206" s="5"/>
      <c r="F206" s="5"/>
      <c r="G206" s="5" t="str">
        <f t="shared" si="3"/>
        <v/>
      </c>
      <c r="H206" s="4"/>
    </row>
    <row r="207" spans="1:8" x14ac:dyDescent="0.2">
      <c r="A207" s="130"/>
      <c r="B207" s="4"/>
      <c r="C207" s="4"/>
      <c r="D207" s="4"/>
      <c r="E207" s="5"/>
      <c r="F207" s="5"/>
      <c r="G207" s="5" t="str">
        <f t="shared" si="3"/>
        <v/>
      </c>
      <c r="H207" s="4"/>
    </row>
    <row r="208" spans="1:8" x14ac:dyDescent="0.2">
      <c r="A208" s="130"/>
      <c r="B208" s="4"/>
      <c r="C208" s="4"/>
      <c r="D208" s="4"/>
      <c r="E208" s="5"/>
      <c r="F208" s="5"/>
      <c r="G208" s="5" t="str">
        <f t="shared" si="3"/>
        <v/>
      </c>
      <c r="H208" s="4"/>
    </row>
    <row r="209" spans="1:8" x14ac:dyDescent="0.2">
      <c r="A209" s="130"/>
      <c r="B209" s="4"/>
      <c r="C209" s="4"/>
      <c r="D209" s="4"/>
      <c r="E209" s="5"/>
      <c r="F209" s="5"/>
      <c r="G209" s="5" t="str">
        <f t="shared" si="3"/>
        <v/>
      </c>
      <c r="H209" s="4"/>
    </row>
    <row r="210" spans="1:8" x14ac:dyDescent="0.2">
      <c r="A210" s="130"/>
      <c r="B210" s="4"/>
      <c r="C210" s="4"/>
      <c r="D210" s="4"/>
      <c r="E210" s="5"/>
      <c r="F210" s="5"/>
      <c r="G210" s="5" t="str">
        <f t="shared" si="3"/>
        <v/>
      </c>
      <c r="H210" s="4"/>
    </row>
    <row r="211" spans="1:8" x14ac:dyDescent="0.2">
      <c r="A211" s="130"/>
      <c r="B211" s="4"/>
      <c r="C211" s="4"/>
      <c r="D211" s="4"/>
      <c r="E211" s="5"/>
      <c r="F211" s="5"/>
      <c r="G211" s="5" t="str">
        <f t="shared" si="3"/>
        <v/>
      </c>
      <c r="H211" s="4"/>
    </row>
    <row r="212" spans="1:8" x14ac:dyDescent="0.2">
      <c r="A212" s="130"/>
      <c r="B212" s="4"/>
      <c r="C212" s="4"/>
      <c r="D212" s="4"/>
      <c r="E212" s="5"/>
      <c r="F212" s="5"/>
      <c r="G212" s="5" t="str">
        <f t="shared" si="3"/>
        <v/>
      </c>
      <c r="H212" s="4"/>
    </row>
    <row r="213" spans="1:8" x14ac:dyDescent="0.2">
      <c r="A213" s="130"/>
      <c r="B213" s="4"/>
      <c r="C213" s="4"/>
      <c r="D213" s="4"/>
      <c r="E213" s="5"/>
      <c r="F213" s="5"/>
      <c r="G213" s="5" t="str">
        <f t="shared" si="3"/>
        <v/>
      </c>
      <c r="H213" s="4"/>
    </row>
    <row r="214" spans="1:8" x14ac:dyDescent="0.2">
      <c r="A214" s="130"/>
      <c r="B214" s="4"/>
      <c r="C214" s="4"/>
      <c r="D214" s="4"/>
      <c r="E214" s="5"/>
      <c r="F214" s="5"/>
      <c r="G214" s="5" t="str">
        <f t="shared" si="3"/>
        <v/>
      </c>
      <c r="H214" s="4"/>
    </row>
    <row r="215" spans="1:8" x14ac:dyDescent="0.2">
      <c r="A215" s="130"/>
      <c r="B215" s="4"/>
      <c r="C215" s="4"/>
      <c r="D215" s="4"/>
      <c r="E215" s="5"/>
      <c r="F215" s="5"/>
      <c r="G215" s="5" t="str">
        <f t="shared" si="3"/>
        <v/>
      </c>
      <c r="H215" s="4"/>
    </row>
    <row r="216" spans="1:8" x14ac:dyDescent="0.2">
      <c r="A216" s="130"/>
      <c r="B216" s="4"/>
      <c r="C216" s="4"/>
      <c r="D216" s="4"/>
      <c r="E216" s="5"/>
      <c r="F216" s="5"/>
      <c r="G216" s="5" t="str">
        <f t="shared" si="3"/>
        <v/>
      </c>
      <c r="H216" s="4"/>
    </row>
    <row r="217" spans="1:8" x14ac:dyDescent="0.2">
      <c r="A217" s="130"/>
      <c r="B217" s="4"/>
      <c r="C217" s="4"/>
      <c r="D217" s="4"/>
      <c r="E217" s="5"/>
      <c r="F217" s="5"/>
      <c r="G217" s="5" t="str">
        <f t="shared" si="3"/>
        <v/>
      </c>
      <c r="H217" s="4"/>
    </row>
    <row r="218" spans="1:8" x14ac:dyDescent="0.2">
      <c r="A218" s="130"/>
      <c r="B218" s="4"/>
      <c r="C218" s="4"/>
      <c r="D218" s="4"/>
      <c r="E218" s="5"/>
      <c r="F218" s="5"/>
      <c r="G218" s="5" t="str">
        <f t="shared" si="3"/>
        <v/>
      </c>
      <c r="H218" s="4"/>
    </row>
    <row r="219" spans="1:8" x14ac:dyDescent="0.2">
      <c r="A219" s="130"/>
      <c r="B219" s="4"/>
      <c r="C219" s="4"/>
      <c r="D219" s="4"/>
      <c r="E219" s="5"/>
      <c r="F219" s="5"/>
      <c r="G219" s="5" t="str">
        <f t="shared" si="3"/>
        <v/>
      </c>
      <c r="H219" s="4"/>
    </row>
    <row r="220" spans="1:8" x14ac:dyDescent="0.2">
      <c r="A220" s="130"/>
      <c r="B220" s="4"/>
      <c r="C220" s="4"/>
      <c r="D220" s="4"/>
      <c r="E220" s="5"/>
      <c r="F220" s="5"/>
      <c r="G220" s="5" t="str">
        <f t="shared" si="3"/>
        <v/>
      </c>
      <c r="H220" s="4"/>
    </row>
    <row r="221" spans="1:8" x14ac:dyDescent="0.2">
      <c r="A221" s="130"/>
      <c r="B221" s="4"/>
      <c r="C221" s="4"/>
      <c r="D221" s="4"/>
      <c r="E221" s="5"/>
      <c r="F221" s="5"/>
      <c r="G221" s="5" t="str">
        <f t="shared" si="3"/>
        <v/>
      </c>
      <c r="H221" s="4"/>
    </row>
    <row r="222" spans="1:8" x14ac:dyDescent="0.2">
      <c r="A222" s="130"/>
      <c r="B222" s="4"/>
      <c r="C222" s="4"/>
      <c r="D222" s="4"/>
      <c r="E222" s="5"/>
      <c r="F222" s="5"/>
      <c r="G222" s="5" t="str">
        <f t="shared" si="3"/>
        <v/>
      </c>
      <c r="H222" s="4"/>
    </row>
    <row r="223" spans="1:8" x14ac:dyDescent="0.2">
      <c r="A223" s="130"/>
      <c r="B223" s="4"/>
      <c r="C223" s="4"/>
      <c r="D223" s="4"/>
      <c r="E223" s="5"/>
      <c r="F223" s="5"/>
      <c r="G223" s="5" t="str">
        <f t="shared" si="3"/>
        <v/>
      </c>
      <c r="H223" s="4"/>
    </row>
    <row r="224" spans="1:8" x14ac:dyDescent="0.2">
      <c r="A224" s="130"/>
      <c r="B224" s="4"/>
      <c r="C224" s="4"/>
      <c r="D224" s="4"/>
      <c r="E224" s="5"/>
      <c r="F224" s="5"/>
      <c r="G224" s="5" t="str">
        <f t="shared" si="3"/>
        <v/>
      </c>
      <c r="H224" s="4"/>
    </row>
    <row r="225" spans="1:8" x14ac:dyDescent="0.2">
      <c r="A225" s="130"/>
      <c r="B225" s="4"/>
      <c r="C225" s="4"/>
      <c r="D225" s="4"/>
      <c r="E225" s="5"/>
      <c r="F225" s="5"/>
      <c r="G225" s="5" t="str">
        <f t="shared" si="3"/>
        <v/>
      </c>
      <c r="H225" s="4"/>
    </row>
    <row r="226" spans="1:8" x14ac:dyDescent="0.2">
      <c r="A226" s="130"/>
      <c r="B226" s="4"/>
      <c r="C226" s="4"/>
      <c r="D226" s="4"/>
      <c r="E226" s="5"/>
      <c r="F226" s="5"/>
      <c r="G226" s="5" t="str">
        <f t="shared" si="3"/>
        <v/>
      </c>
      <c r="H226" s="4"/>
    </row>
    <row r="227" spans="1:8" x14ac:dyDescent="0.2">
      <c r="A227" s="130"/>
      <c r="B227" s="4"/>
      <c r="C227" s="4"/>
      <c r="D227" s="4"/>
      <c r="E227" s="5"/>
      <c r="F227" s="5"/>
      <c r="G227" s="5" t="str">
        <f t="shared" si="3"/>
        <v/>
      </c>
      <c r="H227" s="4"/>
    </row>
    <row r="228" spans="1:8" x14ac:dyDescent="0.2">
      <c r="A228" s="130"/>
      <c r="B228" s="4"/>
      <c r="C228" s="4"/>
      <c r="D228" s="4"/>
      <c r="E228" s="5"/>
      <c r="F228" s="5"/>
      <c r="G228" s="5" t="str">
        <f t="shared" si="3"/>
        <v/>
      </c>
      <c r="H228" s="4"/>
    </row>
    <row r="229" spans="1:8" x14ac:dyDescent="0.2">
      <c r="A229" s="130"/>
      <c r="B229" s="4"/>
      <c r="C229" s="4"/>
      <c r="D229" s="4"/>
      <c r="E229" s="5"/>
      <c r="F229" s="5"/>
      <c r="G229" s="5" t="str">
        <f t="shared" si="3"/>
        <v/>
      </c>
      <c r="H229" s="4"/>
    </row>
    <row r="230" spans="1:8" x14ac:dyDescent="0.2">
      <c r="A230" s="130"/>
      <c r="B230" s="4"/>
      <c r="C230" s="4"/>
      <c r="D230" s="4"/>
      <c r="E230" s="5"/>
      <c r="F230" s="5"/>
      <c r="G230" s="5" t="str">
        <f t="shared" si="3"/>
        <v/>
      </c>
      <c r="H230" s="4"/>
    </row>
    <row r="231" spans="1:8" x14ac:dyDescent="0.2">
      <c r="A231" s="130"/>
      <c r="B231" s="4"/>
      <c r="C231" s="4"/>
      <c r="D231" s="4"/>
      <c r="E231" s="5"/>
      <c r="F231" s="5"/>
      <c r="G231" s="5" t="str">
        <f t="shared" si="3"/>
        <v/>
      </c>
      <c r="H231" s="4"/>
    </row>
    <row r="232" spans="1:8" x14ac:dyDescent="0.2">
      <c r="A232" s="130"/>
      <c r="B232" s="4"/>
      <c r="C232" s="4"/>
      <c r="D232" s="4"/>
      <c r="E232" s="5"/>
      <c r="F232" s="5"/>
      <c r="G232" s="5" t="str">
        <f t="shared" si="3"/>
        <v/>
      </c>
      <c r="H232" s="4"/>
    </row>
    <row r="233" spans="1:8" x14ac:dyDescent="0.2">
      <c r="A233" s="130"/>
      <c r="B233" s="4"/>
      <c r="C233" s="4"/>
      <c r="D233" s="4"/>
      <c r="E233" s="5"/>
      <c r="F233" s="5"/>
      <c r="G233" s="5" t="str">
        <f t="shared" si="3"/>
        <v/>
      </c>
      <c r="H233" s="4"/>
    </row>
    <row r="234" spans="1:8" x14ac:dyDescent="0.2">
      <c r="A234" s="130"/>
      <c r="B234" s="4"/>
      <c r="C234" s="4"/>
      <c r="D234" s="4"/>
      <c r="E234" s="5"/>
      <c r="F234" s="5"/>
      <c r="G234" s="5" t="str">
        <f t="shared" si="3"/>
        <v/>
      </c>
      <c r="H234" s="4"/>
    </row>
    <row r="235" spans="1:8" x14ac:dyDescent="0.2">
      <c r="A235" s="130"/>
      <c r="B235" s="4"/>
      <c r="C235" s="4"/>
      <c r="D235" s="4"/>
      <c r="E235" s="5"/>
      <c r="F235" s="5"/>
      <c r="G235" s="5" t="str">
        <f t="shared" si="3"/>
        <v/>
      </c>
      <c r="H235" s="4"/>
    </row>
    <row r="236" spans="1:8" x14ac:dyDescent="0.2">
      <c r="A236" s="130"/>
      <c r="B236" s="4"/>
      <c r="C236" s="4"/>
      <c r="D236" s="4"/>
      <c r="E236" s="5"/>
      <c r="F236" s="5"/>
      <c r="G236" s="5" t="str">
        <f t="shared" si="3"/>
        <v/>
      </c>
      <c r="H236" s="4"/>
    </row>
    <row r="237" spans="1:8" x14ac:dyDescent="0.2">
      <c r="A237" s="130"/>
      <c r="B237" s="4"/>
      <c r="C237" s="4"/>
      <c r="D237" s="4"/>
      <c r="E237" s="5"/>
      <c r="F237" s="5"/>
      <c r="G237" s="5" t="str">
        <f t="shared" si="3"/>
        <v/>
      </c>
      <c r="H237" s="4"/>
    </row>
    <row r="238" spans="1:8" x14ac:dyDescent="0.2">
      <c r="A238" s="130"/>
      <c r="B238" s="4"/>
      <c r="C238" s="4"/>
      <c r="D238" s="4"/>
      <c r="E238" s="5"/>
      <c r="F238" s="5"/>
      <c r="G238" s="5" t="str">
        <f t="shared" si="3"/>
        <v/>
      </c>
      <c r="H238" s="4"/>
    </row>
    <row r="239" spans="1:8" x14ac:dyDescent="0.2">
      <c r="A239" s="130"/>
      <c r="B239" s="4"/>
      <c r="C239" s="4"/>
      <c r="D239" s="4"/>
      <c r="E239" s="5"/>
      <c r="F239" s="5"/>
      <c r="G239" s="5" t="str">
        <f t="shared" si="3"/>
        <v/>
      </c>
      <c r="H239" s="4"/>
    </row>
    <row r="240" spans="1:8" x14ac:dyDescent="0.2">
      <c r="A240" s="130"/>
      <c r="B240" s="4"/>
      <c r="C240" s="4"/>
      <c r="D240" s="4"/>
      <c r="E240" s="5"/>
      <c r="F240" s="5"/>
      <c r="G240" s="5" t="str">
        <f t="shared" si="3"/>
        <v/>
      </c>
      <c r="H240" s="4"/>
    </row>
    <row r="241" spans="1:8" x14ac:dyDescent="0.2">
      <c r="A241" s="130"/>
      <c r="B241" s="4"/>
      <c r="C241" s="4"/>
      <c r="D241" s="4"/>
      <c r="E241" s="5"/>
      <c r="F241" s="5"/>
      <c r="G241" s="5" t="str">
        <f t="shared" si="3"/>
        <v/>
      </c>
      <c r="H241" s="4"/>
    </row>
    <row r="242" spans="1:8" x14ac:dyDescent="0.2">
      <c r="A242" s="130"/>
      <c r="B242" s="4"/>
      <c r="C242" s="4"/>
      <c r="D242" s="4"/>
      <c r="E242" s="5"/>
      <c r="F242" s="5"/>
      <c r="G242" s="5" t="str">
        <f t="shared" si="3"/>
        <v/>
      </c>
      <c r="H242" s="4"/>
    </row>
    <row r="243" spans="1:8" x14ac:dyDescent="0.2">
      <c r="A243" s="130"/>
      <c r="B243" s="4"/>
      <c r="C243" s="4"/>
      <c r="D243" s="4"/>
      <c r="E243" s="5"/>
      <c r="F243" s="5"/>
      <c r="G243" s="5" t="str">
        <f t="shared" si="3"/>
        <v/>
      </c>
      <c r="H243" s="4"/>
    </row>
    <row r="244" spans="1:8" x14ac:dyDescent="0.2">
      <c r="A244" s="130"/>
      <c r="B244" s="4"/>
      <c r="C244" s="4"/>
      <c r="D244" s="4"/>
      <c r="E244" s="5"/>
      <c r="F244" s="5"/>
      <c r="G244" s="5" t="str">
        <f t="shared" si="3"/>
        <v/>
      </c>
      <c r="H244" s="4"/>
    </row>
    <row r="245" spans="1:8" x14ac:dyDescent="0.2">
      <c r="A245" s="130"/>
      <c r="B245" s="4"/>
      <c r="C245" s="4"/>
      <c r="D245" s="4"/>
      <c r="E245" s="5"/>
      <c r="F245" s="5"/>
      <c r="G245" s="5" t="str">
        <f t="shared" si="3"/>
        <v/>
      </c>
      <c r="H245" s="4"/>
    </row>
    <row r="246" spans="1:8" x14ac:dyDescent="0.2">
      <c r="A246" s="130"/>
      <c r="B246" s="4"/>
      <c r="C246" s="4"/>
      <c r="D246" s="4"/>
      <c r="E246" s="5"/>
      <c r="F246" s="5"/>
      <c r="G246" s="5" t="str">
        <f t="shared" si="3"/>
        <v/>
      </c>
      <c r="H246" s="4"/>
    </row>
    <row r="247" spans="1:8" x14ac:dyDescent="0.2">
      <c r="A247" s="130"/>
      <c r="B247" s="4"/>
      <c r="C247" s="4"/>
      <c r="D247" s="4"/>
      <c r="E247" s="5"/>
      <c r="F247" s="5"/>
      <c r="G247" s="5" t="str">
        <f t="shared" si="3"/>
        <v/>
      </c>
      <c r="H247" s="4"/>
    </row>
    <row r="248" spans="1:8" x14ac:dyDescent="0.2">
      <c r="A248" s="130"/>
      <c r="B248" s="4"/>
      <c r="C248" s="4"/>
      <c r="D248" s="4"/>
      <c r="E248" s="5"/>
      <c r="F248" s="5"/>
      <c r="G248" s="5" t="str">
        <f t="shared" si="3"/>
        <v/>
      </c>
      <c r="H248" s="4"/>
    </row>
    <row r="249" spans="1:8" x14ac:dyDescent="0.2">
      <c r="A249" s="130"/>
      <c r="B249" s="4"/>
      <c r="C249" s="4"/>
      <c r="D249" s="4"/>
      <c r="E249" s="5"/>
      <c r="F249" s="5"/>
      <c r="G249" s="5" t="str">
        <f t="shared" si="3"/>
        <v/>
      </c>
      <c r="H249" s="4"/>
    </row>
    <row r="250" spans="1:8" x14ac:dyDescent="0.2">
      <c r="A250" s="130"/>
      <c r="B250" s="4"/>
      <c r="C250" s="4"/>
      <c r="D250" s="4"/>
      <c r="E250" s="5"/>
      <c r="F250" s="5"/>
      <c r="G250" s="5" t="str">
        <f t="shared" si="3"/>
        <v/>
      </c>
      <c r="H250" s="4"/>
    </row>
    <row r="251" spans="1:8" x14ac:dyDescent="0.2">
      <c r="A251" s="130"/>
      <c r="B251" s="4"/>
      <c r="C251" s="4"/>
      <c r="D251" s="4"/>
      <c r="E251" s="5"/>
      <c r="F251" s="5"/>
      <c r="G251" s="5" t="str">
        <f t="shared" si="3"/>
        <v/>
      </c>
      <c r="H251" s="4"/>
    </row>
    <row r="252" spans="1:8" x14ac:dyDescent="0.2">
      <c r="A252" s="130"/>
      <c r="B252" s="4"/>
      <c r="C252" s="4"/>
      <c r="D252" s="4"/>
      <c r="E252" s="5"/>
      <c r="F252" s="5"/>
      <c r="G252" s="5" t="str">
        <f t="shared" si="3"/>
        <v/>
      </c>
      <c r="H252" s="4"/>
    </row>
    <row r="253" spans="1:8" x14ac:dyDescent="0.2">
      <c r="A253" s="130"/>
      <c r="B253" s="4"/>
      <c r="C253" s="4"/>
      <c r="D253" s="4"/>
      <c r="E253" s="5"/>
      <c r="F253" s="5"/>
      <c r="G253" s="5" t="str">
        <f t="shared" si="3"/>
        <v/>
      </c>
      <c r="H253" s="4"/>
    </row>
    <row r="254" spans="1:8" x14ac:dyDescent="0.2">
      <c r="A254" s="130"/>
      <c r="B254" s="4"/>
      <c r="C254" s="4"/>
      <c r="D254" s="4"/>
      <c r="E254" s="5"/>
      <c r="F254" s="5"/>
      <c r="G254" s="5" t="str">
        <f t="shared" si="3"/>
        <v/>
      </c>
      <c r="H254" s="4"/>
    </row>
    <row r="255" spans="1:8" x14ac:dyDescent="0.2">
      <c r="A255" s="130"/>
      <c r="B255" s="4"/>
      <c r="C255" s="4"/>
      <c r="D255" s="4"/>
      <c r="E255" s="5"/>
      <c r="F255" s="5"/>
      <c r="G255" s="5" t="str">
        <f t="shared" si="3"/>
        <v/>
      </c>
      <c r="H255" s="4"/>
    </row>
    <row r="256" spans="1:8" x14ac:dyDescent="0.2">
      <c r="A256" s="130"/>
      <c r="B256" s="4"/>
      <c r="C256" s="4"/>
      <c r="D256" s="4"/>
      <c r="E256" s="5"/>
      <c r="F256" s="5"/>
      <c r="G256" s="5" t="str">
        <f t="shared" si="3"/>
        <v/>
      </c>
      <c r="H256" s="4"/>
    </row>
    <row r="257" spans="1:8" x14ac:dyDescent="0.2">
      <c r="A257" s="130"/>
      <c r="B257" s="4"/>
      <c r="C257" s="4"/>
      <c r="D257" s="4"/>
      <c r="E257" s="5"/>
      <c r="F257" s="5"/>
      <c r="G257" s="5" t="str">
        <f t="shared" si="3"/>
        <v/>
      </c>
      <c r="H257" s="4"/>
    </row>
    <row r="258" spans="1:8" x14ac:dyDescent="0.2">
      <c r="A258" s="130"/>
      <c r="B258" s="4"/>
      <c r="C258" s="4"/>
      <c r="D258" s="4"/>
      <c r="E258" s="5"/>
      <c r="F258" s="5"/>
      <c r="G258" s="5" t="str">
        <f t="shared" si="3"/>
        <v/>
      </c>
      <c r="H258" s="4"/>
    </row>
    <row r="259" spans="1:8" x14ac:dyDescent="0.2">
      <c r="A259" s="130"/>
      <c r="B259" s="4"/>
      <c r="C259" s="4"/>
      <c r="D259" s="4"/>
      <c r="E259" s="5"/>
      <c r="F259" s="5"/>
      <c r="G259" s="5" t="str">
        <f t="shared" si="3"/>
        <v/>
      </c>
      <c r="H259" s="4"/>
    </row>
    <row r="260" spans="1:8" x14ac:dyDescent="0.2">
      <c r="A260" s="130"/>
      <c r="B260" s="4"/>
      <c r="C260" s="4"/>
      <c r="D260" s="4"/>
      <c r="E260" s="5"/>
      <c r="F260" s="5"/>
      <c r="G260" s="5" t="str">
        <f t="shared" ref="G260:G323" si="4">IF($B260="","",$G259+$F260-$E260)</f>
        <v/>
      </c>
      <c r="H260" s="4"/>
    </row>
    <row r="261" spans="1:8" x14ac:dyDescent="0.2">
      <c r="A261" s="130"/>
      <c r="B261" s="4"/>
      <c r="C261" s="4"/>
      <c r="D261" s="4"/>
      <c r="E261" s="5"/>
      <c r="F261" s="5"/>
      <c r="G261" s="5" t="str">
        <f t="shared" si="4"/>
        <v/>
      </c>
      <c r="H261" s="4"/>
    </row>
    <row r="262" spans="1:8" x14ac:dyDescent="0.2">
      <c r="A262" s="130"/>
      <c r="B262" s="4"/>
      <c r="C262" s="4"/>
      <c r="D262" s="4"/>
      <c r="E262" s="5"/>
      <c r="F262" s="5"/>
      <c r="G262" s="5" t="str">
        <f t="shared" si="4"/>
        <v/>
      </c>
      <c r="H262" s="4"/>
    </row>
    <row r="263" spans="1:8" x14ac:dyDescent="0.2">
      <c r="A263" s="130"/>
      <c r="B263" s="4"/>
      <c r="C263" s="4"/>
      <c r="D263" s="4"/>
      <c r="E263" s="5"/>
      <c r="F263" s="5"/>
      <c r="G263" s="5" t="str">
        <f t="shared" si="4"/>
        <v/>
      </c>
      <c r="H263" s="4"/>
    </row>
    <row r="264" spans="1:8" x14ac:dyDescent="0.2">
      <c r="A264" s="130"/>
      <c r="B264" s="4"/>
      <c r="C264" s="4"/>
      <c r="D264" s="4"/>
      <c r="E264" s="5"/>
      <c r="F264" s="5"/>
      <c r="G264" s="5" t="str">
        <f t="shared" si="4"/>
        <v/>
      </c>
      <c r="H264" s="4"/>
    </row>
    <row r="265" spans="1:8" x14ac:dyDescent="0.2">
      <c r="A265" s="130"/>
      <c r="B265" s="4"/>
      <c r="C265" s="4"/>
      <c r="D265" s="4"/>
      <c r="E265" s="5"/>
      <c r="F265" s="5"/>
      <c r="G265" s="5" t="str">
        <f t="shared" si="4"/>
        <v/>
      </c>
      <c r="H265" s="4"/>
    </row>
    <row r="266" spans="1:8" x14ac:dyDescent="0.2">
      <c r="A266" s="130"/>
      <c r="B266" s="4"/>
      <c r="C266" s="4"/>
      <c r="D266" s="4"/>
      <c r="E266" s="5"/>
      <c r="F266" s="5"/>
      <c r="G266" s="5" t="str">
        <f t="shared" si="4"/>
        <v/>
      </c>
      <c r="H266" s="4"/>
    </row>
    <row r="267" spans="1:8" x14ac:dyDescent="0.2">
      <c r="A267" s="130"/>
      <c r="B267" s="4"/>
      <c r="C267" s="4"/>
      <c r="D267" s="4"/>
      <c r="E267" s="5"/>
      <c r="F267" s="5"/>
      <c r="G267" s="5" t="str">
        <f t="shared" si="4"/>
        <v/>
      </c>
      <c r="H267" s="4"/>
    </row>
    <row r="268" spans="1:8" x14ac:dyDescent="0.2">
      <c r="A268" s="130"/>
      <c r="B268" s="4"/>
      <c r="C268" s="4"/>
      <c r="D268" s="4"/>
      <c r="E268" s="5"/>
      <c r="F268" s="5"/>
      <c r="G268" s="5" t="str">
        <f t="shared" si="4"/>
        <v/>
      </c>
      <c r="H268" s="4"/>
    </row>
    <row r="269" spans="1:8" x14ac:dyDescent="0.2">
      <c r="A269" s="130"/>
      <c r="B269" s="4"/>
      <c r="C269" s="4"/>
      <c r="D269" s="4"/>
      <c r="E269" s="5"/>
      <c r="F269" s="5"/>
      <c r="G269" s="5" t="str">
        <f t="shared" si="4"/>
        <v/>
      </c>
      <c r="H269" s="4"/>
    </row>
    <row r="270" spans="1:8" x14ac:dyDescent="0.2">
      <c r="A270" s="130"/>
      <c r="B270" s="4"/>
      <c r="C270" s="4"/>
      <c r="D270" s="4"/>
      <c r="E270" s="5"/>
      <c r="F270" s="5"/>
      <c r="G270" s="5" t="str">
        <f t="shared" si="4"/>
        <v/>
      </c>
      <c r="H270" s="4"/>
    </row>
    <row r="271" spans="1:8" x14ac:dyDescent="0.2">
      <c r="A271" s="130"/>
      <c r="B271" s="4"/>
      <c r="C271" s="4"/>
      <c r="D271" s="4"/>
      <c r="E271" s="5"/>
      <c r="F271" s="5"/>
      <c r="G271" s="5" t="str">
        <f t="shared" si="4"/>
        <v/>
      </c>
      <c r="H271" s="4"/>
    </row>
    <row r="272" spans="1:8" x14ac:dyDescent="0.2">
      <c r="A272" s="130"/>
      <c r="B272" s="4"/>
      <c r="C272" s="4"/>
      <c r="D272" s="4"/>
      <c r="E272" s="5"/>
      <c r="F272" s="5"/>
      <c r="G272" s="5" t="str">
        <f t="shared" si="4"/>
        <v/>
      </c>
      <c r="H272" s="4"/>
    </row>
    <row r="273" spans="1:8" x14ac:dyDescent="0.2">
      <c r="A273" s="130"/>
      <c r="B273" s="4"/>
      <c r="C273" s="4"/>
      <c r="D273" s="4"/>
      <c r="E273" s="5"/>
      <c r="F273" s="5"/>
      <c r="G273" s="5" t="str">
        <f t="shared" si="4"/>
        <v/>
      </c>
      <c r="H273" s="4"/>
    </row>
    <row r="274" spans="1:8" x14ac:dyDescent="0.2">
      <c r="A274" s="130"/>
      <c r="B274" s="4"/>
      <c r="C274" s="4"/>
      <c r="D274" s="4"/>
      <c r="E274" s="5"/>
      <c r="F274" s="5"/>
      <c r="G274" s="5" t="str">
        <f t="shared" si="4"/>
        <v/>
      </c>
      <c r="H274" s="4"/>
    </row>
    <row r="275" spans="1:8" x14ac:dyDescent="0.2">
      <c r="A275" s="130"/>
      <c r="B275" s="4"/>
      <c r="C275" s="4"/>
      <c r="D275" s="4"/>
      <c r="E275" s="5"/>
      <c r="F275" s="5"/>
      <c r="G275" s="5" t="str">
        <f t="shared" si="4"/>
        <v/>
      </c>
      <c r="H275" s="4"/>
    </row>
    <row r="276" spans="1:8" x14ac:dyDescent="0.2">
      <c r="A276" s="130"/>
      <c r="B276" s="4"/>
      <c r="C276" s="4"/>
      <c r="D276" s="4"/>
      <c r="E276" s="5"/>
      <c r="F276" s="5"/>
      <c r="G276" s="5" t="str">
        <f t="shared" si="4"/>
        <v/>
      </c>
      <c r="H276" s="4"/>
    </row>
    <row r="277" spans="1:8" x14ac:dyDescent="0.2">
      <c r="A277" s="130"/>
      <c r="B277" s="4"/>
      <c r="C277" s="4"/>
      <c r="D277" s="4"/>
      <c r="E277" s="5"/>
      <c r="F277" s="5"/>
      <c r="G277" s="5" t="str">
        <f t="shared" si="4"/>
        <v/>
      </c>
      <c r="H277" s="4"/>
    </row>
    <row r="278" spans="1:8" x14ac:dyDescent="0.2">
      <c r="A278" s="130"/>
      <c r="B278" s="4"/>
      <c r="C278" s="4"/>
      <c r="D278" s="4"/>
      <c r="E278" s="5"/>
      <c r="F278" s="5"/>
      <c r="G278" s="5" t="str">
        <f t="shared" si="4"/>
        <v/>
      </c>
      <c r="H278" s="4"/>
    </row>
    <row r="279" spans="1:8" x14ac:dyDescent="0.2">
      <c r="A279" s="130"/>
      <c r="B279" s="4"/>
      <c r="C279" s="4"/>
      <c r="D279" s="4"/>
      <c r="E279" s="5"/>
      <c r="F279" s="5"/>
      <c r="G279" s="5" t="str">
        <f t="shared" si="4"/>
        <v/>
      </c>
      <c r="H279" s="4"/>
    </row>
    <row r="280" spans="1:8" x14ac:dyDescent="0.2">
      <c r="A280" s="130"/>
      <c r="B280" s="4"/>
      <c r="C280" s="4"/>
      <c r="D280" s="4"/>
      <c r="E280" s="5"/>
      <c r="F280" s="5"/>
      <c r="G280" s="5" t="str">
        <f t="shared" si="4"/>
        <v/>
      </c>
      <c r="H280" s="4"/>
    </row>
    <row r="281" spans="1:8" x14ac:dyDescent="0.2">
      <c r="A281" s="130"/>
      <c r="B281" s="4"/>
      <c r="C281" s="4"/>
      <c r="D281" s="4"/>
      <c r="E281" s="5"/>
      <c r="F281" s="5"/>
      <c r="G281" s="5" t="str">
        <f t="shared" si="4"/>
        <v/>
      </c>
      <c r="H281" s="4"/>
    </row>
    <row r="282" spans="1:8" x14ac:dyDescent="0.2">
      <c r="A282" s="130"/>
      <c r="B282" s="4"/>
      <c r="C282" s="4"/>
      <c r="D282" s="4"/>
      <c r="E282" s="5"/>
      <c r="F282" s="5"/>
      <c r="G282" s="5" t="str">
        <f t="shared" si="4"/>
        <v/>
      </c>
      <c r="H282" s="4"/>
    </row>
    <row r="283" spans="1:8" x14ac:dyDescent="0.2">
      <c r="A283" s="130"/>
      <c r="B283" s="4"/>
      <c r="C283" s="4"/>
      <c r="D283" s="4"/>
      <c r="E283" s="5"/>
      <c r="F283" s="5"/>
      <c r="G283" s="5" t="str">
        <f t="shared" si="4"/>
        <v/>
      </c>
      <c r="H283" s="4"/>
    </row>
    <row r="284" spans="1:8" x14ac:dyDescent="0.2">
      <c r="A284" s="130"/>
      <c r="B284" s="4"/>
      <c r="C284" s="4"/>
      <c r="D284" s="4"/>
      <c r="E284" s="5"/>
      <c r="F284" s="5"/>
      <c r="G284" s="5" t="str">
        <f t="shared" si="4"/>
        <v/>
      </c>
      <c r="H284" s="4"/>
    </row>
    <row r="285" spans="1:8" x14ac:dyDescent="0.2">
      <c r="A285" s="130"/>
      <c r="B285" s="4"/>
      <c r="C285" s="4"/>
      <c r="D285" s="4"/>
      <c r="E285" s="5"/>
      <c r="F285" s="5"/>
      <c r="G285" s="5" t="str">
        <f t="shared" si="4"/>
        <v/>
      </c>
      <c r="H285" s="4"/>
    </row>
    <row r="286" spans="1:8" x14ac:dyDescent="0.2">
      <c r="A286" s="130"/>
      <c r="B286" s="4"/>
      <c r="C286" s="4"/>
      <c r="D286" s="4"/>
      <c r="E286" s="5"/>
      <c r="F286" s="5"/>
      <c r="G286" s="5" t="str">
        <f t="shared" si="4"/>
        <v/>
      </c>
      <c r="H286" s="4"/>
    </row>
    <row r="287" spans="1:8" x14ac:dyDescent="0.2">
      <c r="A287" s="130"/>
      <c r="B287" s="4"/>
      <c r="C287" s="4"/>
      <c r="D287" s="4"/>
      <c r="E287" s="5"/>
      <c r="F287" s="5"/>
      <c r="G287" s="5" t="str">
        <f t="shared" si="4"/>
        <v/>
      </c>
      <c r="H287" s="4"/>
    </row>
    <row r="288" spans="1:8" x14ac:dyDescent="0.2">
      <c r="A288" s="130"/>
      <c r="B288" s="4"/>
      <c r="C288" s="4"/>
      <c r="D288" s="4"/>
      <c r="E288" s="5"/>
      <c r="F288" s="5"/>
      <c r="G288" s="5" t="str">
        <f t="shared" si="4"/>
        <v/>
      </c>
      <c r="H288" s="4"/>
    </row>
    <row r="289" spans="1:8" x14ac:dyDescent="0.2">
      <c r="A289" s="130"/>
      <c r="B289" s="4"/>
      <c r="C289" s="4"/>
      <c r="D289" s="4"/>
      <c r="E289" s="5"/>
      <c r="F289" s="5"/>
      <c r="G289" s="5" t="str">
        <f t="shared" si="4"/>
        <v/>
      </c>
      <c r="H289" s="4"/>
    </row>
    <row r="290" spans="1:8" x14ac:dyDescent="0.2">
      <c r="A290" s="130"/>
      <c r="B290" s="4"/>
      <c r="C290" s="4"/>
      <c r="D290" s="4"/>
      <c r="E290" s="5"/>
      <c r="F290" s="5"/>
      <c r="G290" s="5" t="str">
        <f t="shared" si="4"/>
        <v/>
      </c>
      <c r="H290" s="4"/>
    </row>
    <row r="291" spans="1:8" x14ac:dyDescent="0.2">
      <c r="A291" s="130"/>
      <c r="B291" s="4"/>
      <c r="C291" s="4"/>
      <c r="D291" s="4"/>
      <c r="E291" s="5"/>
      <c r="F291" s="5"/>
      <c r="G291" s="5" t="str">
        <f t="shared" si="4"/>
        <v/>
      </c>
      <c r="H291" s="4"/>
    </row>
    <row r="292" spans="1:8" x14ac:dyDescent="0.2">
      <c r="A292" s="130"/>
      <c r="B292" s="4"/>
      <c r="C292" s="4"/>
      <c r="D292" s="4"/>
      <c r="E292" s="5"/>
      <c r="F292" s="5"/>
      <c r="G292" s="5" t="str">
        <f t="shared" si="4"/>
        <v/>
      </c>
      <c r="H292" s="4"/>
    </row>
    <row r="293" spans="1:8" x14ac:dyDescent="0.2">
      <c r="A293" s="130"/>
      <c r="B293" s="4"/>
      <c r="C293" s="4"/>
      <c r="D293" s="4"/>
      <c r="E293" s="5"/>
      <c r="F293" s="5"/>
      <c r="G293" s="5" t="str">
        <f t="shared" si="4"/>
        <v/>
      </c>
      <c r="H293" s="4"/>
    </row>
    <row r="294" spans="1:8" x14ac:dyDescent="0.2">
      <c r="A294" s="130"/>
      <c r="B294" s="4"/>
      <c r="C294" s="4"/>
      <c r="D294" s="4"/>
      <c r="E294" s="5"/>
      <c r="F294" s="5"/>
      <c r="G294" s="5" t="str">
        <f t="shared" si="4"/>
        <v/>
      </c>
      <c r="H294" s="4"/>
    </row>
    <row r="295" spans="1:8" x14ac:dyDescent="0.2">
      <c r="A295" s="130"/>
      <c r="B295" s="4"/>
      <c r="C295" s="4"/>
      <c r="D295" s="4"/>
      <c r="E295" s="5"/>
      <c r="F295" s="5"/>
      <c r="G295" s="5" t="str">
        <f t="shared" si="4"/>
        <v/>
      </c>
      <c r="H295" s="4"/>
    </row>
    <row r="296" spans="1:8" x14ac:dyDescent="0.2">
      <c r="A296" s="130"/>
      <c r="B296" s="4"/>
      <c r="C296" s="4"/>
      <c r="D296" s="4"/>
      <c r="E296" s="5"/>
      <c r="F296" s="5"/>
      <c r="G296" s="5" t="str">
        <f t="shared" si="4"/>
        <v/>
      </c>
      <c r="H296" s="4"/>
    </row>
    <row r="297" spans="1:8" x14ac:dyDescent="0.2">
      <c r="A297" s="130"/>
      <c r="B297" s="4"/>
      <c r="C297" s="4"/>
      <c r="D297" s="4"/>
      <c r="E297" s="5"/>
      <c r="F297" s="5"/>
      <c r="G297" s="5" t="str">
        <f t="shared" si="4"/>
        <v/>
      </c>
      <c r="H297" s="4"/>
    </row>
    <row r="298" spans="1:8" x14ac:dyDescent="0.2">
      <c r="A298" s="130"/>
      <c r="B298" s="4"/>
      <c r="C298" s="4"/>
      <c r="D298" s="4"/>
      <c r="E298" s="5"/>
      <c r="F298" s="5"/>
      <c r="G298" s="5" t="str">
        <f t="shared" si="4"/>
        <v/>
      </c>
      <c r="H298" s="4"/>
    </row>
    <row r="299" spans="1:8" x14ac:dyDescent="0.2">
      <c r="A299" s="130"/>
      <c r="B299" s="4"/>
      <c r="C299" s="4"/>
      <c r="D299" s="4"/>
      <c r="E299" s="5"/>
      <c r="F299" s="5"/>
      <c r="G299" s="5" t="str">
        <f t="shared" si="4"/>
        <v/>
      </c>
      <c r="H299" s="4"/>
    </row>
    <row r="300" spans="1:8" x14ac:dyDescent="0.2">
      <c r="A300" s="130"/>
      <c r="B300" s="4"/>
      <c r="C300" s="4"/>
      <c r="D300" s="4"/>
      <c r="E300" s="5"/>
      <c r="F300" s="5"/>
      <c r="G300" s="5" t="str">
        <f t="shared" si="4"/>
        <v/>
      </c>
      <c r="H300" s="4"/>
    </row>
    <row r="301" spans="1:8" x14ac:dyDescent="0.2">
      <c r="A301" s="130"/>
      <c r="B301" s="4"/>
      <c r="C301" s="4"/>
      <c r="D301" s="4"/>
      <c r="E301" s="5"/>
      <c r="F301" s="5"/>
      <c r="G301" s="5" t="str">
        <f t="shared" si="4"/>
        <v/>
      </c>
      <c r="H301" s="4"/>
    </row>
    <row r="302" spans="1:8" x14ac:dyDescent="0.2">
      <c r="A302" s="130"/>
      <c r="B302" s="4"/>
      <c r="C302" s="4"/>
      <c r="D302" s="4"/>
      <c r="E302" s="5"/>
      <c r="F302" s="5"/>
      <c r="G302" s="5" t="str">
        <f t="shared" si="4"/>
        <v/>
      </c>
      <c r="H302" s="4"/>
    </row>
    <row r="303" spans="1:8" x14ac:dyDescent="0.2">
      <c r="A303" s="130"/>
      <c r="B303" s="4"/>
      <c r="C303" s="4"/>
      <c r="D303" s="4"/>
      <c r="E303" s="5"/>
      <c r="F303" s="5"/>
      <c r="G303" s="5" t="str">
        <f t="shared" si="4"/>
        <v/>
      </c>
      <c r="H303" s="4"/>
    </row>
    <row r="304" spans="1:8" x14ac:dyDescent="0.2">
      <c r="A304" s="130"/>
      <c r="B304" s="4"/>
      <c r="C304" s="4"/>
      <c r="D304" s="4"/>
      <c r="E304" s="5"/>
      <c r="F304" s="5"/>
      <c r="G304" s="5" t="str">
        <f t="shared" si="4"/>
        <v/>
      </c>
      <c r="H304" s="4"/>
    </row>
    <row r="305" spans="1:8" x14ac:dyDescent="0.2">
      <c r="A305" s="130"/>
      <c r="B305" s="4"/>
      <c r="C305" s="4"/>
      <c r="D305" s="4"/>
      <c r="E305" s="5"/>
      <c r="F305" s="5"/>
      <c r="G305" s="5" t="str">
        <f t="shared" si="4"/>
        <v/>
      </c>
      <c r="H305" s="4"/>
    </row>
    <row r="306" spans="1:8" x14ac:dyDescent="0.2">
      <c r="A306" s="130"/>
      <c r="B306" s="4"/>
      <c r="C306" s="4"/>
      <c r="D306" s="4"/>
      <c r="E306" s="5"/>
      <c r="F306" s="5"/>
      <c r="G306" s="5" t="str">
        <f t="shared" si="4"/>
        <v/>
      </c>
      <c r="H306" s="4"/>
    </row>
    <row r="307" spans="1:8" x14ac:dyDescent="0.2">
      <c r="A307" s="130"/>
      <c r="B307" s="4"/>
      <c r="C307" s="4"/>
      <c r="D307" s="4"/>
      <c r="E307" s="5"/>
      <c r="F307" s="5"/>
      <c r="G307" s="5" t="str">
        <f t="shared" si="4"/>
        <v/>
      </c>
      <c r="H307" s="4"/>
    </row>
    <row r="308" spans="1:8" x14ac:dyDescent="0.2">
      <c r="A308" s="130"/>
      <c r="B308" s="4"/>
      <c r="C308" s="4"/>
      <c r="D308" s="4"/>
      <c r="E308" s="5"/>
      <c r="F308" s="5"/>
      <c r="G308" s="5" t="str">
        <f t="shared" si="4"/>
        <v/>
      </c>
      <c r="H308" s="4"/>
    </row>
    <row r="309" spans="1:8" x14ac:dyDescent="0.2">
      <c r="A309" s="130"/>
      <c r="B309" s="4"/>
      <c r="C309" s="4"/>
      <c r="D309" s="4"/>
      <c r="E309" s="5"/>
      <c r="F309" s="5"/>
      <c r="G309" s="5" t="str">
        <f t="shared" si="4"/>
        <v/>
      </c>
      <c r="H309" s="4"/>
    </row>
    <row r="310" spans="1:8" x14ac:dyDescent="0.2">
      <c r="A310" s="130"/>
      <c r="B310" s="4"/>
      <c r="C310" s="4"/>
      <c r="D310" s="4"/>
      <c r="E310" s="5"/>
      <c r="F310" s="5"/>
      <c r="G310" s="5" t="str">
        <f t="shared" si="4"/>
        <v/>
      </c>
      <c r="H310" s="4"/>
    </row>
    <row r="311" spans="1:8" x14ac:dyDescent="0.2">
      <c r="A311" s="130"/>
      <c r="B311" s="4"/>
      <c r="C311" s="4"/>
      <c r="D311" s="4"/>
      <c r="E311" s="5"/>
      <c r="F311" s="5"/>
      <c r="G311" s="5" t="str">
        <f t="shared" si="4"/>
        <v/>
      </c>
      <c r="H311" s="4"/>
    </row>
    <row r="312" spans="1:8" x14ac:dyDescent="0.2">
      <c r="A312" s="130"/>
      <c r="B312" s="4"/>
      <c r="C312" s="4"/>
      <c r="D312" s="4"/>
      <c r="E312" s="5"/>
      <c r="F312" s="5"/>
      <c r="G312" s="5" t="str">
        <f t="shared" si="4"/>
        <v/>
      </c>
      <c r="H312" s="4"/>
    </row>
    <row r="313" spans="1:8" x14ac:dyDescent="0.2">
      <c r="A313" s="130"/>
      <c r="B313" s="4"/>
      <c r="C313" s="4"/>
      <c r="D313" s="4"/>
      <c r="E313" s="5"/>
      <c r="F313" s="5"/>
      <c r="G313" s="5" t="str">
        <f t="shared" si="4"/>
        <v/>
      </c>
      <c r="H313" s="4"/>
    </row>
    <row r="314" spans="1:8" x14ac:dyDescent="0.2">
      <c r="A314" s="130"/>
      <c r="B314" s="4"/>
      <c r="C314" s="4"/>
      <c r="D314" s="4"/>
      <c r="E314" s="5"/>
      <c r="F314" s="5"/>
      <c r="G314" s="5" t="str">
        <f t="shared" si="4"/>
        <v/>
      </c>
      <c r="H314" s="4"/>
    </row>
    <row r="315" spans="1:8" x14ac:dyDescent="0.2">
      <c r="A315" s="130"/>
      <c r="B315" s="4"/>
      <c r="C315" s="4"/>
      <c r="D315" s="4"/>
      <c r="E315" s="5"/>
      <c r="F315" s="5"/>
      <c r="G315" s="5" t="str">
        <f t="shared" si="4"/>
        <v/>
      </c>
      <c r="H315" s="4"/>
    </row>
    <row r="316" spans="1:8" x14ac:dyDescent="0.2">
      <c r="A316" s="130"/>
      <c r="B316" s="4"/>
      <c r="C316" s="4"/>
      <c r="D316" s="4"/>
      <c r="E316" s="5"/>
      <c r="F316" s="5"/>
      <c r="G316" s="5" t="str">
        <f t="shared" si="4"/>
        <v/>
      </c>
      <c r="H316" s="4"/>
    </row>
    <row r="317" spans="1:8" x14ac:dyDescent="0.2">
      <c r="A317" s="130"/>
      <c r="B317" s="4"/>
      <c r="C317" s="4"/>
      <c r="D317" s="4"/>
      <c r="E317" s="5"/>
      <c r="F317" s="5"/>
      <c r="G317" s="5" t="str">
        <f t="shared" si="4"/>
        <v/>
      </c>
      <c r="H317" s="4"/>
    </row>
    <row r="318" spans="1:8" x14ac:dyDescent="0.2">
      <c r="A318" s="130"/>
      <c r="B318" s="4"/>
      <c r="C318" s="4"/>
      <c r="D318" s="4"/>
      <c r="E318" s="5"/>
      <c r="F318" s="5"/>
      <c r="G318" s="5" t="str">
        <f t="shared" si="4"/>
        <v/>
      </c>
      <c r="H318" s="4"/>
    </row>
    <row r="319" spans="1:8" x14ac:dyDescent="0.2">
      <c r="A319" s="130"/>
      <c r="B319" s="4"/>
      <c r="C319" s="4"/>
      <c r="D319" s="4"/>
      <c r="E319" s="5"/>
      <c r="F319" s="5"/>
      <c r="G319" s="5" t="str">
        <f t="shared" si="4"/>
        <v/>
      </c>
      <c r="H319" s="4"/>
    </row>
    <row r="320" spans="1:8" x14ac:dyDescent="0.2">
      <c r="A320" s="130"/>
      <c r="B320" s="4"/>
      <c r="C320" s="4"/>
      <c r="D320" s="4"/>
      <c r="E320" s="5"/>
      <c r="F320" s="5"/>
      <c r="G320" s="5" t="str">
        <f t="shared" si="4"/>
        <v/>
      </c>
      <c r="H320" s="4"/>
    </row>
    <row r="321" spans="1:8" x14ac:dyDescent="0.2">
      <c r="A321" s="130"/>
      <c r="B321" s="4"/>
      <c r="C321" s="4"/>
      <c r="D321" s="4"/>
      <c r="E321" s="5"/>
      <c r="F321" s="5"/>
      <c r="G321" s="5" t="str">
        <f t="shared" si="4"/>
        <v/>
      </c>
      <c r="H321" s="4"/>
    </row>
    <row r="322" spans="1:8" x14ac:dyDescent="0.2">
      <c r="A322" s="130"/>
      <c r="B322" s="4"/>
      <c r="C322" s="4"/>
      <c r="D322" s="4"/>
      <c r="E322" s="5"/>
      <c r="F322" s="5"/>
      <c r="G322" s="5" t="str">
        <f t="shared" si="4"/>
        <v/>
      </c>
      <c r="H322" s="4"/>
    </row>
    <row r="323" spans="1:8" x14ac:dyDescent="0.2">
      <c r="A323" s="130"/>
      <c r="B323" s="4"/>
      <c r="C323" s="4"/>
      <c r="D323" s="4"/>
      <c r="E323" s="5"/>
      <c r="F323" s="5"/>
      <c r="G323" s="5" t="str">
        <f t="shared" si="4"/>
        <v/>
      </c>
      <c r="H323" s="4"/>
    </row>
    <row r="324" spans="1:8" x14ac:dyDescent="0.2">
      <c r="A324" s="130"/>
      <c r="B324" s="4"/>
      <c r="C324" s="4"/>
      <c r="D324" s="4"/>
      <c r="E324" s="5"/>
      <c r="F324" s="5"/>
      <c r="G324" s="5" t="str">
        <f t="shared" ref="G324:G387" si="5">IF($B324="","",$G323+$F324-$E324)</f>
        <v/>
      </c>
      <c r="H324" s="4"/>
    </row>
    <row r="325" spans="1:8" x14ac:dyDescent="0.2">
      <c r="A325" s="130"/>
      <c r="B325" s="4"/>
      <c r="C325" s="4"/>
      <c r="D325" s="4"/>
      <c r="E325" s="5"/>
      <c r="F325" s="5"/>
      <c r="G325" s="5" t="str">
        <f t="shared" si="5"/>
        <v/>
      </c>
      <c r="H325" s="4"/>
    </row>
    <row r="326" spans="1:8" x14ac:dyDescent="0.2">
      <c r="A326" s="130"/>
      <c r="B326" s="4"/>
      <c r="C326" s="4"/>
      <c r="D326" s="4"/>
      <c r="E326" s="5"/>
      <c r="F326" s="5"/>
      <c r="G326" s="5" t="str">
        <f t="shared" si="5"/>
        <v/>
      </c>
      <c r="H326" s="4"/>
    </row>
    <row r="327" spans="1:8" x14ac:dyDescent="0.2">
      <c r="A327" s="130"/>
      <c r="B327" s="4"/>
      <c r="C327" s="4"/>
      <c r="D327" s="4"/>
      <c r="E327" s="5"/>
      <c r="F327" s="5"/>
      <c r="G327" s="5" t="str">
        <f t="shared" si="5"/>
        <v/>
      </c>
      <c r="H327" s="4"/>
    </row>
    <row r="328" spans="1:8" x14ac:dyDescent="0.2">
      <c r="A328" s="130"/>
      <c r="B328" s="4"/>
      <c r="C328" s="4"/>
      <c r="D328" s="4"/>
      <c r="E328" s="5"/>
      <c r="F328" s="5"/>
      <c r="G328" s="5" t="str">
        <f t="shared" si="5"/>
        <v/>
      </c>
      <c r="H328" s="4"/>
    </row>
    <row r="329" spans="1:8" x14ac:dyDescent="0.2">
      <c r="A329" s="130"/>
      <c r="B329" s="4"/>
      <c r="C329" s="4"/>
      <c r="D329" s="4"/>
      <c r="E329" s="5"/>
      <c r="F329" s="5"/>
      <c r="G329" s="5" t="str">
        <f t="shared" si="5"/>
        <v/>
      </c>
      <c r="H329" s="4"/>
    </row>
    <row r="330" spans="1:8" x14ac:dyDescent="0.2">
      <c r="A330" s="130"/>
      <c r="B330" s="4"/>
      <c r="C330" s="4"/>
      <c r="D330" s="4"/>
      <c r="E330" s="5"/>
      <c r="F330" s="5"/>
      <c r="G330" s="5" t="str">
        <f t="shared" si="5"/>
        <v/>
      </c>
      <c r="H330" s="4"/>
    </row>
    <row r="331" spans="1:8" x14ac:dyDescent="0.2">
      <c r="A331" s="130"/>
      <c r="B331" s="4"/>
      <c r="C331" s="4"/>
      <c r="D331" s="4"/>
      <c r="E331" s="5"/>
      <c r="F331" s="5"/>
      <c r="G331" s="5" t="str">
        <f t="shared" si="5"/>
        <v/>
      </c>
      <c r="H331" s="4"/>
    </row>
    <row r="332" spans="1:8" x14ac:dyDescent="0.2">
      <c r="A332" s="130"/>
      <c r="B332" s="4"/>
      <c r="C332" s="4"/>
      <c r="D332" s="4"/>
      <c r="E332" s="5"/>
      <c r="F332" s="5"/>
      <c r="G332" s="5" t="str">
        <f t="shared" si="5"/>
        <v/>
      </c>
      <c r="H332" s="4"/>
    </row>
    <row r="333" spans="1:8" x14ac:dyDescent="0.2">
      <c r="A333" s="130"/>
      <c r="B333" s="4"/>
      <c r="C333" s="4"/>
      <c r="D333" s="4"/>
      <c r="E333" s="5"/>
      <c r="F333" s="5"/>
      <c r="G333" s="5" t="str">
        <f t="shared" si="5"/>
        <v/>
      </c>
      <c r="H333" s="4"/>
    </row>
    <row r="334" spans="1:8" x14ac:dyDescent="0.2">
      <c r="A334" s="130"/>
      <c r="B334" s="4"/>
      <c r="C334" s="4"/>
      <c r="D334" s="4"/>
      <c r="E334" s="5"/>
      <c r="F334" s="5"/>
      <c r="G334" s="5" t="str">
        <f t="shared" si="5"/>
        <v/>
      </c>
      <c r="H334" s="4"/>
    </row>
    <row r="335" spans="1:8" x14ac:dyDescent="0.2">
      <c r="A335" s="130"/>
      <c r="B335" s="4"/>
      <c r="C335" s="4"/>
      <c r="D335" s="4"/>
      <c r="E335" s="5"/>
      <c r="F335" s="5"/>
      <c r="G335" s="5" t="str">
        <f t="shared" si="5"/>
        <v/>
      </c>
      <c r="H335" s="4"/>
    </row>
    <row r="336" spans="1:8" x14ac:dyDescent="0.2">
      <c r="A336" s="130"/>
      <c r="B336" s="4"/>
      <c r="C336" s="4"/>
      <c r="D336" s="4"/>
      <c r="E336" s="5"/>
      <c r="F336" s="5"/>
      <c r="G336" s="5" t="str">
        <f t="shared" si="5"/>
        <v/>
      </c>
      <c r="H336" s="4"/>
    </row>
    <row r="337" spans="1:8" x14ac:dyDescent="0.2">
      <c r="A337" s="130"/>
      <c r="B337" s="4"/>
      <c r="C337" s="4"/>
      <c r="D337" s="4"/>
      <c r="E337" s="5"/>
      <c r="F337" s="5"/>
      <c r="G337" s="5" t="str">
        <f t="shared" si="5"/>
        <v/>
      </c>
      <c r="H337" s="4"/>
    </row>
    <row r="338" spans="1:8" x14ac:dyDescent="0.2">
      <c r="A338" s="130"/>
      <c r="B338" s="4"/>
      <c r="C338" s="4"/>
      <c r="D338" s="4"/>
      <c r="E338" s="5"/>
      <c r="F338" s="5"/>
      <c r="G338" s="5" t="str">
        <f t="shared" si="5"/>
        <v/>
      </c>
      <c r="H338" s="4"/>
    </row>
    <row r="339" spans="1:8" x14ac:dyDescent="0.2">
      <c r="A339" s="130"/>
      <c r="B339" s="4"/>
      <c r="C339" s="4"/>
      <c r="D339" s="4"/>
      <c r="E339" s="5"/>
      <c r="F339" s="5"/>
      <c r="G339" s="5" t="str">
        <f t="shared" si="5"/>
        <v/>
      </c>
      <c r="H339" s="4"/>
    </row>
    <row r="340" spans="1:8" x14ac:dyDescent="0.2">
      <c r="A340" s="130"/>
      <c r="B340" s="4"/>
      <c r="C340" s="4"/>
      <c r="D340" s="4"/>
      <c r="E340" s="5"/>
      <c r="F340" s="5"/>
      <c r="G340" s="5" t="str">
        <f t="shared" si="5"/>
        <v/>
      </c>
      <c r="H340" s="4"/>
    </row>
    <row r="341" spans="1:8" x14ac:dyDescent="0.2">
      <c r="A341" s="130"/>
      <c r="B341" s="4"/>
      <c r="C341" s="4"/>
      <c r="D341" s="4"/>
      <c r="E341" s="5"/>
      <c r="F341" s="5"/>
      <c r="G341" s="5" t="str">
        <f t="shared" si="5"/>
        <v/>
      </c>
      <c r="H341" s="4"/>
    </row>
    <row r="342" spans="1:8" x14ac:dyDescent="0.2">
      <c r="A342" s="130"/>
      <c r="B342" s="4"/>
      <c r="C342" s="4"/>
      <c r="D342" s="4"/>
      <c r="E342" s="5"/>
      <c r="F342" s="5"/>
      <c r="G342" s="5" t="str">
        <f t="shared" si="5"/>
        <v/>
      </c>
      <c r="H342" s="4"/>
    </row>
    <row r="343" spans="1:8" x14ac:dyDescent="0.2">
      <c r="A343" s="130"/>
      <c r="B343" s="4"/>
      <c r="C343" s="4"/>
      <c r="D343" s="4"/>
      <c r="E343" s="5"/>
      <c r="F343" s="5"/>
      <c r="G343" s="5" t="str">
        <f t="shared" si="5"/>
        <v/>
      </c>
      <c r="H343" s="4"/>
    </row>
    <row r="344" spans="1:8" x14ac:dyDescent="0.2">
      <c r="A344" s="130"/>
      <c r="B344" s="4"/>
      <c r="C344" s="4"/>
      <c r="D344" s="4"/>
      <c r="E344" s="5"/>
      <c r="F344" s="5"/>
      <c r="G344" s="5" t="str">
        <f t="shared" si="5"/>
        <v/>
      </c>
      <c r="H344" s="4"/>
    </row>
    <row r="345" spans="1:8" x14ac:dyDescent="0.2">
      <c r="A345" s="130"/>
      <c r="B345" s="4"/>
      <c r="C345" s="4"/>
      <c r="D345" s="4"/>
      <c r="E345" s="5"/>
      <c r="F345" s="5"/>
      <c r="G345" s="5" t="str">
        <f t="shared" si="5"/>
        <v/>
      </c>
      <c r="H345" s="4"/>
    </row>
    <row r="346" spans="1:8" x14ac:dyDescent="0.2">
      <c r="A346" s="130"/>
      <c r="B346" s="4"/>
      <c r="C346" s="4"/>
      <c r="D346" s="4"/>
      <c r="E346" s="5"/>
      <c r="F346" s="5"/>
      <c r="G346" s="5" t="str">
        <f t="shared" si="5"/>
        <v/>
      </c>
      <c r="H346" s="4"/>
    </row>
    <row r="347" spans="1:8" x14ac:dyDescent="0.2">
      <c r="A347" s="130"/>
      <c r="B347" s="4"/>
      <c r="C347" s="4"/>
      <c r="D347" s="4"/>
      <c r="E347" s="5"/>
      <c r="F347" s="5"/>
      <c r="G347" s="5" t="str">
        <f t="shared" si="5"/>
        <v/>
      </c>
      <c r="H347" s="4"/>
    </row>
    <row r="348" spans="1:8" x14ac:dyDescent="0.2">
      <c r="A348" s="130"/>
      <c r="B348" s="4"/>
      <c r="C348" s="4"/>
      <c r="D348" s="4"/>
      <c r="E348" s="5"/>
      <c r="F348" s="5"/>
      <c r="G348" s="5" t="str">
        <f t="shared" si="5"/>
        <v/>
      </c>
      <c r="H348" s="4"/>
    </row>
    <row r="349" spans="1:8" x14ac:dyDescent="0.2">
      <c r="A349" s="130"/>
      <c r="B349" s="4"/>
      <c r="C349" s="4"/>
      <c r="D349" s="4"/>
      <c r="E349" s="5"/>
      <c r="F349" s="5"/>
      <c r="G349" s="5" t="str">
        <f t="shared" si="5"/>
        <v/>
      </c>
      <c r="H349" s="4"/>
    </row>
    <row r="350" spans="1:8" x14ac:dyDescent="0.2">
      <c r="A350" s="130"/>
      <c r="B350" s="4"/>
      <c r="C350" s="4"/>
      <c r="D350" s="4"/>
      <c r="E350" s="5"/>
      <c r="F350" s="5"/>
      <c r="G350" s="5" t="str">
        <f t="shared" si="5"/>
        <v/>
      </c>
      <c r="H350" s="4"/>
    </row>
    <row r="351" spans="1:8" x14ac:dyDescent="0.2">
      <c r="A351" s="130"/>
      <c r="B351" s="4"/>
      <c r="C351" s="4"/>
      <c r="D351" s="4"/>
      <c r="E351" s="5"/>
      <c r="F351" s="5"/>
      <c r="G351" s="5" t="str">
        <f t="shared" si="5"/>
        <v/>
      </c>
      <c r="H351" s="4"/>
    </row>
    <row r="352" spans="1:8" x14ac:dyDescent="0.2">
      <c r="A352" s="130"/>
      <c r="B352" s="4"/>
      <c r="C352" s="4"/>
      <c r="D352" s="4"/>
      <c r="E352" s="5"/>
      <c r="F352" s="5"/>
      <c r="G352" s="5" t="str">
        <f t="shared" si="5"/>
        <v/>
      </c>
      <c r="H352" s="4"/>
    </row>
    <row r="353" spans="1:8" x14ac:dyDescent="0.2">
      <c r="A353" s="130"/>
      <c r="B353" s="4"/>
      <c r="C353" s="4"/>
      <c r="D353" s="4"/>
      <c r="E353" s="5"/>
      <c r="F353" s="5"/>
      <c r="G353" s="5" t="str">
        <f t="shared" si="5"/>
        <v/>
      </c>
      <c r="H353" s="4"/>
    </row>
    <row r="354" spans="1:8" x14ac:dyDescent="0.2">
      <c r="A354" s="130"/>
      <c r="B354" s="4"/>
      <c r="C354" s="4"/>
      <c r="D354" s="4"/>
      <c r="E354" s="5"/>
      <c r="F354" s="5"/>
      <c r="G354" s="5" t="str">
        <f t="shared" si="5"/>
        <v/>
      </c>
      <c r="H354" s="4"/>
    </row>
    <row r="355" spans="1:8" x14ac:dyDescent="0.2">
      <c r="A355" s="130"/>
      <c r="B355" s="4"/>
      <c r="C355" s="4"/>
      <c r="D355" s="4"/>
      <c r="E355" s="5"/>
      <c r="F355" s="5"/>
      <c r="G355" s="5" t="str">
        <f t="shared" si="5"/>
        <v/>
      </c>
      <c r="H355" s="4"/>
    </row>
    <row r="356" spans="1:8" x14ac:dyDescent="0.2">
      <c r="A356" s="130"/>
      <c r="B356" s="4"/>
      <c r="C356" s="4"/>
      <c r="D356" s="4"/>
      <c r="E356" s="5"/>
      <c r="F356" s="5"/>
      <c r="G356" s="5" t="str">
        <f t="shared" si="5"/>
        <v/>
      </c>
      <c r="H356" s="4"/>
    </row>
    <row r="357" spans="1:8" x14ac:dyDescent="0.2">
      <c r="A357" s="130"/>
      <c r="B357" s="4"/>
      <c r="C357" s="4"/>
      <c r="D357" s="4"/>
      <c r="E357" s="5"/>
      <c r="F357" s="5"/>
      <c r="G357" s="5" t="str">
        <f t="shared" si="5"/>
        <v/>
      </c>
      <c r="H357" s="4"/>
    </row>
    <row r="358" spans="1:8" x14ac:dyDescent="0.2">
      <c r="A358" s="130"/>
      <c r="B358" s="4"/>
      <c r="C358" s="4"/>
      <c r="D358" s="4"/>
      <c r="E358" s="5"/>
      <c r="F358" s="5"/>
      <c r="G358" s="5" t="str">
        <f t="shared" si="5"/>
        <v/>
      </c>
      <c r="H358" s="4"/>
    </row>
    <row r="359" spans="1:8" x14ac:dyDescent="0.2">
      <c r="A359" s="130"/>
      <c r="B359" s="4"/>
      <c r="C359" s="4"/>
      <c r="D359" s="4"/>
      <c r="E359" s="5"/>
      <c r="F359" s="5"/>
      <c r="G359" s="5" t="str">
        <f t="shared" si="5"/>
        <v/>
      </c>
      <c r="H359" s="4"/>
    </row>
    <row r="360" spans="1:8" x14ac:dyDescent="0.2">
      <c r="A360" s="130"/>
      <c r="B360" s="4"/>
      <c r="C360" s="4"/>
      <c r="D360" s="4"/>
      <c r="E360" s="5"/>
      <c r="F360" s="5"/>
      <c r="G360" s="5" t="str">
        <f t="shared" si="5"/>
        <v/>
      </c>
      <c r="H360" s="4"/>
    </row>
    <row r="361" spans="1:8" x14ac:dyDescent="0.2">
      <c r="A361" s="130"/>
      <c r="B361" s="4"/>
      <c r="C361" s="4"/>
      <c r="D361" s="4"/>
      <c r="E361" s="5"/>
      <c r="F361" s="5"/>
      <c r="G361" s="5" t="str">
        <f t="shared" si="5"/>
        <v/>
      </c>
      <c r="H361" s="4"/>
    </row>
    <row r="362" spans="1:8" x14ac:dyDescent="0.2">
      <c r="A362" s="130"/>
      <c r="B362" s="4"/>
      <c r="C362" s="4"/>
      <c r="D362" s="4"/>
      <c r="E362" s="5"/>
      <c r="F362" s="5"/>
      <c r="G362" s="5" t="str">
        <f t="shared" si="5"/>
        <v/>
      </c>
      <c r="H362" s="4"/>
    </row>
    <row r="363" spans="1:8" x14ac:dyDescent="0.2">
      <c r="A363" s="130"/>
      <c r="B363" s="4"/>
      <c r="C363" s="4"/>
      <c r="D363" s="4"/>
      <c r="E363" s="5"/>
      <c r="F363" s="5"/>
      <c r="G363" s="5" t="str">
        <f t="shared" si="5"/>
        <v/>
      </c>
      <c r="H363" s="4"/>
    </row>
    <row r="364" spans="1:8" x14ac:dyDescent="0.2">
      <c r="A364" s="130"/>
      <c r="B364" s="4"/>
      <c r="C364" s="4"/>
      <c r="D364" s="4"/>
      <c r="E364" s="5"/>
      <c r="F364" s="5"/>
      <c r="G364" s="5" t="str">
        <f t="shared" si="5"/>
        <v/>
      </c>
      <c r="H364" s="4"/>
    </row>
    <row r="365" spans="1:8" x14ac:dyDescent="0.2">
      <c r="A365" s="130"/>
      <c r="B365" s="4"/>
      <c r="C365" s="4"/>
      <c r="D365" s="4"/>
      <c r="E365" s="5"/>
      <c r="F365" s="5"/>
      <c r="G365" s="5" t="str">
        <f t="shared" si="5"/>
        <v/>
      </c>
      <c r="H365" s="4"/>
    </row>
    <row r="366" spans="1:8" x14ac:dyDescent="0.2">
      <c r="A366" s="130"/>
      <c r="B366" s="4"/>
      <c r="C366" s="4"/>
      <c r="D366" s="4"/>
      <c r="E366" s="5"/>
      <c r="F366" s="5"/>
      <c r="G366" s="5" t="str">
        <f t="shared" si="5"/>
        <v/>
      </c>
      <c r="H366" s="4"/>
    </row>
    <row r="367" spans="1:8" x14ac:dyDescent="0.2">
      <c r="A367" s="130"/>
      <c r="B367" s="4"/>
      <c r="C367" s="4"/>
      <c r="D367" s="4"/>
      <c r="E367" s="5"/>
      <c r="F367" s="5"/>
      <c r="G367" s="5" t="str">
        <f t="shared" si="5"/>
        <v/>
      </c>
      <c r="H367" s="4"/>
    </row>
    <row r="368" spans="1:8" x14ac:dyDescent="0.2">
      <c r="A368" s="130"/>
      <c r="B368" s="4"/>
      <c r="C368" s="4"/>
      <c r="D368" s="4"/>
      <c r="E368" s="5"/>
      <c r="F368" s="5"/>
      <c r="G368" s="5" t="str">
        <f t="shared" si="5"/>
        <v/>
      </c>
      <c r="H368" s="4"/>
    </row>
    <row r="369" spans="1:8" x14ac:dyDescent="0.2">
      <c r="A369" s="130"/>
      <c r="B369" s="4"/>
      <c r="C369" s="4"/>
      <c r="D369" s="4"/>
      <c r="E369" s="5"/>
      <c r="F369" s="5"/>
      <c r="G369" s="5" t="str">
        <f t="shared" si="5"/>
        <v/>
      </c>
      <c r="H369" s="4"/>
    </row>
    <row r="370" spans="1:8" x14ac:dyDescent="0.2">
      <c r="A370" s="130"/>
      <c r="B370" s="4"/>
      <c r="C370" s="4"/>
      <c r="D370" s="4"/>
      <c r="E370" s="5"/>
      <c r="F370" s="5"/>
      <c r="G370" s="5" t="str">
        <f t="shared" si="5"/>
        <v/>
      </c>
      <c r="H370" s="4"/>
    </row>
    <row r="371" spans="1:8" x14ac:dyDescent="0.2">
      <c r="A371" s="130"/>
      <c r="B371" s="4"/>
      <c r="C371" s="4"/>
      <c r="D371" s="4"/>
      <c r="E371" s="5"/>
      <c r="F371" s="5"/>
      <c r="G371" s="5" t="str">
        <f t="shared" si="5"/>
        <v/>
      </c>
      <c r="H371" s="4"/>
    </row>
    <row r="372" spans="1:8" x14ac:dyDescent="0.2">
      <c r="A372" s="130"/>
      <c r="B372" s="4"/>
      <c r="C372" s="4"/>
      <c r="D372" s="4"/>
      <c r="E372" s="5"/>
      <c r="F372" s="5"/>
      <c r="G372" s="5" t="str">
        <f t="shared" si="5"/>
        <v/>
      </c>
      <c r="H372" s="4"/>
    </row>
    <row r="373" spans="1:8" x14ac:dyDescent="0.2">
      <c r="A373" s="130"/>
      <c r="B373" s="4"/>
      <c r="C373" s="4"/>
      <c r="D373" s="4"/>
      <c r="E373" s="5"/>
      <c r="F373" s="5"/>
      <c r="G373" s="5" t="str">
        <f t="shared" si="5"/>
        <v/>
      </c>
      <c r="H373" s="4"/>
    </row>
    <row r="374" spans="1:8" x14ac:dyDescent="0.2">
      <c r="A374" s="130"/>
      <c r="B374" s="4"/>
      <c r="C374" s="4"/>
      <c r="D374" s="4"/>
      <c r="E374" s="5"/>
      <c r="F374" s="5"/>
      <c r="G374" s="5" t="str">
        <f t="shared" si="5"/>
        <v/>
      </c>
      <c r="H374" s="4"/>
    </row>
    <row r="375" spans="1:8" x14ac:dyDescent="0.2">
      <c r="A375" s="130"/>
      <c r="B375" s="4"/>
      <c r="C375" s="4"/>
      <c r="D375" s="4"/>
      <c r="E375" s="5"/>
      <c r="F375" s="5"/>
      <c r="G375" s="5" t="str">
        <f t="shared" si="5"/>
        <v/>
      </c>
      <c r="H375" s="4"/>
    </row>
    <row r="376" spans="1:8" x14ac:dyDescent="0.2">
      <c r="A376" s="130"/>
      <c r="B376" s="4"/>
      <c r="C376" s="4"/>
      <c r="D376" s="4"/>
      <c r="E376" s="5"/>
      <c r="F376" s="5"/>
      <c r="G376" s="5" t="str">
        <f t="shared" si="5"/>
        <v/>
      </c>
      <c r="H376" s="4"/>
    </row>
    <row r="377" spans="1:8" x14ac:dyDescent="0.2">
      <c r="A377" s="130"/>
      <c r="B377" s="4"/>
      <c r="C377" s="4"/>
      <c r="D377" s="4"/>
      <c r="E377" s="5"/>
      <c r="F377" s="5"/>
      <c r="G377" s="5" t="str">
        <f t="shared" si="5"/>
        <v/>
      </c>
      <c r="H377" s="4"/>
    </row>
    <row r="378" spans="1:8" x14ac:dyDescent="0.2">
      <c r="A378" s="130"/>
      <c r="B378" s="4"/>
      <c r="C378" s="4"/>
      <c r="D378" s="4"/>
      <c r="E378" s="5"/>
      <c r="F378" s="5"/>
      <c r="G378" s="5" t="str">
        <f t="shared" si="5"/>
        <v/>
      </c>
      <c r="H378" s="4"/>
    </row>
    <row r="379" spans="1:8" x14ac:dyDescent="0.2">
      <c r="A379" s="130"/>
      <c r="B379" s="4"/>
      <c r="C379" s="4"/>
      <c r="D379" s="4"/>
      <c r="E379" s="5"/>
      <c r="F379" s="5"/>
      <c r="G379" s="5" t="str">
        <f t="shared" si="5"/>
        <v/>
      </c>
      <c r="H379" s="4"/>
    </row>
    <row r="380" spans="1:8" x14ac:dyDescent="0.2">
      <c r="A380" s="130"/>
      <c r="B380" s="4"/>
      <c r="C380" s="4"/>
      <c r="D380" s="4"/>
      <c r="E380" s="5"/>
      <c r="F380" s="5"/>
      <c r="G380" s="5" t="str">
        <f t="shared" si="5"/>
        <v/>
      </c>
      <c r="H380" s="4"/>
    </row>
    <row r="381" spans="1:8" x14ac:dyDescent="0.2">
      <c r="A381" s="130"/>
      <c r="B381" s="4"/>
      <c r="C381" s="4"/>
      <c r="D381" s="4"/>
      <c r="E381" s="5"/>
      <c r="F381" s="5"/>
      <c r="G381" s="5" t="str">
        <f t="shared" si="5"/>
        <v/>
      </c>
      <c r="H381" s="4"/>
    </row>
    <row r="382" spans="1:8" x14ac:dyDescent="0.2">
      <c r="A382" s="130"/>
      <c r="B382" s="4"/>
      <c r="C382" s="4"/>
      <c r="D382" s="4"/>
      <c r="E382" s="5"/>
      <c r="F382" s="5"/>
      <c r="G382" s="5" t="str">
        <f t="shared" si="5"/>
        <v/>
      </c>
      <c r="H382" s="4"/>
    </row>
    <row r="383" spans="1:8" x14ac:dyDescent="0.2">
      <c r="A383" s="130"/>
      <c r="B383" s="4"/>
      <c r="C383" s="4"/>
      <c r="D383" s="4"/>
      <c r="E383" s="5"/>
      <c r="F383" s="5"/>
      <c r="G383" s="5" t="str">
        <f t="shared" si="5"/>
        <v/>
      </c>
      <c r="H383" s="4"/>
    </row>
    <row r="384" spans="1:8" x14ac:dyDescent="0.2">
      <c r="A384" s="130"/>
      <c r="B384" s="4"/>
      <c r="C384" s="4"/>
      <c r="D384" s="4"/>
      <c r="E384" s="5"/>
      <c r="F384" s="5"/>
      <c r="G384" s="5" t="str">
        <f t="shared" si="5"/>
        <v/>
      </c>
      <c r="H384" s="4"/>
    </row>
    <row r="385" spans="1:8" x14ac:dyDescent="0.2">
      <c r="A385" s="130"/>
      <c r="B385" s="4"/>
      <c r="C385" s="4"/>
      <c r="D385" s="4"/>
      <c r="E385" s="5"/>
      <c r="F385" s="5"/>
      <c r="G385" s="5" t="str">
        <f t="shared" si="5"/>
        <v/>
      </c>
      <c r="H385" s="4"/>
    </row>
    <row r="386" spans="1:8" x14ac:dyDescent="0.2">
      <c r="A386" s="130"/>
      <c r="B386" s="4"/>
      <c r="C386" s="4"/>
      <c r="D386" s="4"/>
      <c r="E386" s="5"/>
      <c r="F386" s="5"/>
      <c r="G386" s="5" t="str">
        <f t="shared" si="5"/>
        <v/>
      </c>
      <c r="H386" s="4"/>
    </row>
    <row r="387" spans="1:8" x14ac:dyDescent="0.2">
      <c r="A387" s="130"/>
      <c r="B387" s="4"/>
      <c r="C387" s="4"/>
      <c r="D387" s="4"/>
      <c r="E387" s="5"/>
      <c r="F387" s="5"/>
      <c r="G387" s="5" t="str">
        <f t="shared" si="5"/>
        <v/>
      </c>
      <c r="H387" s="4"/>
    </row>
    <row r="388" spans="1:8" x14ac:dyDescent="0.2">
      <c r="A388" s="130"/>
      <c r="B388" s="4"/>
      <c r="C388" s="4"/>
      <c r="D388" s="4"/>
      <c r="E388" s="5"/>
      <c r="F388" s="5"/>
      <c r="G388" s="5" t="str">
        <f t="shared" ref="G388:G451" si="6">IF($B388="","",$G387+$F388-$E388)</f>
        <v/>
      </c>
      <c r="H388" s="4"/>
    </row>
    <row r="389" spans="1:8" x14ac:dyDescent="0.2">
      <c r="A389" s="130"/>
      <c r="B389" s="4"/>
      <c r="C389" s="4"/>
      <c r="D389" s="4"/>
      <c r="E389" s="5"/>
      <c r="F389" s="5"/>
      <c r="G389" s="5" t="str">
        <f t="shared" si="6"/>
        <v/>
      </c>
      <c r="H389" s="4"/>
    </row>
    <row r="390" spans="1:8" x14ac:dyDescent="0.2">
      <c r="A390" s="130"/>
      <c r="B390" s="4"/>
      <c r="C390" s="4"/>
      <c r="D390" s="4"/>
      <c r="E390" s="5"/>
      <c r="F390" s="5"/>
      <c r="G390" s="5" t="str">
        <f t="shared" si="6"/>
        <v/>
      </c>
      <c r="H390" s="4"/>
    </row>
    <row r="391" spans="1:8" x14ac:dyDescent="0.2">
      <c r="A391" s="130"/>
      <c r="B391" s="4"/>
      <c r="C391" s="4"/>
      <c r="D391" s="4"/>
      <c r="E391" s="5"/>
      <c r="F391" s="5"/>
      <c r="G391" s="5" t="str">
        <f t="shared" si="6"/>
        <v/>
      </c>
      <c r="H391" s="4"/>
    </row>
    <row r="392" spans="1:8" x14ac:dyDescent="0.2">
      <c r="A392" s="130"/>
      <c r="B392" s="4"/>
      <c r="C392" s="4"/>
      <c r="D392" s="4"/>
      <c r="E392" s="5"/>
      <c r="F392" s="5"/>
      <c r="G392" s="5" t="str">
        <f t="shared" si="6"/>
        <v/>
      </c>
      <c r="H392" s="4"/>
    </row>
    <row r="393" spans="1:8" x14ac:dyDescent="0.2">
      <c r="A393" s="130"/>
      <c r="B393" s="4"/>
      <c r="C393" s="4"/>
      <c r="D393" s="4"/>
      <c r="E393" s="5"/>
      <c r="F393" s="5"/>
      <c r="G393" s="5" t="str">
        <f t="shared" si="6"/>
        <v/>
      </c>
      <c r="H393" s="4"/>
    </row>
    <row r="394" spans="1:8" x14ac:dyDescent="0.2">
      <c r="A394" s="130"/>
      <c r="B394" s="4"/>
      <c r="C394" s="4"/>
      <c r="D394" s="4"/>
      <c r="E394" s="5"/>
      <c r="F394" s="5"/>
      <c r="G394" s="5" t="str">
        <f t="shared" si="6"/>
        <v/>
      </c>
      <c r="H394" s="4"/>
    </row>
    <row r="395" spans="1:8" x14ac:dyDescent="0.2">
      <c r="A395" s="130"/>
      <c r="B395" s="4"/>
      <c r="C395" s="4"/>
      <c r="D395" s="4"/>
      <c r="E395" s="5"/>
      <c r="F395" s="5"/>
      <c r="G395" s="5" t="str">
        <f t="shared" si="6"/>
        <v/>
      </c>
      <c r="H395" s="4"/>
    </row>
    <row r="396" spans="1:8" x14ac:dyDescent="0.2">
      <c r="A396" s="130"/>
      <c r="B396" s="4"/>
      <c r="C396" s="4"/>
      <c r="D396" s="4"/>
      <c r="E396" s="5"/>
      <c r="F396" s="5"/>
      <c r="G396" s="5" t="str">
        <f t="shared" si="6"/>
        <v/>
      </c>
      <c r="H396" s="4"/>
    </row>
    <row r="397" spans="1:8" x14ac:dyDescent="0.2">
      <c r="A397" s="130"/>
      <c r="B397" s="4"/>
      <c r="C397" s="4"/>
      <c r="D397" s="4"/>
      <c r="E397" s="5"/>
      <c r="F397" s="5"/>
      <c r="G397" s="5" t="str">
        <f t="shared" si="6"/>
        <v/>
      </c>
      <c r="H397" s="4"/>
    </row>
    <row r="398" spans="1:8" x14ac:dyDescent="0.2">
      <c r="A398" s="130"/>
      <c r="B398" s="4"/>
      <c r="C398" s="4"/>
      <c r="D398" s="4"/>
      <c r="E398" s="5"/>
      <c r="F398" s="5"/>
      <c r="G398" s="5" t="str">
        <f t="shared" si="6"/>
        <v/>
      </c>
      <c r="H398" s="4"/>
    </row>
    <row r="399" spans="1:8" x14ac:dyDescent="0.2">
      <c r="A399" s="130"/>
      <c r="B399" s="4"/>
      <c r="C399" s="4"/>
      <c r="D399" s="4"/>
      <c r="E399" s="5"/>
      <c r="F399" s="5"/>
      <c r="G399" s="5" t="str">
        <f t="shared" si="6"/>
        <v/>
      </c>
      <c r="H399" s="4"/>
    </row>
    <row r="400" spans="1:8" x14ac:dyDescent="0.2">
      <c r="A400" s="130"/>
      <c r="B400" s="4"/>
      <c r="C400" s="4"/>
      <c r="D400" s="4"/>
      <c r="E400" s="5"/>
      <c r="F400" s="5"/>
      <c r="G400" s="5" t="str">
        <f t="shared" si="6"/>
        <v/>
      </c>
      <c r="H400" s="4"/>
    </row>
    <row r="401" spans="1:8" x14ac:dyDescent="0.2">
      <c r="A401" s="130"/>
      <c r="B401" s="4"/>
      <c r="C401" s="4"/>
      <c r="D401" s="4"/>
      <c r="E401" s="5"/>
      <c r="F401" s="5"/>
      <c r="G401" s="5" t="str">
        <f t="shared" si="6"/>
        <v/>
      </c>
      <c r="H401" s="4"/>
    </row>
    <row r="402" spans="1:8" x14ac:dyDescent="0.2">
      <c r="A402" s="130"/>
      <c r="B402" s="4"/>
      <c r="C402" s="4"/>
      <c r="D402" s="4"/>
      <c r="E402" s="5"/>
      <c r="F402" s="5"/>
      <c r="G402" s="5" t="str">
        <f t="shared" si="6"/>
        <v/>
      </c>
      <c r="H402" s="4"/>
    </row>
    <row r="403" spans="1:8" x14ac:dyDescent="0.2">
      <c r="A403" s="130"/>
      <c r="B403" s="4"/>
      <c r="C403" s="4"/>
      <c r="D403" s="4"/>
      <c r="E403" s="5"/>
      <c r="F403" s="5"/>
      <c r="G403" s="5" t="str">
        <f t="shared" si="6"/>
        <v/>
      </c>
      <c r="H403" s="4"/>
    </row>
    <row r="404" spans="1:8" x14ac:dyDescent="0.2">
      <c r="A404" s="130"/>
      <c r="B404" s="4"/>
      <c r="C404" s="4"/>
      <c r="D404" s="4"/>
      <c r="E404" s="5"/>
      <c r="F404" s="5"/>
      <c r="G404" s="5" t="str">
        <f t="shared" si="6"/>
        <v/>
      </c>
      <c r="H404" s="4"/>
    </row>
    <row r="405" spans="1:8" x14ac:dyDescent="0.2">
      <c r="A405" s="130"/>
      <c r="B405" s="4"/>
      <c r="C405" s="4"/>
      <c r="D405" s="4"/>
      <c r="E405" s="5"/>
      <c r="F405" s="5"/>
      <c r="G405" s="5" t="str">
        <f t="shared" si="6"/>
        <v/>
      </c>
      <c r="H405" s="4"/>
    </row>
    <row r="406" spans="1:8" x14ac:dyDescent="0.2">
      <c r="A406" s="130"/>
      <c r="B406" s="4"/>
      <c r="C406" s="4"/>
      <c r="D406" s="4"/>
      <c r="E406" s="5"/>
      <c r="F406" s="5"/>
      <c r="G406" s="5" t="str">
        <f t="shared" si="6"/>
        <v/>
      </c>
      <c r="H406" s="4"/>
    </row>
    <row r="407" spans="1:8" x14ac:dyDescent="0.2">
      <c r="A407" s="130"/>
      <c r="B407" s="4"/>
      <c r="C407" s="4"/>
      <c r="D407" s="4"/>
      <c r="E407" s="5"/>
      <c r="F407" s="5"/>
      <c r="G407" s="5" t="str">
        <f t="shared" si="6"/>
        <v/>
      </c>
      <c r="H407" s="4"/>
    </row>
    <row r="408" spans="1:8" x14ac:dyDescent="0.2">
      <c r="A408" s="130"/>
      <c r="B408" s="4"/>
      <c r="C408" s="4"/>
      <c r="D408" s="4"/>
      <c r="E408" s="5"/>
      <c r="F408" s="5"/>
      <c r="G408" s="5" t="str">
        <f t="shared" si="6"/>
        <v/>
      </c>
      <c r="H408" s="4"/>
    </row>
    <row r="409" spans="1:8" x14ac:dyDescent="0.2">
      <c r="A409" s="130"/>
      <c r="B409" s="4"/>
      <c r="C409" s="4"/>
      <c r="D409" s="4"/>
      <c r="E409" s="5"/>
      <c r="F409" s="5"/>
      <c r="G409" s="5" t="str">
        <f t="shared" si="6"/>
        <v/>
      </c>
      <c r="H409" s="4"/>
    </row>
    <row r="410" spans="1:8" x14ac:dyDescent="0.2">
      <c r="A410" s="130"/>
      <c r="B410" s="4"/>
      <c r="C410" s="4"/>
      <c r="D410" s="4"/>
      <c r="E410" s="5"/>
      <c r="F410" s="5"/>
      <c r="G410" s="5" t="str">
        <f t="shared" si="6"/>
        <v/>
      </c>
      <c r="H410" s="4"/>
    </row>
    <row r="411" spans="1:8" x14ac:dyDescent="0.2">
      <c r="A411" s="130"/>
      <c r="B411" s="4"/>
      <c r="C411" s="4"/>
      <c r="D411" s="4"/>
      <c r="E411" s="5"/>
      <c r="F411" s="5"/>
      <c r="G411" s="5" t="str">
        <f t="shared" si="6"/>
        <v/>
      </c>
      <c r="H411" s="4"/>
    </row>
    <row r="412" spans="1:8" x14ac:dyDescent="0.2">
      <c r="A412" s="130"/>
      <c r="B412" s="4"/>
      <c r="C412" s="4"/>
      <c r="D412" s="4"/>
      <c r="E412" s="5"/>
      <c r="F412" s="5"/>
      <c r="G412" s="5" t="str">
        <f t="shared" si="6"/>
        <v/>
      </c>
      <c r="H412" s="4"/>
    </row>
    <row r="413" spans="1:8" x14ac:dyDescent="0.2">
      <c r="A413" s="130"/>
      <c r="B413" s="4"/>
      <c r="C413" s="4"/>
      <c r="D413" s="4"/>
      <c r="E413" s="5"/>
      <c r="F413" s="5"/>
      <c r="G413" s="5" t="str">
        <f t="shared" si="6"/>
        <v/>
      </c>
      <c r="H413" s="4"/>
    </row>
    <row r="414" spans="1:8" x14ac:dyDescent="0.2">
      <c r="A414" s="130"/>
      <c r="B414" s="4"/>
      <c r="C414" s="4"/>
      <c r="D414" s="4"/>
      <c r="E414" s="5"/>
      <c r="F414" s="5"/>
      <c r="G414" s="5" t="str">
        <f t="shared" si="6"/>
        <v/>
      </c>
      <c r="H414" s="4"/>
    </row>
    <row r="415" spans="1:8" x14ac:dyDescent="0.2">
      <c r="A415" s="130"/>
      <c r="B415" s="4"/>
      <c r="C415" s="4"/>
      <c r="D415" s="4"/>
      <c r="E415" s="5"/>
      <c r="F415" s="5"/>
      <c r="G415" s="5" t="str">
        <f t="shared" si="6"/>
        <v/>
      </c>
      <c r="H415" s="4"/>
    </row>
    <row r="416" spans="1:8" x14ac:dyDescent="0.2">
      <c r="A416" s="130"/>
      <c r="B416" s="4"/>
      <c r="C416" s="4"/>
      <c r="D416" s="4"/>
      <c r="E416" s="5"/>
      <c r="F416" s="5"/>
      <c r="G416" s="5" t="str">
        <f t="shared" si="6"/>
        <v/>
      </c>
      <c r="H416" s="4"/>
    </row>
    <row r="417" spans="1:8" x14ac:dyDescent="0.2">
      <c r="A417" s="130"/>
      <c r="B417" s="4"/>
      <c r="C417" s="4"/>
      <c r="D417" s="4"/>
      <c r="E417" s="5"/>
      <c r="F417" s="5"/>
      <c r="G417" s="5" t="str">
        <f t="shared" si="6"/>
        <v/>
      </c>
      <c r="H417" s="4"/>
    </row>
    <row r="418" spans="1:8" x14ac:dyDescent="0.2">
      <c r="A418" s="130"/>
      <c r="B418" s="4"/>
      <c r="C418" s="4"/>
      <c r="D418" s="4"/>
      <c r="E418" s="5"/>
      <c r="F418" s="5"/>
      <c r="G418" s="5" t="str">
        <f t="shared" si="6"/>
        <v/>
      </c>
      <c r="H418" s="4"/>
    </row>
    <row r="419" spans="1:8" x14ac:dyDescent="0.2">
      <c r="A419" s="130"/>
      <c r="B419" s="4"/>
      <c r="C419" s="4"/>
      <c r="D419" s="4"/>
      <c r="E419" s="5"/>
      <c r="F419" s="5"/>
      <c r="G419" s="5" t="str">
        <f t="shared" si="6"/>
        <v/>
      </c>
      <c r="H419" s="4"/>
    </row>
    <row r="420" spans="1:8" x14ac:dyDescent="0.2">
      <c r="A420" s="130"/>
      <c r="B420" s="4"/>
      <c r="C420" s="4"/>
      <c r="D420" s="4"/>
      <c r="E420" s="5"/>
      <c r="F420" s="5"/>
      <c r="G420" s="5" t="str">
        <f t="shared" si="6"/>
        <v/>
      </c>
      <c r="H420" s="4"/>
    </row>
    <row r="421" spans="1:8" x14ac:dyDescent="0.2">
      <c r="A421" s="130"/>
      <c r="B421" s="4"/>
      <c r="C421" s="4"/>
      <c r="D421" s="4"/>
      <c r="E421" s="5"/>
      <c r="F421" s="5"/>
      <c r="G421" s="5" t="str">
        <f t="shared" si="6"/>
        <v/>
      </c>
      <c r="H421" s="4"/>
    </row>
    <row r="422" spans="1:8" x14ac:dyDescent="0.2">
      <c r="A422" s="130"/>
      <c r="B422" s="4"/>
      <c r="C422" s="4"/>
      <c r="D422" s="4"/>
      <c r="E422" s="5"/>
      <c r="F422" s="5"/>
      <c r="G422" s="5" t="str">
        <f t="shared" si="6"/>
        <v/>
      </c>
      <c r="H422" s="4"/>
    </row>
    <row r="423" spans="1:8" x14ac:dyDescent="0.2">
      <c r="A423" s="130"/>
      <c r="B423" s="4"/>
      <c r="C423" s="4"/>
      <c r="D423" s="4"/>
      <c r="E423" s="5"/>
      <c r="F423" s="5"/>
      <c r="G423" s="5" t="str">
        <f t="shared" si="6"/>
        <v/>
      </c>
      <c r="H423" s="4"/>
    </row>
    <row r="424" spans="1:8" x14ac:dyDescent="0.2">
      <c r="A424" s="130"/>
      <c r="B424" s="4"/>
      <c r="C424" s="4"/>
      <c r="D424" s="4"/>
      <c r="E424" s="5"/>
      <c r="F424" s="5"/>
      <c r="G424" s="5" t="str">
        <f t="shared" si="6"/>
        <v/>
      </c>
      <c r="H424" s="4"/>
    </row>
    <row r="425" spans="1:8" x14ac:dyDescent="0.2">
      <c r="A425" s="130"/>
      <c r="B425" s="4"/>
      <c r="C425" s="4"/>
      <c r="D425" s="4"/>
      <c r="E425" s="5"/>
      <c r="F425" s="5"/>
      <c r="G425" s="5" t="str">
        <f t="shared" si="6"/>
        <v/>
      </c>
      <c r="H425" s="4"/>
    </row>
    <row r="426" spans="1:8" x14ac:dyDescent="0.2">
      <c r="A426" s="130"/>
      <c r="B426" s="4"/>
      <c r="C426" s="4"/>
      <c r="D426" s="4"/>
      <c r="E426" s="5"/>
      <c r="F426" s="5"/>
      <c r="G426" s="5" t="str">
        <f t="shared" si="6"/>
        <v/>
      </c>
      <c r="H426" s="4"/>
    </row>
    <row r="427" spans="1:8" x14ac:dyDescent="0.2">
      <c r="A427" s="130"/>
      <c r="B427" s="4"/>
      <c r="C427" s="4"/>
      <c r="D427" s="4"/>
      <c r="E427" s="5"/>
      <c r="F427" s="5"/>
      <c r="G427" s="5" t="str">
        <f t="shared" si="6"/>
        <v/>
      </c>
      <c r="H427" s="4"/>
    </row>
    <row r="428" spans="1:8" x14ac:dyDescent="0.2">
      <c r="A428" s="130"/>
      <c r="B428" s="4"/>
      <c r="C428" s="4"/>
      <c r="D428" s="4"/>
      <c r="E428" s="5"/>
      <c r="F428" s="5"/>
      <c r="G428" s="5" t="str">
        <f t="shared" si="6"/>
        <v/>
      </c>
      <c r="H428" s="4"/>
    </row>
    <row r="429" spans="1:8" x14ac:dyDescent="0.2">
      <c r="A429" s="130"/>
      <c r="B429" s="4"/>
      <c r="C429" s="4"/>
      <c r="D429" s="4"/>
      <c r="E429" s="5"/>
      <c r="F429" s="5"/>
      <c r="G429" s="5" t="str">
        <f t="shared" si="6"/>
        <v/>
      </c>
      <c r="H429" s="4"/>
    </row>
    <row r="430" spans="1:8" x14ac:dyDescent="0.2">
      <c r="A430" s="130"/>
      <c r="B430" s="4"/>
      <c r="C430" s="4"/>
      <c r="D430" s="4"/>
      <c r="E430" s="5"/>
      <c r="F430" s="5"/>
      <c r="G430" s="5" t="str">
        <f t="shared" si="6"/>
        <v/>
      </c>
      <c r="H430" s="4"/>
    </row>
    <row r="431" spans="1:8" x14ac:dyDescent="0.2">
      <c r="A431" s="130"/>
      <c r="B431" s="4"/>
      <c r="C431" s="4"/>
      <c r="D431" s="4"/>
      <c r="E431" s="5"/>
      <c r="F431" s="5"/>
      <c r="G431" s="5" t="str">
        <f t="shared" si="6"/>
        <v/>
      </c>
      <c r="H431" s="4"/>
    </row>
    <row r="432" spans="1:8" x14ac:dyDescent="0.2">
      <c r="A432" s="130"/>
      <c r="B432" s="4"/>
      <c r="C432" s="4"/>
      <c r="D432" s="4"/>
      <c r="E432" s="5"/>
      <c r="F432" s="5"/>
      <c r="G432" s="5" t="str">
        <f t="shared" si="6"/>
        <v/>
      </c>
      <c r="H432" s="4"/>
    </row>
    <row r="433" spans="1:8" x14ac:dyDescent="0.2">
      <c r="A433" s="130"/>
      <c r="B433" s="4"/>
      <c r="C433" s="4"/>
      <c r="D433" s="4"/>
      <c r="E433" s="5"/>
      <c r="F433" s="5"/>
      <c r="G433" s="5" t="str">
        <f t="shared" si="6"/>
        <v/>
      </c>
      <c r="H433" s="4"/>
    </row>
    <row r="434" spans="1:8" x14ac:dyDescent="0.2">
      <c r="A434" s="130"/>
      <c r="B434" s="4"/>
      <c r="C434" s="4"/>
      <c r="D434" s="4"/>
      <c r="E434" s="5"/>
      <c r="F434" s="5"/>
      <c r="G434" s="5" t="str">
        <f t="shared" si="6"/>
        <v/>
      </c>
      <c r="H434" s="4"/>
    </row>
    <row r="435" spans="1:8" x14ac:dyDescent="0.2">
      <c r="A435" s="130"/>
      <c r="B435" s="4"/>
      <c r="C435" s="4"/>
      <c r="D435" s="4"/>
      <c r="E435" s="5"/>
      <c r="F435" s="5"/>
      <c r="G435" s="5" t="str">
        <f t="shared" si="6"/>
        <v/>
      </c>
      <c r="H435" s="4"/>
    </row>
    <row r="436" spans="1:8" x14ac:dyDescent="0.2">
      <c r="A436" s="130"/>
      <c r="B436" s="4"/>
      <c r="C436" s="4"/>
      <c r="D436" s="4"/>
      <c r="E436" s="5"/>
      <c r="F436" s="5"/>
      <c r="G436" s="5" t="str">
        <f t="shared" si="6"/>
        <v/>
      </c>
      <c r="H436" s="4"/>
    </row>
    <row r="437" spans="1:8" x14ac:dyDescent="0.2">
      <c r="A437" s="130"/>
      <c r="B437" s="4"/>
      <c r="C437" s="4"/>
      <c r="D437" s="4"/>
      <c r="E437" s="5"/>
      <c r="F437" s="5"/>
      <c r="G437" s="5" t="str">
        <f t="shared" si="6"/>
        <v/>
      </c>
      <c r="H437" s="4"/>
    </row>
    <row r="438" spans="1:8" x14ac:dyDescent="0.2">
      <c r="A438" s="130"/>
      <c r="B438" s="4"/>
      <c r="C438" s="4"/>
      <c r="D438" s="4"/>
      <c r="E438" s="5"/>
      <c r="F438" s="5"/>
      <c r="G438" s="5" t="str">
        <f t="shared" si="6"/>
        <v/>
      </c>
      <c r="H438" s="4"/>
    </row>
    <row r="439" spans="1:8" x14ac:dyDescent="0.2">
      <c r="A439" s="130"/>
      <c r="B439" s="4"/>
      <c r="C439" s="4"/>
      <c r="D439" s="4"/>
      <c r="E439" s="5"/>
      <c r="F439" s="5"/>
      <c r="G439" s="5" t="str">
        <f t="shared" si="6"/>
        <v/>
      </c>
      <c r="H439" s="4"/>
    </row>
    <row r="440" spans="1:8" x14ac:dyDescent="0.2">
      <c r="A440" s="130"/>
      <c r="B440" s="4"/>
      <c r="C440" s="4"/>
      <c r="D440" s="4"/>
      <c r="E440" s="5"/>
      <c r="F440" s="5"/>
      <c r="G440" s="5" t="str">
        <f t="shared" si="6"/>
        <v/>
      </c>
      <c r="H440" s="4"/>
    </row>
    <row r="441" spans="1:8" x14ac:dyDescent="0.2">
      <c r="A441" s="130"/>
      <c r="B441" s="4"/>
      <c r="C441" s="4"/>
      <c r="D441" s="4"/>
      <c r="E441" s="5"/>
      <c r="F441" s="5"/>
      <c r="G441" s="5" t="str">
        <f t="shared" si="6"/>
        <v/>
      </c>
      <c r="H441" s="4"/>
    </row>
    <row r="442" spans="1:8" x14ac:dyDescent="0.2">
      <c r="A442" s="130"/>
      <c r="B442" s="4"/>
      <c r="C442" s="4"/>
      <c r="D442" s="4"/>
      <c r="E442" s="5"/>
      <c r="F442" s="5"/>
      <c r="G442" s="5" t="str">
        <f t="shared" si="6"/>
        <v/>
      </c>
      <c r="H442" s="4"/>
    </row>
    <row r="443" spans="1:8" x14ac:dyDescent="0.2">
      <c r="A443" s="130"/>
      <c r="B443" s="4"/>
      <c r="C443" s="4"/>
      <c r="D443" s="4"/>
      <c r="E443" s="5"/>
      <c r="F443" s="5"/>
      <c r="G443" s="5" t="str">
        <f t="shared" si="6"/>
        <v/>
      </c>
      <c r="H443" s="4"/>
    </row>
    <row r="444" spans="1:8" x14ac:dyDescent="0.2">
      <c r="A444" s="130"/>
      <c r="B444" s="4"/>
      <c r="C444" s="4"/>
      <c r="D444" s="4"/>
      <c r="E444" s="5"/>
      <c r="F444" s="5"/>
      <c r="G444" s="5" t="str">
        <f t="shared" si="6"/>
        <v/>
      </c>
      <c r="H444" s="4"/>
    </row>
    <row r="445" spans="1:8" x14ac:dyDescent="0.2">
      <c r="A445" s="130"/>
      <c r="B445" s="4"/>
      <c r="C445" s="4"/>
      <c r="D445" s="4"/>
      <c r="E445" s="5"/>
      <c r="F445" s="5"/>
      <c r="G445" s="5" t="str">
        <f t="shared" si="6"/>
        <v/>
      </c>
      <c r="H445" s="4"/>
    </row>
    <row r="446" spans="1:8" x14ac:dyDescent="0.2">
      <c r="A446" s="130"/>
      <c r="B446" s="4"/>
      <c r="C446" s="4"/>
      <c r="D446" s="4"/>
      <c r="E446" s="5"/>
      <c r="F446" s="5"/>
      <c r="G446" s="5" t="str">
        <f t="shared" si="6"/>
        <v/>
      </c>
      <c r="H446" s="4"/>
    </row>
    <row r="447" spans="1:8" x14ac:dyDescent="0.2">
      <c r="A447" s="130"/>
      <c r="B447" s="4"/>
      <c r="C447" s="4"/>
      <c r="D447" s="4"/>
      <c r="E447" s="5"/>
      <c r="F447" s="5"/>
      <c r="G447" s="5" t="str">
        <f t="shared" si="6"/>
        <v/>
      </c>
      <c r="H447" s="4"/>
    </row>
    <row r="448" spans="1:8" x14ac:dyDescent="0.2">
      <c r="A448" s="130"/>
      <c r="B448" s="4"/>
      <c r="C448" s="4"/>
      <c r="D448" s="4"/>
      <c r="E448" s="5"/>
      <c r="F448" s="5"/>
      <c r="G448" s="5" t="str">
        <f t="shared" si="6"/>
        <v/>
      </c>
      <c r="H448" s="4"/>
    </row>
    <row r="449" spans="1:8" x14ac:dyDescent="0.2">
      <c r="A449" s="130"/>
      <c r="B449" s="4"/>
      <c r="C449" s="4"/>
      <c r="D449" s="4"/>
      <c r="E449" s="5"/>
      <c r="F449" s="5"/>
      <c r="G449" s="5" t="str">
        <f t="shared" si="6"/>
        <v/>
      </c>
      <c r="H449" s="4"/>
    </row>
    <row r="450" spans="1:8" x14ac:dyDescent="0.2">
      <c r="A450" s="130"/>
      <c r="B450" s="4"/>
      <c r="C450" s="4"/>
      <c r="D450" s="4"/>
      <c r="E450" s="5"/>
      <c r="F450" s="5"/>
      <c r="G450" s="5" t="str">
        <f t="shared" si="6"/>
        <v/>
      </c>
      <c r="H450" s="4"/>
    </row>
    <row r="451" spans="1:8" x14ac:dyDescent="0.2">
      <c r="A451" s="130"/>
      <c r="B451" s="4"/>
      <c r="C451" s="4"/>
      <c r="D451" s="4"/>
      <c r="E451" s="5"/>
      <c r="F451" s="5"/>
      <c r="G451" s="5" t="str">
        <f t="shared" si="6"/>
        <v/>
      </c>
      <c r="H451" s="4"/>
    </row>
    <row r="452" spans="1:8" x14ac:dyDescent="0.2">
      <c r="A452" s="130"/>
      <c r="B452" s="4"/>
      <c r="C452" s="4"/>
      <c r="D452" s="4"/>
      <c r="E452" s="5"/>
      <c r="F452" s="5"/>
      <c r="G452" s="5" t="str">
        <f t="shared" ref="G452:G502" si="7">IF($B452="","",$G451+$F452-$E452)</f>
        <v/>
      </c>
      <c r="H452" s="4"/>
    </row>
    <row r="453" spans="1:8" x14ac:dyDescent="0.2">
      <c r="A453" s="130"/>
      <c r="B453" s="4"/>
      <c r="C453" s="4"/>
      <c r="D453" s="4"/>
      <c r="E453" s="5"/>
      <c r="F453" s="5"/>
      <c r="G453" s="5" t="str">
        <f t="shared" si="7"/>
        <v/>
      </c>
      <c r="H453" s="4"/>
    </row>
    <row r="454" spans="1:8" x14ac:dyDescent="0.2">
      <c r="A454" s="130"/>
      <c r="B454" s="4"/>
      <c r="C454" s="4"/>
      <c r="D454" s="4"/>
      <c r="E454" s="5"/>
      <c r="F454" s="5"/>
      <c r="G454" s="5" t="str">
        <f t="shared" si="7"/>
        <v/>
      </c>
      <c r="H454" s="4"/>
    </row>
    <row r="455" spans="1:8" x14ac:dyDescent="0.2">
      <c r="A455" s="130"/>
      <c r="B455" s="4"/>
      <c r="C455" s="4"/>
      <c r="D455" s="4"/>
      <c r="E455" s="5"/>
      <c r="F455" s="5"/>
      <c r="G455" s="5" t="str">
        <f t="shared" si="7"/>
        <v/>
      </c>
      <c r="H455" s="4"/>
    </row>
    <row r="456" spans="1:8" x14ac:dyDescent="0.2">
      <c r="A456" s="130"/>
      <c r="B456" s="4"/>
      <c r="C456" s="4"/>
      <c r="D456" s="4"/>
      <c r="E456" s="5"/>
      <c r="F456" s="5"/>
      <c r="G456" s="5" t="str">
        <f t="shared" si="7"/>
        <v/>
      </c>
      <c r="H456" s="4"/>
    </row>
    <row r="457" spans="1:8" x14ac:dyDescent="0.2">
      <c r="A457" s="130"/>
      <c r="B457" s="4"/>
      <c r="C457" s="4"/>
      <c r="D457" s="4"/>
      <c r="E457" s="5"/>
      <c r="F457" s="5"/>
      <c r="G457" s="5" t="str">
        <f t="shared" si="7"/>
        <v/>
      </c>
      <c r="H457" s="4"/>
    </row>
    <row r="458" spans="1:8" x14ac:dyDescent="0.2">
      <c r="A458" s="130"/>
      <c r="B458" s="4"/>
      <c r="C458" s="4"/>
      <c r="D458" s="4"/>
      <c r="E458" s="5"/>
      <c r="F458" s="5"/>
      <c r="G458" s="5" t="str">
        <f t="shared" si="7"/>
        <v/>
      </c>
      <c r="H458" s="4"/>
    </row>
    <row r="459" spans="1:8" x14ac:dyDescent="0.2">
      <c r="A459" s="130"/>
      <c r="B459" s="4"/>
      <c r="C459" s="4"/>
      <c r="D459" s="4"/>
      <c r="E459" s="5"/>
      <c r="F459" s="5"/>
      <c r="G459" s="5" t="str">
        <f t="shared" si="7"/>
        <v/>
      </c>
      <c r="H459" s="4"/>
    </row>
    <row r="460" spans="1:8" x14ac:dyDescent="0.2">
      <c r="A460" s="130"/>
      <c r="B460" s="4"/>
      <c r="C460" s="4"/>
      <c r="D460" s="4"/>
      <c r="E460" s="5"/>
      <c r="F460" s="5"/>
      <c r="G460" s="5" t="str">
        <f t="shared" si="7"/>
        <v/>
      </c>
      <c r="H460" s="4"/>
    </row>
    <row r="461" spans="1:8" x14ac:dyDescent="0.2">
      <c r="A461" s="130"/>
      <c r="B461" s="4"/>
      <c r="C461" s="4"/>
      <c r="D461" s="4"/>
      <c r="E461" s="5"/>
      <c r="F461" s="5"/>
      <c r="G461" s="5" t="str">
        <f t="shared" si="7"/>
        <v/>
      </c>
      <c r="H461" s="4"/>
    </row>
    <row r="462" spans="1:8" x14ac:dyDescent="0.2">
      <c r="A462" s="130"/>
      <c r="B462" s="4"/>
      <c r="C462" s="4"/>
      <c r="D462" s="4"/>
      <c r="E462" s="5"/>
      <c r="F462" s="5"/>
      <c r="G462" s="5" t="str">
        <f t="shared" si="7"/>
        <v/>
      </c>
      <c r="H462" s="4"/>
    </row>
    <row r="463" spans="1:8" x14ac:dyDescent="0.2">
      <c r="A463" s="130"/>
      <c r="B463" s="4"/>
      <c r="C463" s="4"/>
      <c r="D463" s="4"/>
      <c r="E463" s="5"/>
      <c r="F463" s="5"/>
      <c r="G463" s="5" t="str">
        <f t="shared" si="7"/>
        <v/>
      </c>
      <c r="H463" s="4"/>
    </row>
    <row r="464" spans="1:8" x14ac:dyDescent="0.2">
      <c r="A464" s="130"/>
      <c r="B464" s="4"/>
      <c r="C464" s="4"/>
      <c r="D464" s="4"/>
      <c r="E464" s="5"/>
      <c r="F464" s="5"/>
      <c r="G464" s="5" t="str">
        <f t="shared" si="7"/>
        <v/>
      </c>
      <c r="H464" s="4"/>
    </row>
    <row r="465" spans="1:8" x14ac:dyDescent="0.2">
      <c r="A465" s="130"/>
      <c r="B465" s="4"/>
      <c r="C465" s="4"/>
      <c r="D465" s="4"/>
      <c r="E465" s="5"/>
      <c r="F465" s="5"/>
      <c r="G465" s="5" t="str">
        <f t="shared" si="7"/>
        <v/>
      </c>
      <c r="H465" s="4"/>
    </row>
    <row r="466" spans="1:8" x14ac:dyDescent="0.2">
      <c r="A466" s="130"/>
      <c r="B466" s="4"/>
      <c r="C466" s="4"/>
      <c r="D466" s="4"/>
      <c r="E466" s="5"/>
      <c r="F466" s="5"/>
      <c r="G466" s="5" t="str">
        <f t="shared" si="7"/>
        <v/>
      </c>
      <c r="H466" s="4"/>
    </row>
    <row r="467" spans="1:8" x14ac:dyDescent="0.2">
      <c r="A467" s="130"/>
      <c r="B467" s="4"/>
      <c r="C467" s="4"/>
      <c r="D467" s="4"/>
      <c r="E467" s="5"/>
      <c r="F467" s="5"/>
      <c r="G467" s="5" t="str">
        <f t="shared" si="7"/>
        <v/>
      </c>
      <c r="H467" s="4"/>
    </row>
    <row r="468" spans="1:8" x14ac:dyDescent="0.2">
      <c r="A468" s="130"/>
      <c r="B468" s="4"/>
      <c r="C468" s="4"/>
      <c r="D468" s="4"/>
      <c r="E468" s="5"/>
      <c r="F468" s="5"/>
      <c r="G468" s="5" t="str">
        <f t="shared" si="7"/>
        <v/>
      </c>
      <c r="H468" s="4"/>
    </row>
    <row r="469" spans="1:8" x14ac:dyDescent="0.2">
      <c r="A469" s="130"/>
      <c r="B469" s="4"/>
      <c r="C469" s="4"/>
      <c r="D469" s="4"/>
      <c r="E469" s="5"/>
      <c r="F469" s="5"/>
      <c r="G469" s="5" t="str">
        <f t="shared" si="7"/>
        <v/>
      </c>
      <c r="H469" s="4"/>
    </row>
    <row r="470" spans="1:8" x14ac:dyDescent="0.2">
      <c r="A470" s="130"/>
      <c r="B470" s="4"/>
      <c r="C470" s="4"/>
      <c r="D470" s="4"/>
      <c r="E470" s="5"/>
      <c r="F470" s="5"/>
      <c r="G470" s="5" t="str">
        <f t="shared" si="7"/>
        <v/>
      </c>
      <c r="H470" s="4"/>
    </row>
    <row r="471" spans="1:8" x14ac:dyDescent="0.2">
      <c r="A471" s="130"/>
      <c r="B471" s="4"/>
      <c r="C471" s="4"/>
      <c r="D471" s="4"/>
      <c r="E471" s="5"/>
      <c r="F471" s="5"/>
      <c r="G471" s="5" t="str">
        <f t="shared" si="7"/>
        <v/>
      </c>
      <c r="H471" s="4"/>
    </row>
    <row r="472" spans="1:8" x14ac:dyDescent="0.2">
      <c r="A472" s="130"/>
      <c r="B472" s="4"/>
      <c r="C472" s="4"/>
      <c r="D472" s="4"/>
      <c r="E472" s="5"/>
      <c r="F472" s="5"/>
      <c r="G472" s="5" t="str">
        <f t="shared" si="7"/>
        <v/>
      </c>
      <c r="H472" s="4"/>
    </row>
    <row r="473" spans="1:8" x14ac:dyDescent="0.2">
      <c r="A473" s="130"/>
      <c r="B473" s="4"/>
      <c r="C473" s="4"/>
      <c r="D473" s="4"/>
      <c r="E473" s="5"/>
      <c r="F473" s="5"/>
      <c r="G473" s="5" t="str">
        <f t="shared" si="7"/>
        <v/>
      </c>
      <c r="H473" s="4"/>
    </row>
    <row r="474" spans="1:8" x14ac:dyDescent="0.2">
      <c r="A474" s="130"/>
      <c r="B474" s="4"/>
      <c r="C474" s="4"/>
      <c r="D474" s="4"/>
      <c r="E474" s="5"/>
      <c r="F474" s="5"/>
      <c r="G474" s="5" t="str">
        <f t="shared" si="7"/>
        <v/>
      </c>
      <c r="H474" s="4"/>
    </row>
    <row r="475" spans="1:8" x14ac:dyDescent="0.2">
      <c r="A475" s="130"/>
      <c r="B475" s="4"/>
      <c r="C475" s="4"/>
      <c r="D475" s="4"/>
      <c r="E475" s="5"/>
      <c r="F475" s="5"/>
      <c r="G475" s="5" t="str">
        <f t="shared" si="7"/>
        <v/>
      </c>
      <c r="H475" s="4"/>
    </row>
    <row r="476" spans="1:8" x14ac:dyDescent="0.2">
      <c r="A476" s="130"/>
      <c r="B476" s="4"/>
      <c r="C476" s="4"/>
      <c r="D476" s="4"/>
      <c r="E476" s="5"/>
      <c r="F476" s="5"/>
      <c r="G476" s="5" t="str">
        <f t="shared" si="7"/>
        <v/>
      </c>
      <c r="H476" s="4"/>
    </row>
    <row r="477" spans="1:8" x14ac:dyDescent="0.2">
      <c r="A477" s="130"/>
      <c r="B477" s="4"/>
      <c r="C477" s="4"/>
      <c r="D477" s="4"/>
      <c r="E477" s="5"/>
      <c r="F477" s="5"/>
      <c r="G477" s="5" t="str">
        <f t="shared" si="7"/>
        <v/>
      </c>
      <c r="H477" s="4"/>
    </row>
    <row r="478" spans="1:8" x14ac:dyDescent="0.2">
      <c r="A478" s="130"/>
      <c r="B478" s="4"/>
      <c r="C478" s="4"/>
      <c r="D478" s="4"/>
      <c r="E478" s="5"/>
      <c r="F478" s="5"/>
      <c r="G478" s="5" t="str">
        <f t="shared" si="7"/>
        <v/>
      </c>
      <c r="H478" s="4"/>
    </row>
    <row r="479" spans="1:8" x14ac:dyDescent="0.2">
      <c r="A479" s="130"/>
      <c r="B479" s="4"/>
      <c r="C479" s="4"/>
      <c r="D479" s="4"/>
      <c r="E479" s="5"/>
      <c r="F479" s="5"/>
      <c r="G479" s="5" t="str">
        <f t="shared" si="7"/>
        <v/>
      </c>
      <c r="H479" s="4"/>
    </row>
    <row r="480" spans="1:8" x14ac:dyDescent="0.2">
      <c r="A480" s="130"/>
      <c r="B480" s="4"/>
      <c r="C480" s="4"/>
      <c r="D480" s="4"/>
      <c r="E480" s="5"/>
      <c r="F480" s="5"/>
      <c r="G480" s="5" t="str">
        <f t="shared" si="7"/>
        <v/>
      </c>
      <c r="H480" s="4"/>
    </row>
    <row r="481" spans="1:8" x14ac:dyDescent="0.2">
      <c r="A481" s="130"/>
      <c r="B481" s="4"/>
      <c r="C481" s="4"/>
      <c r="D481" s="4"/>
      <c r="E481" s="5"/>
      <c r="F481" s="5"/>
      <c r="G481" s="5" t="str">
        <f t="shared" si="7"/>
        <v/>
      </c>
      <c r="H481" s="4"/>
    </row>
    <row r="482" spans="1:8" x14ac:dyDescent="0.2">
      <c r="A482" s="130"/>
      <c r="B482" s="4"/>
      <c r="C482" s="4"/>
      <c r="D482" s="4"/>
      <c r="E482" s="5"/>
      <c r="F482" s="5"/>
      <c r="G482" s="5" t="str">
        <f t="shared" si="7"/>
        <v/>
      </c>
      <c r="H482" s="4"/>
    </row>
    <row r="483" spans="1:8" x14ac:dyDescent="0.2">
      <c r="A483" s="130"/>
      <c r="B483" s="4"/>
      <c r="C483" s="4"/>
      <c r="D483" s="4"/>
      <c r="E483" s="5"/>
      <c r="F483" s="5"/>
      <c r="G483" s="5" t="str">
        <f t="shared" si="7"/>
        <v/>
      </c>
      <c r="H483" s="4"/>
    </row>
    <row r="484" spans="1:8" x14ac:dyDescent="0.2">
      <c r="A484" s="130"/>
      <c r="B484" s="4"/>
      <c r="C484" s="4"/>
      <c r="D484" s="4"/>
      <c r="E484" s="5"/>
      <c r="F484" s="5"/>
      <c r="G484" s="5" t="str">
        <f t="shared" si="7"/>
        <v/>
      </c>
      <c r="H484" s="4"/>
    </row>
    <row r="485" spans="1:8" x14ac:dyDescent="0.2">
      <c r="A485" s="130"/>
      <c r="B485" s="4"/>
      <c r="C485" s="4"/>
      <c r="D485" s="4"/>
      <c r="E485" s="5"/>
      <c r="F485" s="5"/>
      <c r="G485" s="5" t="str">
        <f t="shared" si="7"/>
        <v/>
      </c>
      <c r="H485" s="4"/>
    </row>
    <row r="486" spans="1:8" x14ac:dyDescent="0.2">
      <c r="A486" s="130"/>
      <c r="B486" s="4"/>
      <c r="C486" s="4"/>
      <c r="D486" s="4"/>
      <c r="E486" s="5"/>
      <c r="F486" s="5"/>
      <c r="G486" s="5" t="str">
        <f t="shared" si="7"/>
        <v/>
      </c>
      <c r="H486" s="4"/>
    </row>
    <row r="487" spans="1:8" x14ac:dyDescent="0.2">
      <c r="A487" s="130"/>
      <c r="B487" s="4"/>
      <c r="C487" s="4"/>
      <c r="D487" s="4"/>
      <c r="E487" s="5"/>
      <c r="F487" s="5"/>
      <c r="G487" s="5" t="str">
        <f t="shared" si="7"/>
        <v/>
      </c>
      <c r="H487" s="4"/>
    </row>
    <row r="488" spans="1:8" x14ac:dyDescent="0.2">
      <c r="A488" s="130"/>
      <c r="B488" s="4"/>
      <c r="C488" s="4"/>
      <c r="D488" s="4"/>
      <c r="E488" s="5"/>
      <c r="F488" s="5"/>
      <c r="G488" s="5" t="str">
        <f t="shared" si="7"/>
        <v/>
      </c>
      <c r="H488" s="4"/>
    </row>
    <row r="489" spans="1:8" x14ac:dyDescent="0.2">
      <c r="A489" s="130"/>
      <c r="B489" s="4"/>
      <c r="C489" s="4"/>
      <c r="D489" s="4"/>
      <c r="E489" s="5"/>
      <c r="F489" s="5"/>
      <c r="G489" s="5" t="str">
        <f t="shared" si="7"/>
        <v/>
      </c>
      <c r="H489" s="4"/>
    </row>
    <row r="490" spans="1:8" x14ac:dyDescent="0.2">
      <c r="A490" s="130"/>
      <c r="B490" s="4"/>
      <c r="C490" s="4"/>
      <c r="D490" s="4"/>
      <c r="E490" s="5"/>
      <c r="F490" s="5"/>
      <c r="G490" s="5" t="str">
        <f t="shared" si="7"/>
        <v/>
      </c>
      <c r="H490" s="4"/>
    </row>
    <row r="491" spans="1:8" x14ac:dyDescent="0.2">
      <c r="A491" s="130"/>
      <c r="B491" s="4"/>
      <c r="C491" s="4"/>
      <c r="D491" s="4"/>
      <c r="E491" s="5"/>
      <c r="F491" s="5"/>
      <c r="G491" s="5" t="str">
        <f t="shared" si="7"/>
        <v/>
      </c>
      <c r="H491" s="4"/>
    </row>
    <row r="492" spans="1:8" x14ac:dyDescent="0.2">
      <c r="A492" s="130"/>
      <c r="B492" s="4"/>
      <c r="C492" s="4"/>
      <c r="D492" s="4"/>
      <c r="E492" s="5"/>
      <c r="F492" s="5"/>
      <c r="G492" s="5" t="str">
        <f t="shared" si="7"/>
        <v/>
      </c>
      <c r="H492" s="4"/>
    </row>
    <row r="493" spans="1:8" x14ac:dyDescent="0.2">
      <c r="A493" s="130"/>
      <c r="B493" s="4"/>
      <c r="C493" s="4"/>
      <c r="D493" s="4"/>
      <c r="E493" s="5"/>
      <c r="F493" s="5"/>
      <c r="G493" s="5" t="str">
        <f t="shared" si="7"/>
        <v/>
      </c>
      <c r="H493" s="4"/>
    </row>
    <row r="494" spans="1:8" x14ac:dyDescent="0.2">
      <c r="A494" s="130"/>
      <c r="B494" s="4"/>
      <c r="C494" s="4"/>
      <c r="D494" s="4"/>
      <c r="E494" s="5"/>
      <c r="F494" s="5"/>
      <c r="G494" s="5" t="str">
        <f t="shared" si="7"/>
        <v/>
      </c>
      <c r="H494" s="4"/>
    </row>
    <row r="495" spans="1:8" x14ac:dyDescent="0.2">
      <c r="A495" s="130"/>
      <c r="B495" s="4"/>
      <c r="C495" s="4"/>
      <c r="D495" s="4"/>
      <c r="E495" s="5"/>
      <c r="F495" s="5"/>
      <c r="G495" s="5" t="str">
        <f t="shared" si="7"/>
        <v/>
      </c>
      <c r="H495" s="4"/>
    </row>
    <row r="496" spans="1:8" x14ac:dyDescent="0.2">
      <c r="A496" s="130"/>
      <c r="B496" s="4"/>
      <c r="C496" s="4"/>
      <c r="D496" s="4"/>
      <c r="E496" s="5"/>
      <c r="F496" s="5"/>
      <c r="G496" s="5" t="str">
        <f t="shared" si="7"/>
        <v/>
      </c>
      <c r="H496" s="4"/>
    </row>
    <row r="497" spans="1:8" x14ac:dyDescent="0.2">
      <c r="A497" s="130"/>
      <c r="B497" s="4"/>
      <c r="C497" s="4"/>
      <c r="D497" s="4"/>
      <c r="E497" s="5"/>
      <c r="F497" s="5"/>
      <c r="G497" s="5" t="str">
        <f t="shared" si="7"/>
        <v/>
      </c>
      <c r="H497" s="4"/>
    </row>
    <row r="498" spans="1:8" x14ac:dyDescent="0.2">
      <c r="A498" s="130"/>
      <c r="B498" s="4"/>
      <c r="C498" s="4"/>
      <c r="D498" s="4"/>
      <c r="E498" s="5"/>
      <c r="F498" s="5"/>
      <c r="G498" s="5" t="str">
        <f t="shared" si="7"/>
        <v/>
      </c>
      <c r="H498" s="4"/>
    </row>
    <row r="499" spans="1:8" x14ac:dyDescent="0.2">
      <c r="A499" s="130"/>
      <c r="B499" s="4"/>
      <c r="C499" s="4"/>
      <c r="D499" s="4"/>
      <c r="E499" s="5"/>
      <c r="F499" s="5"/>
      <c r="G499" s="5" t="str">
        <f t="shared" si="7"/>
        <v/>
      </c>
      <c r="H499" s="4"/>
    </row>
    <row r="500" spans="1:8" x14ac:dyDescent="0.2">
      <c r="A500" s="130"/>
      <c r="B500" s="4"/>
      <c r="C500" s="4"/>
      <c r="D500" s="4"/>
      <c r="E500" s="5"/>
      <c r="F500" s="5"/>
      <c r="G500" s="5" t="str">
        <f t="shared" si="7"/>
        <v/>
      </c>
      <c r="H500" s="4"/>
    </row>
    <row r="501" spans="1:8" x14ac:dyDescent="0.2">
      <c r="A501" s="130"/>
      <c r="B501" s="4"/>
      <c r="C501" s="4"/>
      <c r="D501" s="4"/>
      <c r="E501" s="5"/>
      <c r="F501" s="5"/>
      <c r="G501" s="5" t="str">
        <f t="shared" si="7"/>
        <v/>
      </c>
      <c r="H501" s="4"/>
    </row>
    <row r="502" spans="1:8" x14ac:dyDescent="0.2">
      <c r="A502" s="130"/>
      <c r="B502" s="4"/>
      <c r="C502" s="4"/>
      <c r="D502" s="4"/>
      <c r="E502" s="5"/>
      <c r="F502" s="5"/>
      <c r="G502" s="5" t="str">
        <f t="shared" si="7"/>
        <v/>
      </c>
      <c r="H502" s="4"/>
    </row>
  </sheetData>
  <mergeCells count="1">
    <mergeCell ref="A1:H1"/>
  </mergeCells>
  <conditionalFormatting sqref="A3:H502">
    <cfRule type="expression" dxfId="11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55A11"/>
    <pageSetUpPr fitToPage="1"/>
  </sheetPr>
  <dimension ref="A1:I502"/>
  <sheetViews>
    <sheetView showGridLines="0" workbookViewId="0">
      <pane ySplit="2" topLeftCell="A33" activePane="bottomLeft" state="frozen"/>
      <selection pane="bottomLeft" activeCell="F47" sqref="F47"/>
    </sheetView>
  </sheetViews>
  <sheetFormatPr baseColWidth="10" defaultColWidth="8.83203125" defaultRowHeight="15" x14ac:dyDescent="0.2"/>
  <cols>
    <col min="1" max="1" width="24" customWidth="1"/>
    <col min="3" max="3" width="21.83203125" customWidth="1"/>
    <col min="4" max="4" width="26" customWidth="1"/>
    <col min="5" max="5" width="16" bestFit="1" customWidth="1"/>
    <col min="6" max="7" width="13.5" bestFit="1" customWidth="1"/>
    <col min="8" max="8" width="15.6640625" bestFit="1" customWidth="1"/>
    <col min="9" max="9" width="14.6640625" customWidth="1"/>
  </cols>
  <sheetData>
    <row r="1" spans="1:9" ht="32" customHeight="1" x14ac:dyDescent="0.2">
      <c r="A1" s="201" t="s">
        <v>988</v>
      </c>
      <c r="B1" s="202"/>
      <c r="C1" s="202"/>
      <c r="D1" s="202"/>
      <c r="E1" s="202"/>
      <c r="F1" s="202"/>
      <c r="G1" s="202"/>
      <c r="H1" s="202"/>
      <c r="I1" s="202"/>
    </row>
    <row r="2" spans="1:9" ht="28" customHeight="1" x14ac:dyDescent="0.2">
      <c r="A2" s="3" t="s">
        <v>44</v>
      </c>
      <c r="B2" s="3" t="s">
        <v>45</v>
      </c>
      <c r="C2" s="3" t="s">
        <v>989</v>
      </c>
      <c r="D2" s="3" t="s">
        <v>990</v>
      </c>
      <c r="E2" s="3" t="s">
        <v>981</v>
      </c>
      <c r="F2" s="3" t="s">
        <v>991</v>
      </c>
      <c r="G2" s="3" t="s">
        <v>992</v>
      </c>
      <c r="H2" s="3" t="s">
        <v>993</v>
      </c>
      <c r="I2" s="3" t="s">
        <v>15</v>
      </c>
    </row>
    <row r="3" spans="1:9" x14ac:dyDescent="0.2">
      <c r="A3" s="4" t="s">
        <v>905</v>
      </c>
      <c r="B3" s="4" t="s">
        <v>994</v>
      </c>
      <c r="C3" s="4">
        <v>9867120713</v>
      </c>
      <c r="D3" s="4"/>
      <c r="E3" s="5">
        <v>0</v>
      </c>
      <c r="F3" s="5">
        <f>IF($A3="","",SUMIF(Party_Ledger!$B:$B,$A3,Party_Ledger!$F:$F))</f>
        <v>0</v>
      </c>
      <c r="G3" s="5">
        <f>IF($A3="","",SUMIF(Party_Ledger!$B:$B,$A3,Party_Ledger!$G:$G))</f>
        <v>191350</v>
      </c>
      <c r="H3" s="5">
        <f t="shared" ref="H3:H66" si="0">IF($A3="","",$E3+$F3-$G3)</f>
        <v>-191350</v>
      </c>
      <c r="I3" s="4" t="str">
        <f t="shared" ref="I3:I66" si="1">IF($A3="","",IF(ROUND($H3,0)=0,"Settled",IF($H3&gt;0,"Outstanding","Advance")))</f>
        <v>Advance</v>
      </c>
    </row>
    <row r="4" spans="1:9" x14ac:dyDescent="0.2">
      <c r="A4" s="4" t="s">
        <v>995</v>
      </c>
      <c r="B4" s="4" t="s">
        <v>994</v>
      </c>
      <c r="C4" s="4"/>
      <c r="D4" s="4"/>
      <c r="E4" s="5">
        <v>0</v>
      </c>
      <c r="F4" s="5">
        <f>IF($A4="","",SUMIF(Party_Ledger!$B:$B,$A4,Party_Ledger!$F:$F))</f>
        <v>0</v>
      </c>
      <c r="G4" s="5">
        <f>IF($A4="","",SUMIF(Party_Ledger!$B:$B,$A4,Party_Ledger!$G:$G))</f>
        <v>0</v>
      </c>
      <c r="H4" s="5">
        <f t="shared" si="0"/>
        <v>0</v>
      </c>
      <c r="I4" s="4" t="str">
        <f t="shared" si="1"/>
        <v>Settled</v>
      </c>
    </row>
    <row r="5" spans="1:9" x14ac:dyDescent="0.2">
      <c r="A5" s="4" t="s">
        <v>102</v>
      </c>
      <c r="B5" s="4" t="s">
        <v>994</v>
      </c>
      <c r="C5" s="4"/>
      <c r="D5" s="4"/>
      <c r="E5" s="5">
        <v>0</v>
      </c>
      <c r="F5" s="5">
        <f>IF($A5="","",SUMIF(Party_Ledger!$B:$B,$A5,Party_Ledger!$F:$F))</f>
        <v>6840</v>
      </c>
      <c r="G5" s="5">
        <f>IF($A5="","",SUMIF(Party_Ledger!$B:$B,$A5,Party_Ledger!$G:$G))</f>
        <v>0</v>
      </c>
      <c r="H5" s="5">
        <f t="shared" si="0"/>
        <v>6840</v>
      </c>
      <c r="I5" s="4" t="str">
        <f t="shared" si="1"/>
        <v>Outstanding</v>
      </c>
    </row>
    <row r="6" spans="1:9" x14ac:dyDescent="0.2">
      <c r="A6" s="4" t="s">
        <v>212</v>
      </c>
      <c r="B6" s="4" t="s">
        <v>994</v>
      </c>
      <c r="C6" s="4"/>
      <c r="D6" s="4"/>
      <c r="E6" s="5">
        <v>0</v>
      </c>
      <c r="F6" s="5">
        <f>IF($A6="","",SUMIF(Party_Ledger!$B:$B,$A6,Party_Ledger!$F:$F))</f>
        <v>2200</v>
      </c>
      <c r="G6" s="5">
        <f>IF($A6="","",SUMIF(Party_Ledger!$B:$B,$A6,Party_Ledger!$G:$G))</f>
        <v>2200</v>
      </c>
      <c r="H6" s="5">
        <f t="shared" si="0"/>
        <v>0</v>
      </c>
      <c r="I6" s="4" t="str">
        <f t="shared" si="1"/>
        <v>Settled</v>
      </c>
    </row>
    <row r="7" spans="1:9" x14ac:dyDescent="0.2">
      <c r="A7" s="4" t="s">
        <v>86</v>
      </c>
      <c r="B7" s="4" t="s">
        <v>994</v>
      </c>
      <c r="C7" s="4">
        <v>9847247236</v>
      </c>
      <c r="D7" s="4"/>
      <c r="E7" s="5">
        <v>0</v>
      </c>
      <c r="F7" s="5">
        <f>IF($A7="","",SUMIF(Party_Ledger!$B:$B,$A7,Party_Ledger!$F:$F))</f>
        <v>58910</v>
      </c>
      <c r="G7" s="5">
        <f>IF($A7="","",SUMIF(Party_Ledger!$B:$B,$A7,Party_Ledger!$G:$G))</f>
        <v>0</v>
      </c>
      <c r="H7" s="5">
        <f t="shared" si="0"/>
        <v>58910</v>
      </c>
      <c r="I7" s="4" t="str">
        <f t="shared" si="1"/>
        <v>Outstanding</v>
      </c>
    </row>
    <row r="8" spans="1:9" x14ac:dyDescent="0.2">
      <c r="A8" s="4" t="s">
        <v>996</v>
      </c>
      <c r="B8" s="4" t="s">
        <v>994</v>
      </c>
      <c r="C8" s="4"/>
      <c r="D8" s="4"/>
      <c r="E8" s="5">
        <v>0</v>
      </c>
      <c r="F8" s="5">
        <f>IF($A8="","",SUMIF(Party_Ledger!$B:$B,$A8,Party_Ledger!$F:$F))</f>
        <v>0</v>
      </c>
      <c r="G8" s="5">
        <f>IF($A8="","",SUMIF(Party_Ledger!$B:$B,$A8,Party_Ledger!$G:$G))</f>
        <v>0</v>
      </c>
      <c r="H8" s="5">
        <f t="shared" si="0"/>
        <v>0</v>
      </c>
      <c r="I8" s="4" t="str">
        <f t="shared" si="1"/>
        <v>Settled</v>
      </c>
    </row>
    <row r="9" spans="1:9" x14ac:dyDescent="0.2">
      <c r="A9" s="4" t="s">
        <v>909</v>
      </c>
      <c r="B9" s="4" t="s">
        <v>994</v>
      </c>
      <c r="C9" s="4"/>
      <c r="D9" s="4"/>
      <c r="E9" s="5">
        <v>0</v>
      </c>
      <c r="F9" s="5">
        <f>IF($A9="","",SUMIF(Party_Ledger!$B:$B,$A9,Party_Ledger!$F:$F))</f>
        <v>0</v>
      </c>
      <c r="G9" s="5">
        <f>IF($A9="","",SUMIF(Party_Ledger!$B:$B,$A9,Party_Ledger!$G:$G))</f>
        <v>11050</v>
      </c>
      <c r="H9" s="5">
        <f t="shared" si="0"/>
        <v>-11050</v>
      </c>
      <c r="I9" s="4" t="str">
        <f t="shared" si="1"/>
        <v>Advance</v>
      </c>
    </row>
    <row r="10" spans="1:9" x14ac:dyDescent="0.2">
      <c r="A10" s="4" t="s">
        <v>116</v>
      </c>
      <c r="B10" s="4" t="s">
        <v>994</v>
      </c>
      <c r="C10" s="4"/>
      <c r="D10" s="4"/>
      <c r="E10" s="5">
        <v>0</v>
      </c>
      <c r="F10" s="5">
        <f>IF($A10="","",SUMIF(Party_Ledger!$B:$B,$A10,Party_Ledger!$F:$F))</f>
        <v>18700</v>
      </c>
      <c r="G10" s="5">
        <f>IF($A10="","",SUMIF(Party_Ledger!$B:$B,$A10,Party_Ledger!$G:$G))</f>
        <v>18700</v>
      </c>
      <c r="H10" s="5">
        <f t="shared" si="0"/>
        <v>0</v>
      </c>
      <c r="I10" s="4" t="str">
        <f t="shared" si="1"/>
        <v>Settled</v>
      </c>
    </row>
    <row r="11" spans="1:9" x14ac:dyDescent="0.2">
      <c r="A11" s="4" t="s">
        <v>98</v>
      </c>
      <c r="B11" s="4" t="s">
        <v>994</v>
      </c>
      <c r="C11" s="4">
        <v>9847092249</v>
      </c>
      <c r="D11" s="4"/>
      <c r="E11" s="5">
        <v>0</v>
      </c>
      <c r="F11" s="5">
        <f>IF($A11="","",SUMIF(Party_Ledger!$B:$B,$A11,Party_Ledger!$F:$F))</f>
        <v>16405</v>
      </c>
      <c r="G11" s="5">
        <f>IF($A11="","",SUMIF(Party_Ledger!$B:$B,$A11,Party_Ledger!$G:$G))</f>
        <v>4000</v>
      </c>
      <c r="H11" s="5">
        <f t="shared" si="0"/>
        <v>12405</v>
      </c>
      <c r="I11" s="4" t="str">
        <f t="shared" si="1"/>
        <v>Outstanding</v>
      </c>
    </row>
    <row r="12" spans="1:9" x14ac:dyDescent="0.2">
      <c r="A12" s="4" t="s">
        <v>910</v>
      </c>
      <c r="B12" s="4" t="s">
        <v>994</v>
      </c>
      <c r="C12" s="4">
        <v>9847233712</v>
      </c>
      <c r="D12" s="4"/>
      <c r="E12" s="5">
        <v>0</v>
      </c>
      <c r="F12" s="5">
        <f>IF($A12="","",SUMIF(Party_Ledger!$B:$B,$A12,Party_Ledger!$F:$F))</f>
        <v>0</v>
      </c>
      <c r="G12" s="5">
        <f>IF($A12="","",SUMIF(Party_Ledger!$B:$B,$A12,Party_Ledger!$G:$G))</f>
        <v>36125</v>
      </c>
      <c r="H12" s="5">
        <f t="shared" si="0"/>
        <v>-36125</v>
      </c>
      <c r="I12" s="4" t="str">
        <f t="shared" si="1"/>
        <v>Advance</v>
      </c>
    </row>
    <row r="13" spans="1:9" x14ac:dyDescent="0.2">
      <c r="A13" s="4" t="s">
        <v>293</v>
      </c>
      <c r="B13" s="4" t="s">
        <v>994</v>
      </c>
      <c r="C13" s="4">
        <v>9701737955</v>
      </c>
      <c r="D13" s="4"/>
      <c r="E13" s="5">
        <v>0</v>
      </c>
      <c r="F13" s="5">
        <f>IF($A13="","",SUMIF(Party_Ledger!$B:$B,$A13,Party_Ledger!$F:$F))</f>
        <v>1270</v>
      </c>
      <c r="G13" s="5">
        <f>IF($A13="","",SUMIF(Party_Ledger!$B:$B,$A13,Party_Ledger!$G:$G))</f>
        <v>0</v>
      </c>
      <c r="H13" s="5">
        <f t="shared" si="0"/>
        <v>1270</v>
      </c>
      <c r="I13" s="4" t="str">
        <f t="shared" si="1"/>
        <v>Outstanding</v>
      </c>
    </row>
    <row r="14" spans="1:9" x14ac:dyDescent="0.2">
      <c r="A14" s="4" t="s">
        <v>119</v>
      </c>
      <c r="B14" s="4" t="s">
        <v>994</v>
      </c>
      <c r="C14" s="4">
        <v>9849591243</v>
      </c>
      <c r="D14" s="4"/>
      <c r="E14" s="5">
        <v>0</v>
      </c>
      <c r="F14" s="5">
        <f>IF($A14="","",SUMIF(Party_Ledger!$B:$B,$A14,Party_Ledger!$F:$F))</f>
        <v>11900</v>
      </c>
      <c r="G14" s="5">
        <f>IF($A14="","",SUMIF(Party_Ledger!$B:$B,$A14,Party_Ledger!$G:$G))</f>
        <v>11900</v>
      </c>
      <c r="H14" s="5">
        <f t="shared" si="0"/>
        <v>0</v>
      </c>
      <c r="I14" s="4" t="str">
        <f t="shared" si="1"/>
        <v>Settled</v>
      </c>
    </row>
    <row r="15" spans="1:9" x14ac:dyDescent="0.2">
      <c r="A15" s="4" t="s">
        <v>121</v>
      </c>
      <c r="B15" s="4" t="s">
        <v>994</v>
      </c>
      <c r="C15" s="4">
        <v>9847452503</v>
      </c>
      <c r="D15" s="4"/>
      <c r="E15" s="5">
        <v>0</v>
      </c>
      <c r="F15" s="5">
        <f>IF($A15="","",SUMIF(Party_Ledger!$B:$B,$A15,Party_Ledger!$F:$F))</f>
        <v>10200</v>
      </c>
      <c r="G15" s="5">
        <f>IF($A15="","",SUMIF(Party_Ledger!$B:$B,$A15,Party_Ledger!$G:$G))</f>
        <v>0</v>
      </c>
      <c r="H15" s="5">
        <f t="shared" si="0"/>
        <v>10200</v>
      </c>
      <c r="I15" s="4" t="str">
        <f t="shared" si="1"/>
        <v>Outstanding</v>
      </c>
    </row>
    <row r="16" spans="1:9" x14ac:dyDescent="0.2">
      <c r="A16" s="4" t="s">
        <v>84</v>
      </c>
      <c r="B16" s="4" t="s">
        <v>994</v>
      </c>
      <c r="C16" s="4">
        <v>9847049479</v>
      </c>
      <c r="D16" s="4"/>
      <c r="E16" s="5">
        <v>0</v>
      </c>
      <c r="F16" s="5">
        <f>IF($A16="","",SUMIF(Party_Ledger!$B:$B,$A16,Party_Ledger!$F:$F))</f>
        <v>11413</v>
      </c>
      <c r="G16" s="5">
        <f>IF($A16="","",SUMIF(Party_Ledger!$B:$B,$A16,Party_Ledger!$G:$G))</f>
        <v>0</v>
      </c>
      <c r="H16" s="5">
        <f t="shared" si="0"/>
        <v>11413</v>
      </c>
      <c r="I16" s="4" t="str">
        <f t="shared" si="1"/>
        <v>Outstanding</v>
      </c>
    </row>
    <row r="17" spans="1:9" x14ac:dyDescent="0.2">
      <c r="A17" s="4" t="s">
        <v>932</v>
      </c>
      <c r="B17" s="4" t="s">
        <v>994</v>
      </c>
      <c r="C17" s="4">
        <v>9847120474</v>
      </c>
      <c r="D17" s="4"/>
      <c r="E17" s="5">
        <v>0</v>
      </c>
      <c r="F17" s="5">
        <f>IF($A17="","",SUMIF(Party_Ledger!$B:$B,$A17,Party_Ledger!$F:$F))</f>
        <v>0</v>
      </c>
      <c r="G17" s="5">
        <f>IF($A17="","",SUMIF(Party_Ledger!$B:$B,$A17,Party_Ledger!$G:$G))</f>
        <v>32695</v>
      </c>
      <c r="H17" s="5">
        <f t="shared" si="0"/>
        <v>-32695</v>
      </c>
      <c r="I17" s="4" t="str">
        <f t="shared" si="1"/>
        <v>Advance</v>
      </c>
    </row>
    <row r="18" spans="1:9" x14ac:dyDescent="0.2">
      <c r="A18" s="4" t="s">
        <v>195</v>
      </c>
      <c r="B18" s="4" t="s">
        <v>994</v>
      </c>
      <c r="C18" s="4"/>
      <c r="D18" s="4"/>
      <c r="E18" s="5">
        <v>0</v>
      </c>
      <c r="F18" s="5">
        <f>IF($A18="","",SUMIF(Party_Ledger!$B:$B,$A18,Party_Ledger!$F:$F))</f>
        <v>1600</v>
      </c>
      <c r="G18" s="5">
        <f>IF($A18="","",SUMIF(Party_Ledger!$B:$B,$A18,Party_Ledger!$G:$G))</f>
        <v>1600</v>
      </c>
      <c r="H18" s="5">
        <f t="shared" si="0"/>
        <v>0</v>
      </c>
      <c r="I18" s="4" t="str">
        <f t="shared" si="1"/>
        <v>Settled</v>
      </c>
    </row>
    <row r="19" spans="1:9" x14ac:dyDescent="0.2">
      <c r="A19" s="4" t="s">
        <v>158</v>
      </c>
      <c r="B19" s="4" t="s">
        <v>994</v>
      </c>
      <c r="C19" s="4"/>
      <c r="D19" s="4"/>
      <c r="E19" s="5">
        <v>0</v>
      </c>
      <c r="F19" s="5">
        <f>IF($A19="","",SUMIF(Party_Ledger!$B:$B,$A19,Party_Ledger!$F:$F))</f>
        <v>2400</v>
      </c>
      <c r="G19" s="5">
        <f>IF($A19="","",SUMIF(Party_Ledger!$B:$B,$A19,Party_Ledger!$G:$G))</f>
        <v>0</v>
      </c>
      <c r="H19" s="5">
        <f t="shared" si="0"/>
        <v>2400</v>
      </c>
      <c r="I19" s="4" t="str">
        <f t="shared" si="1"/>
        <v>Outstanding</v>
      </c>
    </row>
    <row r="20" spans="1:9" x14ac:dyDescent="0.2">
      <c r="A20" s="4" t="s">
        <v>100</v>
      </c>
      <c r="B20" s="4" t="s">
        <v>994</v>
      </c>
      <c r="C20" s="4"/>
      <c r="D20" s="4"/>
      <c r="E20" s="5">
        <v>0</v>
      </c>
      <c r="F20" s="5">
        <f>IF($A20="","",SUMIF(Party_Ledger!$B:$B,$A20,Party_Ledger!$F:$F))</f>
        <v>22159.987499999999</v>
      </c>
      <c r="G20" s="5">
        <f>IF($A20="","",SUMIF(Party_Ledger!$B:$B,$A20,Party_Ledger!$G:$G))</f>
        <v>23480</v>
      </c>
      <c r="H20" s="5">
        <f t="shared" si="0"/>
        <v>-1320.0125000000007</v>
      </c>
      <c r="I20" s="4" t="str">
        <f t="shared" si="1"/>
        <v>Advance</v>
      </c>
    </row>
    <row r="21" spans="1:9" x14ac:dyDescent="0.2">
      <c r="A21" s="4" t="s">
        <v>76</v>
      </c>
      <c r="B21" s="4" t="s">
        <v>994</v>
      </c>
      <c r="C21" s="4">
        <v>9842824036</v>
      </c>
      <c r="D21" s="4"/>
      <c r="E21" s="5">
        <v>0</v>
      </c>
      <c r="F21" s="5">
        <f>IF($A21="","",SUMIF(Party_Ledger!$B:$B,$A21,Party_Ledger!$F:$F))</f>
        <v>19550</v>
      </c>
      <c r="G21" s="5">
        <f>IF($A21="","",SUMIF(Party_Ledger!$B:$B,$A21,Party_Ledger!$G:$G))</f>
        <v>16675</v>
      </c>
      <c r="H21" s="5">
        <f t="shared" si="0"/>
        <v>2875</v>
      </c>
      <c r="I21" s="4" t="str">
        <f t="shared" si="1"/>
        <v>Outstanding</v>
      </c>
    </row>
    <row r="22" spans="1:9" x14ac:dyDescent="0.2">
      <c r="A22" s="4" t="s">
        <v>267</v>
      </c>
      <c r="B22" s="4" t="s">
        <v>994</v>
      </c>
      <c r="C22" s="4"/>
      <c r="D22" s="4"/>
      <c r="E22" s="5">
        <v>0</v>
      </c>
      <c r="F22" s="5">
        <f>IF($A22="","",SUMIF(Party_Ledger!$B:$B,$A22,Party_Ledger!$F:$F))</f>
        <v>2200</v>
      </c>
      <c r="G22" s="5">
        <f>IF($A22="","",SUMIF(Party_Ledger!$B:$B,$A22,Party_Ledger!$G:$G))</f>
        <v>0</v>
      </c>
      <c r="H22" s="5">
        <f t="shared" si="0"/>
        <v>2200</v>
      </c>
      <c r="I22" s="4" t="str">
        <f t="shared" si="1"/>
        <v>Outstanding</v>
      </c>
    </row>
    <row r="23" spans="1:9" x14ac:dyDescent="0.2">
      <c r="A23" s="4" t="s">
        <v>997</v>
      </c>
      <c r="B23" s="4" t="s">
        <v>994</v>
      </c>
      <c r="C23" s="4"/>
      <c r="D23" s="4"/>
      <c r="E23" s="5">
        <v>0</v>
      </c>
      <c r="F23" s="5">
        <f>IF($A23="","",SUMIF(Party_Ledger!$B:$B,$A23,Party_Ledger!$F:$F))</f>
        <v>0</v>
      </c>
      <c r="G23" s="5">
        <f>IF($A23="","",SUMIF(Party_Ledger!$B:$B,$A23,Party_Ledger!$G:$G))</f>
        <v>0</v>
      </c>
      <c r="H23" s="5">
        <f t="shared" si="0"/>
        <v>0</v>
      </c>
      <c r="I23" s="4" t="str">
        <f t="shared" si="1"/>
        <v>Settled</v>
      </c>
    </row>
    <row r="24" spans="1:9" x14ac:dyDescent="0.2">
      <c r="A24" s="4" t="s">
        <v>144</v>
      </c>
      <c r="B24" s="4" t="s">
        <v>994</v>
      </c>
      <c r="C24" s="4"/>
      <c r="D24" s="4"/>
      <c r="E24" s="5">
        <v>0</v>
      </c>
      <c r="F24" s="5">
        <f>IF($A24="","",SUMIF(Party_Ledger!$B:$B,$A24,Party_Ledger!$F:$F))</f>
        <v>805</v>
      </c>
      <c r="G24" s="5">
        <f>IF($A24="","",SUMIF(Party_Ledger!$B:$B,$A24,Party_Ledger!$G:$G))</f>
        <v>0</v>
      </c>
      <c r="H24" s="5">
        <f t="shared" si="0"/>
        <v>805</v>
      </c>
      <c r="I24" s="4" t="str">
        <f t="shared" si="1"/>
        <v>Outstanding</v>
      </c>
    </row>
    <row r="25" spans="1:9" x14ac:dyDescent="0.2">
      <c r="A25" s="4" t="s">
        <v>255</v>
      </c>
      <c r="B25" s="4" t="s">
        <v>994</v>
      </c>
      <c r="C25" s="4">
        <v>9708520795</v>
      </c>
      <c r="D25" s="4"/>
      <c r="E25" s="5">
        <v>0</v>
      </c>
      <c r="F25" s="5">
        <f>IF($A25="","",SUMIF(Party_Ledger!$B:$B,$A25,Party_Ledger!$F:$F))</f>
        <v>3400</v>
      </c>
      <c r="G25" s="5">
        <f>IF($A25="","",SUMIF(Party_Ledger!$B:$B,$A25,Party_Ledger!$G:$G))</f>
        <v>0</v>
      </c>
      <c r="H25" s="5">
        <f t="shared" si="0"/>
        <v>3400</v>
      </c>
      <c r="I25" s="4" t="str">
        <f t="shared" si="1"/>
        <v>Outstanding</v>
      </c>
    </row>
    <row r="26" spans="1:9" x14ac:dyDescent="0.2">
      <c r="A26" s="4" t="s">
        <v>214</v>
      </c>
      <c r="B26" s="4" t="s">
        <v>994</v>
      </c>
      <c r="C26" s="4"/>
      <c r="D26" s="4"/>
      <c r="E26" s="5">
        <v>0</v>
      </c>
      <c r="F26" s="5">
        <f>IF($A26="","",SUMIF(Party_Ledger!$B:$B,$A26,Party_Ledger!$F:$F))</f>
        <v>3160</v>
      </c>
      <c r="G26" s="5">
        <f>IF($A26="","",SUMIF(Party_Ledger!$B:$B,$A26,Party_Ledger!$G:$G))</f>
        <v>2960</v>
      </c>
      <c r="H26" s="5">
        <f t="shared" si="0"/>
        <v>200</v>
      </c>
      <c r="I26" s="4" t="str">
        <f t="shared" si="1"/>
        <v>Outstanding</v>
      </c>
    </row>
    <row r="27" spans="1:9" x14ac:dyDescent="0.2">
      <c r="A27" s="4" t="s">
        <v>92</v>
      </c>
      <c r="B27" s="4" t="s">
        <v>994</v>
      </c>
      <c r="C27" s="4">
        <v>9861742983</v>
      </c>
      <c r="D27" s="4"/>
      <c r="E27" s="5">
        <v>0</v>
      </c>
      <c r="F27" s="5">
        <f>IF($A27="","",SUMIF(Party_Ledger!$B:$B,$A27,Party_Ledger!$F:$F))</f>
        <v>80447.5</v>
      </c>
      <c r="G27" s="5">
        <f>IF($A27="","",SUMIF(Party_Ledger!$B:$B,$A27,Party_Ledger!$G:$G))</f>
        <v>82930</v>
      </c>
      <c r="H27" s="5">
        <f t="shared" si="0"/>
        <v>-2482.5</v>
      </c>
      <c r="I27" s="4" t="str">
        <f t="shared" si="1"/>
        <v>Advance</v>
      </c>
    </row>
    <row r="28" spans="1:9" x14ac:dyDescent="0.2">
      <c r="A28" s="4" t="s">
        <v>69</v>
      </c>
      <c r="B28" s="4" t="s">
        <v>994</v>
      </c>
      <c r="C28" s="4">
        <v>9867234006</v>
      </c>
      <c r="D28" s="4"/>
      <c r="E28" s="5">
        <v>0</v>
      </c>
      <c r="F28" s="5">
        <f>IF($A28="","",SUMIF(Party_Ledger!$B:$B,$A28,Party_Ledger!$F:$F))</f>
        <v>50575</v>
      </c>
      <c r="G28" s="5">
        <f>IF($A28="","",SUMIF(Party_Ledger!$B:$B,$A28,Party_Ledger!$G:$G))</f>
        <v>0</v>
      </c>
      <c r="H28" s="5">
        <f t="shared" si="0"/>
        <v>50575</v>
      </c>
      <c r="I28" s="4" t="str">
        <f t="shared" si="1"/>
        <v>Outstanding</v>
      </c>
    </row>
    <row r="29" spans="1:9" x14ac:dyDescent="0.2">
      <c r="A29" s="4" t="s">
        <v>350</v>
      </c>
      <c r="B29" s="4" t="s">
        <v>994</v>
      </c>
      <c r="C29" s="4"/>
      <c r="D29" s="4"/>
      <c r="E29" s="5">
        <v>0</v>
      </c>
      <c r="F29" s="5">
        <f>IF($A29="","",SUMIF(Party_Ledger!$B:$B,$A29,Party_Ledger!$F:$F))</f>
        <v>1680</v>
      </c>
      <c r="G29" s="5">
        <f>IF($A29="","",SUMIF(Party_Ledger!$B:$B,$A29,Party_Ledger!$G:$G))</f>
        <v>0</v>
      </c>
      <c r="H29" s="5">
        <f t="shared" si="0"/>
        <v>1680</v>
      </c>
      <c r="I29" s="4" t="str">
        <f t="shared" si="1"/>
        <v>Outstanding</v>
      </c>
    </row>
    <row r="30" spans="1:9" x14ac:dyDescent="0.2">
      <c r="A30" s="4" t="s">
        <v>998</v>
      </c>
      <c r="B30" s="4" t="s">
        <v>994</v>
      </c>
      <c r="C30" s="4"/>
      <c r="D30" s="4"/>
      <c r="E30" s="5">
        <v>0</v>
      </c>
      <c r="F30" s="5">
        <f>IF($A30="","",SUMIF(Party_Ledger!$B:$B,$A30,Party_Ledger!$F:$F))</f>
        <v>0</v>
      </c>
      <c r="G30" s="5">
        <f>IF($A30="","",SUMIF(Party_Ledger!$B:$B,$A30,Party_Ledger!$G:$G))</f>
        <v>0</v>
      </c>
      <c r="H30" s="5">
        <f t="shared" si="0"/>
        <v>0</v>
      </c>
      <c r="I30" s="4" t="str">
        <f t="shared" si="1"/>
        <v>Settled</v>
      </c>
    </row>
    <row r="31" spans="1:9" x14ac:dyDescent="0.2">
      <c r="A31" s="4" t="s">
        <v>94</v>
      </c>
      <c r="B31" s="4" t="s">
        <v>994</v>
      </c>
      <c r="C31" s="4" t="s">
        <v>999</v>
      </c>
      <c r="D31" s="4"/>
      <c r="E31" s="5">
        <v>0</v>
      </c>
      <c r="F31" s="5">
        <f>IF($A31="","",SUMIF(Party_Ledger!$B:$B,$A31,Party_Ledger!$F:$F))</f>
        <v>59058</v>
      </c>
      <c r="G31" s="5">
        <f>IF($A31="","",SUMIF(Party_Ledger!$B:$B,$A31,Party_Ledger!$G:$G))</f>
        <v>50000</v>
      </c>
      <c r="H31" s="5">
        <f t="shared" si="0"/>
        <v>9058</v>
      </c>
      <c r="I31" s="4" t="str">
        <f t="shared" si="1"/>
        <v>Outstanding</v>
      </c>
    </row>
    <row r="32" spans="1:9" x14ac:dyDescent="0.2">
      <c r="A32" s="4" t="s">
        <v>903</v>
      </c>
      <c r="B32" s="4" t="s">
        <v>994</v>
      </c>
      <c r="C32" s="4">
        <v>9847143117</v>
      </c>
      <c r="D32" s="4"/>
      <c r="E32" s="5">
        <v>0</v>
      </c>
      <c r="F32" s="5">
        <f>IF($A32="","",SUMIF(Party_Ledger!$B:$B,$A32,Party_Ledger!$F:$F))</f>
        <v>0</v>
      </c>
      <c r="G32" s="5">
        <f>IF($A32="","",SUMIF(Party_Ledger!$B:$B,$A32,Party_Ledger!$G:$G))</f>
        <v>73100</v>
      </c>
      <c r="H32" s="5">
        <f t="shared" si="0"/>
        <v>-73100</v>
      </c>
      <c r="I32" s="4" t="str">
        <f t="shared" si="1"/>
        <v>Advance</v>
      </c>
    </row>
    <row r="33" spans="1:9" x14ac:dyDescent="0.2">
      <c r="A33" s="4" t="s">
        <v>62</v>
      </c>
      <c r="B33" s="4" t="s">
        <v>994</v>
      </c>
      <c r="C33" s="4">
        <v>9765317368</v>
      </c>
      <c r="D33" s="4"/>
      <c r="E33" s="5">
        <v>0</v>
      </c>
      <c r="F33" s="5">
        <f>IF($A33="","",SUMIF(Party_Ledger!$B:$B,$A33,Party_Ledger!$F:$F))</f>
        <v>120705</v>
      </c>
      <c r="G33" s="5">
        <f>IF($A33="","",SUMIF(Party_Ledger!$B:$B,$A33,Party_Ledger!$G:$G))</f>
        <v>0</v>
      </c>
      <c r="H33" s="5">
        <f t="shared" si="0"/>
        <v>120705</v>
      </c>
      <c r="I33" s="4" t="str">
        <f t="shared" si="1"/>
        <v>Outstanding</v>
      </c>
    </row>
    <row r="34" spans="1:9" x14ac:dyDescent="0.2">
      <c r="A34" s="4" t="s">
        <v>209</v>
      </c>
      <c r="B34" s="4" t="s">
        <v>994</v>
      </c>
      <c r="C34" s="4">
        <v>9742975039</v>
      </c>
      <c r="D34" s="4"/>
      <c r="E34" s="5">
        <v>0</v>
      </c>
      <c r="F34" s="5">
        <f>IF($A34="","",SUMIF(Party_Ledger!$B:$B,$A34,Party_Ledger!$F:$F))</f>
        <v>11000</v>
      </c>
      <c r="G34" s="5">
        <f>IF($A34="","",SUMIF(Party_Ledger!$B:$B,$A34,Party_Ledger!$G:$G))</f>
        <v>16500</v>
      </c>
      <c r="H34" s="5">
        <f t="shared" si="0"/>
        <v>-5500</v>
      </c>
      <c r="I34" s="4" t="str">
        <f t="shared" si="1"/>
        <v>Advance</v>
      </c>
    </row>
    <row r="35" spans="1:9" x14ac:dyDescent="0.2">
      <c r="A35" s="4" t="s">
        <v>273</v>
      </c>
      <c r="B35" s="4" t="s">
        <v>994</v>
      </c>
      <c r="C35" s="4">
        <v>9748703475</v>
      </c>
      <c r="D35" s="4"/>
      <c r="E35" s="5">
        <v>0</v>
      </c>
      <c r="F35" s="5">
        <f>IF($A35="","",SUMIF(Party_Ledger!$B:$B,$A35,Party_Ledger!$F:$F))</f>
        <v>13200</v>
      </c>
      <c r="G35" s="5">
        <f>IF($A35="","",SUMIF(Party_Ledger!$B:$B,$A35,Party_Ledger!$G:$G))</f>
        <v>0</v>
      </c>
      <c r="H35" s="5">
        <f t="shared" si="0"/>
        <v>13200</v>
      </c>
      <c r="I35" s="4" t="str">
        <f t="shared" si="1"/>
        <v>Outstanding</v>
      </c>
    </row>
    <row r="36" spans="1:9" x14ac:dyDescent="0.2">
      <c r="A36" s="4" t="s">
        <v>907</v>
      </c>
      <c r="B36" s="4" t="s">
        <v>994</v>
      </c>
      <c r="C36" s="4"/>
      <c r="D36" s="4"/>
      <c r="E36" s="5">
        <v>0</v>
      </c>
      <c r="F36" s="5">
        <f>IF($A36="","",SUMIF(Party_Ledger!$B:$B,$A36,Party_Ledger!$F:$F))</f>
        <v>0</v>
      </c>
      <c r="G36" s="5">
        <f>IF($A36="","",SUMIF(Party_Ledger!$B:$B,$A36,Party_Ledger!$G:$G))</f>
        <v>29580</v>
      </c>
      <c r="H36" s="5">
        <f t="shared" si="0"/>
        <v>-29580</v>
      </c>
      <c r="I36" s="4" t="str">
        <f t="shared" si="1"/>
        <v>Advance</v>
      </c>
    </row>
    <row r="37" spans="1:9" x14ac:dyDescent="0.2">
      <c r="A37" s="4" t="s">
        <v>767</v>
      </c>
      <c r="B37" s="4" t="s">
        <v>1000</v>
      </c>
      <c r="C37" s="4"/>
      <c r="D37" s="4"/>
      <c r="E37" s="5">
        <v>0</v>
      </c>
      <c r="F37" s="5">
        <f>IF($A37="","",SUMIF(Party_Ledger!$B:$B,$A37,Party_Ledger!$F:$F))</f>
        <v>0</v>
      </c>
      <c r="G37" s="5">
        <f>IF($A37="","",SUMIF(Party_Ledger!$B:$B,$A37,Party_Ledger!$G:$G))</f>
        <v>202740</v>
      </c>
      <c r="H37" s="5">
        <f t="shared" si="0"/>
        <v>-202740</v>
      </c>
      <c r="I37" s="4" t="str">
        <f t="shared" si="1"/>
        <v>Advance</v>
      </c>
    </row>
    <row r="38" spans="1:9" x14ac:dyDescent="0.2">
      <c r="A38" s="4" t="s">
        <v>841</v>
      </c>
      <c r="B38" s="4" t="s">
        <v>1000</v>
      </c>
      <c r="C38" s="4"/>
      <c r="D38" s="4"/>
      <c r="E38" s="5">
        <v>0</v>
      </c>
      <c r="F38" s="5">
        <f>IF($A38="","",SUMIF(Party_Ledger!$B:$B,$A38,Party_Ledger!$F:$F))</f>
        <v>0</v>
      </c>
      <c r="G38" s="5">
        <f>IF($A38="","",SUMIF(Party_Ledger!$B:$B,$A38,Party_Ledger!$G:$G))</f>
        <v>43500</v>
      </c>
      <c r="H38" s="5">
        <f t="shared" si="0"/>
        <v>-43500</v>
      </c>
      <c r="I38" s="4" t="str">
        <f t="shared" si="1"/>
        <v>Advance</v>
      </c>
    </row>
    <row r="39" spans="1:9" x14ac:dyDescent="0.2">
      <c r="A39" s="4" t="s">
        <v>765</v>
      </c>
      <c r="B39" s="4" t="s">
        <v>1000</v>
      </c>
      <c r="C39" s="4"/>
      <c r="D39" s="4"/>
      <c r="E39" s="5">
        <v>0</v>
      </c>
      <c r="F39" s="5">
        <f>IF($A39="","",SUMIF(Party_Ledger!$B:$B,$A39,Party_Ledger!$F:$F))</f>
        <v>0</v>
      </c>
      <c r="G39" s="5">
        <f>IF($A39="","",SUMIF(Party_Ledger!$B:$B,$A39,Party_Ledger!$G:$G))</f>
        <v>7103.691600000001</v>
      </c>
      <c r="H39" s="5">
        <f t="shared" si="0"/>
        <v>-7103.691600000001</v>
      </c>
      <c r="I39" s="4" t="str">
        <f t="shared" si="1"/>
        <v>Advance</v>
      </c>
    </row>
    <row r="40" spans="1:9" x14ac:dyDescent="0.2">
      <c r="A40" s="4" t="s">
        <v>1001</v>
      </c>
      <c r="B40" s="4" t="s">
        <v>1000</v>
      </c>
      <c r="C40" s="4">
        <v>9847035629</v>
      </c>
      <c r="D40" s="4"/>
      <c r="E40" s="5">
        <v>0</v>
      </c>
      <c r="F40" s="5">
        <f>IF($A40="","",SUMIF(Party_Ledger!$B:$B,$A40,Party_Ledger!$F:$F))</f>
        <v>0</v>
      </c>
      <c r="G40" s="5">
        <f>IF($A40="","",SUMIF(Party_Ledger!$B:$B,$A40,Party_Ledger!$G:$G))</f>
        <v>0</v>
      </c>
      <c r="H40" s="5">
        <f t="shared" si="0"/>
        <v>0</v>
      </c>
      <c r="I40" s="4" t="str">
        <f t="shared" si="1"/>
        <v>Settled</v>
      </c>
    </row>
    <row r="41" spans="1:9" x14ac:dyDescent="0.2">
      <c r="A41" s="4" t="s">
        <v>628</v>
      </c>
      <c r="B41" s="4" t="s">
        <v>1000</v>
      </c>
      <c r="C41" s="4">
        <v>9861840104</v>
      </c>
      <c r="D41" s="4"/>
      <c r="E41" s="5">
        <v>0</v>
      </c>
      <c r="F41" s="5">
        <f>IF($A41="","",SUMIF(Party_Ledger!$B:$B,$A41,Party_Ledger!$F:$F))</f>
        <v>0</v>
      </c>
      <c r="G41" s="5">
        <f>IF($A41="","",SUMIF(Party_Ledger!$B:$B,$A41,Party_Ledger!$G:$G))</f>
        <v>35924.052500000005</v>
      </c>
      <c r="H41" s="5">
        <f t="shared" si="0"/>
        <v>-35924.052500000005</v>
      </c>
      <c r="I41" s="4" t="str">
        <f t="shared" si="1"/>
        <v>Advance</v>
      </c>
    </row>
    <row r="42" spans="1:9" x14ac:dyDescent="0.2">
      <c r="A42" s="4" t="s">
        <v>763</v>
      </c>
      <c r="B42" s="4" t="s">
        <v>1000</v>
      </c>
      <c r="C42" s="4"/>
      <c r="D42" s="4"/>
      <c r="E42" s="5">
        <v>0</v>
      </c>
      <c r="F42" s="5">
        <f>IF($A42="","",SUMIF(Party_Ledger!$B:$B,$A42,Party_Ledger!$F:$F))</f>
        <v>0</v>
      </c>
      <c r="G42" s="5">
        <f>IF($A42="","",SUMIF(Party_Ledger!$B:$B,$A42,Party_Ledger!$G:$G))</f>
        <v>10080.482800000002</v>
      </c>
      <c r="H42" s="5">
        <f t="shared" si="0"/>
        <v>-10080.482800000002</v>
      </c>
      <c r="I42" s="4" t="str">
        <f t="shared" si="1"/>
        <v>Advance</v>
      </c>
    </row>
    <row r="43" spans="1:9" x14ac:dyDescent="0.2">
      <c r="A43" s="4" t="s">
        <v>769</v>
      </c>
      <c r="B43" s="4" t="s">
        <v>1000</v>
      </c>
      <c r="C43" s="4">
        <v>9867363826</v>
      </c>
      <c r="D43" s="4"/>
      <c r="E43" s="5">
        <v>0</v>
      </c>
      <c r="F43" s="5">
        <f>IF($A43="","",SUMIF(Party_Ledger!$B:$B,$A43,Party_Ledger!$F:$F))</f>
        <v>0</v>
      </c>
      <c r="G43" s="5">
        <f>IF($A43="","",SUMIF(Party_Ledger!$B:$B,$A43,Party_Ledger!$G:$G))</f>
        <v>151200</v>
      </c>
      <c r="H43" s="5">
        <f t="shared" si="0"/>
        <v>-151200</v>
      </c>
      <c r="I43" s="4" t="str">
        <f t="shared" si="1"/>
        <v>Advance</v>
      </c>
    </row>
    <row r="44" spans="1:9" x14ac:dyDescent="0.2">
      <c r="A44" s="4" t="s">
        <v>750</v>
      </c>
      <c r="B44" s="4" t="s">
        <v>1000</v>
      </c>
      <c r="C44" s="4"/>
      <c r="D44" s="4"/>
      <c r="E44" s="5">
        <v>0</v>
      </c>
      <c r="F44" s="5">
        <f>IF($A44="","",SUMIF(Party_Ledger!$B:$B,$A44,Party_Ledger!$F:$F))</f>
        <v>0</v>
      </c>
      <c r="G44" s="5">
        <f>IF($A44="","",SUMIF(Party_Ledger!$B:$B,$A44,Party_Ledger!$G:$G))</f>
        <v>106685</v>
      </c>
      <c r="H44" s="5">
        <f t="shared" si="0"/>
        <v>-106685</v>
      </c>
      <c r="I44" s="4" t="str">
        <f t="shared" si="1"/>
        <v>Advance</v>
      </c>
    </row>
    <row r="45" spans="1:9" x14ac:dyDescent="0.2">
      <c r="A45" s="4" t="s">
        <v>1002</v>
      </c>
      <c r="B45" s="4" t="s">
        <v>1000</v>
      </c>
      <c r="C45" s="4">
        <v>9857089624</v>
      </c>
      <c r="D45" s="4"/>
      <c r="E45" s="5">
        <v>0</v>
      </c>
      <c r="F45" s="5">
        <f>IF($A45="","",SUMIF(Party_Ledger!$B:$B,$A45,Party_Ledger!$F:$F))</f>
        <v>0</v>
      </c>
      <c r="G45" s="5">
        <f>IF($A45="","",SUMIF(Party_Ledger!$B:$B,$A45,Party_Ledger!$G:$G))</f>
        <v>0</v>
      </c>
      <c r="H45" s="5">
        <f t="shared" si="0"/>
        <v>0</v>
      </c>
      <c r="I45" s="4" t="str">
        <f t="shared" si="1"/>
        <v>Settled</v>
      </c>
    </row>
    <row r="46" spans="1:9" x14ac:dyDescent="0.2">
      <c r="A46" s="4"/>
      <c r="B46" s="4"/>
      <c r="C46" s="4"/>
      <c r="D46" s="4"/>
      <c r="E46" s="5"/>
      <c r="F46" s="5" t="str">
        <f>IF($A46="","",SUMIF(Party_Ledger!$B:$B,$A46,Party_Ledger!$F:$F))</f>
        <v/>
      </c>
      <c r="G46" s="5" t="str">
        <f>IF($A46="","",SUMIF(Party_Ledger!$B:$B,$A46,Party_Ledger!$G:$G))</f>
        <v/>
      </c>
      <c r="H46" s="5" t="str">
        <f t="shared" si="0"/>
        <v/>
      </c>
      <c r="I46" s="4" t="str">
        <f t="shared" si="1"/>
        <v/>
      </c>
    </row>
    <row r="47" spans="1:9" x14ac:dyDescent="0.2">
      <c r="A47" s="4"/>
      <c r="B47" s="4"/>
      <c r="C47" s="4"/>
      <c r="D47" s="4"/>
      <c r="E47" s="5"/>
      <c r="F47" s="5" t="str">
        <f>IF($A47="","",SUMIF(Party_Ledger!$B:$B,$A47,Party_Ledger!$F:$F))</f>
        <v/>
      </c>
      <c r="G47" s="5" t="str">
        <f>IF($A47="","",SUMIF(Party_Ledger!$B:$B,$A47,Party_Ledger!$G:$G))</f>
        <v/>
      </c>
      <c r="H47" s="5" t="str">
        <f t="shared" si="0"/>
        <v/>
      </c>
      <c r="I47" s="4" t="str">
        <f t="shared" si="1"/>
        <v/>
      </c>
    </row>
    <row r="48" spans="1:9" x14ac:dyDescent="0.2">
      <c r="A48" s="4"/>
      <c r="B48" s="4"/>
      <c r="C48" s="4"/>
      <c r="D48" s="4"/>
      <c r="E48" s="5"/>
      <c r="F48" s="5" t="str">
        <f>IF($A48="","",SUMIF(Party_Ledger!$B:$B,$A48,Party_Ledger!$F:$F))</f>
        <v/>
      </c>
      <c r="G48" s="5" t="str">
        <f>IF($A48="","",SUMIF(Party_Ledger!$B:$B,$A48,Party_Ledger!$G:$G))</f>
        <v/>
      </c>
      <c r="H48" s="5" t="str">
        <f t="shared" si="0"/>
        <v/>
      </c>
      <c r="I48" s="4" t="str">
        <f t="shared" si="1"/>
        <v/>
      </c>
    </row>
    <row r="49" spans="1:9" x14ac:dyDescent="0.2">
      <c r="A49" s="4"/>
      <c r="B49" s="4"/>
      <c r="C49" s="4"/>
      <c r="D49" s="4"/>
      <c r="E49" s="5"/>
      <c r="F49" s="5" t="str">
        <f>IF($A49="","",SUMIF(Party_Ledger!$B:$B,$A49,Party_Ledger!$F:$F))</f>
        <v/>
      </c>
      <c r="G49" s="5" t="str">
        <f>IF($A49="","",SUMIF(Party_Ledger!$B:$B,$A49,Party_Ledger!$G:$G))</f>
        <v/>
      </c>
      <c r="H49" s="5" t="str">
        <f t="shared" si="0"/>
        <v/>
      </c>
      <c r="I49" s="4" t="str">
        <f t="shared" si="1"/>
        <v/>
      </c>
    </row>
    <row r="50" spans="1:9" x14ac:dyDescent="0.2">
      <c r="A50" s="4"/>
      <c r="B50" s="4"/>
      <c r="C50" s="4"/>
      <c r="D50" s="4"/>
      <c r="E50" s="5"/>
      <c r="F50" s="5" t="str">
        <f>IF($A50="","",SUMIF(Party_Ledger!$B:$B,$A50,Party_Ledger!$F:$F))</f>
        <v/>
      </c>
      <c r="G50" s="5" t="str">
        <f>IF($A50="","",SUMIF(Party_Ledger!$B:$B,$A50,Party_Ledger!$G:$G))</f>
        <v/>
      </c>
      <c r="H50" s="5" t="str">
        <f t="shared" si="0"/>
        <v/>
      </c>
      <c r="I50" s="4" t="str">
        <f t="shared" si="1"/>
        <v/>
      </c>
    </row>
    <row r="51" spans="1:9" x14ac:dyDescent="0.2">
      <c r="A51" s="4"/>
      <c r="B51" s="4"/>
      <c r="C51" s="4"/>
      <c r="D51" s="4"/>
      <c r="E51" s="5"/>
      <c r="F51" s="5" t="str">
        <f>IF($A51="","",SUMIF(Party_Ledger!$B:$B,$A51,Party_Ledger!$F:$F))</f>
        <v/>
      </c>
      <c r="G51" s="5" t="str">
        <f>IF($A51="","",SUMIF(Party_Ledger!$B:$B,$A51,Party_Ledger!$G:$G))</f>
        <v/>
      </c>
      <c r="H51" s="5" t="str">
        <f t="shared" si="0"/>
        <v/>
      </c>
      <c r="I51" s="4" t="str">
        <f t="shared" si="1"/>
        <v/>
      </c>
    </row>
    <row r="52" spans="1:9" x14ac:dyDescent="0.2">
      <c r="A52" s="4"/>
      <c r="B52" s="4"/>
      <c r="C52" s="4"/>
      <c r="D52" s="4"/>
      <c r="E52" s="5"/>
      <c r="F52" s="5" t="str">
        <f>IF($A52="","",SUMIF(Party_Ledger!$B:$B,$A52,Party_Ledger!$F:$F))</f>
        <v/>
      </c>
      <c r="G52" s="5" t="str">
        <f>IF($A52="","",SUMIF(Party_Ledger!$B:$B,$A52,Party_Ledger!$G:$G))</f>
        <v/>
      </c>
      <c r="H52" s="5" t="str">
        <f t="shared" si="0"/>
        <v/>
      </c>
      <c r="I52" s="4" t="str">
        <f t="shared" si="1"/>
        <v/>
      </c>
    </row>
    <row r="53" spans="1:9" x14ac:dyDescent="0.2">
      <c r="A53" s="4"/>
      <c r="B53" s="4"/>
      <c r="C53" s="4"/>
      <c r="D53" s="4"/>
      <c r="E53" s="5"/>
      <c r="F53" s="5" t="str">
        <f>IF($A53="","",SUMIF(Party_Ledger!$B:$B,$A53,Party_Ledger!$F:$F))</f>
        <v/>
      </c>
      <c r="G53" s="5" t="str">
        <f>IF($A53="","",SUMIF(Party_Ledger!$B:$B,$A53,Party_Ledger!$G:$G))</f>
        <v/>
      </c>
      <c r="H53" s="5" t="str">
        <f t="shared" si="0"/>
        <v/>
      </c>
      <c r="I53" s="4" t="str">
        <f t="shared" si="1"/>
        <v/>
      </c>
    </row>
    <row r="54" spans="1:9" x14ac:dyDescent="0.2">
      <c r="A54" s="4"/>
      <c r="B54" s="4"/>
      <c r="C54" s="4"/>
      <c r="D54" s="4"/>
      <c r="E54" s="5"/>
      <c r="F54" s="5" t="str">
        <f>IF($A54="","",SUMIF(Party_Ledger!$B:$B,$A54,Party_Ledger!$F:$F))</f>
        <v/>
      </c>
      <c r="G54" s="5" t="str">
        <f>IF($A54="","",SUMIF(Party_Ledger!$B:$B,$A54,Party_Ledger!$G:$G))</f>
        <v/>
      </c>
      <c r="H54" s="5" t="str">
        <f t="shared" si="0"/>
        <v/>
      </c>
      <c r="I54" s="4" t="str">
        <f t="shared" si="1"/>
        <v/>
      </c>
    </row>
    <row r="55" spans="1:9" x14ac:dyDescent="0.2">
      <c r="A55" s="4"/>
      <c r="B55" s="4"/>
      <c r="C55" s="4"/>
      <c r="D55" s="4"/>
      <c r="E55" s="5"/>
      <c r="F55" s="5" t="str">
        <f>IF($A55="","",SUMIF(Party_Ledger!$B:$B,$A55,Party_Ledger!$F:$F))</f>
        <v/>
      </c>
      <c r="G55" s="5" t="str">
        <f>IF($A55="","",SUMIF(Party_Ledger!$B:$B,$A55,Party_Ledger!$G:$G))</f>
        <v/>
      </c>
      <c r="H55" s="5" t="str">
        <f t="shared" si="0"/>
        <v/>
      </c>
      <c r="I55" s="4" t="str">
        <f t="shared" si="1"/>
        <v/>
      </c>
    </row>
    <row r="56" spans="1:9" x14ac:dyDescent="0.2">
      <c r="A56" s="4"/>
      <c r="B56" s="4"/>
      <c r="C56" s="4"/>
      <c r="D56" s="4"/>
      <c r="E56" s="5"/>
      <c r="F56" s="5" t="str">
        <f>IF($A56="","",SUMIF(Party_Ledger!$B:$B,$A56,Party_Ledger!$F:$F))</f>
        <v/>
      </c>
      <c r="G56" s="5" t="str">
        <f>IF($A56="","",SUMIF(Party_Ledger!$B:$B,$A56,Party_Ledger!$G:$G))</f>
        <v/>
      </c>
      <c r="H56" s="5" t="str">
        <f t="shared" si="0"/>
        <v/>
      </c>
      <c r="I56" s="4" t="str">
        <f t="shared" si="1"/>
        <v/>
      </c>
    </row>
    <row r="57" spans="1:9" x14ac:dyDescent="0.2">
      <c r="A57" s="4"/>
      <c r="B57" s="4"/>
      <c r="C57" s="4"/>
      <c r="D57" s="4"/>
      <c r="E57" s="5"/>
      <c r="F57" s="5" t="str">
        <f>IF($A57="","",SUMIF(Party_Ledger!$B:$B,$A57,Party_Ledger!$F:$F))</f>
        <v/>
      </c>
      <c r="G57" s="5" t="str">
        <f>IF($A57="","",SUMIF(Party_Ledger!$B:$B,$A57,Party_Ledger!$G:$G))</f>
        <v/>
      </c>
      <c r="H57" s="5" t="str">
        <f t="shared" si="0"/>
        <v/>
      </c>
      <c r="I57" s="4" t="str">
        <f t="shared" si="1"/>
        <v/>
      </c>
    </row>
    <row r="58" spans="1:9" x14ac:dyDescent="0.2">
      <c r="A58" s="4"/>
      <c r="B58" s="4"/>
      <c r="C58" s="4"/>
      <c r="D58" s="4"/>
      <c r="E58" s="5"/>
      <c r="F58" s="5" t="str">
        <f>IF($A58="","",SUMIF(Party_Ledger!$B:$B,$A58,Party_Ledger!$F:$F))</f>
        <v/>
      </c>
      <c r="G58" s="5" t="str">
        <f>IF($A58="","",SUMIF(Party_Ledger!$B:$B,$A58,Party_Ledger!$G:$G))</f>
        <v/>
      </c>
      <c r="H58" s="5" t="str">
        <f t="shared" si="0"/>
        <v/>
      </c>
      <c r="I58" s="4" t="str">
        <f t="shared" si="1"/>
        <v/>
      </c>
    </row>
    <row r="59" spans="1:9" x14ac:dyDescent="0.2">
      <c r="A59" s="4"/>
      <c r="B59" s="4"/>
      <c r="C59" s="4"/>
      <c r="D59" s="4"/>
      <c r="E59" s="5"/>
      <c r="F59" s="5" t="str">
        <f>IF($A59="","",SUMIF(Party_Ledger!$B:$B,$A59,Party_Ledger!$F:$F))</f>
        <v/>
      </c>
      <c r="G59" s="5" t="str">
        <f>IF($A59="","",SUMIF(Party_Ledger!$B:$B,$A59,Party_Ledger!$G:$G))</f>
        <v/>
      </c>
      <c r="H59" s="5" t="str">
        <f t="shared" si="0"/>
        <v/>
      </c>
      <c r="I59" s="4" t="str">
        <f t="shared" si="1"/>
        <v/>
      </c>
    </row>
    <row r="60" spans="1:9" x14ac:dyDescent="0.2">
      <c r="A60" s="4"/>
      <c r="B60" s="4"/>
      <c r="C60" s="4"/>
      <c r="D60" s="4"/>
      <c r="E60" s="5"/>
      <c r="F60" s="5" t="str">
        <f>IF($A60="","",SUMIF(Party_Ledger!$B:$B,$A60,Party_Ledger!$F:$F))</f>
        <v/>
      </c>
      <c r="G60" s="5" t="str">
        <f>IF($A60="","",SUMIF(Party_Ledger!$B:$B,$A60,Party_Ledger!$G:$G))</f>
        <v/>
      </c>
      <c r="H60" s="5" t="str">
        <f t="shared" si="0"/>
        <v/>
      </c>
      <c r="I60" s="4" t="str">
        <f t="shared" si="1"/>
        <v/>
      </c>
    </row>
    <row r="61" spans="1:9" x14ac:dyDescent="0.2">
      <c r="A61" s="4"/>
      <c r="B61" s="4"/>
      <c r="C61" s="4"/>
      <c r="D61" s="4"/>
      <c r="E61" s="5"/>
      <c r="F61" s="5" t="str">
        <f>IF($A61="","",SUMIF(Party_Ledger!$B:$B,$A61,Party_Ledger!$F:$F))</f>
        <v/>
      </c>
      <c r="G61" s="5" t="str">
        <f>IF($A61="","",SUMIF(Party_Ledger!$B:$B,$A61,Party_Ledger!$G:$G))</f>
        <v/>
      </c>
      <c r="H61" s="5" t="str">
        <f t="shared" si="0"/>
        <v/>
      </c>
      <c r="I61" s="4" t="str">
        <f t="shared" si="1"/>
        <v/>
      </c>
    </row>
    <row r="62" spans="1:9" x14ac:dyDescent="0.2">
      <c r="A62" s="4"/>
      <c r="B62" s="4"/>
      <c r="C62" s="4"/>
      <c r="D62" s="4"/>
      <c r="E62" s="5"/>
      <c r="F62" s="5" t="str">
        <f>IF($A62="","",SUMIF(Party_Ledger!$B:$B,$A62,Party_Ledger!$F:$F))</f>
        <v/>
      </c>
      <c r="G62" s="5" t="str">
        <f>IF($A62="","",SUMIF(Party_Ledger!$B:$B,$A62,Party_Ledger!$G:$G))</f>
        <v/>
      </c>
      <c r="H62" s="5" t="str">
        <f t="shared" si="0"/>
        <v/>
      </c>
      <c r="I62" s="4" t="str">
        <f t="shared" si="1"/>
        <v/>
      </c>
    </row>
    <row r="63" spans="1:9" x14ac:dyDescent="0.2">
      <c r="A63" s="4"/>
      <c r="B63" s="4"/>
      <c r="C63" s="4"/>
      <c r="D63" s="4"/>
      <c r="E63" s="5"/>
      <c r="F63" s="5" t="str">
        <f>IF($A63="","",SUMIF(Party_Ledger!$B:$B,$A63,Party_Ledger!$F:$F))</f>
        <v/>
      </c>
      <c r="G63" s="5" t="str">
        <f>IF($A63="","",SUMIF(Party_Ledger!$B:$B,$A63,Party_Ledger!$G:$G))</f>
        <v/>
      </c>
      <c r="H63" s="5" t="str">
        <f t="shared" si="0"/>
        <v/>
      </c>
      <c r="I63" s="4" t="str">
        <f t="shared" si="1"/>
        <v/>
      </c>
    </row>
    <row r="64" spans="1:9" x14ac:dyDescent="0.2">
      <c r="A64" s="4"/>
      <c r="B64" s="4"/>
      <c r="C64" s="4"/>
      <c r="D64" s="4"/>
      <c r="E64" s="5"/>
      <c r="F64" s="5" t="str">
        <f>IF($A64="","",SUMIF(Party_Ledger!$B:$B,$A64,Party_Ledger!$F:$F))</f>
        <v/>
      </c>
      <c r="G64" s="5" t="str">
        <f>IF($A64="","",SUMIF(Party_Ledger!$B:$B,$A64,Party_Ledger!$G:$G))</f>
        <v/>
      </c>
      <c r="H64" s="5" t="str">
        <f t="shared" si="0"/>
        <v/>
      </c>
      <c r="I64" s="4" t="str">
        <f t="shared" si="1"/>
        <v/>
      </c>
    </row>
    <row r="65" spans="1:9" x14ac:dyDescent="0.2">
      <c r="A65" s="4"/>
      <c r="B65" s="4"/>
      <c r="C65" s="4"/>
      <c r="D65" s="4"/>
      <c r="E65" s="5"/>
      <c r="F65" s="5" t="str">
        <f>IF($A65="","",SUMIF(Party_Ledger!$B:$B,$A65,Party_Ledger!$F:$F))</f>
        <v/>
      </c>
      <c r="G65" s="5" t="str">
        <f>IF($A65="","",SUMIF(Party_Ledger!$B:$B,$A65,Party_Ledger!$G:$G))</f>
        <v/>
      </c>
      <c r="H65" s="5" t="str">
        <f t="shared" si="0"/>
        <v/>
      </c>
      <c r="I65" s="4" t="str">
        <f t="shared" si="1"/>
        <v/>
      </c>
    </row>
    <row r="66" spans="1:9" x14ac:dyDescent="0.2">
      <c r="A66" s="4"/>
      <c r="B66" s="4"/>
      <c r="C66" s="4"/>
      <c r="D66" s="4"/>
      <c r="E66" s="5"/>
      <c r="F66" s="5" t="str">
        <f>IF($A66="","",SUMIF(Party_Ledger!$B:$B,$A66,Party_Ledger!$F:$F))</f>
        <v/>
      </c>
      <c r="G66" s="5" t="str">
        <f>IF($A66="","",SUMIF(Party_Ledger!$B:$B,$A66,Party_Ledger!$G:$G))</f>
        <v/>
      </c>
      <c r="H66" s="5" t="str">
        <f t="shared" si="0"/>
        <v/>
      </c>
      <c r="I66" s="4" t="str">
        <f t="shared" si="1"/>
        <v/>
      </c>
    </row>
    <row r="67" spans="1:9" x14ac:dyDescent="0.2">
      <c r="A67" s="4"/>
      <c r="B67" s="4"/>
      <c r="C67" s="4"/>
      <c r="D67" s="4"/>
      <c r="E67" s="5"/>
      <c r="F67" s="5" t="str">
        <f>IF($A67="","",SUMIF(Party_Ledger!$B:$B,$A67,Party_Ledger!$F:$F))</f>
        <v/>
      </c>
      <c r="G67" s="5" t="str">
        <f>IF($A67="","",SUMIF(Party_Ledger!$B:$B,$A67,Party_Ledger!$G:$G))</f>
        <v/>
      </c>
      <c r="H67" s="5" t="str">
        <f t="shared" ref="H67:H130" si="2">IF($A67="","",$E67+$F67-$G67)</f>
        <v/>
      </c>
      <c r="I67" s="4" t="str">
        <f t="shared" ref="I67:I130" si="3">IF($A67="","",IF(ROUND($H67,0)=0,"Settled",IF($H67&gt;0,"Outstanding","Advance")))</f>
        <v/>
      </c>
    </row>
    <row r="68" spans="1:9" x14ac:dyDescent="0.2">
      <c r="A68" s="4"/>
      <c r="B68" s="4"/>
      <c r="C68" s="4"/>
      <c r="D68" s="4"/>
      <c r="E68" s="5"/>
      <c r="F68" s="5" t="str">
        <f>IF($A68="","",SUMIF(Party_Ledger!$B:$B,$A68,Party_Ledger!$F:$F))</f>
        <v/>
      </c>
      <c r="G68" s="5" t="str">
        <f>IF($A68="","",SUMIF(Party_Ledger!$B:$B,$A68,Party_Ledger!$G:$G))</f>
        <v/>
      </c>
      <c r="H68" s="5" t="str">
        <f t="shared" si="2"/>
        <v/>
      </c>
      <c r="I68" s="4" t="str">
        <f t="shared" si="3"/>
        <v/>
      </c>
    </row>
    <row r="69" spans="1:9" x14ac:dyDescent="0.2">
      <c r="A69" s="4"/>
      <c r="B69" s="4"/>
      <c r="C69" s="4"/>
      <c r="D69" s="4"/>
      <c r="E69" s="5"/>
      <c r="F69" s="5" t="str">
        <f>IF($A69="","",SUMIF(Party_Ledger!$B:$B,$A69,Party_Ledger!$F:$F))</f>
        <v/>
      </c>
      <c r="G69" s="5" t="str">
        <f>IF($A69="","",SUMIF(Party_Ledger!$B:$B,$A69,Party_Ledger!$G:$G))</f>
        <v/>
      </c>
      <c r="H69" s="5" t="str">
        <f t="shared" si="2"/>
        <v/>
      </c>
      <c r="I69" s="4" t="str">
        <f t="shared" si="3"/>
        <v/>
      </c>
    </row>
    <row r="70" spans="1:9" x14ac:dyDescent="0.2">
      <c r="A70" s="4"/>
      <c r="B70" s="4"/>
      <c r="C70" s="4"/>
      <c r="D70" s="4"/>
      <c r="E70" s="5"/>
      <c r="F70" s="5" t="str">
        <f>IF($A70="","",SUMIF(Party_Ledger!$B:$B,$A70,Party_Ledger!$F:$F))</f>
        <v/>
      </c>
      <c r="G70" s="5" t="str">
        <f>IF($A70="","",SUMIF(Party_Ledger!$B:$B,$A70,Party_Ledger!$G:$G))</f>
        <v/>
      </c>
      <c r="H70" s="5" t="str">
        <f t="shared" si="2"/>
        <v/>
      </c>
      <c r="I70" s="4" t="str">
        <f t="shared" si="3"/>
        <v/>
      </c>
    </row>
    <row r="71" spans="1:9" x14ac:dyDescent="0.2">
      <c r="A71" s="4"/>
      <c r="B71" s="4"/>
      <c r="C71" s="4"/>
      <c r="D71" s="4"/>
      <c r="E71" s="5"/>
      <c r="F71" s="5" t="str">
        <f>IF($A71="","",SUMIF(Party_Ledger!$B:$B,$A71,Party_Ledger!$F:$F))</f>
        <v/>
      </c>
      <c r="G71" s="5" t="str">
        <f>IF($A71="","",SUMIF(Party_Ledger!$B:$B,$A71,Party_Ledger!$G:$G))</f>
        <v/>
      </c>
      <c r="H71" s="5" t="str">
        <f t="shared" si="2"/>
        <v/>
      </c>
      <c r="I71" s="4" t="str">
        <f t="shared" si="3"/>
        <v/>
      </c>
    </row>
    <row r="72" spans="1:9" x14ac:dyDescent="0.2">
      <c r="A72" s="4"/>
      <c r="B72" s="4"/>
      <c r="C72" s="4"/>
      <c r="D72" s="4"/>
      <c r="E72" s="5"/>
      <c r="F72" s="5" t="str">
        <f>IF($A72="","",SUMIF(Party_Ledger!$B:$B,$A72,Party_Ledger!$F:$F))</f>
        <v/>
      </c>
      <c r="G72" s="5" t="str">
        <f>IF($A72="","",SUMIF(Party_Ledger!$B:$B,$A72,Party_Ledger!$G:$G))</f>
        <v/>
      </c>
      <c r="H72" s="5" t="str">
        <f t="shared" si="2"/>
        <v/>
      </c>
      <c r="I72" s="4" t="str">
        <f t="shared" si="3"/>
        <v/>
      </c>
    </row>
    <row r="73" spans="1:9" x14ac:dyDescent="0.2">
      <c r="A73" s="4"/>
      <c r="B73" s="4"/>
      <c r="C73" s="4"/>
      <c r="D73" s="4"/>
      <c r="E73" s="5"/>
      <c r="F73" s="5" t="str">
        <f>IF($A73="","",SUMIF(Party_Ledger!$B:$B,$A73,Party_Ledger!$F:$F))</f>
        <v/>
      </c>
      <c r="G73" s="5" t="str">
        <f>IF($A73="","",SUMIF(Party_Ledger!$B:$B,$A73,Party_Ledger!$G:$G))</f>
        <v/>
      </c>
      <c r="H73" s="5" t="str">
        <f t="shared" si="2"/>
        <v/>
      </c>
      <c r="I73" s="4" t="str">
        <f t="shared" si="3"/>
        <v/>
      </c>
    </row>
    <row r="74" spans="1:9" x14ac:dyDescent="0.2">
      <c r="A74" s="4"/>
      <c r="B74" s="4"/>
      <c r="C74" s="4"/>
      <c r="D74" s="4"/>
      <c r="E74" s="5"/>
      <c r="F74" s="5" t="str">
        <f>IF($A74="","",SUMIF(Party_Ledger!$B:$B,$A74,Party_Ledger!$F:$F))</f>
        <v/>
      </c>
      <c r="G74" s="5" t="str">
        <f>IF($A74="","",SUMIF(Party_Ledger!$B:$B,$A74,Party_Ledger!$G:$G))</f>
        <v/>
      </c>
      <c r="H74" s="5" t="str">
        <f t="shared" si="2"/>
        <v/>
      </c>
      <c r="I74" s="4" t="str">
        <f t="shared" si="3"/>
        <v/>
      </c>
    </row>
    <row r="75" spans="1:9" x14ac:dyDescent="0.2">
      <c r="A75" s="4"/>
      <c r="B75" s="4"/>
      <c r="C75" s="4"/>
      <c r="D75" s="4"/>
      <c r="E75" s="5"/>
      <c r="F75" s="5" t="str">
        <f>IF($A75="","",SUMIF(Party_Ledger!$B:$B,$A75,Party_Ledger!$F:$F))</f>
        <v/>
      </c>
      <c r="G75" s="5" t="str">
        <f>IF($A75="","",SUMIF(Party_Ledger!$B:$B,$A75,Party_Ledger!$G:$G))</f>
        <v/>
      </c>
      <c r="H75" s="5" t="str">
        <f t="shared" si="2"/>
        <v/>
      </c>
      <c r="I75" s="4" t="str">
        <f t="shared" si="3"/>
        <v/>
      </c>
    </row>
    <row r="76" spans="1:9" x14ac:dyDescent="0.2">
      <c r="A76" s="4"/>
      <c r="B76" s="4"/>
      <c r="C76" s="4"/>
      <c r="D76" s="4"/>
      <c r="E76" s="5"/>
      <c r="F76" s="5" t="str">
        <f>IF($A76="","",SUMIF(Party_Ledger!$B:$B,$A76,Party_Ledger!$F:$F))</f>
        <v/>
      </c>
      <c r="G76" s="5" t="str">
        <f>IF($A76="","",SUMIF(Party_Ledger!$B:$B,$A76,Party_Ledger!$G:$G))</f>
        <v/>
      </c>
      <c r="H76" s="5" t="str">
        <f t="shared" si="2"/>
        <v/>
      </c>
      <c r="I76" s="4" t="str">
        <f t="shared" si="3"/>
        <v/>
      </c>
    </row>
    <row r="77" spans="1:9" x14ac:dyDescent="0.2">
      <c r="A77" s="4"/>
      <c r="B77" s="4"/>
      <c r="C77" s="4"/>
      <c r="D77" s="4"/>
      <c r="E77" s="5"/>
      <c r="F77" s="5" t="str">
        <f>IF($A77="","",SUMIF(Party_Ledger!$B:$B,$A77,Party_Ledger!$F:$F))</f>
        <v/>
      </c>
      <c r="G77" s="5" t="str">
        <f>IF($A77="","",SUMIF(Party_Ledger!$B:$B,$A77,Party_Ledger!$G:$G))</f>
        <v/>
      </c>
      <c r="H77" s="5" t="str">
        <f t="shared" si="2"/>
        <v/>
      </c>
      <c r="I77" s="4" t="str">
        <f t="shared" si="3"/>
        <v/>
      </c>
    </row>
    <row r="78" spans="1:9" x14ac:dyDescent="0.2">
      <c r="A78" s="4"/>
      <c r="B78" s="4"/>
      <c r="C78" s="4"/>
      <c r="D78" s="4"/>
      <c r="E78" s="5"/>
      <c r="F78" s="5" t="str">
        <f>IF($A78="","",SUMIF(Party_Ledger!$B:$B,$A78,Party_Ledger!$F:$F))</f>
        <v/>
      </c>
      <c r="G78" s="5" t="str">
        <f>IF($A78="","",SUMIF(Party_Ledger!$B:$B,$A78,Party_Ledger!$G:$G))</f>
        <v/>
      </c>
      <c r="H78" s="5" t="str">
        <f t="shared" si="2"/>
        <v/>
      </c>
      <c r="I78" s="4" t="str">
        <f t="shared" si="3"/>
        <v/>
      </c>
    </row>
    <row r="79" spans="1:9" x14ac:dyDescent="0.2">
      <c r="A79" s="4"/>
      <c r="B79" s="4"/>
      <c r="C79" s="4"/>
      <c r="D79" s="4"/>
      <c r="E79" s="5"/>
      <c r="F79" s="5" t="str">
        <f>IF($A79="","",SUMIF(Party_Ledger!$B:$B,$A79,Party_Ledger!$F:$F))</f>
        <v/>
      </c>
      <c r="G79" s="5" t="str">
        <f>IF($A79="","",SUMIF(Party_Ledger!$B:$B,$A79,Party_Ledger!$G:$G))</f>
        <v/>
      </c>
      <c r="H79" s="5" t="str">
        <f t="shared" si="2"/>
        <v/>
      </c>
      <c r="I79" s="4" t="str">
        <f t="shared" si="3"/>
        <v/>
      </c>
    </row>
    <row r="80" spans="1:9" x14ac:dyDescent="0.2">
      <c r="A80" s="4"/>
      <c r="B80" s="4"/>
      <c r="C80" s="4"/>
      <c r="D80" s="4"/>
      <c r="E80" s="5"/>
      <c r="F80" s="5" t="str">
        <f>IF($A80="","",SUMIF(Party_Ledger!$B:$B,$A80,Party_Ledger!$F:$F))</f>
        <v/>
      </c>
      <c r="G80" s="5" t="str">
        <f>IF($A80="","",SUMIF(Party_Ledger!$B:$B,$A80,Party_Ledger!$G:$G))</f>
        <v/>
      </c>
      <c r="H80" s="5" t="str">
        <f t="shared" si="2"/>
        <v/>
      </c>
      <c r="I80" s="4" t="str">
        <f t="shared" si="3"/>
        <v/>
      </c>
    </row>
    <row r="81" spans="1:9" x14ac:dyDescent="0.2">
      <c r="A81" s="4"/>
      <c r="B81" s="4"/>
      <c r="C81" s="4"/>
      <c r="D81" s="4"/>
      <c r="E81" s="5"/>
      <c r="F81" s="5" t="str">
        <f>IF($A81="","",SUMIF(Party_Ledger!$B:$B,$A81,Party_Ledger!$F:$F))</f>
        <v/>
      </c>
      <c r="G81" s="5" t="str">
        <f>IF($A81="","",SUMIF(Party_Ledger!$B:$B,$A81,Party_Ledger!$G:$G))</f>
        <v/>
      </c>
      <c r="H81" s="5" t="str">
        <f t="shared" si="2"/>
        <v/>
      </c>
      <c r="I81" s="4" t="str">
        <f t="shared" si="3"/>
        <v/>
      </c>
    </row>
    <row r="82" spans="1:9" x14ac:dyDescent="0.2">
      <c r="A82" s="4"/>
      <c r="B82" s="4"/>
      <c r="C82" s="4"/>
      <c r="D82" s="4"/>
      <c r="E82" s="5"/>
      <c r="F82" s="5" t="str">
        <f>IF($A82="","",SUMIF(Party_Ledger!$B:$B,$A82,Party_Ledger!$F:$F))</f>
        <v/>
      </c>
      <c r="G82" s="5" t="str">
        <f>IF($A82="","",SUMIF(Party_Ledger!$B:$B,$A82,Party_Ledger!$G:$G))</f>
        <v/>
      </c>
      <c r="H82" s="5" t="str">
        <f t="shared" si="2"/>
        <v/>
      </c>
      <c r="I82" s="4" t="str">
        <f t="shared" si="3"/>
        <v/>
      </c>
    </row>
    <row r="83" spans="1:9" x14ac:dyDescent="0.2">
      <c r="A83" s="4"/>
      <c r="B83" s="4"/>
      <c r="C83" s="4"/>
      <c r="D83" s="4"/>
      <c r="E83" s="5"/>
      <c r="F83" s="5" t="str">
        <f>IF($A83="","",SUMIF(Party_Ledger!$B:$B,$A83,Party_Ledger!$F:$F))</f>
        <v/>
      </c>
      <c r="G83" s="5" t="str">
        <f>IF($A83="","",SUMIF(Party_Ledger!$B:$B,$A83,Party_Ledger!$G:$G))</f>
        <v/>
      </c>
      <c r="H83" s="5" t="str">
        <f t="shared" si="2"/>
        <v/>
      </c>
      <c r="I83" s="4" t="str">
        <f t="shared" si="3"/>
        <v/>
      </c>
    </row>
    <row r="84" spans="1:9" x14ac:dyDescent="0.2">
      <c r="A84" s="4"/>
      <c r="B84" s="4"/>
      <c r="C84" s="4"/>
      <c r="D84" s="4"/>
      <c r="E84" s="5"/>
      <c r="F84" s="5" t="str">
        <f>IF($A84="","",SUMIF(Party_Ledger!$B:$B,$A84,Party_Ledger!$F:$F))</f>
        <v/>
      </c>
      <c r="G84" s="5" t="str">
        <f>IF($A84="","",SUMIF(Party_Ledger!$B:$B,$A84,Party_Ledger!$G:$G))</f>
        <v/>
      </c>
      <c r="H84" s="5" t="str">
        <f t="shared" si="2"/>
        <v/>
      </c>
      <c r="I84" s="4" t="str">
        <f t="shared" si="3"/>
        <v/>
      </c>
    </row>
    <row r="85" spans="1:9" x14ac:dyDescent="0.2">
      <c r="A85" s="4"/>
      <c r="B85" s="4"/>
      <c r="C85" s="4"/>
      <c r="D85" s="4"/>
      <c r="E85" s="5"/>
      <c r="F85" s="5" t="str">
        <f>IF($A85="","",SUMIF(Party_Ledger!$B:$B,$A85,Party_Ledger!$F:$F))</f>
        <v/>
      </c>
      <c r="G85" s="5" t="str">
        <f>IF($A85="","",SUMIF(Party_Ledger!$B:$B,$A85,Party_Ledger!$G:$G))</f>
        <v/>
      </c>
      <c r="H85" s="5" t="str">
        <f t="shared" si="2"/>
        <v/>
      </c>
      <c r="I85" s="4" t="str">
        <f t="shared" si="3"/>
        <v/>
      </c>
    </row>
    <row r="86" spans="1:9" x14ac:dyDescent="0.2">
      <c r="A86" s="4"/>
      <c r="B86" s="4"/>
      <c r="C86" s="4"/>
      <c r="D86" s="4"/>
      <c r="E86" s="5"/>
      <c r="F86" s="5" t="str">
        <f>IF($A86="","",SUMIF(Party_Ledger!$B:$B,$A86,Party_Ledger!$F:$F))</f>
        <v/>
      </c>
      <c r="G86" s="5" t="str">
        <f>IF($A86="","",SUMIF(Party_Ledger!$B:$B,$A86,Party_Ledger!$G:$G))</f>
        <v/>
      </c>
      <c r="H86" s="5" t="str">
        <f t="shared" si="2"/>
        <v/>
      </c>
      <c r="I86" s="4" t="str">
        <f t="shared" si="3"/>
        <v/>
      </c>
    </row>
    <row r="87" spans="1:9" x14ac:dyDescent="0.2">
      <c r="A87" s="4"/>
      <c r="B87" s="4"/>
      <c r="C87" s="4"/>
      <c r="D87" s="4"/>
      <c r="E87" s="5"/>
      <c r="F87" s="5" t="str">
        <f>IF($A87="","",SUMIF(Party_Ledger!$B:$B,$A87,Party_Ledger!$F:$F))</f>
        <v/>
      </c>
      <c r="G87" s="5" t="str">
        <f>IF($A87="","",SUMIF(Party_Ledger!$B:$B,$A87,Party_Ledger!$G:$G))</f>
        <v/>
      </c>
      <c r="H87" s="5" t="str">
        <f t="shared" si="2"/>
        <v/>
      </c>
      <c r="I87" s="4" t="str">
        <f t="shared" si="3"/>
        <v/>
      </c>
    </row>
    <row r="88" spans="1:9" x14ac:dyDescent="0.2">
      <c r="A88" s="4"/>
      <c r="B88" s="4"/>
      <c r="C88" s="4"/>
      <c r="D88" s="4"/>
      <c r="E88" s="5"/>
      <c r="F88" s="5" t="str">
        <f>IF($A88="","",SUMIF(Party_Ledger!$B:$B,$A88,Party_Ledger!$F:$F))</f>
        <v/>
      </c>
      <c r="G88" s="5" t="str">
        <f>IF($A88="","",SUMIF(Party_Ledger!$B:$B,$A88,Party_Ledger!$G:$G))</f>
        <v/>
      </c>
      <c r="H88" s="5" t="str">
        <f t="shared" si="2"/>
        <v/>
      </c>
      <c r="I88" s="4" t="str">
        <f t="shared" si="3"/>
        <v/>
      </c>
    </row>
    <row r="89" spans="1:9" x14ac:dyDescent="0.2">
      <c r="A89" s="4"/>
      <c r="B89" s="4"/>
      <c r="C89" s="4"/>
      <c r="D89" s="4"/>
      <c r="E89" s="5"/>
      <c r="F89" s="5" t="str">
        <f>IF($A89="","",SUMIF(Party_Ledger!$B:$B,$A89,Party_Ledger!$F:$F))</f>
        <v/>
      </c>
      <c r="G89" s="5" t="str">
        <f>IF($A89="","",SUMIF(Party_Ledger!$B:$B,$A89,Party_Ledger!$G:$G))</f>
        <v/>
      </c>
      <c r="H89" s="5" t="str">
        <f t="shared" si="2"/>
        <v/>
      </c>
      <c r="I89" s="4" t="str">
        <f t="shared" si="3"/>
        <v/>
      </c>
    </row>
    <row r="90" spans="1:9" x14ac:dyDescent="0.2">
      <c r="A90" s="4"/>
      <c r="B90" s="4"/>
      <c r="C90" s="4"/>
      <c r="D90" s="4"/>
      <c r="E90" s="5"/>
      <c r="F90" s="5" t="str">
        <f>IF($A90="","",SUMIF(Party_Ledger!$B:$B,$A90,Party_Ledger!$F:$F))</f>
        <v/>
      </c>
      <c r="G90" s="5" t="str">
        <f>IF($A90="","",SUMIF(Party_Ledger!$B:$B,$A90,Party_Ledger!$G:$G))</f>
        <v/>
      </c>
      <c r="H90" s="5" t="str">
        <f t="shared" si="2"/>
        <v/>
      </c>
      <c r="I90" s="4" t="str">
        <f t="shared" si="3"/>
        <v/>
      </c>
    </row>
    <row r="91" spans="1:9" x14ac:dyDescent="0.2">
      <c r="A91" s="4"/>
      <c r="B91" s="4"/>
      <c r="C91" s="4"/>
      <c r="D91" s="4"/>
      <c r="E91" s="5"/>
      <c r="F91" s="5" t="str">
        <f>IF($A91="","",SUMIF(Party_Ledger!$B:$B,$A91,Party_Ledger!$F:$F))</f>
        <v/>
      </c>
      <c r="G91" s="5" t="str">
        <f>IF($A91="","",SUMIF(Party_Ledger!$B:$B,$A91,Party_Ledger!$G:$G))</f>
        <v/>
      </c>
      <c r="H91" s="5" t="str">
        <f t="shared" si="2"/>
        <v/>
      </c>
      <c r="I91" s="4" t="str">
        <f t="shared" si="3"/>
        <v/>
      </c>
    </row>
    <row r="92" spans="1:9" x14ac:dyDescent="0.2">
      <c r="A92" s="4"/>
      <c r="B92" s="4"/>
      <c r="C92" s="4"/>
      <c r="D92" s="4"/>
      <c r="E92" s="5"/>
      <c r="F92" s="5" t="str">
        <f>IF($A92="","",SUMIF(Party_Ledger!$B:$B,$A92,Party_Ledger!$F:$F))</f>
        <v/>
      </c>
      <c r="G92" s="5" t="str">
        <f>IF($A92="","",SUMIF(Party_Ledger!$B:$B,$A92,Party_Ledger!$G:$G))</f>
        <v/>
      </c>
      <c r="H92" s="5" t="str">
        <f t="shared" si="2"/>
        <v/>
      </c>
      <c r="I92" s="4" t="str">
        <f t="shared" si="3"/>
        <v/>
      </c>
    </row>
    <row r="93" spans="1:9" x14ac:dyDescent="0.2">
      <c r="A93" s="4"/>
      <c r="B93" s="4"/>
      <c r="C93" s="4"/>
      <c r="D93" s="4"/>
      <c r="E93" s="5"/>
      <c r="F93" s="5" t="str">
        <f>IF($A93="","",SUMIF(Party_Ledger!$B:$B,$A93,Party_Ledger!$F:$F))</f>
        <v/>
      </c>
      <c r="G93" s="5" t="str">
        <f>IF($A93="","",SUMIF(Party_Ledger!$B:$B,$A93,Party_Ledger!$G:$G))</f>
        <v/>
      </c>
      <c r="H93" s="5" t="str">
        <f t="shared" si="2"/>
        <v/>
      </c>
      <c r="I93" s="4" t="str">
        <f t="shared" si="3"/>
        <v/>
      </c>
    </row>
    <row r="94" spans="1:9" x14ac:dyDescent="0.2">
      <c r="A94" s="4"/>
      <c r="B94" s="4"/>
      <c r="C94" s="4"/>
      <c r="D94" s="4"/>
      <c r="E94" s="5"/>
      <c r="F94" s="5" t="str">
        <f>IF($A94="","",SUMIF(Party_Ledger!$B:$B,$A94,Party_Ledger!$F:$F))</f>
        <v/>
      </c>
      <c r="G94" s="5" t="str">
        <f>IF($A94="","",SUMIF(Party_Ledger!$B:$B,$A94,Party_Ledger!$G:$G))</f>
        <v/>
      </c>
      <c r="H94" s="5" t="str">
        <f t="shared" si="2"/>
        <v/>
      </c>
      <c r="I94" s="4" t="str">
        <f t="shared" si="3"/>
        <v/>
      </c>
    </row>
    <row r="95" spans="1:9" x14ac:dyDescent="0.2">
      <c r="A95" s="4"/>
      <c r="B95" s="4"/>
      <c r="C95" s="4"/>
      <c r="D95" s="4"/>
      <c r="E95" s="5"/>
      <c r="F95" s="5" t="str">
        <f>IF($A95="","",SUMIF(Party_Ledger!$B:$B,$A95,Party_Ledger!$F:$F))</f>
        <v/>
      </c>
      <c r="G95" s="5" t="str">
        <f>IF($A95="","",SUMIF(Party_Ledger!$B:$B,$A95,Party_Ledger!$G:$G))</f>
        <v/>
      </c>
      <c r="H95" s="5" t="str">
        <f t="shared" si="2"/>
        <v/>
      </c>
      <c r="I95" s="4" t="str">
        <f t="shared" si="3"/>
        <v/>
      </c>
    </row>
    <row r="96" spans="1:9" x14ac:dyDescent="0.2">
      <c r="A96" s="4"/>
      <c r="B96" s="4"/>
      <c r="C96" s="4"/>
      <c r="D96" s="4"/>
      <c r="E96" s="5"/>
      <c r="F96" s="5" t="str">
        <f>IF($A96="","",SUMIF(Party_Ledger!$B:$B,$A96,Party_Ledger!$F:$F))</f>
        <v/>
      </c>
      <c r="G96" s="5" t="str">
        <f>IF($A96="","",SUMIF(Party_Ledger!$B:$B,$A96,Party_Ledger!$G:$G))</f>
        <v/>
      </c>
      <c r="H96" s="5" t="str">
        <f t="shared" si="2"/>
        <v/>
      </c>
      <c r="I96" s="4" t="str">
        <f t="shared" si="3"/>
        <v/>
      </c>
    </row>
    <row r="97" spans="1:9" x14ac:dyDescent="0.2">
      <c r="A97" s="4"/>
      <c r="B97" s="4"/>
      <c r="C97" s="4"/>
      <c r="D97" s="4"/>
      <c r="E97" s="5"/>
      <c r="F97" s="5" t="str">
        <f>IF($A97="","",SUMIF(Party_Ledger!$B:$B,$A97,Party_Ledger!$F:$F))</f>
        <v/>
      </c>
      <c r="G97" s="5" t="str">
        <f>IF($A97="","",SUMIF(Party_Ledger!$B:$B,$A97,Party_Ledger!$G:$G))</f>
        <v/>
      </c>
      <c r="H97" s="5" t="str">
        <f t="shared" si="2"/>
        <v/>
      </c>
      <c r="I97" s="4" t="str">
        <f t="shared" si="3"/>
        <v/>
      </c>
    </row>
    <row r="98" spans="1:9" x14ac:dyDescent="0.2">
      <c r="A98" s="4"/>
      <c r="B98" s="4"/>
      <c r="C98" s="4"/>
      <c r="D98" s="4"/>
      <c r="E98" s="5"/>
      <c r="F98" s="5" t="str">
        <f>IF($A98="","",SUMIF(Party_Ledger!$B:$B,$A98,Party_Ledger!$F:$F))</f>
        <v/>
      </c>
      <c r="G98" s="5" t="str">
        <f>IF($A98="","",SUMIF(Party_Ledger!$B:$B,$A98,Party_Ledger!$G:$G))</f>
        <v/>
      </c>
      <c r="H98" s="5" t="str">
        <f t="shared" si="2"/>
        <v/>
      </c>
      <c r="I98" s="4" t="str">
        <f t="shared" si="3"/>
        <v/>
      </c>
    </row>
    <row r="99" spans="1:9" x14ac:dyDescent="0.2">
      <c r="A99" s="4"/>
      <c r="B99" s="4"/>
      <c r="C99" s="4"/>
      <c r="D99" s="4"/>
      <c r="E99" s="5"/>
      <c r="F99" s="5" t="str">
        <f>IF($A99="","",SUMIF(Party_Ledger!$B:$B,$A99,Party_Ledger!$F:$F))</f>
        <v/>
      </c>
      <c r="G99" s="5" t="str">
        <f>IF($A99="","",SUMIF(Party_Ledger!$B:$B,$A99,Party_Ledger!$G:$G))</f>
        <v/>
      </c>
      <c r="H99" s="5" t="str">
        <f t="shared" si="2"/>
        <v/>
      </c>
      <c r="I99" s="4" t="str">
        <f t="shared" si="3"/>
        <v/>
      </c>
    </row>
    <row r="100" spans="1:9" x14ac:dyDescent="0.2">
      <c r="A100" s="4"/>
      <c r="B100" s="4"/>
      <c r="C100" s="4"/>
      <c r="D100" s="4"/>
      <c r="E100" s="5"/>
      <c r="F100" s="5" t="str">
        <f>IF($A100="","",SUMIF(Party_Ledger!$B:$B,$A100,Party_Ledger!$F:$F))</f>
        <v/>
      </c>
      <c r="G100" s="5" t="str">
        <f>IF($A100="","",SUMIF(Party_Ledger!$B:$B,$A100,Party_Ledger!$G:$G))</f>
        <v/>
      </c>
      <c r="H100" s="5" t="str">
        <f t="shared" si="2"/>
        <v/>
      </c>
      <c r="I100" s="4" t="str">
        <f t="shared" si="3"/>
        <v/>
      </c>
    </row>
    <row r="101" spans="1:9" x14ac:dyDescent="0.2">
      <c r="A101" s="4"/>
      <c r="B101" s="4"/>
      <c r="C101" s="4"/>
      <c r="D101" s="4"/>
      <c r="E101" s="5"/>
      <c r="F101" s="5" t="str">
        <f>IF($A101="","",SUMIF(Party_Ledger!$B:$B,$A101,Party_Ledger!$F:$F))</f>
        <v/>
      </c>
      <c r="G101" s="5" t="str">
        <f>IF($A101="","",SUMIF(Party_Ledger!$B:$B,$A101,Party_Ledger!$G:$G))</f>
        <v/>
      </c>
      <c r="H101" s="5" t="str">
        <f t="shared" si="2"/>
        <v/>
      </c>
      <c r="I101" s="4" t="str">
        <f t="shared" si="3"/>
        <v/>
      </c>
    </row>
    <row r="102" spans="1:9" x14ac:dyDescent="0.2">
      <c r="A102" s="4"/>
      <c r="B102" s="4"/>
      <c r="C102" s="4"/>
      <c r="D102" s="4"/>
      <c r="E102" s="5"/>
      <c r="F102" s="5" t="str">
        <f>IF($A102="","",SUMIF(Party_Ledger!$B:$B,$A102,Party_Ledger!$F:$F))</f>
        <v/>
      </c>
      <c r="G102" s="5" t="str">
        <f>IF($A102="","",SUMIF(Party_Ledger!$B:$B,$A102,Party_Ledger!$G:$G))</f>
        <v/>
      </c>
      <c r="H102" s="5" t="str">
        <f t="shared" si="2"/>
        <v/>
      </c>
      <c r="I102" s="4" t="str">
        <f t="shared" si="3"/>
        <v/>
      </c>
    </row>
    <row r="103" spans="1:9" x14ac:dyDescent="0.2">
      <c r="A103" s="4"/>
      <c r="B103" s="4"/>
      <c r="C103" s="4"/>
      <c r="D103" s="4"/>
      <c r="E103" s="5"/>
      <c r="F103" s="5" t="str">
        <f>IF($A103="","",SUMIF(Party_Ledger!$B:$B,$A103,Party_Ledger!$F:$F))</f>
        <v/>
      </c>
      <c r="G103" s="5" t="str">
        <f>IF($A103="","",SUMIF(Party_Ledger!$B:$B,$A103,Party_Ledger!$G:$G))</f>
        <v/>
      </c>
      <c r="H103" s="5" t="str">
        <f t="shared" si="2"/>
        <v/>
      </c>
      <c r="I103" s="4" t="str">
        <f t="shared" si="3"/>
        <v/>
      </c>
    </row>
    <row r="104" spans="1:9" x14ac:dyDescent="0.2">
      <c r="A104" s="4"/>
      <c r="B104" s="4"/>
      <c r="C104" s="4"/>
      <c r="D104" s="4"/>
      <c r="E104" s="5"/>
      <c r="F104" s="5" t="str">
        <f>IF($A104="","",SUMIF(Party_Ledger!$B:$B,$A104,Party_Ledger!$F:$F))</f>
        <v/>
      </c>
      <c r="G104" s="5" t="str">
        <f>IF($A104="","",SUMIF(Party_Ledger!$B:$B,$A104,Party_Ledger!$G:$G))</f>
        <v/>
      </c>
      <c r="H104" s="5" t="str">
        <f t="shared" si="2"/>
        <v/>
      </c>
      <c r="I104" s="4" t="str">
        <f t="shared" si="3"/>
        <v/>
      </c>
    </row>
    <row r="105" spans="1:9" x14ac:dyDescent="0.2">
      <c r="A105" s="4"/>
      <c r="B105" s="4"/>
      <c r="C105" s="4"/>
      <c r="D105" s="4"/>
      <c r="E105" s="5"/>
      <c r="F105" s="5" t="str">
        <f>IF($A105="","",SUMIF(Party_Ledger!$B:$B,$A105,Party_Ledger!$F:$F))</f>
        <v/>
      </c>
      <c r="G105" s="5" t="str">
        <f>IF($A105="","",SUMIF(Party_Ledger!$B:$B,$A105,Party_Ledger!$G:$G))</f>
        <v/>
      </c>
      <c r="H105" s="5" t="str">
        <f t="shared" si="2"/>
        <v/>
      </c>
      <c r="I105" s="4" t="str">
        <f t="shared" si="3"/>
        <v/>
      </c>
    </row>
    <row r="106" spans="1:9" x14ac:dyDescent="0.2">
      <c r="A106" s="4"/>
      <c r="B106" s="4"/>
      <c r="C106" s="4"/>
      <c r="D106" s="4"/>
      <c r="E106" s="5"/>
      <c r="F106" s="5" t="str">
        <f>IF($A106="","",SUMIF(Party_Ledger!$B:$B,$A106,Party_Ledger!$F:$F))</f>
        <v/>
      </c>
      <c r="G106" s="5" t="str">
        <f>IF($A106="","",SUMIF(Party_Ledger!$B:$B,$A106,Party_Ledger!$G:$G))</f>
        <v/>
      </c>
      <c r="H106" s="5" t="str">
        <f t="shared" si="2"/>
        <v/>
      </c>
      <c r="I106" s="4" t="str">
        <f t="shared" si="3"/>
        <v/>
      </c>
    </row>
    <row r="107" spans="1:9" x14ac:dyDescent="0.2">
      <c r="A107" s="4"/>
      <c r="B107" s="4"/>
      <c r="C107" s="4"/>
      <c r="D107" s="4"/>
      <c r="E107" s="5"/>
      <c r="F107" s="5" t="str">
        <f>IF($A107="","",SUMIF(Party_Ledger!$B:$B,$A107,Party_Ledger!$F:$F))</f>
        <v/>
      </c>
      <c r="G107" s="5" t="str">
        <f>IF($A107="","",SUMIF(Party_Ledger!$B:$B,$A107,Party_Ledger!$G:$G))</f>
        <v/>
      </c>
      <c r="H107" s="5" t="str">
        <f t="shared" si="2"/>
        <v/>
      </c>
      <c r="I107" s="4" t="str">
        <f t="shared" si="3"/>
        <v/>
      </c>
    </row>
    <row r="108" spans="1:9" x14ac:dyDescent="0.2">
      <c r="A108" s="4"/>
      <c r="B108" s="4"/>
      <c r="C108" s="4"/>
      <c r="D108" s="4"/>
      <c r="E108" s="5"/>
      <c r="F108" s="5" t="str">
        <f>IF($A108="","",SUMIF(Party_Ledger!$B:$B,$A108,Party_Ledger!$F:$F))</f>
        <v/>
      </c>
      <c r="G108" s="5" t="str">
        <f>IF($A108="","",SUMIF(Party_Ledger!$B:$B,$A108,Party_Ledger!$G:$G))</f>
        <v/>
      </c>
      <c r="H108" s="5" t="str">
        <f t="shared" si="2"/>
        <v/>
      </c>
      <c r="I108" s="4" t="str">
        <f t="shared" si="3"/>
        <v/>
      </c>
    </row>
    <row r="109" spans="1:9" x14ac:dyDescent="0.2">
      <c r="A109" s="4"/>
      <c r="B109" s="4"/>
      <c r="C109" s="4"/>
      <c r="D109" s="4"/>
      <c r="E109" s="5"/>
      <c r="F109" s="5" t="str">
        <f>IF($A109="","",SUMIF(Party_Ledger!$B:$B,$A109,Party_Ledger!$F:$F))</f>
        <v/>
      </c>
      <c r="G109" s="5" t="str">
        <f>IF($A109="","",SUMIF(Party_Ledger!$B:$B,$A109,Party_Ledger!$G:$G))</f>
        <v/>
      </c>
      <c r="H109" s="5" t="str">
        <f t="shared" si="2"/>
        <v/>
      </c>
      <c r="I109" s="4" t="str">
        <f t="shared" si="3"/>
        <v/>
      </c>
    </row>
    <row r="110" spans="1:9" x14ac:dyDescent="0.2">
      <c r="A110" s="4"/>
      <c r="B110" s="4"/>
      <c r="C110" s="4"/>
      <c r="D110" s="4"/>
      <c r="E110" s="5"/>
      <c r="F110" s="5" t="str">
        <f>IF($A110="","",SUMIF(Party_Ledger!$B:$B,$A110,Party_Ledger!$F:$F))</f>
        <v/>
      </c>
      <c r="G110" s="5" t="str">
        <f>IF($A110="","",SUMIF(Party_Ledger!$B:$B,$A110,Party_Ledger!$G:$G))</f>
        <v/>
      </c>
      <c r="H110" s="5" t="str">
        <f t="shared" si="2"/>
        <v/>
      </c>
      <c r="I110" s="4" t="str">
        <f t="shared" si="3"/>
        <v/>
      </c>
    </row>
    <row r="111" spans="1:9" x14ac:dyDescent="0.2">
      <c r="A111" s="4"/>
      <c r="B111" s="4"/>
      <c r="C111" s="4"/>
      <c r="D111" s="4"/>
      <c r="E111" s="5"/>
      <c r="F111" s="5" t="str">
        <f>IF($A111="","",SUMIF(Party_Ledger!$B:$B,$A111,Party_Ledger!$F:$F))</f>
        <v/>
      </c>
      <c r="G111" s="5" t="str">
        <f>IF($A111="","",SUMIF(Party_Ledger!$B:$B,$A111,Party_Ledger!$G:$G))</f>
        <v/>
      </c>
      <c r="H111" s="5" t="str">
        <f t="shared" si="2"/>
        <v/>
      </c>
      <c r="I111" s="4" t="str">
        <f t="shared" si="3"/>
        <v/>
      </c>
    </row>
    <row r="112" spans="1:9" x14ac:dyDescent="0.2">
      <c r="A112" s="4"/>
      <c r="B112" s="4"/>
      <c r="C112" s="4"/>
      <c r="D112" s="4"/>
      <c r="E112" s="5"/>
      <c r="F112" s="5" t="str">
        <f>IF($A112="","",SUMIF(Party_Ledger!$B:$B,$A112,Party_Ledger!$F:$F))</f>
        <v/>
      </c>
      <c r="G112" s="5" t="str">
        <f>IF($A112="","",SUMIF(Party_Ledger!$B:$B,$A112,Party_Ledger!$G:$G))</f>
        <v/>
      </c>
      <c r="H112" s="5" t="str">
        <f t="shared" si="2"/>
        <v/>
      </c>
      <c r="I112" s="4" t="str">
        <f t="shared" si="3"/>
        <v/>
      </c>
    </row>
    <row r="113" spans="1:9" x14ac:dyDescent="0.2">
      <c r="A113" s="4"/>
      <c r="B113" s="4"/>
      <c r="C113" s="4"/>
      <c r="D113" s="4"/>
      <c r="E113" s="5"/>
      <c r="F113" s="5" t="str">
        <f>IF($A113="","",SUMIF(Party_Ledger!$B:$B,$A113,Party_Ledger!$F:$F))</f>
        <v/>
      </c>
      <c r="G113" s="5" t="str">
        <f>IF($A113="","",SUMIF(Party_Ledger!$B:$B,$A113,Party_Ledger!$G:$G))</f>
        <v/>
      </c>
      <c r="H113" s="5" t="str">
        <f t="shared" si="2"/>
        <v/>
      </c>
      <c r="I113" s="4" t="str">
        <f t="shared" si="3"/>
        <v/>
      </c>
    </row>
    <row r="114" spans="1:9" x14ac:dyDescent="0.2">
      <c r="A114" s="4"/>
      <c r="B114" s="4"/>
      <c r="C114" s="4"/>
      <c r="D114" s="4"/>
      <c r="E114" s="5"/>
      <c r="F114" s="5" t="str">
        <f>IF($A114="","",SUMIF(Party_Ledger!$B:$B,$A114,Party_Ledger!$F:$F))</f>
        <v/>
      </c>
      <c r="G114" s="5" t="str">
        <f>IF($A114="","",SUMIF(Party_Ledger!$B:$B,$A114,Party_Ledger!$G:$G))</f>
        <v/>
      </c>
      <c r="H114" s="5" t="str">
        <f t="shared" si="2"/>
        <v/>
      </c>
      <c r="I114" s="4" t="str">
        <f t="shared" si="3"/>
        <v/>
      </c>
    </row>
    <row r="115" spans="1:9" x14ac:dyDescent="0.2">
      <c r="A115" s="4"/>
      <c r="B115" s="4"/>
      <c r="C115" s="4"/>
      <c r="D115" s="4"/>
      <c r="E115" s="5"/>
      <c r="F115" s="5" t="str">
        <f>IF($A115="","",SUMIF(Party_Ledger!$B:$B,$A115,Party_Ledger!$F:$F))</f>
        <v/>
      </c>
      <c r="G115" s="5" t="str">
        <f>IF($A115="","",SUMIF(Party_Ledger!$B:$B,$A115,Party_Ledger!$G:$G))</f>
        <v/>
      </c>
      <c r="H115" s="5" t="str">
        <f t="shared" si="2"/>
        <v/>
      </c>
      <c r="I115" s="4" t="str">
        <f t="shared" si="3"/>
        <v/>
      </c>
    </row>
    <row r="116" spans="1:9" x14ac:dyDescent="0.2">
      <c r="A116" s="4"/>
      <c r="B116" s="4"/>
      <c r="C116" s="4"/>
      <c r="D116" s="4"/>
      <c r="E116" s="5"/>
      <c r="F116" s="5" t="str">
        <f>IF($A116="","",SUMIF(Party_Ledger!$B:$B,$A116,Party_Ledger!$F:$F))</f>
        <v/>
      </c>
      <c r="G116" s="5" t="str">
        <f>IF($A116="","",SUMIF(Party_Ledger!$B:$B,$A116,Party_Ledger!$G:$G))</f>
        <v/>
      </c>
      <c r="H116" s="5" t="str">
        <f t="shared" si="2"/>
        <v/>
      </c>
      <c r="I116" s="4" t="str">
        <f t="shared" si="3"/>
        <v/>
      </c>
    </row>
    <row r="117" spans="1:9" x14ac:dyDescent="0.2">
      <c r="A117" s="4"/>
      <c r="B117" s="4"/>
      <c r="C117" s="4"/>
      <c r="D117" s="4"/>
      <c r="E117" s="5"/>
      <c r="F117" s="5" t="str">
        <f>IF($A117="","",SUMIF(Party_Ledger!$B:$B,$A117,Party_Ledger!$F:$F))</f>
        <v/>
      </c>
      <c r="G117" s="5" t="str">
        <f>IF($A117="","",SUMIF(Party_Ledger!$B:$B,$A117,Party_Ledger!$G:$G))</f>
        <v/>
      </c>
      <c r="H117" s="5" t="str">
        <f t="shared" si="2"/>
        <v/>
      </c>
      <c r="I117" s="4" t="str">
        <f t="shared" si="3"/>
        <v/>
      </c>
    </row>
    <row r="118" spans="1:9" x14ac:dyDescent="0.2">
      <c r="A118" s="4"/>
      <c r="B118" s="4"/>
      <c r="C118" s="4"/>
      <c r="D118" s="4"/>
      <c r="E118" s="5"/>
      <c r="F118" s="5" t="str">
        <f>IF($A118="","",SUMIF(Party_Ledger!$B:$B,$A118,Party_Ledger!$F:$F))</f>
        <v/>
      </c>
      <c r="G118" s="5" t="str">
        <f>IF($A118="","",SUMIF(Party_Ledger!$B:$B,$A118,Party_Ledger!$G:$G))</f>
        <v/>
      </c>
      <c r="H118" s="5" t="str">
        <f t="shared" si="2"/>
        <v/>
      </c>
      <c r="I118" s="4" t="str">
        <f t="shared" si="3"/>
        <v/>
      </c>
    </row>
    <row r="119" spans="1:9" x14ac:dyDescent="0.2">
      <c r="A119" s="4"/>
      <c r="B119" s="4"/>
      <c r="C119" s="4"/>
      <c r="D119" s="4"/>
      <c r="E119" s="5"/>
      <c r="F119" s="5" t="str">
        <f>IF($A119="","",SUMIF(Party_Ledger!$B:$B,$A119,Party_Ledger!$F:$F))</f>
        <v/>
      </c>
      <c r="G119" s="5" t="str">
        <f>IF($A119="","",SUMIF(Party_Ledger!$B:$B,$A119,Party_Ledger!$G:$G))</f>
        <v/>
      </c>
      <c r="H119" s="5" t="str">
        <f t="shared" si="2"/>
        <v/>
      </c>
      <c r="I119" s="4" t="str">
        <f t="shared" si="3"/>
        <v/>
      </c>
    </row>
    <row r="120" spans="1:9" x14ac:dyDescent="0.2">
      <c r="A120" s="4"/>
      <c r="B120" s="4"/>
      <c r="C120" s="4"/>
      <c r="D120" s="4"/>
      <c r="E120" s="5"/>
      <c r="F120" s="5" t="str">
        <f>IF($A120="","",SUMIF(Party_Ledger!$B:$B,$A120,Party_Ledger!$F:$F))</f>
        <v/>
      </c>
      <c r="G120" s="5" t="str">
        <f>IF($A120="","",SUMIF(Party_Ledger!$B:$B,$A120,Party_Ledger!$G:$G))</f>
        <v/>
      </c>
      <c r="H120" s="5" t="str">
        <f t="shared" si="2"/>
        <v/>
      </c>
      <c r="I120" s="4" t="str">
        <f t="shared" si="3"/>
        <v/>
      </c>
    </row>
    <row r="121" spans="1:9" x14ac:dyDescent="0.2">
      <c r="A121" s="4"/>
      <c r="B121" s="4"/>
      <c r="C121" s="4"/>
      <c r="D121" s="4"/>
      <c r="E121" s="5"/>
      <c r="F121" s="5" t="str">
        <f>IF($A121="","",SUMIF(Party_Ledger!$B:$B,$A121,Party_Ledger!$F:$F))</f>
        <v/>
      </c>
      <c r="G121" s="5" t="str">
        <f>IF($A121="","",SUMIF(Party_Ledger!$B:$B,$A121,Party_Ledger!$G:$G))</f>
        <v/>
      </c>
      <c r="H121" s="5" t="str">
        <f t="shared" si="2"/>
        <v/>
      </c>
      <c r="I121" s="4" t="str">
        <f t="shared" si="3"/>
        <v/>
      </c>
    </row>
    <row r="122" spans="1:9" x14ac:dyDescent="0.2">
      <c r="A122" s="4"/>
      <c r="B122" s="4"/>
      <c r="C122" s="4"/>
      <c r="D122" s="4"/>
      <c r="E122" s="5"/>
      <c r="F122" s="5" t="str">
        <f>IF($A122="","",SUMIF(Party_Ledger!$B:$B,$A122,Party_Ledger!$F:$F))</f>
        <v/>
      </c>
      <c r="G122" s="5" t="str">
        <f>IF($A122="","",SUMIF(Party_Ledger!$B:$B,$A122,Party_Ledger!$G:$G))</f>
        <v/>
      </c>
      <c r="H122" s="5" t="str">
        <f t="shared" si="2"/>
        <v/>
      </c>
      <c r="I122" s="4" t="str">
        <f t="shared" si="3"/>
        <v/>
      </c>
    </row>
    <row r="123" spans="1:9" x14ac:dyDescent="0.2">
      <c r="A123" s="4"/>
      <c r="B123" s="4"/>
      <c r="C123" s="4"/>
      <c r="D123" s="4"/>
      <c r="E123" s="5"/>
      <c r="F123" s="5" t="str">
        <f>IF($A123="","",SUMIF(Party_Ledger!$B:$B,$A123,Party_Ledger!$F:$F))</f>
        <v/>
      </c>
      <c r="G123" s="5" t="str">
        <f>IF($A123="","",SUMIF(Party_Ledger!$B:$B,$A123,Party_Ledger!$G:$G))</f>
        <v/>
      </c>
      <c r="H123" s="5" t="str">
        <f t="shared" si="2"/>
        <v/>
      </c>
      <c r="I123" s="4" t="str">
        <f t="shared" si="3"/>
        <v/>
      </c>
    </row>
    <row r="124" spans="1:9" x14ac:dyDescent="0.2">
      <c r="A124" s="4"/>
      <c r="B124" s="4"/>
      <c r="C124" s="4"/>
      <c r="D124" s="4"/>
      <c r="E124" s="5"/>
      <c r="F124" s="5" t="str">
        <f>IF($A124="","",SUMIF(Party_Ledger!$B:$B,$A124,Party_Ledger!$F:$F))</f>
        <v/>
      </c>
      <c r="G124" s="5" t="str">
        <f>IF($A124="","",SUMIF(Party_Ledger!$B:$B,$A124,Party_Ledger!$G:$G))</f>
        <v/>
      </c>
      <c r="H124" s="5" t="str">
        <f t="shared" si="2"/>
        <v/>
      </c>
      <c r="I124" s="4" t="str">
        <f t="shared" si="3"/>
        <v/>
      </c>
    </row>
    <row r="125" spans="1:9" x14ac:dyDescent="0.2">
      <c r="A125" s="4"/>
      <c r="B125" s="4"/>
      <c r="C125" s="4"/>
      <c r="D125" s="4"/>
      <c r="E125" s="5"/>
      <c r="F125" s="5" t="str">
        <f>IF($A125="","",SUMIF(Party_Ledger!$B:$B,$A125,Party_Ledger!$F:$F))</f>
        <v/>
      </c>
      <c r="G125" s="5" t="str">
        <f>IF($A125="","",SUMIF(Party_Ledger!$B:$B,$A125,Party_Ledger!$G:$G))</f>
        <v/>
      </c>
      <c r="H125" s="5" t="str">
        <f t="shared" si="2"/>
        <v/>
      </c>
      <c r="I125" s="4" t="str">
        <f t="shared" si="3"/>
        <v/>
      </c>
    </row>
    <row r="126" spans="1:9" x14ac:dyDescent="0.2">
      <c r="A126" s="4"/>
      <c r="B126" s="4"/>
      <c r="C126" s="4"/>
      <c r="D126" s="4"/>
      <c r="E126" s="5"/>
      <c r="F126" s="5" t="str">
        <f>IF($A126="","",SUMIF(Party_Ledger!$B:$B,$A126,Party_Ledger!$F:$F))</f>
        <v/>
      </c>
      <c r="G126" s="5" t="str">
        <f>IF($A126="","",SUMIF(Party_Ledger!$B:$B,$A126,Party_Ledger!$G:$G))</f>
        <v/>
      </c>
      <c r="H126" s="5" t="str">
        <f t="shared" si="2"/>
        <v/>
      </c>
      <c r="I126" s="4" t="str">
        <f t="shared" si="3"/>
        <v/>
      </c>
    </row>
    <row r="127" spans="1:9" x14ac:dyDescent="0.2">
      <c r="A127" s="4"/>
      <c r="B127" s="4"/>
      <c r="C127" s="4"/>
      <c r="D127" s="4"/>
      <c r="E127" s="5"/>
      <c r="F127" s="5" t="str">
        <f>IF($A127="","",SUMIF(Party_Ledger!$B:$B,$A127,Party_Ledger!$F:$F))</f>
        <v/>
      </c>
      <c r="G127" s="5" t="str">
        <f>IF($A127="","",SUMIF(Party_Ledger!$B:$B,$A127,Party_Ledger!$G:$G))</f>
        <v/>
      </c>
      <c r="H127" s="5" t="str">
        <f t="shared" si="2"/>
        <v/>
      </c>
      <c r="I127" s="4" t="str">
        <f t="shared" si="3"/>
        <v/>
      </c>
    </row>
    <row r="128" spans="1:9" x14ac:dyDescent="0.2">
      <c r="A128" s="4"/>
      <c r="B128" s="4"/>
      <c r="C128" s="4"/>
      <c r="D128" s="4"/>
      <c r="E128" s="5"/>
      <c r="F128" s="5" t="str">
        <f>IF($A128="","",SUMIF(Party_Ledger!$B:$B,$A128,Party_Ledger!$F:$F))</f>
        <v/>
      </c>
      <c r="G128" s="5" t="str">
        <f>IF($A128="","",SUMIF(Party_Ledger!$B:$B,$A128,Party_Ledger!$G:$G))</f>
        <v/>
      </c>
      <c r="H128" s="5" t="str">
        <f t="shared" si="2"/>
        <v/>
      </c>
      <c r="I128" s="4" t="str">
        <f t="shared" si="3"/>
        <v/>
      </c>
    </row>
    <row r="129" spans="1:9" x14ac:dyDescent="0.2">
      <c r="A129" s="4"/>
      <c r="B129" s="4"/>
      <c r="C129" s="4"/>
      <c r="D129" s="4"/>
      <c r="E129" s="5"/>
      <c r="F129" s="5" t="str">
        <f>IF($A129="","",SUMIF(Party_Ledger!$B:$B,$A129,Party_Ledger!$F:$F))</f>
        <v/>
      </c>
      <c r="G129" s="5" t="str">
        <f>IF($A129="","",SUMIF(Party_Ledger!$B:$B,$A129,Party_Ledger!$G:$G))</f>
        <v/>
      </c>
      <c r="H129" s="5" t="str">
        <f t="shared" si="2"/>
        <v/>
      </c>
      <c r="I129" s="4" t="str">
        <f t="shared" si="3"/>
        <v/>
      </c>
    </row>
    <row r="130" spans="1:9" x14ac:dyDescent="0.2">
      <c r="A130" s="4"/>
      <c r="B130" s="4"/>
      <c r="C130" s="4"/>
      <c r="D130" s="4"/>
      <c r="E130" s="5"/>
      <c r="F130" s="5" t="str">
        <f>IF($A130="","",SUMIF(Party_Ledger!$B:$B,$A130,Party_Ledger!$F:$F))</f>
        <v/>
      </c>
      <c r="G130" s="5" t="str">
        <f>IF($A130="","",SUMIF(Party_Ledger!$B:$B,$A130,Party_Ledger!$G:$G))</f>
        <v/>
      </c>
      <c r="H130" s="5" t="str">
        <f t="shared" si="2"/>
        <v/>
      </c>
      <c r="I130" s="4" t="str">
        <f t="shared" si="3"/>
        <v/>
      </c>
    </row>
    <row r="131" spans="1:9" x14ac:dyDescent="0.2">
      <c r="A131" s="4"/>
      <c r="B131" s="4"/>
      <c r="C131" s="4"/>
      <c r="D131" s="4"/>
      <c r="E131" s="5"/>
      <c r="F131" s="5" t="str">
        <f>IF($A131="","",SUMIF(Party_Ledger!$B:$B,$A131,Party_Ledger!$F:$F))</f>
        <v/>
      </c>
      <c r="G131" s="5" t="str">
        <f>IF($A131="","",SUMIF(Party_Ledger!$B:$B,$A131,Party_Ledger!$G:$G))</f>
        <v/>
      </c>
      <c r="H131" s="5" t="str">
        <f t="shared" ref="H131:H194" si="4">IF($A131="","",$E131+$F131-$G131)</f>
        <v/>
      </c>
      <c r="I131" s="4" t="str">
        <f t="shared" ref="I131:I194" si="5">IF($A131="","",IF(ROUND($H131,0)=0,"Settled",IF($H131&gt;0,"Outstanding","Advance")))</f>
        <v/>
      </c>
    </row>
    <row r="132" spans="1:9" x14ac:dyDescent="0.2">
      <c r="A132" s="4"/>
      <c r="B132" s="4"/>
      <c r="C132" s="4"/>
      <c r="D132" s="4"/>
      <c r="E132" s="5"/>
      <c r="F132" s="5" t="str">
        <f>IF($A132="","",SUMIF(Party_Ledger!$B:$B,$A132,Party_Ledger!$F:$F))</f>
        <v/>
      </c>
      <c r="G132" s="5" t="str">
        <f>IF($A132="","",SUMIF(Party_Ledger!$B:$B,$A132,Party_Ledger!$G:$G))</f>
        <v/>
      </c>
      <c r="H132" s="5" t="str">
        <f t="shared" si="4"/>
        <v/>
      </c>
      <c r="I132" s="4" t="str">
        <f t="shared" si="5"/>
        <v/>
      </c>
    </row>
    <row r="133" spans="1:9" x14ac:dyDescent="0.2">
      <c r="A133" s="4"/>
      <c r="B133" s="4"/>
      <c r="C133" s="4"/>
      <c r="D133" s="4"/>
      <c r="E133" s="5"/>
      <c r="F133" s="5" t="str">
        <f>IF($A133="","",SUMIF(Party_Ledger!$B:$B,$A133,Party_Ledger!$F:$F))</f>
        <v/>
      </c>
      <c r="G133" s="5" t="str">
        <f>IF($A133="","",SUMIF(Party_Ledger!$B:$B,$A133,Party_Ledger!$G:$G))</f>
        <v/>
      </c>
      <c r="H133" s="5" t="str">
        <f t="shared" si="4"/>
        <v/>
      </c>
      <c r="I133" s="4" t="str">
        <f t="shared" si="5"/>
        <v/>
      </c>
    </row>
    <row r="134" spans="1:9" x14ac:dyDescent="0.2">
      <c r="A134" s="4"/>
      <c r="B134" s="4"/>
      <c r="C134" s="4"/>
      <c r="D134" s="4"/>
      <c r="E134" s="5"/>
      <c r="F134" s="5" t="str">
        <f>IF($A134="","",SUMIF(Party_Ledger!$B:$B,$A134,Party_Ledger!$F:$F))</f>
        <v/>
      </c>
      <c r="G134" s="5" t="str">
        <f>IF($A134="","",SUMIF(Party_Ledger!$B:$B,$A134,Party_Ledger!$G:$G))</f>
        <v/>
      </c>
      <c r="H134" s="5" t="str">
        <f t="shared" si="4"/>
        <v/>
      </c>
      <c r="I134" s="4" t="str">
        <f t="shared" si="5"/>
        <v/>
      </c>
    </row>
    <row r="135" spans="1:9" x14ac:dyDescent="0.2">
      <c r="A135" s="4"/>
      <c r="B135" s="4"/>
      <c r="C135" s="4"/>
      <c r="D135" s="4"/>
      <c r="E135" s="5"/>
      <c r="F135" s="5" t="str">
        <f>IF($A135="","",SUMIF(Party_Ledger!$B:$B,$A135,Party_Ledger!$F:$F))</f>
        <v/>
      </c>
      <c r="G135" s="5" t="str">
        <f>IF($A135="","",SUMIF(Party_Ledger!$B:$B,$A135,Party_Ledger!$G:$G))</f>
        <v/>
      </c>
      <c r="H135" s="5" t="str">
        <f t="shared" si="4"/>
        <v/>
      </c>
      <c r="I135" s="4" t="str">
        <f t="shared" si="5"/>
        <v/>
      </c>
    </row>
    <row r="136" spans="1:9" x14ac:dyDescent="0.2">
      <c r="A136" s="4"/>
      <c r="B136" s="4"/>
      <c r="C136" s="4"/>
      <c r="D136" s="4"/>
      <c r="E136" s="5"/>
      <c r="F136" s="5" t="str">
        <f>IF($A136="","",SUMIF(Party_Ledger!$B:$B,$A136,Party_Ledger!$F:$F))</f>
        <v/>
      </c>
      <c r="G136" s="5" t="str">
        <f>IF($A136="","",SUMIF(Party_Ledger!$B:$B,$A136,Party_Ledger!$G:$G))</f>
        <v/>
      </c>
      <c r="H136" s="5" t="str">
        <f t="shared" si="4"/>
        <v/>
      </c>
      <c r="I136" s="4" t="str">
        <f t="shared" si="5"/>
        <v/>
      </c>
    </row>
    <row r="137" spans="1:9" x14ac:dyDescent="0.2">
      <c r="A137" s="4"/>
      <c r="B137" s="4"/>
      <c r="C137" s="4"/>
      <c r="D137" s="4"/>
      <c r="E137" s="5"/>
      <c r="F137" s="5" t="str">
        <f>IF($A137="","",SUMIF(Party_Ledger!$B:$B,$A137,Party_Ledger!$F:$F))</f>
        <v/>
      </c>
      <c r="G137" s="5" t="str">
        <f>IF($A137="","",SUMIF(Party_Ledger!$B:$B,$A137,Party_Ledger!$G:$G))</f>
        <v/>
      </c>
      <c r="H137" s="5" t="str">
        <f t="shared" si="4"/>
        <v/>
      </c>
      <c r="I137" s="4" t="str">
        <f t="shared" si="5"/>
        <v/>
      </c>
    </row>
    <row r="138" spans="1:9" x14ac:dyDescent="0.2">
      <c r="A138" s="4"/>
      <c r="B138" s="4"/>
      <c r="C138" s="4"/>
      <c r="D138" s="4"/>
      <c r="E138" s="5"/>
      <c r="F138" s="5" t="str">
        <f>IF($A138="","",SUMIF(Party_Ledger!$B:$B,$A138,Party_Ledger!$F:$F))</f>
        <v/>
      </c>
      <c r="G138" s="5" t="str">
        <f>IF($A138="","",SUMIF(Party_Ledger!$B:$B,$A138,Party_Ledger!$G:$G))</f>
        <v/>
      </c>
      <c r="H138" s="5" t="str">
        <f t="shared" si="4"/>
        <v/>
      </c>
      <c r="I138" s="4" t="str">
        <f t="shared" si="5"/>
        <v/>
      </c>
    </row>
    <row r="139" spans="1:9" x14ac:dyDescent="0.2">
      <c r="A139" s="4"/>
      <c r="B139" s="4"/>
      <c r="C139" s="4"/>
      <c r="D139" s="4"/>
      <c r="E139" s="5"/>
      <c r="F139" s="5" t="str">
        <f>IF($A139="","",SUMIF(Party_Ledger!$B:$B,$A139,Party_Ledger!$F:$F))</f>
        <v/>
      </c>
      <c r="G139" s="5" t="str">
        <f>IF($A139="","",SUMIF(Party_Ledger!$B:$B,$A139,Party_Ledger!$G:$G))</f>
        <v/>
      </c>
      <c r="H139" s="5" t="str">
        <f t="shared" si="4"/>
        <v/>
      </c>
      <c r="I139" s="4" t="str">
        <f t="shared" si="5"/>
        <v/>
      </c>
    </row>
    <row r="140" spans="1:9" x14ac:dyDescent="0.2">
      <c r="A140" s="4"/>
      <c r="B140" s="4"/>
      <c r="C140" s="4"/>
      <c r="D140" s="4"/>
      <c r="E140" s="5"/>
      <c r="F140" s="5" t="str">
        <f>IF($A140="","",SUMIF(Party_Ledger!$B:$B,$A140,Party_Ledger!$F:$F))</f>
        <v/>
      </c>
      <c r="G140" s="5" t="str">
        <f>IF($A140="","",SUMIF(Party_Ledger!$B:$B,$A140,Party_Ledger!$G:$G))</f>
        <v/>
      </c>
      <c r="H140" s="5" t="str">
        <f t="shared" si="4"/>
        <v/>
      </c>
      <c r="I140" s="4" t="str">
        <f t="shared" si="5"/>
        <v/>
      </c>
    </row>
    <row r="141" spans="1:9" x14ac:dyDescent="0.2">
      <c r="A141" s="4"/>
      <c r="B141" s="4"/>
      <c r="C141" s="4"/>
      <c r="D141" s="4"/>
      <c r="E141" s="5"/>
      <c r="F141" s="5" t="str">
        <f>IF($A141="","",SUMIF(Party_Ledger!$B:$B,$A141,Party_Ledger!$F:$F))</f>
        <v/>
      </c>
      <c r="G141" s="5" t="str">
        <f>IF($A141="","",SUMIF(Party_Ledger!$B:$B,$A141,Party_Ledger!$G:$G))</f>
        <v/>
      </c>
      <c r="H141" s="5" t="str">
        <f t="shared" si="4"/>
        <v/>
      </c>
      <c r="I141" s="4" t="str">
        <f t="shared" si="5"/>
        <v/>
      </c>
    </row>
    <row r="142" spans="1:9" x14ac:dyDescent="0.2">
      <c r="A142" s="4"/>
      <c r="B142" s="4"/>
      <c r="C142" s="4"/>
      <c r="D142" s="4"/>
      <c r="E142" s="5"/>
      <c r="F142" s="5" t="str">
        <f>IF($A142="","",SUMIF(Party_Ledger!$B:$B,$A142,Party_Ledger!$F:$F))</f>
        <v/>
      </c>
      <c r="G142" s="5" t="str">
        <f>IF($A142="","",SUMIF(Party_Ledger!$B:$B,$A142,Party_Ledger!$G:$G))</f>
        <v/>
      </c>
      <c r="H142" s="5" t="str">
        <f t="shared" si="4"/>
        <v/>
      </c>
      <c r="I142" s="4" t="str">
        <f t="shared" si="5"/>
        <v/>
      </c>
    </row>
    <row r="143" spans="1:9" x14ac:dyDescent="0.2">
      <c r="A143" s="4"/>
      <c r="B143" s="4"/>
      <c r="C143" s="4"/>
      <c r="D143" s="4"/>
      <c r="E143" s="5"/>
      <c r="F143" s="5" t="str">
        <f>IF($A143="","",SUMIF(Party_Ledger!$B:$B,$A143,Party_Ledger!$F:$F))</f>
        <v/>
      </c>
      <c r="G143" s="5" t="str">
        <f>IF($A143="","",SUMIF(Party_Ledger!$B:$B,$A143,Party_Ledger!$G:$G))</f>
        <v/>
      </c>
      <c r="H143" s="5" t="str">
        <f t="shared" si="4"/>
        <v/>
      </c>
      <c r="I143" s="4" t="str">
        <f t="shared" si="5"/>
        <v/>
      </c>
    </row>
    <row r="144" spans="1:9" x14ac:dyDescent="0.2">
      <c r="A144" s="4"/>
      <c r="B144" s="4"/>
      <c r="C144" s="4"/>
      <c r="D144" s="4"/>
      <c r="E144" s="5"/>
      <c r="F144" s="5" t="str">
        <f>IF($A144="","",SUMIF(Party_Ledger!$B:$B,$A144,Party_Ledger!$F:$F))</f>
        <v/>
      </c>
      <c r="G144" s="5" t="str">
        <f>IF($A144="","",SUMIF(Party_Ledger!$B:$B,$A144,Party_Ledger!$G:$G))</f>
        <v/>
      </c>
      <c r="H144" s="5" t="str">
        <f t="shared" si="4"/>
        <v/>
      </c>
      <c r="I144" s="4" t="str">
        <f t="shared" si="5"/>
        <v/>
      </c>
    </row>
    <row r="145" spans="1:9" x14ac:dyDescent="0.2">
      <c r="A145" s="4"/>
      <c r="B145" s="4"/>
      <c r="C145" s="4"/>
      <c r="D145" s="4"/>
      <c r="E145" s="5"/>
      <c r="F145" s="5" t="str">
        <f>IF($A145="","",SUMIF(Party_Ledger!$B:$B,$A145,Party_Ledger!$F:$F))</f>
        <v/>
      </c>
      <c r="G145" s="5" t="str">
        <f>IF($A145="","",SUMIF(Party_Ledger!$B:$B,$A145,Party_Ledger!$G:$G))</f>
        <v/>
      </c>
      <c r="H145" s="5" t="str">
        <f t="shared" si="4"/>
        <v/>
      </c>
      <c r="I145" s="4" t="str">
        <f t="shared" si="5"/>
        <v/>
      </c>
    </row>
    <row r="146" spans="1:9" x14ac:dyDescent="0.2">
      <c r="A146" s="4"/>
      <c r="B146" s="4"/>
      <c r="C146" s="4"/>
      <c r="D146" s="4"/>
      <c r="E146" s="5"/>
      <c r="F146" s="5" t="str">
        <f>IF($A146="","",SUMIF(Party_Ledger!$B:$B,$A146,Party_Ledger!$F:$F))</f>
        <v/>
      </c>
      <c r="G146" s="5" t="str">
        <f>IF($A146="","",SUMIF(Party_Ledger!$B:$B,$A146,Party_Ledger!$G:$G))</f>
        <v/>
      </c>
      <c r="H146" s="5" t="str">
        <f t="shared" si="4"/>
        <v/>
      </c>
      <c r="I146" s="4" t="str">
        <f t="shared" si="5"/>
        <v/>
      </c>
    </row>
    <row r="147" spans="1:9" x14ac:dyDescent="0.2">
      <c r="A147" s="4"/>
      <c r="B147" s="4"/>
      <c r="C147" s="4"/>
      <c r="D147" s="4"/>
      <c r="E147" s="5"/>
      <c r="F147" s="5" t="str">
        <f>IF($A147="","",SUMIF(Party_Ledger!$B:$B,$A147,Party_Ledger!$F:$F))</f>
        <v/>
      </c>
      <c r="G147" s="5" t="str">
        <f>IF($A147="","",SUMIF(Party_Ledger!$B:$B,$A147,Party_Ledger!$G:$G))</f>
        <v/>
      </c>
      <c r="H147" s="5" t="str">
        <f t="shared" si="4"/>
        <v/>
      </c>
      <c r="I147" s="4" t="str">
        <f t="shared" si="5"/>
        <v/>
      </c>
    </row>
    <row r="148" spans="1:9" x14ac:dyDescent="0.2">
      <c r="A148" s="4"/>
      <c r="B148" s="4"/>
      <c r="C148" s="4"/>
      <c r="D148" s="4"/>
      <c r="E148" s="5"/>
      <c r="F148" s="5" t="str">
        <f>IF($A148="","",SUMIF(Party_Ledger!$B:$B,$A148,Party_Ledger!$F:$F))</f>
        <v/>
      </c>
      <c r="G148" s="5" t="str">
        <f>IF($A148="","",SUMIF(Party_Ledger!$B:$B,$A148,Party_Ledger!$G:$G))</f>
        <v/>
      </c>
      <c r="H148" s="5" t="str">
        <f t="shared" si="4"/>
        <v/>
      </c>
      <c r="I148" s="4" t="str">
        <f t="shared" si="5"/>
        <v/>
      </c>
    </row>
    <row r="149" spans="1:9" x14ac:dyDescent="0.2">
      <c r="A149" s="4"/>
      <c r="B149" s="4"/>
      <c r="C149" s="4"/>
      <c r="D149" s="4"/>
      <c r="E149" s="5"/>
      <c r="F149" s="5" t="str">
        <f>IF($A149="","",SUMIF(Party_Ledger!$B:$B,$A149,Party_Ledger!$F:$F))</f>
        <v/>
      </c>
      <c r="G149" s="5" t="str">
        <f>IF($A149="","",SUMIF(Party_Ledger!$B:$B,$A149,Party_Ledger!$G:$G))</f>
        <v/>
      </c>
      <c r="H149" s="5" t="str">
        <f t="shared" si="4"/>
        <v/>
      </c>
      <c r="I149" s="4" t="str">
        <f t="shared" si="5"/>
        <v/>
      </c>
    </row>
    <row r="150" spans="1:9" x14ac:dyDescent="0.2">
      <c r="A150" s="4"/>
      <c r="B150" s="4"/>
      <c r="C150" s="4"/>
      <c r="D150" s="4"/>
      <c r="E150" s="5"/>
      <c r="F150" s="5" t="str">
        <f>IF($A150="","",SUMIF(Party_Ledger!$B:$B,$A150,Party_Ledger!$F:$F))</f>
        <v/>
      </c>
      <c r="G150" s="5" t="str">
        <f>IF($A150="","",SUMIF(Party_Ledger!$B:$B,$A150,Party_Ledger!$G:$G))</f>
        <v/>
      </c>
      <c r="H150" s="5" t="str">
        <f t="shared" si="4"/>
        <v/>
      </c>
      <c r="I150" s="4" t="str">
        <f t="shared" si="5"/>
        <v/>
      </c>
    </row>
    <row r="151" spans="1:9" x14ac:dyDescent="0.2">
      <c r="A151" s="4"/>
      <c r="B151" s="4"/>
      <c r="C151" s="4"/>
      <c r="D151" s="4"/>
      <c r="E151" s="5"/>
      <c r="F151" s="5" t="str">
        <f>IF($A151="","",SUMIF(Party_Ledger!$B:$B,$A151,Party_Ledger!$F:$F))</f>
        <v/>
      </c>
      <c r="G151" s="5" t="str">
        <f>IF($A151="","",SUMIF(Party_Ledger!$B:$B,$A151,Party_Ledger!$G:$G))</f>
        <v/>
      </c>
      <c r="H151" s="5" t="str">
        <f t="shared" si="4"/>
        <v/>
      </c>
      <c r="I151" s="4" t="str">
        <f t="shared" si="5"/>
        <v/>
      </c>
    </row>
    <row r="152" spans="1:9" x14ac:dyDescent="0.2">
      <c r="A152" s="4"/>
      <c r="B152" s="4"/>
      <c r="C152" s="4"/>
      <c r="D152" s="4"/>
      <c r="E152" s="5"/>
      <c r="F152" s="5" t="str">
        <f>IF($A152="","",SUMIF(Party_Ledger!$B:$B,$A152,Party_Ledger!$F:$F))</f>
        <v/>
      </c>
      <c r="G152" s="5" t="str">
        <f>IF($A152="","",SUMIF(Party_Ledger!$B:$B,$A152,Party_Ledger!$G:$G))</f>
        <v/>
      </c>
      <c r="H152" s="5" t="str">
        <f t="shared" si="4"/>
        <v/>
      </c>
      <c r="I152" s="4" t="str">
        <f t="shared" si="5"/>
        <v/>
      </c>
    </row>
    <row r="153" spans="1:9" x14ac:dyDescent="0.2">
      <c r="A153" s="4"/>
      <c r="B153" s="4"/>
      <c r="C153" s="4"/>
      <c r="D153" s="4"/>
      <c r="E153" s="5"/>
      <c r="F153" s="5" t="str">
        <f>IF($A153="","",SUMIF(Party_Ledger!$B:$B,$A153,Party_Ledger!$F:$F))</f>
        <v/>
      </c>
      <c r="G153" s="5" t="str">
        <f>IF($A153="","",SUMIF(Party_Ledger!$B:$B,$A153,Party_Ledger!$G:$G))</f>
        <v/>
      </c>
      <c r="H153" s="5" t="str">
        <f t="shared" si="4"/>
        <v/>
      </c>
      <c r="I153" s="4" t="str">
        <f t="shared" si="5"/>
        <v/>
      </c>
    </row>
    <row r="154" spans="1:9" x14ac:dyDescent="0.2">
      <c r="A154" s="4"/>
      <c r="B154" s="4"/>
      <c r="C154" s="4"/>
      <c r="D154" s="4"/>
      <c r="E154" s="5"/>
      <c r="F154" s="5" t="str">
        <f>IF($A154="","",SUMIF(Party_Ledger!$B:$B,$A154,Party_Ledger!$F:$F))</f>
        <v/>
      </c>
      <c r="G154" s="5" t="str">
        <f>IF($A154="","",SUMIF(Party_Ledger!$B:$B,$A154,Party_Ledger!$G:$G))</f>
        <v/>
      </c>
      <c r="H154" s="5" t="str">
        <f t="shared" si="4"/>
        <v/>
      </c>
      <c r="I154" s="4" t="str">
        <f t="shared" si="5"/>
        <v/>
      </c>
    </row>
    <row r="155" spans="1:9" x14ac:dyDescent="0.2">
      <c r="A155" s="4"/>
      <c r="B155" s="4"/>
      <c r="C155" s="4"/>
      <c r="D155" s="4"/>
      <c r="E155" s="5"/>
      <c r="F155" s="5" t="str">
        <f>IF($A155="","",SUMIF(Party_Ledger!$B:$B,$A155,Party_Ledger!$F:$F))</f>
        <v/>
      </c>
      <c r="G155" s="5" t="str">
        <f>IF($A155="","",SUMIF(Party_Ledger!$B:$B,$A155,Party_Ledger!$G:$G))</f>
        <v/>
      </c>
      <c r="H155" s="5" t="str">
        <f t="shared" si="4"/>
        <v/>
      </c>
      <c r="I155" s="4" t="str">
        <f t="shared" si="5"/>
        <v/>
      </c>
    </row>
    <row r="156" spans="1:9" x14ac:dyDescent="0.2">
      <c r="A156" s="4"/>
      <c r="B156" s="4"/>
      <c r="C156" s="4"/>
      <c r="D156" s="4"/>
      <c r="E156" s="5"/>
      <c r="F156" s="5" t="str">
        <f>IF($A156="","",SUMIF(Party_Ledger!$B:$B,$A156,Party_Ledger!$F:$F))</f>
        <v/>
      </c>
      <c r="G156" s="5" t="str">
        <f>IF($A156="","",SUMIF(Party_Ledger!$B:$B,$A156,Party_Ledger!$G:$G))</f>
        <v/>
      </c>
      <c r="H156" s="5" t="str">
        <f t="shared" si="4"/>
        <v/>
      </c>
      <c r="I156" s="4" t="str">
        <f t="shared" si="5"/>
        <v/>
      </c>
    </row>
    <row r="157" spans="1:9" x14ac:dyDescent="0.2">
      <c r="A157" s="4"/>
      <c r="B157" s="4"/>
      <c r="C157" s="4"/>
      <c r="D157" s="4"/>
      <c r="E157" s="5"/>
      <c r="F157" s="5" t="str">
        <f>IF($A157="","",SUMIF(Party_Ledger!$B:$B,$A157,Party_Ledger!$F:$F))</f>
        <v/>
      </c>
      <c r="G157" s="5" t="str">
        <f>IF($A157="","",SUMIF(Party_Ledger!$B:$B,$A157,Party_Ledger!$G:$G))</f>
        <v/>
      </c>
      <c r="H157" s="5" t="str">
        <f t="shared" si="4"/>
        <v/>
      </c>
      <c r="I157" s="4" t="str">
        <f t="shared" si="5"/>
        <v/>
      </c>
    </row>
    <row r="158" spans="1:9" x14ac:dyDescent="0.2">
      <c r="A158" s="4"/>
      <c r="B158" s="4"/>
      <c r="C158" s="4"/>
      <c r="D158" s="4"/>
      <c r="E158" s="5"/>
      <c r="F158" s="5" t="str">
        <f>IF($A158="","",SUMIF(Party_Ledger!$B:$B,$A158,Party_Ledger!$F:$F))</f>
        <v/>
      </c>
      <c r="G158" s="5" t="str">
        <f>IF($A158="","",SUMIF(Party_Ledger!$B:$B,$A158,Party_Ledger!$G:$G))</f>
        <v/>
      </c>
      <c r="H158" s="5" t="str">
        <f t="shared" si="4"/>
        <v/>
      </c>
      <c r="I158" s="4" t="str">
        <f t="shared" si="5"/>
        <v/>
      </c>
    </row>
    <row r="159" spans="1:9" x14ac:dyDescent="0.2">
      <c r="A159" s="4"/>
      <c r="B159" s="4"/>
      <c r="C159" s="4"/>
      <c r="D159" s="4"/>
      <c r="E159" s="5"/>
      <c r="F159" s="5" t="str">
        <f>IF($A159="","",SUMIF(Party_Ledger!$B:$B,$A159,Party_Ledger!$F:$F))</f>
        <v/>
      </c>
      <c r="G159" s="5" t="str">
        <f>IF($A159="","",SUMIF(Party_Ledger!$B:$B,$A159,Party_Ledger!$G:$G))</f>
        <v/>
      </c>
      <c r="H159" s="5" t="str">
        <f t="shared" si="4"/>
        <v/>
      </c>
      <c r="I159" s="4" t="str">
        <f t="shared" si="5"/>
        <v/>
      </c>
    </row>
    <row r="160" spans="1:9" x14ac:dyDescent="0.2">
      <c r="A160" s="4"/>
      <c r="B160" s="4"/>
      <c r="C160" s="4"/>
      <c r="D160" s="4"/>
      <c r="E160" s="5"/>
      <c r="F160" s="5" t="str">
        <f>IF($A160="","",SUMIF(Party_Ledger!$B:$B,$A160,Party_Ledger!$F:$F))</f>
        <v/>
      </c>
      <c r="G160" s="5" t="str">
        <f>IF($A160="","",SUMIF(Party_Ledger!$B:$B,$A160,Party_Ledger!$G:$G))</f>
        <v/>
      </c>
      <c r="H160" s="5" t="str">
        <f t="shared" si="4"/>
        <v/>
      </c>
      <c r="I160" s="4" t="str">
        <f t="shared" si="5"/>
        <v/>
      </c>
    </row>
    <row r="161" spans="1:9" x14ac:dyDescent="0.2">
      <c r="A161" s="4"/>
      <c r="B161" s="4"/>
      <c r="C161" s="4"/>
      <c r="D161" s="4"/>
      <c r="E161" s="5"/>
      <c r="F161" s="5" t="str">
        <f>IF($A161="","",SUMIF(Party_Ledger!$B:$B,$A161,Party_Ledger!$F:$F))</f>
        <v/>
      </c>
      <c r="G161" s="5" t="str">
        <f>IF($A161="","",SUMIF(Party_Ledger!$B:$B,$A161,Party_Ledger!$G:$G))</f>
        <v/>
      </c>
      <c r="H161" s="5" t="str">
        <f t="shared" si="4"/>
        <v/>
      </c>
      <c r="I161" s="4" t="str">
        <f t="shared" si="5"/>
        <v/>
      </c>
    </row>
    <row r="162" spans="1:9" x14ac:dyDescent="0.2">
      <c r="A162" s="4"/>
      <c r="B162" s="4"/>
      <c r="C162" s="4"/>
      <c r="D162" s="4"/>
      <c r="E162" s="5"/>
      <c r="F162" s="5" t="str">
        <f>IF($A162="","",SUMIF(Party_Ledger!$B:$B,$A162,Party_Ledger!$F:$F))</f>
        <v/>
      </c>
      <c r="G162" s="5" t="str">
        <f>IF($A162="","",SUMIF(Party_Ledger!$B:$B,$A162,Party_Ledger!$G:$G))</f>
        <v/>
      </c>
      <c r="H162" s="5" t="str">
        <f t="shared" si="4"/>
        <v/>
      </c>
      <c r="I162" s="4" t="str">
        <f t="shared" si="5"/>
        <v/>
      </c>
    </row>
    <row r="163" spans="1:9" x14ac:dyDescent="0.2">
      <c r="A163" s="4"/>
      <c r="B163" s="4"/>
      <c r="C163" s="4"/>
      <c r="D163" s="4"/>
      <c r="E163" s="5"/>
      <c r="F163" s="5" t="str">
        <f>IF($A163="","",SUMIF(Party_Ledger!$B:$B,$A163,Party_Ledger!$F:$F))</f>
        <v/>
      </c>
      <c r="G163" s="5" t="str">
        <f>IF($A163="","",SUMIF(Party_Ledger!$B:$B,$A163,Party_Ledger!$G:$G))</f>
        <v/>
      </c>
      <c r="H163" s="5" t="str">
        <f t="shared" si="4"/>
        <v/>
      </c>
      <c r="I163" s="4" t="str">
        <f t="shared" si="5"/>
        <v/>
      </c>
    </row>
    <row r="164" spans="1:9" x14ac:dyDescent="0.2">
      <c r="A164" s="4"/>
      <c r="B164" s="4"/>
      <c r="C164" s="4"/>
      <c r="D164" s="4"/>
      <c r="E164" s="5"/>
      <c r="F164" s="5" t="str">
        <f>IF($A164="","",SUMIF(Party_Ledger!$B:$B,$A164,Party_Ledger!$F:$F))</f>
        <v/>
      </c>
      <c r="G164" s="5" t="str">
        <f>IF($A164="","",SUMIF(Party_Ledger!$B:$B,$A164,Party_Ledger!$G:$G))</f>
        <v/>
      </c>
      <c r="H164" s="5" t="str">
        <f t="shared" si="4"/>
        <v/>
      </c>
      <c r="I164" s="4" t="str">
        <f t="shared" si="5"/>
        <v/>
      </c>
    </row>
    <row r="165" spans="1:9" x14ac:dyDescent="0.2">
      <c r="A165" s="4"/>
      <c r="B165" s="4"/>
      <c r="C165" s="4"/>
      <c r="D165" s="4"/>
      <c r="E165" s="5"/>
      <c r="F165" s="5" t="str">
        <f>IF($A165="","",SUMIF(Party_Ledger!$B:$B,$A165,Party_Ledger!$F:$F))</f>
        <v/>
      </c>
      <c r="G165" s="5" t="str">
        <f>IF($A165="","",SUMIF(Party_Ledger!$B:$B,$A165,Party_Ledger!$G:$G))</f>
        <v/>
      </c>
      <c r="H165" s="5" t="str">
        <f t="shared" si="4"/>
        <v/>
      </c>
      <c r="I165" s="4" t="str">
        <f t="shared" si="5"/>
        <v/>
      </c>
    </row>
    <row r="166" spans="1:9" x14ac:dyDescent="0.2">
      <c r="A166" s="4"/>
      <c r="B166" s="4"/>
      <c r="C166" s="4"/>
      <c r="D166" s="4"/>
      <c r="E166" s="5"/>
      <c r="F166" s="5" t="str">
        <f>IF($A166="","",SUMIF(Party_Ledger!$B:$B,$A166,Party_Ledger!$F:$F))</f>
        <v/>
      </c>
      <c r="G166" s="5" t="str">
        <f>IF($A166="","",SUMIF(Party_Ledger!$B:$B,$A166,Party_Ledger!$G:$G))</f>
        <v/>
      </c>
      <c r="H166" s="5" t="str">
        <f t="shared" si="4"/>
        <v/>
      </c>
      <c r="I166" s="4" t="str">
        <f t="shared" si="5"/>
        <v/>
      </c>
    </row>
    <row r="167" spans="1:9" x14ac:dyDescent="0.2">
      <c r="A167" s="4"/>
      <c r="B167" s="4"/>
      <c r="C167" s="4"/>
      <c r="D167" s="4"/>
      <c r="E167" s="5"/>
      <c r="F167" s="5" t="str">
        <f>IF($A167="","",SUMIF(Party_Ledger!$B:$B,$A167,Party_Ledger!$F:$F))</f>
        <v/>
      </c>
      <c r="G167" s="5" t="str">
        <f>IF($A167="","",SUMIF(Party_Ledger!$B:$B,$A167,Party_Ledger!$G:$G))</f>
        <v/>
      </c>
      <c r="H167" s="5" t="str">
        <f t="shared" si="4"/>
        <v/>
      </c>
      <c r="I167" s="4" t="str">
        <f t="shared" si="5"/>
        <v/>
      </c>
    </row>
    <row r="168" spans="1:9" x14ac:dyDescent="0.2">
      <c r="A168" s="4"/>
      <c r="B168" s="4"/>
      <c r="C168" s="4"/>
      <c r="D168" s="4"/>
      <c r="E168" s="5"/>
      <c r="F168" s="5" t="str">
        <f>IF($A168="","",SUMIF(Party_Ledger!$B:$B,$A168,Party_Ledger!$F:$F))</f>
        <v/>
      </c>
      <c r="G168" s="5" t="str">
        <f>IF($A168="","",SUMIF(Party_Ledger!$B:$B,$A168,Party_Ledger!$G:$G))</f>
        <v/>
      </c>
      <c r="H168" s="5" t="str">
        <f t="shared" si="4"/>
        <v/>
      </c>
      <c r="I168" s="4" t="str">
        <f t="shared" si="5"/>
        <v/>
      </c>
    </row>
    <row r="169" spans="1:9" x14ac:dyDescent="0.2">
      <c r="A169" s="4"/>
      <c r="B169" s="4"/>
      <c r="C169" s="4"/>
      <c r="D169" s="4"/>
      <c r="E169" s="5"/>
      <c r="F169" s="5" t="str">
        <f>IF($A169="","",SUMIF(Party_Ledger!$B:$B,$A169,Party_Ledger!$F:$F))</f>
        <v/>
      </c>
      <c r="G169" s="5" t="str">
        <f>IF($A169="","",SUMIF(Party_Ledger!$B:$B,$A169,Party_Ledger!$G:$G))</f>
        <v/>
      </c>
      <c r="H169" s="5" t="str">
        <f t="shared" si="4"/>
        <v/>
      </c>
      <c r="I169" s="4" t="str">
        <f t="shared" si="5"/>
        <v/>
      </c>
    </row>
    <row r="170" spans="1:9" x14ac:dyDescent="0.2">
      <c r="A170" s="4"/>
      <c r="B170" s="4"/>
      <c r="C170" s="4"/>
      <c r="D170" s="4"/>
      <c r="E170" s="5"/>
      <c r="F170" s="5" t="str">
        <f>IF($A170="","",SUMIF(Party_Ledger!$B:$B,$A170,Party_Ledger!$F:$F))</f>
        <v/>
      </c>
      <c r="G170" s="5" t="str">
        <f>IF($A170="","",SUMIF(Party_Ledger!$B:$B,$A170,Party_Ledger!$G:$G))</f>
        <v/>
      </c>
      <c r="H170" s="5" t="str">
        <f t="shared" si="4"/>
        <v/>
      </c>
      <c r="I170" s="4" t="str">
        <f t="shared" si="5"/>
        <v/>
      </c>
    </row>
    <row r="171" spans="1:9" x14ac:dyDescent="0.2">
      <c r="A171" s="4"/>
      <c r="B171" s="4"/>
      <c r="C171" s="4"/>
      <c r="D171" s="4"/>
      <c r="E171" s="5"/>
      <c r="F171" s="5" t="str">
        <f>IF($A171="","",SUMIF(Party_Ledger!$B:$B,$A171,Party_Ledger!$F:$F))</f>
        <v/>
      </c>
      <c r="G171" s="5" t="str">
        <f>IF($A171="","",SUMIF(Party_Ledger!$B:$B,$A171,Party_Ledger!$G:$G))</f>
        <v/>
      </c>
      <c r="H171" s="5" t="str">
        <f t="shared" si="4"/>
        <v/>
      </c>
      <c r="I171" s="4" t="str">
        <f t="shared" si="5"/>
        <v/>
      </c>
    </row>
    <row r="172" spans="1:9" x14ac:dyDescent="0.2">
      <c r="A172" s="4"/>
      <c r="B172" s="4"/>
      <c r="C172" s="4"/>
      <c r="D172" s="4"/>
      <c r="E172" s="5"/>
      <c r="F172" s="5" t="str">
        <f>IF($A172="","",SUMIF(Party_Ledger!$B:$B,$A172,Party_Ledger!$F:$F))</f>
        <v/>
      </c>
      <c r="G172" s="5" t="str">
        <f>IF($A172="","",SUMIF(Party_Ledger!$B:$B,$A172,Party_Ledger!$G:$G))</f>
        <v/>
      </c>
      <c r="H172" s="5" t="str">
        <f t="shared" si="4"/>
        <v/>
      </c>
      <c r="I172" s="4" t="str">
        <f t="shared" si="5"/>
        <v/>
      </c>
    </row>
    <row r="173" spans="1:9" x14ac:dyDescent="0.2">
      <c r="A173" s="4"/>
      <c r="B173" s="4"/>
      <c r="C173" s="4"/>
      <c r="D173" s="4"/>
      <c r="E173" s="5"/>
      <c r="F173" s="5" t="str">
        <f>IF($A173="","",SUMIF(Party_Ledger!$B:$B,$A173,Party_Ledger!$F:$F))</f>
        <v/>
      </c>
      <c r="G173" s="5" t="str">
        <f>IF($A173="","",SUMIF(Party_Ledger!$B:$B,$A173,Party_Ledger!$G:$G))</f>
        <v/>
      </c>
      <c r="H173" s="5" t="str">
        <f t="shared" si="4"/>
        <v/>
      </c>
      <c r="I173" s="4" t="str">
        <f t="shared" si="5"/>
        <v/>
      </c>
    </row>
    <row r="174" spans="1:9" x14ac:dyDescent="0.2">
      <c r="A174" s="4"/>
      <c r="B174" s="4"/>
      <c r="C174" s="4"/>
      <c r="D174" s="4"/>
      <c r="E174" s="5"/>
      <c r="F174" s="5" t="str">
        <f>IF($A174="","",SUMIF(Party_Ledger!$B:$B,$A174,Party_Ledger!$F:$F))</f>
        <v/>
      </c>
      <c r="G174" s="5" t="str">
        <f>IF($A174="","",SUMIF(Party_Ledger!$B:$B,$A174,Party_Ledger!$G:$G))</f>
        <v/>
      </c>
      <c r="H174" s="5" t="str">
        <f t="shared" si="4"/>
        <v/>
      </c>
      <c r="I174" s="4" t="str">
        <f t="shared" si="5"/>
        <v/>
      </c>
    </row>
    <row r="175" spans="1:9" x14ac:dyDescent="0.2">
      <c r="A175" s="4"/>
      <c r="B175" s="4"/>
      <c r="C175" s="4"/>
      <c r="D175" s="4"/>
      <c r="E175" s="5"/>
      <c r="F175" s="5" t="str">
        <f>IF($A175="","",SUMIF(Party_Ledger!$B:$B,$A175,Party_Ledger!$F:$F))</f>
        <v/>
      </c>
      <c r="G175" s="5" t="str">
        <f>IF($A175="","",SUMIF(Party_Ledger!$B:$B,$A175,Party_Ledger!$G:$G))</f>
        <v/>
      </c>
      <c r="H175" s="5" t="str">
        <f t="shared" si="4"/>
        <v/>
      </c>
      <c r="I175" s="4" t="str">
        <f t="shared" si="5"/>
        <v/>
      </c>
    </row>
    <row r="176" spans="1:9" x14ac:dyDescent="0.2">
      <c r="A176" s="4"/>
      <c r="B176" s="4"/>
      <c r="C176" s="4"/>
      <c r="D176" s="4"/>
      <c r="E176" s="5"/>
      <c r="F176" s="5" t="str">
        <f>IF($A176="","",SUMIF(Party_Ledger!$B:$B,$A176,Party_Ledger!$F:$F))</f>
        <v/>
      </c>
      <c r="G176" s="5" t="str">
        <f>IF($A176="","",SUMIF(Party_Ledger!$B:$B,$A176,Party_Ledger!$G:$G))</f>
        <v/>
      </c>
      <c r="H176" s="5" t="str">
        <f t="shared" si="4"/>
        <v/>
      </c>
      <c r="I176" s="4" t="str">
        <f t="shared" si="5"/>
        <v/>
      </c>
    </row>
    <row r="177" spans="1:9" x14ac:dyDescent="0.2">
      <c r="A177" s="4"/>
      <c r="B177" s="4"/>
      <c r="C177" s="4"/>
      <c r="D177" s="4"/>
      <c r="E177" s="5"/>
      <c r="F177" s="5" t="str">
        <f>IF($A177="","",SUMIF(Party_Ledger!$B:$B,$A177,Party_Ledger!$F:$F))</f>
        <v/>
      </c>
      <c r="G177" s="5" t="str">
        <f>IF($A177="","",SUMIF(Party_Ledger!$B:$B,$A177,Party_Ledger!$G:$G))</f>
        <v/>
      </c>
      <c r="H177" s="5" t="str">
        <f t="shared" si="4"/>
        <v/>
      </c>
      <c r="I177" s="4" t="str">
        <f t="shared" si="5"/>
        <v/>
      </c>
    </row>
    <row r="178" spans="1:9" x14ac:dyDescent="0.2">
      <c r="A178" s="4"/>
      <c r="B178" s="4"/>
      <c r="C178" s="4"/>
      <c r="D178" s="4"/>
      <c r="E178" s="5"/>
      <c r="F178" s="5" t="str">
        <f>IF($A178="","",SUMIF(Party_Ledger!$B:$B,$A178,Party_Ledger!$F:$F))</f>
        <v/>
      </c>
      <c r="G178" s="5" t="str">
        <f>IF($A178="","",SUMIF(Party_Ledger!$B:$B,$A178,Party_Ledger!$G:$G))</f>
        <v/>
      </c>
      <c r="H178" s="5" t="str">
        <f t="shared" si="4"/>
        <v/>
      </c>
      <c r="I178" s="4" t="str">
        <f t="shared" si="5"/>
        <v/>
      </c>
    </row>
    <row r="179" spans="1:9" x14ac:dyDescent="0.2">
      <c r="A179" s="4"/>
      <c r="B179" s="4"/>
      <c r="C179" s="4"/>
      <c r="D179" s="4"/>
      <c r="E179" s="5"/>
      <c r="F179" s="5" t="str">
        <f>IF($A179="","",SUMIF(Party_Ledger!$B:$B,$A179,Party_Ledger!$F:$F))</f>
        <v/>
      </c>
      <c r="G179" s="5" t="str">
        <f>IF($A179="","",SUMIF(Party_Ledger!$B:$B,$A179,Party_Ledger!$G:$G))</f>
        <v/>
      </c>
      <c r="H179" s="5" t="str">
        <f t="shared" si="4"/>
        <v/>
      </c>
      <c r="I179" s="4" t="str">
        <f t="shared" si="5"/>
        <v/>
      </c>
    </row>
    <row r="180" spans="1:9" x14ac:dyDescent="0.2">
      <c r="A180" s="4"/>
      <c r="B180" s="4"/>
      <c r="C180" s="4"/>
      <c r="D180" s="4"/>
      <c r="E180" s="5"/>
      <c r="F180" s="5" t="str">
        <f>IF($A180="","",SUMIF(Party_Ledger!$B:$B,$A180,Party_Ledger!$F:$F))</f>
        <v/>
      </c>
      <c r="G180" s="5" t="str">
        <f>IF($A180="","",SUMIF(Party_Ledger!$B:$B,$A180,Party_Ledger!$G:$G))</f>
        <v/>
      </c>
      <c r="H180" s="5" t="str">
        <f t="shared" si="4"/>
        <v/>
      </c>
      <c r="I180" s="4" t="str">
        <f t="shared" si="5"/>
        <v/>
      </c>
    </row>
    <row r="181" spans="1:9" x14ac:dyDescent="0.2">
      <c r="A181" s="4"/>
      <c r="B181" s="4"/>
      <c r="C181" s="4"/>
      <c r="D181" s="4"/>
      <c r="E181" s="5"/>
      <c r="F181" s="5" t="str">
        <f>IF($A181="","",SUMIF(Party_Ledger!$B:$B,$A181,Party_Ledger!$F:$F))</f>
        <v/>
      </c>
      <c r="G181" s="5" t="str">
        <f>IF($A181="","",SUMIF(Party_Ledger!$B:$B,$A181,Party_Ledger!$G:$G))</f>
        <v/>
      </c>
      <c r="H181" s="5" t="str">
        <f t="shared" si="4"/>
        <v/>
      </c>
      <c r="I181" s="4" t="str">
        <f t="shared" si="5"/>
        <v/>
      </c>
    </row>
    <row r="182" spans="1:9" x14ac:dyDescent="0.2">
      <c r="A182" s="4"/>
      <c r="B182" s="4"/>
      <c r="C182" s="4"/>
      <c r="D182" s="4"/>
      <c r="E182" s="5"/>
      <c r="F182" s="5" t="str">
        <f>IF($A182="","",SUMIF(Party_Ledger!$B:$B,$A182,Party_Ledger!$F:$F))</f>
        <v/>
      </c>
      <c r="G182" s="5" t="str">
        <f>IF($A182="","",SUMIF(Party_Ledger!$B:$B,$A182,Party_Ledger!$G:$G))</f>
        <v/>
      </c>
      <c r="H182" s="5" t="str">
        <f t="shared" si="4"/>
        <v/>
      </c>
      <c r="I182" s="4" t="str">
        <f t="shared" si="5"/>
        <v/>
      </c>
    </row>
    <row r="183" spans="1:9" x14ac:dyDescent="0.2">
      <c r="A183" s="4"/>
      <c r="B183" s="4"/>
      <c r="C183" s="4"/>
      <c r="D183" s="4"/>
      <c r="E183" s="5"/>
      <c r="F183" s="5" t="str">
        <f>IF($A183="","",SUMIF(Party_Ledger!$B:$B,$A183,Party_Ledger!$F:$F))</f>
        <v/>
      </c>
      <c r="G183" s="5" t="str">
        <f>IF($A183="","",SUMIF(Party_Ledger!$B:$B,$A183,Party_Ledger!$G:$G))</f>
        <v/>
      </c>
      <c r="H183" s="5" t="str">
        <f t="shared" si="4"/>
        <v/>
      </c>
      <c r="I183" s="4" t="str">
        <f t="shared" si="5"/>
        <v/>
      </c>
    </row>
    <row r="184" spans="1:9" x14ac:dyDescent="0.2">
      <c r="A184" s="4"/>
      <c r="B184" s="4"/>
      <c r="C184" s="4"/>
      <c r="D184" s="4"/>
      <c r="E184" s="5"/>
      <c r="F184" s="5" t="str">
        <f>IF($A184="","",SUMIF(Party_Ledger!$B:$B,$A184,Party_Ledger!$F:$F))</f>
        <v/>
      </c>
      <c r="G184" s="5" t="str">
        <f>IF($A184="","",SUMIF(Party_Ledger!$B:$B,$A184,Party_Ledger!$G:$G))</f>
        <v/>
      </c>
      <c r="H184" s="5" t="str">
        <f t="shared" si="4"/>
        <v/>
      </c>
      <c r="I184" s="4" t="str">
        <f t="shared" si="5"/>
        <v/>
      </c>
    </row>
    <row r="185" spans="1:9" x14ac:dyDescent="0.2">
      <c r="A185" s="4"/>
      <c r="B185" s="4"/>
      <c r="C185" s="4"/>
      <c r="D185" s="4"/>
      <c r="E185" s="5"/>
      <c r="F185" s="5" t="str">
        <f>IF($A185="","",SUMIF(Party_Ledger!$B:$B,$A185,Party_Ledger!$F:$F))</f>
        <v/>
      </c>
      <c r="G185" s="5" t="str">
        <f>IF($A185="","",SUMIF(Party_Ledger!$B:$B,$A185,Party_Ledger!$G:$G))</f>
        <v/>
      </c>
      <c r="H185" s="5" t="str">
        <f t="shared" si="4"/>
        <v/>
      </c>
      <c r="I185" s="4" t="str">
        <f t="shared" si="5"/>
        <v/>
      </c>
    </row>
    <row r="186" spans="1:9" x14ac:dyDescent="0.2">
      <c r="A186" s="4"/>
      <c r="B186" s="4"/>
      <c r="C186" s="4"/>
      <c r="D186" s="4"/>
      <c r="E186" s="5"/>
      <c r="F186" s="5" t="str">
        <f>IF($A186="","",SUMIF(Party_Ledger!$B:$B,$A186,Party_Ledger!$F:$F))</f>
        <v/>
      </c>
      <c r="G186" s="5" t="str">
        <f>IF($A186="","",SUMIF(Party_Ledger!$B:$B,$A186,Party_Ledger!$G:$G))</f>
        <v/>
      </c>
      <c r="H186" s="5" t="str">
        <f t="shared" si="4"/>
        <v/>
      </c>
      <c r="I186" s="4" t="str">
        <f t="shared" si="5"/>
        <v/>
      </c>
    </row>
    <row r="187" spans="1:9" x14ac:dyDescent="0.2">
      <c r="A187" s="4"/>
      <c r="B187" s="4"/>
      <c r="C187" s="4"/>
      <c r="D187" s="4"/>
      <c r="E187" s="5"/>
      <c r="F187" s="5" t="str">
        <f>IF($A187="","",SUMIF(Party_Ledger!$B:$B,$A187,Party_Ledger!$F:$F))</f>
        <v/>
      </c>
      <c r="G187" s="5" t="str">
        <f>IF($A187="","",SUMIF(Party_Ledger!$B:$B,$A187,Party_Ledger!$G:$G))</f>
        <v/>
      </c>
      <c r="H187" s="5" t="str">
        <f t="shared" si="4"/>
        <v/>
      </c>
      <c r="I187" s="4" t="str">
        <f t="shared" si="5"/>
        <v/>
      </c>
    </row>
    <row r="188" spans="1:9" x14ac:dyDescent="0.2">
      <c r="A188" s="4"/>
      <c r="B188" s="4"/>
      <c r="C188" s="4"/>
      <c r="D188" s="4"/>
      <c r="E188" s="5"/>
      <c r="F188" s="5" t="str">
        <f>IF($A188="","",SUMIF(Party_Ledger!$B:$B,$A188,Party_Ledger!$F:$F))</f>
        <v/>
      </c>
      <c r="G188" s="5" t="str">
        <f>IF($A188="","",SUMIF(Party_Ledger!$B:$B,$A188,Party_Ledger!$G:$G))</f>
        <v/>
      </c>
      <c r="H188" s="5" t="str">
        <f t="shared" si="4"/>
        <v/>
      </c>
      <c r="I188" s="4" t="str">
        <f t="shared" si="5"/>
        <v/>
      </c>
    </row>
    <row r="189" spans="1:9" x14ac:dyDescent="0.2">
      <c r="A189" s="4"/>
      <c r="B189" s="4"/>
      <c r="C189" s="4"/>
      <c r="D189" s="4"/>
      <c r="E189" s="5"/>
      <c r="F189" s="5" t="str">
        <f>IF($A189="","",SUMIF(Party_Ledger!$B:$B,$A189,Party_Ledger!$F:$F))</f>
        <v/>
      </c>
      <c r="G189" s="5" t="str">
        <f>IF($A189="","",SUMIF(Party_Ledger!$B:$B,$A189,Party_Ledger!$G:$G))</f>
        <v/>
      </c>
      <c r="H189" s="5" t="str">
        <f t="shared" si="4"/>
        <v/>
      </c>
      <c r="I189" s="4" t="str">
        <f t="shared" si="5"/>
        <v/>
      </c>
    </row>
    <row r="190" spans="1:9" x14ac:dyDescent="0.2">
      <c r="A190" s="4"/>
      <c r="B190" s="4"/>
      <c r="C190" s="4"/>
      <c r="D190" s="4"/>
      <c r="E190" s="5"/>
      <c r="F190" s="5" t="str">
        <f>IF($A190="","",SUMIF(Party_Ledger!$B:$B,$A190,Party_Ledger!$F:$F))</f>
        <v/>
      </c>
      <c r="G190" s="5" t="str">
        <f>IF($A190="","",SUMIF(Party_Ledger!$B:$B,$A190,Party_Ledger!$G:$G))</f>
        <v/>
      </c>
      <c r="H190" s="5" t="str">
        <f t="shared" si="4"/>
        <v/>
      </c>
      <c r="I190" s="4" t="str">
        <f t="shared" si="5"/>
        <v/>
      </c>
    </row>
    <row r="191" spans="1:9" x14ac:dyDescent="0.2">
      <c r="A191" s="4"/>
      <c r="B191" s="4"/>
      <c r="C191" s="4"/>
      <c r="D191" s="4"/>
      <c r="E191" s="5"/>
      <c r="F191" s="5" t="str">
        <f>IF($A191="","",SUMIF(Party_Ledger!$B:$B,$A191,Party_Ledger!$F:$F))</f>
        <v/>
      </c>
      <c r="G191" s="5" t="str">
        <f>IF($A191="","",SUMIF(Party_Ledger!$B:$B,$A191,Party_Ledger!$G:$G))</f>
        <v/>
      </c>
      <c r="H191" s="5" t="str">
        <f t="shared" si="4"/>
        <v/>
      </c>
      <c r="I191" s="4" t="str">
        <f t="shared" si="5"/>
        <v/>
      </c>
    </row>
    <row r="192" spans="1:9" x14ac:dyDescent="0.2">
      <c r="A192" s="4"/>
      <c r="B192" s="4"/>
      <c r="C192" s="4"/>
      <c r="D192" s="4"/>
      <c r="E192" s="5"/>
      <c r="F192" s="5" t="str">
        <f>IF($A192="","",SUMIF(Party_Ledger!$B:$B,$A192,Party_Ledger!$F:$F))</f>
        <v/>
      </c>
      <c r="G192" s="5" t="str">
        <f>IF($A192="","",SUMIF(Party_Ledger!$B:$B,$A192,Party_Ledger!$G:$G))</f>
        <v/>
      </c>
      <c r="H192" s="5" t="str">
        <f t="shared" si="4"/>
        <v/>
      </c>
      <c r="I192" s="4" t="str">
        <f t="shared" si="5"/>
        <v/>
      </c>
    </row>
    <row r="193" spans="1:9" x14ac:dyDescent="0.2">
      <c r="A193" s="4"/>
      <c r="B193" s="4"/>
      <c r="C193" s="4"/>
      <c r="D193" s="4"/>
      <c r="E193" s="5"/>
      <c r="F193" s="5" t="str">
        <f>IF($A193="","",SUMIF(Party_Ledger!$B:$B,$A193,Party_Ledger!$F:$F))</f>
        <v/>
      </c>
      <c r="G193" s="5" t="str">
        <f>IF($A193="","",SUMIF(Party_Ledger!$B:$B,$A193,Party_Ledger!$G:$G))</f>
        <v/>
      </c>
      <c r="H193" s="5" t="str">
        <f t="shared" si="4"/>
        <v/>
      </c>
      <c r="I193" s="4" t="str">
        <f t="shared" si="5"/>
        <v/>
      </c>
    </row>
    <row r="194" spans="1:9" x14ac:dyDescent="0.2">
      <c r="A194" s="4"/>
      <c r="B194" s="4"/>
      <c r="C194" s="4"/>
      <c r="D194" s="4"/>
      <c r="E194" s="5"/>
      <c r="F194" s="5" t="str">
        <f>IF($A194="","",SUMIF(Party_Ledger!$B:$B,$A194,Party_Ledger!$F:$F))</f>
        <v/>
      </c>
      <c r="G194" s="5" t="str">
        <f>IF($A194="","",SUMIF(Party_Ledger!$B:$B,$A194,Party_Ledger!$G:$G))</f>
        <v/>
      </c>
      <c r="H194" s="5" t="str">
        <f t="shared" si="4"/>
        <v/>
      </c>
      <c r="I194" s="4" t="str">
        <f t="shared" si="5"/>
        <v/>
      </c>
    </row>
    <row r="195" spans="1:9" x14ac:dyDescent="0.2">
      <c r="A195" s="4"/>
      <c r="B195" s="4"/>
      <c r="C195" s="4"/>
      <c r="D195" s="4"/>
      <c r="E195" s="5"/>
      <c r="F195" s="5" t="str">
        <f>IF($A195="","",SUMIF(Party_Ledger!$B:$B,$A195,Party_Ledger!$F:$F))</f>
        <v/>
      </c>
      <c r="G195" s="5" t="str">
        <f>IF($A195="","",SUMIF(Party_Ledger!$B:$B,$A195,Party_Ledger!$G:$G))</f>
        <v/>
      </c>
      <c r="H195" s="5" t="str">
        <f t="shared" ref="H195:H258" si="6">IF($A195="","",$E195+$F195-$G195)</f>
        <v/>
      </c>
      <c r="I195" s="4" t="str">
        <f t="shared" ref="I195:I258" si="7">IF($A195="","",IF(ROUND($H195,0)=0,"Settled",IF($H195&gt;0,"Outstanding","Advance")))</f>
        <v/>
      </c>
    </row>
    <row r="196" spans="1:9" x14ac:dyDescent="0.2">
      <c r="A196" s="4"/>
      <c r="B196" s="4"/>
      <c r="C196" s="4"/>
      <c r="D196" s="4"/>
      <c r="E196" s="5"/>
      <c r="F196" s="5" t="str">
        <f>IF($A196="","",SUMIF(Party_Ledger!$B:$B,$A196,Party_Ledger!$F:$F))</f>
        <v/>
      </c>
      <c r="G196" s="5" t="str">
        <f>IF($A196="","",SUMIF(Party_Ledger!$B:$B,$A196,Party_Ledger!$G:$G))</f>
        <v/>
      </c>
      <c r="H196" s="5" t="str">
        <f t="shared" si="6"/>
        <v/>
      </c>
      <c r="I196" s="4" t="str">
        <f t="shared" si="7"/>
        <v/>
      </c>
    </row>
    <row r="197" spans="1:9" x14ac:dyDescent="0.2">
      <c r="A197" s="4"/>
      <c r="B197" s="4"/>
      <c r="C197" s="4"/>
      <c r="D197" s="4"/>
      <c r="E197" s="5"/>
      <c r="F197" s="5" t="str">
        <f>IF($A197="","",SUMIF(Party_Ledger!$B:$B,$A197,Party_Ledger!$F:$F))</f>
        <v/>
      </c>
      <c r="G197" s="5" t="str">
        <f>IF($A197="","",SUMIF(Party_Ledger!$B:$B,$A197,Party_Ledger!$G:$G))</f>
        <v/>
      </c>
      <c r="H197" s="5" t="str">
        <f t="shared" si="6"/>
        <v/>
      </c>
      <c r="I197" s="4" t="str">
        <f t="shared" si="7"/>
        <v/>
      </c>
    </row>
    <row r="198" spans="1:9" x14ac:dyDescent="0.2">
      <c r="A198" s="4"/>
      <c r="B198" s="4"/>
      <c r="C198" s="4"/>
      <c r="D198" s="4"/>
      <c r="E198" s="5"/>
      <c r="F198" s="5" t="str">
        <f>IF($A198="","",SUMIF(Party_Ledger!$B:$B,$A198,Party_Ledger!$F:$F))</f>
        <v/>
      </c>
      <c r="G198" s="5" t="str">
        <f>IF($A198="","",SUMIF(Party_Ledger!$B:$B,$A198,Party_Ledger!$G:$G))</f>
        <v/>
      </c>
      <c r="H198" s="5" t="str">
        <f t="shared" si="6"/>
        <v/>
      </c>
      <c r="I198" s="4" t="str">
        <f t="shared" si="7"/>
        <v/>
      </c>
    </row>
    <row r="199" spans="1:9" x14ac:dyDescent="0.2">
      <c r="A199" s="4"/>
      <c r="B199" s="4"/>
      <c r="C199" s="4"/>
      <c r="D199" s="4"/>
      <c r="E199" s="5"/>
      <c r="F199" s="5" t="str">
        <f>IF($A199="","",SUMIF(Party_Ledger!$B:$B,$A199,Party_Ledger!$F:$F))</f>
        <v/>
      </c>
      <c r="G199" s="5" t="str">
        <f>IF($A199="","",SUMIF(Party_Ledger!$B:$B,$A199,Party_Ledger!$G:$G))</f>
        <v/>
      </c>
      <c r="H199" s="5" t="str">
        <f t="shared" si="6"/>
        <v/>
      </c>
      <c r="I199" s="4" t="str">
        <f t="shared" si="7"/>
        <v/>
      </c>
    </row>
    <row r="200" spans="1:9" x14ac:dyDescent="0.2">
      <c r="A200" s="4"/>
      <c r="B200" s="4"/>
      <c r="C200" s="4"/>
      <c r="D200" s="4"/>
      <c r="E200" s="5"/>
      <c r="F200" s="5" t="str">
        <f>IF($A200="","",SUMIF(Party_Ledger!$B:$B,$A200,Party_Ledger!$F:$F))</f>
        <v/>
      </c>
      <c r="G200" s="5" t="str">
        <f>IF($A200="","",SUMIF(Party_Ledger!$B:$B,$A200,Party_Ledger!$G:$G))</f>
        <v/>
      </c>
      <c r="H200" s="5" t="str">
        <f t="shared" si="6"/>
        <v/>
      </c>
      <c r="I200" s="4" t="str">
        <f t="shared" si="7"/>
        <v/>
      </c>
    </row>
    <row r="201" spans="1:9" x14ac:dyDescent="0.2">
      <c r="A201" s="4"/>
      <c r="B201" s="4"/>
      <c r="C201" s="4"/>
      <c r="D201" s="4"/>
      <c r="E201" s="5"/>
      <c r="F201" s="5" t="str">
        <f>IF($A201="","",SUMIF(Party_Ledger!$B:$B,$A201,Party_Ledger!$F:$F))</f>
        <v/>
      </c>
      <c r="G201" s="5" t="str">
        <f>IF($A201="","",SUMIF(Party_Ledger!$B:$B,$A201,Party_Ledger!$G:$G))</f>
        <v/>
      </c>
      <c r="H201" s="5" t="str">
        <f t="shared" si="6"/>
        <v/>
      </c>
      <c r="I201" s="4" t="str">
        <f t="shared" si="7"/>
        <v/>
      </c>
    </row>
    <row r="202" spans="1:9" x14ac:dyDescent="0.2">
      <c r="A202" s="4"/>
      <c r="B202" s="4"/>
      <c r="C202" s="4"/>
      <c r="D202" s="4"/>
      <c r="E202" s="5"/>
      <c r="F202" s="5" t="str">
        <f>IF($A202="","",SUMIF(Party_Ledger!$B:$B,$A202,Party_Ledger!$F:$F))</f>
        <v/>
      </c>
      <c r="G202" s="5" t="str">
        <f>IF($A202="","",SUMIF(Party_Ledger!$B:$B,$A202,Party_Ledger!$G:$G))</f>
        <v/>
      </c>
      <c r="H202" s="5" t="str">
        <f t="shared" si="6"/>
        <v/>
      </c>
      <c r="I202" s="4" t="str">
        <f t="shared" si="7"/>
        <v/>
      </c>
    </row>
    <row r="203" spans="1:9" x14ac:dyDescent="0.2">
      <c r="A203" s="4"/>
      <c r="B203" s="4"/>
      <c r="C203" s="4"/>
      <c r="D203" s="4"/>
      <c r="E203" s="5"/>
      <c r="F203" s="5" t="str">
        <f>IF($A203="","",SUMIF(Party_Ledger!$B:$B,$A203,Party_Ledger!$F:$F))</f>
        <v/>
      </c>
      <c r="G203" s="5" t="str">
        <f>IF($A203="","",SUMIF(Party_Ledger!$B:$B,$A203,Party_Ledger!$G:$G))</f>
        <v/>
      </c>
      <c r="H203" s="5" t="str">
        <f t="shared" si="6"/>
        <v/>
      </c>
      <c r="I203" s="4" t="str">
        <f t="shared" si="7"/>
        <v/>
      </c>
    </row>
    <row r="204" spans="1:9" x14ac:dyDescent="0.2">
      <c r="A204" s="4"/>
      <c r="B204" s="4"/>
      <c r="C204" s="4"/>
      <c r="D204" s="4"/>
      <c r="E204" s="5"/>
      <c r="F204" s="5" t="str">
        <f>IF($A204="","",SUMIF(Party_Ledger!$B:$B,$A204,Party_Ledger!$F:$F))</f>
        <v/>
      </c>
      <c r="G204" s="5" t="str">
        <f>IF($A204="","",SUMIF(Party_Ledger!$B:$B,$A204,Party_Ledger!$G:$G))</f>
        <v/>
      </c>
      <c r="H204" s="5" t="str">
        <f t="shared" si="6"/>
        <v/>
      </c>
      <c r="I204" s="4" t="str">
        <f t="shared" si="7"/>
        <v/>
      </c>
    </row>
    <row r="205" spans="1:9" x14ac:dyDescent="0.2">
      <c r="A205" s="4"/>
      <c r="B205" s="4"/>
      <c r="C205" s="4"/>
      <c r="D205" s="4"/>
      <c r="E205" s="5"/>
      <c r="F205" s="5" t="str">
        <f>IF($A205="","",SUMIF(Party_Ledger!$B:$B,$A205,Party_Ledger!$F:$F))</f>
        <v/>
      </c>
      <c r="G205" s="5" t="str">
        <f>IF($A205="","",SUMIF(Party_Ledger!$B:$B,$A205,Party_Ledger!$G:$G))</f>
        <v/>
      </c>
      <c r="H205" s="5" t="str">
        <f t="shared" si="6"/>
        <v/>
      </c>
      <c r="I205" s="4" t="str">
        <f t="shared" si="7"/>
        <v/>
      </c>
    </row>
    <row r="206" spans="1:9" x14ac:dyDescent="0.2">
      <c r="A206" s="4"/>
      <c r="B206" s="4"/>
      <c r="C206" s="4"/>
      <c r="D206" s="4"/>
      <c r="E206" s="5"/>
      <c r="F206" s="5" t="str">
        <f>IF($A206="","",SUMIF(Party_Ledger!$B:$B,$A206,Party_Ledger!$F:$F))</f>
        <v/>
      </c>
      <c r="G206" s="5" t="str">
        <f>IF($A206="","",SUMIF(Party_Ledger!$B:$B,$A206,Party_Ledger!$G:$G))</f>
        <v/>
      </c>
      <c r="H206" s="5" t="str">
        <f t="shared" si="6"/>
        <v/>
      </c>
      <c r="I206" s="4" t="str">
        <f t="shared" si="7"/>
        <v/>
      </c>
    </row>
    <row r="207" spans="1:9" x14ac:dyDescent="0.2">
      <c r="A207" s="4"/>
      <c r="B207" s="4"/>
      <c r="C207" s="4"/>
      <c r="D207" s="4"/>
      <c r="E207" s="5"/>
      <c r="F207" s="5" t="str">
        <f>IF($A207="","",SUMIF(Party_Ledger!$B:$B,$A207,Party_Ledger!$F:$F))</f>
        <v/>
      </c>
      <c r="G207" s="5" t="str">
        <f>IF($A207="","",SUMIF(Party_Ledger!$B:$B,$A207,Party_Ledger!$G:$G))</f>
        <v/>
      </c>
      <c r="H207" s="5" t="str">
        <f t="shared" si="6"/>
        <v/>
      </c>
      <c r="I207" s="4" t="str">
        <f t="shared" si="7"/>
        <v/>
      </c>
    </row>
    <row r="208" spans="1:9" x14ac:dyDescent="0.2">
      <c r="A208" s="4"/>
      <c r="B208" s="4"/>
      <c r="C208" s="4"/>
      <c r="D208" s="4"/>
      <c r="E208" s="5"/>
      <c r="F208" s="5" t="str">
        <f>IF($A208="","",SUMIF(Party_Ledger!$B:$B,$A208,Party_Ledger!$F:$F))</f>
        <v/>
      </c>
      <c r="G208" s="5" t="str">
        <f>IF($A208="","",SUMIF(Party_Ledger!$B:$B,$A208,Party_Ledger!$G:$G))</f>
        <v/>
      </c>
      <c r="H208" s="5" t="str">
        <f t="shared" si="6"/>
        <v/>
      </c>
      <c r="I208" s="4" t="str">
        <f t="shared" si="7"/>
        <v/>
      </c>
    </row>
    <row r="209" spans="1:9" x14ac:dyDescent="0.2">
      <c r="A209" s="4"/>
      <c r="B209" s="4"/>
      <c r="C209" s="4"/>
      <c r="D209" s="4"/>
      <c r="E209" s="5"/>
      <c r="F209" s="5" t="str">
        <f>IF($A209="","",SUMIF(Party_Ledger!$B:$B,$A209,Party_Ledger!$F:$F))</f>
        <v/>
      </c>
      <c r="G209" s="5" t="str">
        <f>IF($A209="","",SUMIF(Party_Ledger!$B:$B,$A209,Party_Ledger!$G:$G))</f>
        <v/>
      </c>
      <c r="H209" s="5" t="str">
        <f t="shared" si="6"/>
        <v/>
      </c>
      <c r="I209" s="4" t="str">
        <f t="shared" si="7"/>
        <v/>
      </c>
    </row>
    <row r="210" spans="1:9" x14ac:dyDescent="0.2">
      <c r="A210" s="4"/>
      <c r="B210" s="4"/>
      <c r="C210" s="4"/>
      <c r="D210" s="4"/>
      <c r="E210" s="5"/>
      <c r="F210" s="5" t="str">
        <f>IF($A210="","",SUMIF(Party_Ledger!$B:$B,$A210,Party_Ledger!$F:$F))</f>
        <v/>
      </c>
      <c r="G210" s="5" t="str">
        <f>IF($A210="","",SUMIF(Party_Ledger!$B:$B,$A210,Party_Ledger!$G:$G))</f>
        <v/>
      </c>
      <c r="H210" s="5" t="str">
        <f t="shared" si="6"/>
        <v/>
      </c>
      <c r="I210" s="4" t="str">
        <f t="shared" si="7"/>
        <v/>
      </c>
    </row>
    <row r="211" spans="1:9" x14ac:dyDescent="0.2">
      <c r="A211" s="4"/>
      <c r="B211" s="4"/>
      <c r="C211" s="4"/>
      <c r="D211" s="4"/>
      <c r="E211" s="5"/>
      <c r="F211" s="5" t="str">
        <f>IF($A211="","",SUMIF(Party_Ledger!$B:$B,$A211,Party_Ledger!$F:$F))</f>
        <v/>
      </c>
      <c r="G211" s="5" t="str">
        <f>IF($A211="","",SUMIF(Party_Ledger!$B:$B,$A211,Party_Ledger!$G:$G))</f>
        <v/>
      </c>
      <c r="H211" s="5" t="str">
        <f t="shared" si="6"/>
        <v/>
      </c>
      <c r="I211" s="4" t="str">
        <f t="shared" si="7"/>
        <v/>
      </c>
    </row>
    <row r="212" spans="1:9" x14ac:dyDescent="0.2">
      <c r="A212" s="4"/>
      <c r="B212" s="4"/>
      <c r="C212" s="4"/>
      <c r="D212" s="4"/>
      <c r="E212" s="5"/>
      <c r="F212" s="5" t="str">
        <f>IF($A212="","",SUMIF(Party_Ledger!$B:$B,$A212,Party_Ledger!$F:$F))</f>
        <v/>
      </c>
      <c r="G212" s="5" t="str">
        <f>IF($A212="","",SUMIF(Party_Ledger!$B:$B,$A212,Party_Ledger!$G:$G))</f>
        <v/>
      </c>
      <c r="H212" s="5" t="str">
        <f t="shared" si="6"/>
        <v/>
      </c>
      <c r="I212" s="4" t="str">
        <f t="shared" si="7"/>
        <v/>
      </c>
    </row>
    <row r="213" spans="1:9" x14ac:dyDescent="0.2">
      <c r="A213" s="4"/>
      <c r="B213" s="4"/>
      <c r="C213" s="4"/>
      <c r="D213" s="4"/>
      <c r="E213" s="5"/>
      <c r="F213" s="5" t="str">
        <f>IF($A213="","",SUMIF(Party_Ledger!$B:$B,$A213,Party_Ledger!$F:$F))</f>
        <v/>
      </c>
      <c r="G213" s="5" t="str">
        <f>IF($A213="","",SUMIF(Party_Ledger!$B:$B,$A213,Party_Ledger!$G:$G))</f>
        <v/>
      </c>
      <c r="H213" s="5" t="str">
        <f t="shared" si="6"/>
        <v/>
      </c>
      <c r="I213" s="4" t="str">
        <f t="shared" si="7"/>
        <v/>
      </c>
    </row>
    <row r="214" spans="1:9" x14ac:dyDescent="0.2">
      <c r="A214" s="4"/>
      <c r="B214" s="4"/>
      <c r="C214" s="4"/>
      <c r="D214" s="4"/>
      <c r="E214" s="5"/>
      <c r="F214" s="5" t="str">
        <f>IF($A214="","",SUMIF(Party_Ledger!$B:$B,$A214,Party_Ledger!$F:$F))</f>
        <v/>
      </c>
      <c r="G214" s="5" t="str">
        <f>IF($A214="","",SUMIF(Party_Ledger!$B:$B,$A214,Party_Ledger!$G:$G))</f>
        <v/>
      </c>
      <c r="H214" s="5" t="str">
        <f t="shared" si="6"/>
        <v/>
      </c>
      <c r="I214" s="4" t="str">
        <f t="shared" si="7"/>
        <v/>
      </c>
    </row>
    <row r="215" spans="1:9" x14ac:dyDescent="0.2">
      <c r="A215" s="4"/>
      <c r="B215" s="4"/>
      <c r="C215" s="4"/>
      <c r="D215" s="4"/>
      <c r="E215" s="5"/>
      <c r="F215" s="5" t="str">
        <f>IF($A215="","",SUMIF(Party_Ledger!$B:$B,$A215,Party_Ledger!$F:$F))</f>
        <v/>
      </c>
      <c r="G215" s="5" t="str">
        <f>IF($A215="","",SUMIF(Party_Ledger!$B:$B,$A215,Party_Ledger!$G:$G))</f>
        <v/>
      </c>
      <c r="H215" s="5" t="str">
        <f t="shared" si="6"/>
        <v/>
      </c>
      <c r="I215" s="4" t="str">
        <f t="shared" si="7"/>
        <v/>
      </c>
    </row>
    <row r="216" spans="1:9" x14ac:dyDescent="0.2">
      <c r="A216" s="4"/>
      <c r="B216" s="4"/>
      <c r="C216" s="4"/>
      <c r="D216" s="4"/>
      <c r="E216" s="5"/>
      <c r="F216" s="5" t="str">
        <f>IF($A216="","",SUMIF(Party_Ledger!$B:$B,$A216,Party_Ledger!$F:$F))</f>
        <v/>
      </c>
      <c r="G216" s="5" t="str">
        <f>IF($A216="","",SUMIF(Party_Ledger!$B:$B,$A216,Party_Ledger!$G:$G))</f>
        <v/>
      </c>
      <c r="H216" s="5" t="str">
        <f t="shared" si="6"/>
        <v/>
      </c>
      <c r="I216" s="4" t="str">
        <f t="shared" si="7"/>
        <v/>
      </c>
    </row>
    <row r="217" spans="1:9" x14ac:dyDescent="0.2">
      <c r="A217" s="4"/>
      <c r="B217" s="4"/>
      <c r="C217" s="4"/>
      <c r="D217" s="4"/>
      <c r="E217" s="5"/>
      <c r="F217" s="5" t="str">
        <f>IF($A217="","",SUMIF(Party_Ledger!$B:$B,$A217,Party_Ledger!$F:$F))</f>
        <v/>
      </c>
      <c r="G217" s="5" t="str">
        <f>IF($A217="","",SUMIF(Party_Ledger!$B:$B,$A217,Party_Ledger!$G:$G))</f>
        <v/>
      </c>
      <c r="H217" s="5" t="str">
        <f t="shared" si="6"/>
        <v/>
      </c>
      <c r="I217" s="4" t="str">
        <f t="shared" si="7"/>
        <v/>
      </c>
    </row>
    <row r="218" spans="1:9" x14ac:dyDescent="0.2">
      <c r="A218" s="4"/>
      <c r="B218" s="4"/>
      <c r="C218" s="4"/>
      <c r="D218" s="4"/>
      <c r="E218" s="5"/>
      <c r="F218" s="5" t="str">
        <f>IF($A218="","",SUMIF(Party_Ledger!$B:$B,$A218,Party_Ledger!$F:$F))</f>
        <v/>
      </c>
      <c r="G218" s="5" t="str">
        <f>IF($A218="","",SUMIF(Party_Ledger!$B:$B,$A218,Party_Ledger!$G:$G))</f>
        <v/>
      </c>
      <c r="H218" s="5" t="str">
        <f t="shared" si="6"/>
        <v/>
      </c>
      <c r="I218" s="4" t="str">
        <f t="shared" si="7"/>
        <v/>
      </c>
    </row>
    <row r="219" spans="1:9" x14ac:dyDescent="0.2">
      <c r="A219" s="4"/>
      <c r="B219" s="4"/>
      <c r="C219" s="4"/>
      <c r="D219" s="4"/>
      <c r="E219" s="5"/>
      <c r="F219" s="5" t="str">
        <f>IF($A219="","",SUMIF(Party_Ledger!$B:$B,$A219,Party_Ledger!$F:$F))</f>
        <v/>
      </c>
      <c r="G219" s="5" t="str">
        <f>IF($A219="","",SUMIF(Party_Ledger!$B:$B,$A219,Party_Ledger!$G:$G))</f>
        <v/>
      </c>
      <c r="H219" s="5" t="str">
        <f t="shared" si="6"/>
        <v/>
      </c>
      <c r="I219" s="4" t="str">
        <f t="shared" si="7"/>
        <v/>
      </c>
    </row>
    <row r="220" spans="1:9" x14ac:dyDescent="0.2">
      <c r="A220" s="4"/>
      <c r="B220" s="4"/>
      <c r="C220" s="4"/>
      <c r="D220" s="4"/>
      <c r="E220" s="5"/>
      <c r="F220" s="5" t="str">
        <f>IF($A220="","",SUMIF(Party_Ledger!$B:$B,$A220,Party_Ledger!$F:$F))</f>
        <v/>
      </c>
      <c r="G220" s="5" t="str">
        <f>IF($A220="","",SUMIF(Party_Ledger!$B:$B,$A220,Party_Ledger!$G:$G))</f>
        <v/>
      </c>
      <c r="H220" s="5" t="str">
        <f t="shared" si="6"/>
        <v/>
      </c>
      <c r="I220" s="4" t="str">
        <f t="shared" si="7"/>
        <v/>
      </c>
    </row>
    <row r="221" spans="1:9" x14ac:dyDescent="0.2">
      <c r="A221" s="4"/>
      <c r="B221" s="4"/>
      <c r="C221" s="4"/>
      <c r="D221" s="4"/>
      <c r="E221" s="5"/>
      <c r="F221" s="5" t="str">
        <f>IF($A221="","",SUMIF(Party_Ledger!$B:$B,$A221,Party_Ledger!$F:$F))</f>
        <v/>
      </c>
      <c r="G221" s="5" t="str">
        <f>IF($A221="","",SUMIF(Party_Ledger!$B:$B,$A221,Party_Ledger!$G:$G))</f>
        <v/>
      </c>
      <c r="H221" s="5" t="str">
        <f t="shared" si="6"/>
        <v/>
      </c>
      <c r="I221" s="4" t="str">
        <f t="shared" si="7"/>
        <v/>
      </c>
    </row>
    <row r="222" spans="1:9" x14ac:dyDescent="0.2">
      <c r="A222" s="4"/>
      <c r="B222" s="4"/>
      <c r="C222" s="4"/>
      <c r="D222" s="4"/>
      <c r="E222" s="5"/>
      <c r="F222" s="5" t="str">
        <f>IF($A222="","",SUMIF(Party_Ledger!$B:$B,$A222,Party_Ledger!$F:$F))</f>
        <v/>
      </c>
      <c r="G222" s="5" t="str">
        <f>IF($A222="","",SUMIF(Party_Ledger!$B:$B,$A222,Party_Ledger!$G:$G))</f>
        <v/>
      </c>
      <c r="H222" s="5" t="str">
        <f t="shared" si="6"/>
        <v/>
      </c>
      <c r="I222" s="4" t="str">
        <f t="shared" si="7"/>
        <v/>
      </c>
    </row>
    <row r="223" spans="1:9" x14ac:dyDescent="0.2">
      <c r="A223" s="4"/>
      <c r="B223" s="4"/>
      <c r="C223" s="4"/>
      <c r="D223" s="4"/>
      <c r="E223" s="5"/>
      <c r="F223" s="5" t="str">
        <f>IF($A223="","",SUMIF(Party_Ledger!$B:$B,$A223,Party_Ledger!$F:$F))</f>
        <v/>
      </c>
      <c r="G223" s="5" t="str">
        <f>IF($A223="","",SUMIF(Party_Ledger!$B:$B,$A223,Party_Ledger!$G:$G))</f>
        <v/>
      </c>
      <c r="H223" s="5" t="str">
        <f t="shared" si="6"/>
        <v/>
      </c>
      <c r="I223" s="4" t="str">
        <f t="shared" si="7"/>
        <v/>
      </c>
    </row>
    <row r="224" spans="1:9" x14ac:dyDescent="0.2">
      <c r="A224" s="4"/>
      <c r="B224" s="4"/>
      <c r="C224" s="4"/>
      <c r="D224" s="4"/>
      <c r="E224" s="5"/>
      <c r="F224" s="5" t="str">
        <f>IF($A224="","",SUMIF(Party_Ledger!$B:$B,$A224,Party_Ledger!$F:$F))</f>
        <v/>
      </c>
      <c r="G224" s="5" t="str">
        <f>IF($A224="","",SUMIF(Party_Ledger!$B:$B,$A224,Party_Ledger!$G:$G))</f>
        <v/>
      </c>
      <c r="H224" s="5" t="str">
        <f t="shared" si="6"/>
        <v/>
      </c>
      <c r="I224" s="4" t="str">
        <f t="shared" si="7"/>
        <v/>
      </c>
    </row>
    <row r="225" spans="1:9" x14ac:dyDescent="0.2">
      <c r="A225" s="4"/>
      <c r="B225" s="4"/>
      <c r="C225" s="4"/>
      <c r="D225" s="4"/>
      <c r="E225" s="5"/>
      <c r="F225" s="5" t="str">
        <f>IF($A225="","",SUMIF(Party_Ledger!$B:$B,$A225,Party_Ledger!$F:$F))</f>
        <v/>
      </c>
      <c r="G225" s="5" t="str">
        <f>IF($A225="","",SUMIF(Party_Ledger!$B:$B,$A225,Party_Ledger!$G:$G))</f>
        <v/>
      </c>
      <c r="H225" s="5" t="str">
        <f t="shared" si="6"/>
        <v/>
      </c>
      <c r="I225" s="4" t="str">
        <f t="shared" si="7"/>
        <v/>
      </c>
    </row>
    <row r="226" spans="1:9" x14ac:dyDescent="0.2">
      <c r="A226" s="4"/>
      <c r="B226" s="4"/>
      <c r="C226" s="4"/>
      <c r="D226" s="4"/>
      <c r="E226" s="5"/>
      <c r="F226" s="5" t="str">
        <f>IF($A226="","",SUMIF(Party_Ledger!$B:$B,$A226,Party_Ledger!$F:$F))</f>
        <v/>
      </c>
      <c r="G226" s="5" t="str">
        <f>IF($A226="","",SUMIF(Party_Ledger!$B:$B,$A226,Party_Ledger!$G:$G))</f>
        <v/>
      </c>
      <c r="H226" s="5" t="str">
        <f t="shared" si="6"/>
        <v/>
      </c>
      <c r="I226" s="4" t="str">
        <f t="shared" si="7"/>
        <v/>
      </c>
    </row>
    <row r="227" spans="1:9" x14ac:dyDescent="0.2">
      <c r="A227" s="4"/>
      <c r="B227" s="4"/>
      <c r="C227" s="4"/>
      <c r="D227" s="4"/>
      <c r="E227" s="5"/>
      <c r="F227" s="5" t="str">
        <f>IF($A227="","",SUMIF(Party_Ledger!$B:$B,$A227,Party_Ledger!$F:$F))</f>
        <v/>
      </c>
      <c r="G227" s="5" t="str">
        <f>IF($A227="","",SUMIF(Party_Ledger!$B:$B,$A227,Party_Ledger!$G:$G))</f>
        <v/>
      </c>
      <c r="H227" s="5" t="str">
        <f t="shared" si="6"/>
        <v/>
      </c>
      <c r="I227" s="4" t="str">
        <f t="shared" si="7"/>
        <v/>
      </c>
    </row>
    <row r="228" spans="1:9" x14ac:dyDescent="0.2">
      <c r="A228" s="4"/>
      <c r="B228" s="4"/>
      <c r="C228" s="4"/>
      <c r="D228" s="4"/>
      <c r="E228" s="5"/>
      <c r="F228" s="5" t="str">
        <f>IF($A228="","",SUMIF(Party_Ledger!$B:$B,$A228,Party_Ledger!$F:$F))</f>
        <v/>
      </c>
      <c r="G228" s="5" t="str">
        <f>IF($A228="","",SUMIF(Party_Ledger!$B:$B,$A228,Party_Ledger!$G:$G))</f>
        <v/>
      </c>
      <c r="H228" s="5" t="str">
        <f t="shared" si="6"/>
        <v/>
      </c>
      <c r="I228" s="4" t="str">
        <f t="shared" si="7"/>
        <v/>
      </c>
    </row>
    <row r="229" spans="1:9" x14ac:dyDescent="0.2">
      <c r="A229" s="4"/>
      <c r="B229" s="4"/>
      <c r="C229" s="4"/>
      <c r="D229" s="4"/>
      <c r="E229" s="5"/>
      <c r="F229" s="5" t="str">
        <f>IF($A229="","",SUMIF(Party_Ledger!$B:$B,$A229,Party_Ledger!$F:$F))</f>
        <v/>
      </c>
      <c r="G229" s="5" t="str">
        <f>IF($A229="","",SUMIF(Party_Ledger!$B:$B,$A229,Party_Ledger!$G:$G))</f>
        <v/>
      </c>
      <c r="H229" s="5" t="str">
        <f t="shared" si="6"/>
        <v/>
      </c>
      <c r="I229" s="4" t="str">
        <f t="shared" si="7"/>
        <v/>
      </c>
    </row>
    <row r="230" spans="1:9" x14ac:dyDescent="0.2">
      <c r="A230" s="4"/>
      <c r="B230" s="4"/>
      <c r="C230" s="4"/>
      <c r="D230" s="4"/>
      <c r="E230" s="5"/>
      <c r="F230" s="5" t="str">
        <f>IF($A230="","",SUMIF(Party_Ledger!$B:$B,$A230,Party_Ledger!$F:$F))</f>
        <v/>
      </c>
      <c r="G230" s="5" t="str">
        <f>IF($A230="","",SUMIF(Party_Ledger!$B:$B,$A230,Party_Ledger!$G:$G))</f>
        <v/>
      </c>
      <c r="H230" s="5" t="str">
        <f t="shared" si="6"/>
        <v/>
      </c>
      <c r="I230" s="4" t="str">
        <f t="shared" si="7"/>
        <v/>
      </c>
    </row>
    <row r="231" spans="1:9" x14ac:dyDescent="0.2">
      <c r="A231" s="4"/>
      <c r="B231" s="4"/>
      <c r="C231" s="4"/>
      <c r="D231" s="4"/>
      <c r="E231" s="5"/>
      <c r="F231" s="5" t="str">
        <f>IF($A231="","",SUMIF(Party_Ledger!$B:$B,$A231,Party_Ledger!$F:$F))</f>
        <v/>
      </c>
      <c r="G231" s="5" t="str">
        <f>IF($A231="","",SUMIF(Party_Ledger!$B:$B,$A231,Party_Ledger!$G:$G))</f>
        <v/>
      </c>
      <c r="H231" s="5" t="str">
        <f t="shared" si="6"/>
        <v/>
      </c>
      <c r="I231" s="4" t="str">
        <f t="shared" si="7"/>
        <v/>
      </c>
    </row>
    <row r="232" spans="1:9" x14ac:dyDescent="0.2">
      <c r="A232" s="4"/>
      <c r="B232" s="4"/>
      <c r="C232" s="4"/>
      <c r="D232" s="4"/>
      <c r="E232" s="5"/>
      <c r="F232" s="5" t="str">
        <f>IF($A232="","",SUMIF(Party_Ledger!$B:$B,$A232,Party_Ledger!$F:$F))</f>
        <v/>
      </c>
      <c r="G232" s="5" t="str">
        <f>IF($A232="","",SUMIF(Party_Ledger!$B:$B,$A232,Party_Ledger!$G:$G))</f>
        <v/>
      </c>
      <c r="H232" s="5" t="str">
        <f t="shared" si="6"/>
        <v/>
      </c>
      <c r="I232" s="4" t="str">
        <f t="shared" si="7"/>
        <v/>
      </c>
    </row>
    <row r="233" spans="1:9" x14ac:dyDescent="0.2">
      <c r="A233" s="4"/>
      <c r="B233" s="4"/>
      <c r="C233" s="4"/>
      <c r="D233" s="4"/>
      <c r="E233" s="5"/>
      <c r="F233" s="5" t="str">
        <f>IF($A233="","",SUMIF(Party_Ledger!$B:$B,$A233,Party_Ledger!$F:$F))</f>
        <v/>
      </c>
      <c r="G233" s="5" t="str">
        <f>IF($A233="","",SUMIF(Party_Ledger!$B:$B,$A233,Party_Ledger!$G:$G))</f>
        <v/>
      </c>
      <c r="H233" s="5" t="str">
        <f t="shared" si="6"/>
        <v/>
      </c>
      <c r="I233" s="4" t="str">
        <f t="shared" si="7"/>
        <v/>
      </c>
    </row>
    <row r="234" spans="1:9" x14ac:dyDescent="0.2">
      <c r="A234" s="4"/>
      <c r="B234" s="4"/>
      <c r="C234" s="4"/>
      <c r="D234" s="4"/>
      <c r="E234" s="5"/>
      <c r="F234" s="5" t="str">
        <f>IF($A234="","",SUMIF(Party_Ledger!$B:$B,$A234,Party_Ledger!$F:$F))</f>
        <v/>
      </c>
      <c r="G234" s="5" t="str">
        <f>IF($A234="","",SUMIF(Party_Ledger!$B:$B,$A234,Party_Ledger!$G:$G))</f>
        <v/>
      </c>
      <c r="H234" s="5" t="str">
        <f t="shared" si="6"/>
        <v/>
      </c>
      <c r="I234" s="4" t="str">
        <f t="shared" si="7"/>
        <v/>
      </c>
    </row>
    <row r="235" spans="1:9" x14ac:dyDescent="0.2">
      <c r="A235" s="4"/>
      <c r="B235" s="4"/>
      <c r="C235" s="4"/>
      <c r="D235" s="4"/>
      <c r="E235" s="5"/>
      <c r="F235" s="5" t="str">
        <f>IF($A235="","",SUMIF(Party_Ledger!$B:$B,$A235,Party_Ledger!$F:$F))</f>
        <v/>
      </c>
      <c r="G235" s="5" t="str">
        <f>IF($A235="","",SUMIF(Party_Ledger!$B:$B,$A235,Party_Ledger!$G:$G))</f>
        <v/>
      </c>
      <c r="H235" s="5" t="str">
        <f t="shared" si="6"/>
        <v/>
      </c>
      <c r="I235" s="4" t="str">
        <f t="shared" si="7"/>
        <v/>
      </c>
    </row>
    <row r="236" spans="1:9" x14ac:dyDescent="0.2">
      <c r="A236" s="4"/>
      <c r="B236" s="4"/>
      <c r="C236" s="4"/>
      <c r="D236" s="4"/>
      <c r="E236" s="5"/>
      <c r="F236" s="5" t="str">
        <f>IF($A236="","",SUMIF(Party_Ledger!$B:$B,$A236,Party_Ledger!$F:$F))</f>
        <v/>
      </c>
      <c r="G236" s="5" t="str">
        <f>IF($A236="","",SUMIF(Party_Ledger!$B:$B,$A236,Party_Ledger!$G:$G))</f>
        <v/>
      </c>
      <c r="H236" s="5" t="str">
        <f t="shared" si="6"/>
        <v/>
      </c>
      <c r="I236" s="4" t="str">
        <f t="shared" si="7"/>
        <v/>
      </c>
    </row>
    <row r="237" spans="1:9" x14ac:dyDescent="0.2">
      <c r="A237" s="4"/>
      <c r="B237" s="4"/>
      <c r="C237" s="4"/>
      <c r="D237" s="4"/>
      <c r="E237" s="5"/>
      <c r="F237" s="5" t="str">
        <f>IF($A237="","",SUMIF(Party_Ledger!$B:$B,$A237,Party_Ledger!$F:$F))</f>
        <v/>
      </c>
      <c r="G237" s="5" t="str">
        <f>IF($A237="","",SUMIF(Party_Ledger!$B:$B,$A237,Party_Ledger!$G:$G))</f>
        <v/>
      </c>
      <c r="H237" s="5" t="str">
        <f t="shared" si="6"/>
        <v/>
      </c>
      <c r="I237" s="4" t="str">
        <f t="shared" si="7"/>
        <v/>
      </c>
    </row>
    <row r="238" spans="1:9" x14ac:dyDescent="0.2">
      <c r="A238" s="4"/>
      <c r="B238" s="4"/>
      <c r="C238" s="4"/>
      <c r="D238" s="4"/>
      <c r="E238" s="5"/>
      <c r="F238" s="5" t="str">
        <f>IF($A238="","",SUMIF(Party_Ledger!$B:$B,$A238,Party_Ledger!$F:$F))</f>
        <v/>
      </c>
      <c r="G238" s="5" t="str">
        <f>IF($A238="","",SUMIF(Party_Ledger!$B:$B,$A238,Party_Ledger!$G:$G))</f>
        <v/>
      </c>
      <c r="H238" s="5" t="str">
        <f t="shared" si="6"/>
        <v/>
      </c>
      <c r="I238" s="4" t="str">
        <f t="shared" si="7"/>
        <v/>
      </c>
    </row>
    <row r="239" spans="1:9" x14ac:dyDescent="0.2">
      <c r="A239" s="4"/>
      <c r="B239" s="4"/>
      <c r="C239" s="4"/>
      <c r="D239" s="4"/>
      <c r="E239" s="5"/>
      <c r="F239" s="5" t="str">
        <f>IF($A239="","",SUMIF(Party_Ledger!$B:$B,$A239,Party_Ledger!$F:$F))</f>
        <v/>
      </c>
      <c r="G239" s="5" t="str">
        <f>IF($A239="","",SUMIF(Party_Ledger!$B:$B,$A239,Party_Ledger!$G:$G))</f>
        <v/>
      </c>
      <c r="H239" s="5" t="str">
        <f t="shared" si="6"/>
        <v/>
      </c>
      <c r="I239" s="4" t="str">
        <f t="shared" si="7"/>
        <v/>
      </c>
    </row>
    <row r="240" spans="1:9" x14ac:dyDescent="0.2">
      <c r="A240" s="4"/>
      <c r="B240" s="4"/>
      <c r="C240" s="4"/>
      <c r="D240" s="4"/>
      <c r="E240" s="5"/>
      <c r="F240" s="5" t="str">
        <f>IF($A240="","",SUMIF(Party_Ledger!$B:$B,$A240,Party_Ledger!$F:$F))</f>
        <v/>
      </c>
      <c r="G240" s="5" t="str">
        <f>IF($A240="","",SUMIF(Party_Ledger!$B:$B,$A240,Party_Ledger!$G:$G))</f>
        <v/>
      </c>
      <c r="H240" s="5" t="str">
        <f t="shared" si="6"/>
        <v/>
      </c>
      <c r="I240" s="4" t="str">
        <f t="shared" si="7"/>
        <v/>
      </c>
    </row>
    <row r="241" spans="1:9" x14ac:dyDescent="0.2">
      <c r="A241" s="4"/>
      <c r="B241" s="4"/>
      <c r="C241" s="4"/>
      <c r="D241" s="4"/>
      <c r="E241" s="5"/>
      <c r="F241" s="5" t="str">
        <f>IF($A241="","",SUMIF(Party_Ledger!$B:$B,$A241,Party_Ledger!$F:$F))</f>
        <v/>
      </c>
      <c r="G241" s="5" t="str">
        <f>IF($A241="","",SUMIF(Party_Ledger!$B:$B,$A241,Party_Ledger!$G:$G))</f>
        <v/>
      </c>
      <c r="H241" s="5" t="str">
        <f t="shared" si="6"/>
        <v/>
      </c>
      <c r="I241" s="4" t="str">
        <f t="shared" si="7"/>
        <v/>
      </c>
    </row>
    <row r="242" spans="1:9" x14ac:dyDescent="0.2">
      <c r="A242" s="4"/>
      <c r="B242" s="4"/>
      <c r="C242" s="4"/>
      <c r="D242" s="4"/>
      <c r="E242" s="5"/>
      <c r="F242" s="5" t="str">
        <f>IF($A242="","",SUMIF(Party_Ledger!$B:$B,$A242,Party_Ledger!$F:$F))</f>
        <v/>
      </c>
      <c r="G242" s="5" t="str">
        <f>IF($A242="","",SUMIF(Party_Ledger!$B:$B,$A242,Party_Ledger!$G:$G))</f>
        <v/>
      </c>
      <c r="H242" s="5" t="str">
        <f t="shared" si="6"/>
        <v/>
      </c>
      <c r="I242" s="4" t="str">
        <f t="shared" si="7"/>
        <v/>
      </c>
    </row>
    <row r="243" spans="1:9" x14ac:dyDescent="0.2">
      <c r="A243" s="4"/>
      <c r="B243" s="4"/>
      <c r="C243" s="4"/>
      <c r="D243" s="4"/>
      <c r="E243" s="5"/>
      <c r="F243" s="5" t="str">
        <f>IF($A243="","",SUMIF(Party_Ledger!$B:$B,$A243,Party_Ledger!$F:$F))</f>
        <v/>
      </c>
      <c r="G243" s="5" t="str">
        <f>IF($A243="","",SUMIF(Party_Ledger!$B:$B,$A243,Party_Ledger!$G:$G))</f>
        <v/>
      </c>
      <c r="H243" s="5" t="str">
        <f t="shared" si="6"/>
        <v/>
      </c>
      <c r="I243" s="4" t="str">
        <f t="shared" si="7"/>
        <v/>
      </c>
    </row>
    <row r="244" spans="1:9" x14ac:dyDescent="0.2">
      <c r="A244" s="4"/>
      <c r="B244" s="4"/>
      <c r="C244" s="4"/>
      <c r="D244" s="4"/>
      <c r="E244" s="5"/>
      <c r="F244" s="5" t="str">
        <f>IF($A244="","",SUMIF(Party_Ledger!$B:$B,$A244,Party_Ledger!$F:$F))</f>
        <v/>
      </c>
      <c r="G244" s="5" t="str">
        <f>IF($A244="","",SUMIF(Party_Ledger!$B:$B,$A244,Party_Ledger!$G:$G))</f>
        <v/>
      </c>
      <c r="H244" s="5" t="str">
        <f t="shared" si="6"/>
        <v/>
      </c>
      <c r="I244" s="4" t="str">
        <f t="shared" si="7"/>
        <v/>
      </c>
    </row>
    <row r="245" spans="1:9" x14ac:dyDescent="0.2">
      <c r="A245" s="4"/>
      <c r="B245" s="4"/>
      <c r="C245" s="4"/>
      <c r="D245" s="4"/>
      <c r="E245" s="5"/>
      <c r="F245" s="5" t="str">
        <f>IF($A245="","",SUMIF(Party_Ledger!$B:$B,$A245,Party_Ledger!$F:$F))</f>
        <v/>
      </c>
      <c r="G245" s="5" t="str">
        <f>IF($A245="","",SUMIF(Party_Ledger!$B:$B,$A245,Party_Ledger!$G:$G))</f>
        <v/>
      </c>
      <c r="H245" s="5" t="str">
        <f t="shared" si="6"/>
        <v/>
      </c>
      <c r="I245" s="4" t="str">
        <f t="shared" si="7"/>
        <v/>
      </c>
    </row>
    <row r="246" spans="1:9" x14ac:dyDescent="0.2">
      <c r="A246" s="4"/>
      <c r="B246" s="4"/>
      <c r="C246" s="4"/>
      <c r="D246" s="4"/>
      <c r="E246" s="5"/>
      <c r="F246" s="5" t="str">
        <f>IF($A246="","",SUMIF(Party_Ledger!$B:$B,$A246,Party_Ledger!$F:$F))</f>
        <v/>
      </c>
      <c r="G246" s="5" t="str">
        <f>IF($A246="","",SUMIF(Party_Ledger!$B:$B,$A246,Party_Ledger!$G:$G))</f>
        <v/>
      </c>
      <c r="H246" s="5" t="str">
        <f t="shared" si="6"/>
        <v/>
      </c>
      <c r="I246" s="4" t="str">
        <f t="shared" si="7"/>
        <v/>
      </c>
    </row>
    <row r="247" spans="1:9" x14ac:dyDescent="0.2">
      <c r="A247" s="4"/>
      <c r="B247" s="4"/>
      <c r="C247" s="4"/>
      <c r="D247" s="4"/>
      <c r="E247" s="5"/>
      <c r="F247" s="5" t="str">
        <f>IF($A247="","",SUMIF(Party_Ledger!$B:$B,$A247,Party_Ledger!$F:$F))</f>
        <v/>
      </c>
      <c r="G247" s="5" t="str">
        <f>IF($A247="","",SUMIF(Party_Ledger!$B:$B,$A247,Party_Ledger!$G:$G))</f>
        <v/>
      </c>
      <c r="H247" s="5" t="str">
        <f t="shared" si="6"/>
        <v/>
      </c>
      <c r="I247" s="4" t="str">
        <f t="shared" si="7"/>
        <v/>
      </c>
    </row>
    <row r="248" spans="1:9" x14ac:dyDescent="0.2">
      <c r="A248" s="4"/>
      <c r="B248" s="4"/>
      <c r="C248" s="4"/>
      <c r="D248" s="4"/>
      <c r="E248" s="5"/>
      <c r="F248" s="5" t="str">
        <f>IF($A248="","",SUMIF(Party_Ledger!$B:$B,$A248,Party_Ledger!$F:$F))</f>
        <v/>
      </c>
      <c r="G248" s="5" t="str">
        <f>IF($A248="","",SUMIF(Party_Ledger!$B:$B,$A248,Party_Ledger!$G:$G))</f>
        <v/>
      </c>
      <c r="H248" s="5" t="str">
        <f t="shared" si="6"/>
        <v/>
      </c>
      <c r="I248" s="4" t="str">
        <f t="shared" si="7"/>
        <v/>
      </c>
    </row>
    <row r="249" spans="1:9" x14ac:dyDescent="0.2">
      <c r="A249" s="4"/>
      <c r="B249" s="4"/>
      <c r="C249" s="4"/>
      <c r="D249" s="4"/>
      <c r="E249" s="5"/>
      <c r="F249" s="5" t="str">
        <f>IF($A249="","",SUMIF(Party_Ledger!$B:$B,$A249,Party_Ledger!$F:$F))</f>
        <v/>
      </c>
      <c r="G249" s="5" t="str">
        <f>IF($A249="","",SUMIF(Party_Ledger!$B:$B,$A249,Party_Ledger!$G:$G))</f>
        <v/>
      </c>
      <c r="H249" s="5" t="str">
        <f t="shared" si="6"/>
        <v/>
      </c>
      <c r="I249" s="4" t="str">
        <f t="shared" si="7"/>
        <v/>
      </c>
    </row>
    <row r="250" spans="1:9" x14ac:dyDescent="0.2">
      <c r="A250" s="4"/>
      <c r="B250" s="4"/>
      <c r="C250" s="4"/>
      <c r="D250" s="4"/>
      <c r="E250" s="5"/>
      <c r="F250" s="5" t="str">
        <f>IF($A250="","",SUMIF(Party_Ledger!$B:$B,$A250,Party_Ledger!$F:$F))</f>
        <v/>
      </c>
      <c r="G250" s="5" t="str">
        <f>IF($A250="","",SUMIF(Party_Ledger!$B:$B,$A250,Party_Ledger!$G:$G))</f>
        <v/>
      </c>
      <c r="H250" s="5" t="str">
        <f t="shared" si="6"/>
        <v/>
      </c>
      <c r="I250" s="4" t="str">
        <f t="shared" si="7"/>
        <v/>
      </c>
    </row>
    <row r="251" spans="1:9" x14ac:dyDescent="0.2">
      <c r="A251" s="4"/>
      <c r="B251" s="4"/>
      <c r="C251" s="4"/>
      <c r="D251" s="4"/>
      <c r="E251" s="5"/>
      <c r="F251" s="5" t="str">
        <f>IF($A251="","",SUMIF(Party_Ledger!$B:$B,$A251,Party_Ledger!$F:$F))</f>
        <v/>
      </c>
      <c r="G251" s="5" t="str">
        <f>IF($A251="","",SUMIF(Party_Ledger!$B:$B,$A251,Party_Ledger!$G:$G))</f>
        <v/>
      </c>
      <c r="H251" s="5" t="str">
        <f t="shared" si="6"/>
        <v/>
      </c>
      <c r="I251" s="4" t="str">
        <f t="shared" si="7"/>
        <v/>
      </c>
    </row>
    <row r="252" spans="1:9" x14ac:dyDescent="0.2">
      <c r="A252" s="4"/>
      <c r="B252" s="4"/>
      <c r="C252" s="4"/>
      <c r="D252" s="4"/>
      <c r="E252" s="5"/>
      <c r="F252" s="5" t="str">
        <f>IF($A252="","",SUMIF(Party_Ledger!$B:$B,$A252,Party_Ledger!$F:$F))</f>
        <v/>
      </c>
      <c r="G252" s="5" t="str">
        <f>IF($A252="","",SUMIF(Party_Ledger!$B:$B,$A252,Party_Ledger!$G:$G))</f>
        <v/>
      </c>
      <c r="H252" s="5" t="str">
        <f t="shared" si="6"/>
        <v/>
      </c>
      <c r="I252" s="4" t="str">
        <f t="shared" si="7"/>
        <v/>
      </c>
    </row>
    <row r="253" spans="1:9" x14ac:dyDescent="0.2">
      <c r="A253" s="4"/>
      <c r="B253" s="4"/>
      <c r="C253" s="4"/>
      <c r="D253" s="4"/>
      <c r="E253" s="5"/>
      <c r="F253" s="5" t="str">
        <f>IF($A253="","",SUMIF(Party_Ledger!$B:$B,$A253,Party_Ledger!$F:$F))</f>
        <v/>
      </c>
      <c r="G253" s="5" t="str">
        <f>IF($A253="","",SUMIF(Party_Ledger!$B:$B,$A253,Party_Ledger!$G:$G))</f>
        <v/>
      </c>
      <c r="H253" s="5" t="str">
        <f t="shared" si="6"/>
        <v/>
      </c>
      <c r="I253" s="4" t="str">
        <f t="shared" si="7"/>
        <v/>
      </c>
    </row>
    <row r="254" spans="1:9" x14ac:dyDescent="0.2">
      <c r="A254" s="4"/>
      <c r="B254" s="4"/>
      <c r="C254" s="4"/>
      <c r="D254" s="4"/>
      <c r="E254" s="5"/>
      <c r="F254" s="5" t="str">
        <f>IF($A254="","",SUMIF(Party_Ledger!$B:$B,$A254,Party_Ledger!$F:$F))</f>
        <v/>
      </c>
      <c r="G254" s="5" t="str">
        <f>IF($A254="","",SUMIF(Party_Ledger!$B:$B,$A254,Party_Ledger!$G:$G))</f>
        <v/>
      </c>
      <c r="H254" s="5" t="str">
        <f t="shared" si="6"/>
        <v/>
      </c>
      <c r="I254" s="4" t="str">
        <f t="shared" si="7"/>
        <v/>
      </c>
    </row>
    <row r="255" spans="1:9" x14ac:dyDescent="0.2">
      <c r="A255" s="4"/>
      <c r="B255" s="4"/>
      <c r="C255" s="4"/>
      <c r="D255" s="4"/>
      <c r="E255" s="5"/>
      <c r="F255" s="5" t="str">
        <f>IF($A255="","",SUMIF(Party_Ledger!$B:$B,$A255,Party_Ledger!$F:$F))</f>
        <v/>
      </c>
      <c r="G255" s="5" t="str">
        <f>IF($A255="","",SUMIF(Party_Ledger!$B:$B,$A255,Party_Ledger!$G:$G))</f>
        <v/>
      </c>
      <c r="H255" s="5" t="str">
        <f t="shared" si="6"/>
        <v/>
      </c>
      <c r="I255" s="4" t="str">
        <f t="shared" si="7"/>
        <v/>
      </c>
    </row>
    <row r="256" spans="1:9" x14ac:dyDescent="0.2">
      <c r="A256" s="4"/>
      <c r="B256" s="4"/>
      <c r="C256" s="4"/>
      <c r="D256" s="4"/>
      <c r="E256" s="5"/>
      <c r="F256" s="5" t="str">
        <f>IF($A256="","",SUMIF(Party_Ledger!$B:$B,$A256,Party_Ledger!$F:$F))</f>
        <v/>
      </c>
      <c r="G256" s="5" t="str">
        <f>IF($A256="","",SUMIF(Party_Ledger!$B:$B,$A256,Party_Ledger!$G:$G))</f>
        <v/>
      </c>
      <c r="H256" s="5" t="str">
        <f t="shared" si="6"/>
        <v/>
      </c>
      <c r="I256" s="4" t="str">
        <f t="shared" si="7"/>
        <v/>
      </c>
    </row>
    <row r="257" spans="1:9" x14ac:dyDescent="0.2">
      <c r="A257" s="4"/>
      <c r="B257" s="4"/>
      <c r="C257" s="4"/>
      <c r="D257" s="4"/>
      <c r="E257" s="5"/>
      <c r="F257" s="5" t="str">
        <f>IF($A257="","",SUMIF(Party_Ledger!$B:$B,$A257,Party_Ledger!$F:$F))</f>
        <v/>
      </c>
      <c r="G257" s="5" t="str">
        <f>IF($A257="","",SUMIF(Party_Ledger!$B:$B,$A257,Party_Ledger!$G:$G))</f>
        <v/>
      </c>
      <c r="H257" s="5" t="str">
        <f t="shared" si="6"/>
        <v/>
      </c>
      <c r="I257" s="4" t="str">
        <f t="shared" si="7"/>
        <v/>
      </c>
    </row>
    <row r="258" spans="1:9" x14ac:dyDescent="0.2">
      <c r="A258" s="4"/>
      <c r="B258" s="4"/>
      <c r="C258" s="4"/>
      <c r="D258" s="4"/>
      <c r="E258" s="5"/>
      <c r="F258" s="5" t="str">
        <f>IF($A258="","",SUMIF(Party_Ledger!$B:$B,$A258,Party_Ledger!$F:$F))</f>
        <v/>
      </c>
      <c r="G258" s="5" t="str">
        <f>IF($A258="","",SUMIF(Party_Ledger!$B:$B,$A258,Party_Ledger!$G:$G))</f>
        <v/>
      </c>
      <c r="H258" s="5" t="str">
        <f t="shared" si="6"/>
        <v/>
      </c>
      <c r="I258" s="4" t="str">
        <f t="shared" si="7"/>
        <v/>
      </c>
    </row>
    <row r="259" spans="1:9" x14ac:dyDescent="0.2">
      <c r="A259" s="4"/>
      <c r="B259" s="4"/>
      <c r="C259" s="4"/>
      <c r="D259" s="4"/>
      <c r="E259" s="5"/>
      <c r="F259" s="5" t="str">
        <f>IF($A259="","",SUMIF(Party_Ledger!$B:$B,$A259,Party_Ledger!$F:$F))</f>
        <v/>
      </c>
      <c r="G259" s="5" t="str">
        <f>IF($A259="","",SUMIF(Party_Ledger!$B:$B,$A259,Party_Ledger!$G:$G))</f>
        <v/>
      </c>
      <c r="H259" s="5" t="str">
        <f t="shared" ref="H259:H322" si="8">IF($A259="","",$E259+$F259-$G259)</f>
        <v/>
      </c>
      <c r="I259" s="4" t="str">
        <f t="shared" ref="I259:I322" si="9">IF($A259="","",IF(ROUND($H259,0)=0,"Settled",IF($H259&gt;0,"Outstanding","Advance")))</f>
        <v/>
      </c>
    </row>
    <row r="260" spans="1:9" x14ac:dyDescent="0.2">
      <c r="A260" s="4"/>
      <c r="B260" s="4"/>
      <c r="C260" s="4"/>
      <c r="D260" s="4"/>
      <c r="E260" s="5"/>
      <c r="F260" s="5" t="str">
        <f>IF($A260="","",SUMIF(Party_Ledger!$B:$B,$A260,Party_Ledger!$F:$F))</f>
        <v/>
      </c>
      <c r="G260" s="5" t="str">
        <f>IF($A260="","",SUMIF(Party_Ledger!$B:$B,$A260,Party_Ledger!$G:$G))</f>
        <v/>
      </c>
      <c r="H260" s="5" t="str">
        <f t="shared" si="8"/>
        <v/>
      </c>
      <c r="I260" s="4" t="str">
        <f t="shared" si="9"/>
        <v/>
      </c>
    </row>
    <row r="261" spans="1:9" x14ac:dyDescent="0.2">
      <c r="A261" s="4"/>
      <c r="B261" s="4"/>
      <c r="C261" s="4"/>
      <c r="D261" s="4"/>
      <c r="E261" s="5"/>
      <c r="F261" s="5" t="str">
        <f>IF($A261="","",SUMIF(Party_Ledger!$B:$B,$A261,Party_Ledger!$F:$F))</f>
        <v/>
      </c>
      <c r="G261" s="5" t="str">
        <f>IF($A261="","",SUMIF(Party_Ledger!$B:$B,$A261,Party_Ledger!$G:$G))</f>
        <v/>
      </c>
      <c r="H261" s="5" t="str">
        <f t="shared" si="8"/>
        <v/>
      </c>
      <c r="I261" s="4" t="str">
        <f t="shared" si="9"/>
        <v/>
      </c>
    </row>
    <row r="262" spans="1:9" x14ac:dyDescent="0.2">
      <c r="A262" s="4"/>
      <c r="B262" s="4"/>
      <c r="C262" s="4"/>
      <c r="D262" s="4"/>
      <c r="E262" s="5"/>
      <c r="F262" s="5" t="str">
        <f>IF($A262="","",SUMIF(Party_Ledger!$B:$B,$A262,Party_Ledger!$F:$F))</f>
        <v/>
      </c>
      <c r="G262" s="5" t="str">
        <f>IF($A262="","",SUMIF(Party_Ledger!$B:$B,$A262,Party_Ledger!$G:$G))</f>
        <v/>
      </c>
      <c r="H262" s="5" t="str">
        <f t="shared" si="8"/>
        <v/>
      </c>
      <c r="I262" s="4" t="str">
        <f t="shared" si="9"/>
        <v/>
      </c>
    </row>
    <row r="263" spans="1:9" x14ac:dyDescent="0.2">
      <c r="A263" s="4"/>
      <c r="B263" s="4"/>
      <c r="C263" s="4"/>
      <c r="D263" s="4"/>
      <c r="E263" s="5"/>
      <c r="F263" s="5" t="str">
        <f>IF($A263="","",SUMIF(Party_Ledger!$B:$B,$A263,Party_Ledger!$F:$F))</f>
        <v/>
      </c>
      <c r="G263" s="5" t="str">
        <f>IF($A263="","",SUMIF(Party_Ledger!$B:$B,$A263,Party_Ledger!$G:$G))</f>
        <v/>
      </c>
      <c r="H263" s="5" t="str">
        <f t="shared" si="8"/>
        <v/>
      </c>
      <c r="I263" s="4" t="str">
        <f t="shared" si="9"/>
        <v/>
      </c>
    </row>
    <row r="264" spans="1:9" x14ac:dyDescent="0.2">
      <c r="A264" s="4"/>
      <c r="B264" s="4"/>
      <c r="C264" s="4"/>
      <c r="D264" s="4"/>
      <c r="E264" s="5"/>
      <c r="F264" s="5" t="str">
        <f>IF($A264="","",SUMIF(Party_Ledger!$B:$B,$A264,Party_Ledger!$F:$F))</f>
        <v/>
      </c>
      <c r="G264" s="5" t="str">
        <f>IF($A264="","",SUMIF(Party_Ledger!$B:$B,$A264,Party_Ledger!$G:$G))</f>
        <v/>
      </c>
      <c r="H264" s="5" t="str">
        <f t="shared" si="8"/>
        <v/>
      </c>
      <c r="I264" s="4" t="str">
        <f t="shared" si="9"/>
        <v/>
      </c>
    </row>
    <row r="265" spans="1:9" x14ac:dyDescent="0.2">
      <c r="A265" s="4"/>
      <c r="B265" s="4"/>
      <c r="C265" s="4"/>
      <c r="D265" s="4"/>
      <c r="E265" s="5"/>
      <c r="F265" s="5" t="str">
        <f>IF($A265="","",SUMIF(Party_Ledger!$B:$B,$A265,Party_Ledger!$F:$F))</f>
        <v/>
      </c>
      <c r="G265" s="5" t="str">
        <f>IF($A265="","",SUMIF(Party_Ledger!$B:$B,$A265,Party_Ledger!$G:$G))</f>
        <v/>
      </c>
      <c r="H265" s="5" t="str">
        <f t="shared" si="8"/>
        <v/>
      </c>
      <c r="I265" s="4" t="str">
        <f t="shared" si="9"/>
        <v/>
      </c>
    </row>
    <row r="266" spans="1:9" x14ac:dyDescent="0.2">
      <c r="A266" s="4"/>
      <c r="B266" s="4"/>
      <c r="C266" s="4"/>
      <c r="D266" s="4"/>
      <c r="E266" s="5"/>
      <c r="F266" s="5" t="str">
        <f>IF($A266="","",SUMIF(Party_Ledger!$B:$B,$A266,Party_Ledger!$F:$F))</f>
        <v/>
      </c>
      <c r="G266" s="5" t="str">
        <f>IF($A266="","",SUMIF(Party_Ledger!$B:$B,$A266,Party_Ledger!$G:$G))</f>
        <v/>
      </c>
      <c r="H266" s="5" t="str">
        <f t="shared" si="8"/>
        <v/>
      </c>
      <c r="I266" s="4" t="str">
        <f t="shared" si="9"/>
        <v/>
      </c>
    </row>
    <row r="267" spans="1:9" x14ac:dyDescent="0.2">
      <c r="A267" s="4"/>
      <c r="B267" s="4"/>
      <c r="C267" s="4"/>
      <c r="D267" s="4"/>
      <c r="E267" s="5"/>
      <c r="F267" s="5" t="str">
        <f>IF($A267="","",SUMIF(Party_Ledger!$B:$B,$A267,Party_Ledger!$F:$F))</f>
        <v/>
      </c>
      <c r="G267" s="5" t="str">
        <f>IF($A267="","",SUMIF(Party_Ledger!$B:$B,$A267,Party_Ledger!$G:$G))</f>
        <v/>
      </c>
      <c r="H267" s="5" t="str">
        <f t="shared" si="8"/>
        <v/>
      </c>
      <c r="I267" s="4" t="str">
        <f t="shared" si="9"/>
        <v/>
      </c>
    </row>
    <row r="268" spans="1:9" x14ac:dyDescent="0.2">
      <c r="A268" s="4"/>
      <c r="B268" s="4"/>
      <c r="C268" s="4"/>
      <c r="D268" s="4"/>
      <c r="E268" s="5"/>
      <c r="F268" s="5" t="str">
        <f>IF($A268="","",SUMIF(Party_Ledger!$B:$B,$A268,Party_Ledger!$F:$F))</f>
        <v/>
      </c>
      <c r="G268" s="5" t="str">
        <f>IF($A268="","",SUMIF(Party_Ledger!$B:$B,$A268,Party_Ledger!$G:$G))</f>
        <v/>
      </c>
      <c r="H268" s="5" t="str">
        <f t="shared" si="8"/>
        <v/>
      </c>
      <c r="I268" s="4" t="str">
        <f t="shared" si="9"/>
        <v/>
      </c>
    </row>
    <row r="269" spans="1:9" x14ac:dyDescent="0.2">
      <c r="A269" s="4"/>
      <c r="B269" s="4"/>
      <c r="C269" s="4"/>
      <c r="D269" s="4"/>
      <c r="E269" s="5"/>
      <c r="F269" s="5" t="str">
        <f>IF($A269="","",SUMIF(Party_Ledger!$B:$B,$A269,Party_Ledger!$F:$F))</f>
        <v/>
      </c>
      <c r="G269" s="5" t="str">
        <f>IF($A269="","",SUMIF(Party_Ledger!$B:$B,$A269,Party_Ledger!$G:$G))</f>
        <v/>
      </c>
      <c r="H269" s="5" t="str">
        <f t="shared" si="8"/>
        <v/>
      </c>
      <c r="I269" s="4" t="str">
        <f t="shared" si="9"/>
        <v/>
      </c>
    </row>
    <row r="270" spans="1:9" x14ac:dyDescent="0.2">
      <c r="A270" s="4"/>
      <c r="B270" s="4"/>
      <c r="C270" s="4"/>
      <c r="D270" s="4"/>
      <c r="E270" s="5"/>
      <c r="F270" s="5" t="str">
        <f>IF($A270="","",SUMIF(Party_Ledger!$B:$B,$A270,Party_Ledger!$F:$F))</f>
        <v/>
      </c>
      <c r="G270" s="5" t="str">
        <f>IF($A270="","",SUMIF(Party_Ledger!$B:$B,$A270,Party_Ledger!$G:$G))</f>
        <v/>
      </c>
      <c r="H270" s="5" t="str">
        <f t="shared" si="8"/>
        <v/>
      </c>
      <c r="I270" s="4" t="str">
        <f t="shared" si="9"/>
        <v/>
      </c>
    </row>
    <row r="271" spans="1:9" x14ac:dyDescent="0.2">
      <c r="A271" s="4"/>
      <c r="B271" s="4"/>
      <c r="C271" s="4"/>
      <c r="D271" s="4"/>
      <c r="E271" s="5"/>
      <c r="F271" s="5" t="str">
        <f>IF($A271="","",SUMIF(Party_Ledger!$B:$B,$A271,Party_Ledger!$F:$F))</f>
        <v/>
      </c>
      <c r="G271" s="5" t="str">
        <f>IF($A271="","",SUMIF(Party_Ledger!$B:$B,$A271,Party_Ledger!$G:$G))</f>
        <v/>
      </c>
      <c r="H271" s="5" t="str">
        <f t="shared" si="8"/>
        <v/>
      </c>
      <c r="I271" s="4" t="str">
        <f t="shared" si="9"/>
        <v/>
      </c>
    </row>
    <row r="272" spans="1:9" x14ac:dyDescent="0.2">
      <c r="A272" s="4"/>
      <c r="B272" s="4"/>
      <c r="C272" s="4"/>
      <c r="D272" s="4"/>
      <c r="E272" s="5"/>
      <c r="F272" s="5" t="str">
        <f>IF($A272="","",SUMIF(Party_Ledger!$B:$B,$A272,Party_Ledger!$F:$F))</f>
        <v/>
      </c>
      <c r="G272" s="5" t="str">
        <f>IF($A272="","",SUMIF(Party_Ledger!$B:$B,$A272,Party_Ledger!$G:$G))</f>
        <v/>
      </c>
      <c r="H272" s="5" t="str">
        <f t="shared" si="8"/>
        <v/>
      </c>
      <c r="I272" s="4" t="str">
        <f t="shared" si="9"/>
        <v/>
      </c>
    </row>
    <row r="273" spans="1:9" x14ac:dyDescent="0.2">
      <c r="A273" s="4"/>
      <c r="B273" s="4"/>
      <c r="C273" s="4"/>
      <c r="D273" s="4"/>
      <c r="E273" s="5"/>
      <c r="F273" s="5" t="str">
        <f>IF($A273="","",SUMIF(Party_Ledger!$B:$B,$A273,Party_Ledger!$F:$F))</f>
        <v/>
      </c>
      <c r="G273" s="5" t="str">
        <f>IF($A273="","",SUMIF(Party_Ledger!$B:$B,$A273,Party_Ledger!$G:$G))</f>
        <v/>
      </c>
      <c r="H273" s="5" t="str">
        <f t="shared" si="8"/>
        <v/>
      </c>
      <c r="I273" s="4" t="str">
        <f t="shared" si="9"/>
        <v/>
      </c>
    </row>
    <row r="274" spans="1:9" x14ac:dyDescent="0.2">
      <c r="A274" s="4"/>
      <c r="B274" s="4"/>
      <c r="C274" s="4"/>
      <c r="D274" s="4"/>
      <c r="E274" s="5"/>
      <c r="F274" s="5" t="str">
        <f>IF($A274="","",SUMIF(Party_Ledger!$B:$B,$A274,Party_Ledger!$F:$F))</f>
        <v/>
      </c>
      <c r="G274" s="5" t="str">
        <f>IF($A274="","",SUMIF(Party_Ledger!$B:$B,$A274,Party_Ledger!$G:$G))</f>
        <v/>
      </c>
      <c r="H274" s="5" t="str">
        <f t="shared" si="8"/>
        <v/>
      </c>
      <c r="I274" s="4" t="str">
        <f t="shared" si="9"/>
        <v/>
      </c>
    </row>
    <row r="275" spans="1:9" x14ac:dyDescent="0.2">
      <c r="A275" s="4"/>
      <c r="B275" s="4"/>
      <c r="C275" s="4"/>
      <c r="D275" s="4"/>
      <c r="E275" s="5"/>
      <c r="F275" s="5" t="str">
        <f>IF($A275="","",SUMIF(Party_Ledger!$B:$B,$A275,Party_Ledger!$F:$F))</f>
        <v/>
      </c>
      <c r="G275" s="5" t="str">
        <f>IF($A275="","",SUMIF(Party_Ledger!$B:$B,$A275,Party_Ledger!$G:$G))</f>
        <v/>
      </c>
      <c r="H275" s="5" t="str">
        <f t="shared" si="8"/>
        <v/>
      </c>
      <c r="I275" s="4" t="str">
        <f t="shared" si="9"/>
        <v/>
      </c>
    </row>
    <row r="276" spans="1:9" x14ac:dyDescent="0.2">
      <c r="A276" s="4"/>
      <c r="B276" s="4"/>
      <c r="C276" s="4"/>
      <c r="D276" s="4"/>
      <c r="E276" s="5"/>
      <c r="F276" s="5" t="str">
        <f>IF($A276="","",SUMIF(Party_Ledger!$B:$B,$A276,Party_Ledger!$F:$F))</f>
        <v/>
      </c>
      <c r="G276" s="5" t="str">
        <f>IF($A276="","",SUMIF(Party_Ledger!$B:$B,$A276,Party_Ledger!$G:$G))</f>
        <v/>
      </c>
      <c r="H276" s="5" t="str">
        <f t="shared" si="8"/>
        <v/>
      </c>
      <c r="I276" s="4" t="str">
        <f t="shared" si="9"/>
        <v/>
      </c>
    </row>
    <row r="277" spans="1:9" x14ac:dyDescent="0.2">
      <c r="A277" s="4"/>
      <c r="B277" s="4"/>
      <c r="C277" s="4"/>
      <c r="D277" s="4"/>
      <c r="E277" s="5"/>
      <c r="F277" s="5" t="str">
        <f>IF($A277="","",SUMIF(Party_Ledger!$B:$B,$A277,Party_Ledger!$F:$F))</f>
        <v/>
      </c>
      <c r="G277" s="5" t="str">
        <f>IF($A277="","",SUMIF(Party_Ledger!$B:$B,$A277,Party_Ledger!$G:$G))</f>
        <v/>
      </c>
      <c r="H277" s="5" t="str">
        <f t="shared" si="8"/>
        <v/>
      </c>
      <c r="I277" s="4" t="str">
        <f t="shared" si="9"/>
        <v/>
      </c>
    </row>
    <row r="278" spans="1:9" x14ac:dyDescent="0.2">
      <c r="A278" s="4"/>
      <c r="B278" s="4"/>
      <c r="C278" s="4"/>
      <c r="D278" s="4"/>
      <c r="E278" s="5"/>
      <c r="F278" s="5" t="str">
        <f>IF($A278="","",SUMIF(Party_Ledger!$B:$B,$A278,Party_Ledger!$F:$F))</f>
        <v/>
      </c>
      <c r="G278" s="5" t="str">
        <f>IF($A278="","",SUMIF(Party_Ledger!$B:$B,$A278,Party_Ledger!$G:$G))</f>
        <v/>
      </c>
      <c r="H278" s="5" t="str">
        <f t="shared" si="8"/>
        <v/>
      </c>
      <c r="I278" s="4" t="str">
        <f t="shared" si="9"/>
        <v/>
      </c>
    </row>
    <row r="279" spans="1:9" x14ac:dyDescent="0.2">
      <c r="A279" s="4"/>
      <c r="B279" s="4"/>
      <c r="C279" s="4"/>
      <c r="D279" s="4"/>
      <c r="E279" s="5"/>
      <c r="F279" s="5" t="str">
        <f>IF($A279="","",SUMIF(Party_Ledger!$B:$B,$A279,Party_Ledger!$F:$F))</f>
        <v/>
      </c>
      <c r="G279" s="5" t="str">
        <f>IF($A279="","",SUMIF(Party_Ledger!$B:$B,$A279,Party_Ledger!$G:$G))</f>
        <v/>
      </c>
      <c r="H279" s="5" t="str">
        <f t="shared" si="8"/>
        <v/>
      </c>
      <c r="I279" s="4" t="str">
        <f t="shared" si="9"/>
        <v/>
      </c>
    </row>
    <row r="280" spans="1:9" x14ac:dyDescent="0.2">
      <c r="A280" s="4"/>
      <c r="B280" s="4"/>
      <c r="C280" s="4"/>
      <c r="D280" s="4"/>
      <c r="E280" s="5"/>
      <c r="F280" s="5" t="str">
        <f>IF($A280="","",SUMIF(Party_Ledger!$B:$B,$A280,Party_Ledger!$F:$F))</f>
        <v/>
      </c>
      <c r="G280" s="5" t="str">
        <f>IF($A280="","",SUMIF(Party_Ledger!$B:$B,$A280,Party_Ledger!$G:$G))</f>
        <v/>
      </c>
      <c r="H280" s="5" t="str">
        <f t="shared" si="8"/>
        <v/>
      </c>
      <c r="I280" s="4" t="str">
        <f t="shared" si="9"/>
        <v/>
      </c>
    </row>
    <row r="281" spans="1:9" x14ac:dyDescent="0.2">
      <c r="A281" s="4"/>
      <c r="B281" s="4"/>
      <c r="C281" s="4"/>
      <c r="D281" s="4"/>
      <c r="E281" s="5"/>
      <c r="F281" s="5" t="str">
        <f>IF($A281="","",SUMIF(Party_Ledger!$B:$B,$A281,Party_Ledger!$F:$F))</f>
        <v/>
      </c>
      <c r="G281" s="5" t="str">
        <f>IF($A281="","",SUMIF(Party_Ledger!$B:$B,$A281,Party_Ledger!$G:$G))</f>
        <v/>
      </c>
      <c r="H281" s="5" t="str">
        <f t="shared" si="8"/>
        <v/>
      </c>
      <c r="I281" s="4" t="str">
        <f t="shared" si="9"/>
        <v/>
      </c>
    </row>
    <row r="282" spans="1:9" x14ac:dyDescent="0.2">
      <c r="A282" s="4"/>
      <c r="B282" s="4"/>
      <c r="C282" s="4"/>
      <c r="D282" s="4"/>
      <c r="E282" s="5"/>
      <c r="F282" s="5" t="str">
        <f>IF($A282="","",SUMIF(Party_Ledger!$B:$B,$A282,Party_Ledger!$F:$F))</f>
        <v/>
      </c>
      <c r="G282" s="5" t="str">
        <f>IF($A282="","",SUMIF(Party_Ledger!$B:$B,$A282,Party_Ledger!$G:$G))</f>
        <v/>
      </c>
      <c r="H282" s="5" t="str">
        <f t="shared" si="8"/>
        <v/>
      </c>
      <c r="I282" s="4" t="str">
        <f t="shared" si="9"/>
        <v/>
      </c>
    </row>
    <row r="283" spans="1:9" x14ac:dyDescent="0.2">
      <c r="A283" s="4"/>
      <c r="B283" s="4"/>
      <c r="C283" s="4"/>
      <c r="D283" s="4"/>
      <c r="E283" s="5"/>
      <c r="F283" s="5" t="str">
        <f>IF($A283="","",SUMIF(Party_Ledger!$B:$B,$A283,Party_Ledger!$F:$F))</f>
        <v/>
      </c>
      <c r="G283" s="5" t="str">
        <f>IF($A283="","",SUMIF(Party_Ledger!$B:$B,$A283,Party_Ledger!$G:$G))</f>
        <v/>
      </c>
      <c r="H283" s="5" t="str">
        <f t="shared" si="8"/>
        <v/>
      </c>
      <c r="I283" s="4" t="str">
        <f t="shared" si="9"/>
        <v/>
      </c>
    </row>
    <row r="284" spans="1:9" x14ac:dyDescent="0.2">
      <c r="A284" s="4"/>
      <c r="B284" s="4"/>
      <c r="C284" s="4"/>
      <c r="D284" s="4"/>
      <c r="E284" s="5"/>
      <c r="F284" s="5" t="str">
        <f>IF($A284="","",SUMIF(Party_Ledger!$B:$B,$A284,Party_Ledger!$F:$F))</f>
        <v/>
      </c>
      <c r="G284" s="5" t="str">
        <f>IF($A284="","",SUMIF(Party_Ledger!$B:$B,$A284,Party_Ledger!$G:$G))</f>
        <v/>
      </c>
      <c r="H284" s="5" t="str">
        <f t="shared" si="8"/>
        <v/>
      </c>
      <c r="I284" s="4" t="str">
        <f t="shared" si="9"/>
        <v/>
      </c>
    </row>
    <row r="285" spans="1:9" x14ac:dyDescent="0.2">
      <c r="A285" s="4"/>
      <c r="B285" s="4"/>
      <c r="C285" s="4"/>
      <c r="D285" s="4"/>
      <c r="E285" s="5"/>
      <c r="F285" s="5" t="str">
        <f>IF($A285="","",SUMIF(Party_Ledger!$B:$B,$A285,Party_Ledger!$F:$F))</f>
        <v/>
      </c>
      <c r="G285" s="5" t="str">
        <f>IF($A285="","",SUMIF(Party_Ledger!$B:$B,$A285,Party_Ledger!$G:$G))</f>
        <v/>
      </c>
      <c r="H285" s="5" t="str">
        <f t="shared" si="8"/>
        <v/>
      </c>
      <c r="I285" s="4" t="str">
        <f t="shared" si="9"/>
        <v/>
      </c>
    </row>
    <row r="286" spans="1:9" x14ac:dyDescent="0.2">
      <c r="A286" s="4"/>
      <c r="B286" s="4"/>
      <c r="C286" s="4"/>
      <c r="D286" s="4"/>
      <c r="E286" s="5"/>
      <c r="F286" s="5" t="str">
        <f>IF($A286="","",SUMIF(Party_Ledger!$B:$B,$A286,Party_Ledger!$F:$F))</f>
        <v/>
      </c>
      <c r="G286" s="5" t="str">
        <f>IF($A286="","",SUMIF(Party_Ledger!$B:$B,$A286,Party_Ledger!$G:$G))</f>
        <v/>
      </c>
      <c r="H286" s="5" t="str">
        <f t="shared" si="8"/>
        <v/>
      </c>
      <c r="I286" s="4" t="str">
        <f t="shared" si="9"/>
        <v/>
      </c>
    </row>
    <row r="287" spans="1:9" x14ac:dyDescent="0.2">
      <c r="A287" s="4"/>
      <c r="B287" s="4"/>
      <c r="C287" s="4"/>
      <c r="D287" s="4"/>
      <c r="E287" s="5"/>
      <c r="F287" s="5" t="str">
        <f>IF($A287="","",SUMIF(Party_Ledger!$B:$B,$A287,Party_Ledger!$F:$F))</f>
        <v/>
      </c>
      <c r="G287" s="5" t="str">
        <f>IF($A287="","",SUMIF(Party_Ledger!$B:$B,$A287,Party_Ledger!$G:$G))</f>
        <v/>
      </c>
      <c r="H287" s="5" t="str">
        <f t="shared" si="8"/>
        <v/>
      </c>
      <c r="I287" s="4" t="str">
        <f t="shared" si="9"/>
        <v/>
      </c>
    </row>
    <row r="288" spans="1:9" x14ac:dyDescent="0.2">
      <c r="A288" s="4"/>
      <c r="B288" s="4"/>
      <c r="C288" s="4"/>
      <c r="D288" s="4"/>
      <c r="E288" s="5"/>
      <c r="F288" s="5" t="str">
        <f>IF($A288="","",SUMIF(Party_Ledger!$B:$B,$A288,Party_Ledger!$F:$F))</f>
        <v/>
      </c>
      <c r="G288" s="5" t="str">
        <f>IF($A288="","",SUMIF(Party_Ledger!$B:$B,$A288,Party_Ledger!$G:$G))</f>
        <v/>
      </c>
      <c r="H288" s="5" t="str">
        <f t="shared" si="8"/>
        <v/>
      </c>
      <c r="I288" s="4" t="str">
        <f t="shared" si="9"/>
        <v/>
      </c>
    </row>
    <row r="289" spans="1:9" x14ac:dyDescent="0.2">
      <c r="A289" s="4"/>
      <c r="B289" s="4"/>
      <c r="C289" s="4"/>
      <c r="D289" s="4"/>
      <c r="E289" s="5"/>
      <c r="F289" s="5" t="str">
        <f>IF($A289="","",SUMIF(Party_Ledger!$B:$B,$A289,Party_Ledger!$F:$F))</f>
        <v/>
      </c>
      <c r="G289" s="5" t="str">
        <f>IF($A289="","",SUMIF(Party_Ledger!$B:$B,$A289,Party_Ledger!$G:$G))</f>
        <v/>
      </c>
      <c r="H289" s="5" t="str">
        <f t="shared" si="8"/>
        <v/>
      </c>
      <c r="I289" s="4" t="str">
        <f t="shared" si="9"/>
        <v/>
      </c>
    </row>
    <row r="290" spans="1:9" x14ac:dyDescent="0.2">
      <c r="A290" s="4"/>
      <c r="B290" s="4"/>
      <c r="C290" s="4"/>
      <c r="D290" s="4"/>
      <c r="E290" s="5"/>
      <c r="F290" s="5" t="str">
        <f>IF($A290="","",SUMIF(Party_Ledger!$B:$B,$A290,Party_Ledger!$F:$F))</f>
        <v/>
      </c>
      <c r="G290" s="5" t="str">
        <f>IF($A290="","",SUMIF(Party_Ledger!$B:$B,$A290,Party_Ledger!$G:$G))</f>
        <v/>
      </c>
      <c r="H290" s="5" t="str">
        <f t="shared" si="8"/>
        <v/>
      </c>
      <c r="I290" s="4" t="str">
        <f t="shared" si="9"/>
        <v/>
      </c>
    </row>
    <row r="291" spans="1:9" x14ac:dyDescent="0.2">
      <c r="A291" s="4"/>
      <c r="B291" s="4"/>
      <c r="C291" s="4"/>
      <c r="D291" s="4"/>
      <c r="E291" s="5"/>
      <c r="F291" s="5" t="str">
        <f>IF($A291="","",SUMIF(Party_Ledger!$B:$B,$A291,Party_Ledger!$F:$F))</f>
        <v/>
      </c>
      <c r="G291" s="5" t="str">
        <f>IF($A291="","",SUMIF(Party_Ledger!$B:$B,$A291,Party_Ledger!$G:$G))</f>
        <v/>
      </c>
      <c r="H291" s="5" t="str">
        <f t="shared" si="8"/>
        <v/>
      </c>
      <c r="I291" s="4" t="str">
        <f t="shared" si="9"/>
        <v/>
      </c>
    </row>
    <row r="292" spans="1:9" x14ac:dyDescent="0.2">
      <c r="A292" s="4"/>
      <c r="B292" s="4"/>
      <c r="C292" s="4"/>
      <c r="D292" s="4"/>
      <c r="E292" s="5"/>
      <c r="F292" s="5" t="str">
        <f>IF($A292="","",SUMIF(Party_Ledger!$B:$B,$A292,Party_Ledger!$F:$F))</f>
        <v/>
      </c>
      <c r="G292" s="5" t="str">
        <f>IF($A292="","",SUMIF(Party_Ledger!$B:$B,$A292,Party_Ledger!$G:$G))</f>
        <v/>
      </c>
      <c r="H292" s="5" t="str">
        <f t="shared" si="8"/>
        <v/>
      </c>
      <c r="I292" s="4" t="str">
        <f t="shared" si="9"/>
        <v/>
      </c>
    </row>
    <row r="293" spans="1:9" x14ac:dyDescent="0.2">
      <c r="A293" s="4"/>
      <c r="B293" s="4"/>
      <c r="C293" s="4"/>
      <c r="D293" s="4"/>
      <c r="E293" s="5"/>
      <c r="F293" s="5" t="str">
        <f>IF($A293="","",SUMIF(Party_Ledger!$B:$B,$A293,Party_Ledger!$F:$F))</f>
        <v/>
      </c>
      <c r="G293" s="5" t="str">
        <f>IF($A293="","",SUMIF(Party_Ledger!$B:$B,$A293,Party_Ledger!$G:$G))</f>
        <v/>
      </c>
      <c r="H293" s="5" t="str">
        <f t="shared" si="8"/>
        <v/>
      </c>
      <c r="I293" s="4" t="str">
        <f t="shared" si="9"/>
        <v/>
      </c>
    </row>
    <row r="294" spans="1:9" x14ac:dyDescent="0.2">
      <c r="A294" s="4"/>
      <c r="B294" s="4"/>
      <c r="C294" s="4"/>
      <c r="D294" s="4"/>
      <c r="E294" s="5"/>
      <c r="F294" s="5" t="str">
        <f>IF($A294="","",SUMIF(Party_Ledger!$B:$B,$A294,Party_Ledger!$F:$F))</f>
        <v/>
      </c>
      <c r="G294" s="5" t="str">
        <f>IF($A294="","",SUMIF(Party_Ledger!$B:$B,$A294,Party_Ledger!$G:$G))</f>
        <v/>
      </c>
      <c r="H294" s="5" t="str">
        <f t="shared" si="8"/>
        <v/>
      </c>
      <c r="I294" s="4" t="str">
        <f t="shared" si="9"/>
        <v/>
      </c>
    </row>
    <row r="295" spans="1:9" x14ac:dyDescent="0.2">
      <c r="A295" s="4"/>
      <c r="B295" s="4"/>
      <c r="C295" s="4"/>
      <c r="D295" s="4"/>
      <c r="E295" s="5"/>
      <c r="F295" s="5" t="str">
        <f>IF($A295="","",SUMIF(Party_Ledger!$B:$B,$A295,Party_Ledger!$F:$F))</f>
        <v/>
      </c>
      <c r="G295" s="5" t="str">
        <f>IF($A295="","",SUMIF(Party_Ledger!$B:$B,$A295,Party_Ledger!$G:$G))</f>
        <v/>
      </c>
      <c r="H295" s="5" t="str">
        <f t="shared" si="8"/>
        <v/>
      </c>
      <c r="I295" s="4" t="str">
        <f t="shared" si="9"/>
        <v/>
      </c>
    </row>
    <row r="296" spans="1:9" x14ac:dyDescent="0.2">
      <c r="A296" s="4"/>
      <c r="B296" s="4"/>
      <c r="C296" s="4"/>
      <c r="D296" s="4"/>
      <c r="E296" s="5"/>
      <c r="F296" s="5" t="str">
        <f>IF($A296="","",SUMIF(Party_Ledger!$B:$B,$A296,Party_Ledger!$F:$F))</f>
        <v/>
      </c>
      <c r="G296" s="5" t="str">
        <f>IF($A296="","",SUMIF(Party_Ledger!$B:$B,$A296,Party_Ledger!$G:$G))</f>
        <v/>
      </c>
      <c r="H296" s="5" t="str">
        <f t="shared" si="8"/>
        <v/>
      </c>
      <c r="I296" s="4" t="str">
        <f t="shared" si="9"/>
        <v/>
      </c>
    </row>
    <row r="297" spans="1:9" x14ac:dyDescent="0.2">
      <c r="A297" s="4"/>
      <c r="B297" s="4"/>
      <c r="C297" s="4"/>
      <c r="D297" s="4"/>
      <c r="E297" s="5"/>
      <c r="F297" s="5" t="str">
        <f>IF($A297="","",SUMIF(Party_Ledger!$B:$B,$A297,Party_Ledger!$F:$F))</f>
        <v/>
      </c>
      <c r="G297" s="5" t="str">
        <f>IF($A297="","",SUMIF(Party_Ledger!$B:$B,$A297,Party_Ledger!$G:$G))</f>
        <v/>
      </c>
      <c r="H297" s="5" t="str">
        <f t="shared" si="8"/>
        <v/>
      </c>
      <c r="I297" s="4" t="str">
        <f t="shared" si="9"/>
        <v/>
      </c>
    </row>
    <row r="298" spans="1:9" x14ac:dyDescent="0.2">
      <c r="A298" s="4"/>
      <c r="B298" s="4"/>
      <c r="C298" s="4"/>
      <c r="D298" s="4"/>
      <c r="E298" s="5"/>
      <c r="F298" s="5" t="str">
        <f>IF($A298="","",SUMIF(Party_Ledger!$B:$B,$A298,Party_Ledger!$F:$F))</f>
        <v/>
      </c>
      <c r="G298" s="5" t="str">
        <f>IF($A298="","",SUMIF(Party_Ledger!$B:$B,$A298,Party_Ledger!$G:$G))</f>
        <v/>
      </c>
      <c r="H298" s="5" t="str">
        <f t="shared" si="8"/>
        <v/>
      </c>
      <c r="I298" s="4" t="str">
        <f t="shared" si="9"/>
        <v/>
      </c>
    </row>
    <row r="299" spans="1:9" x14ac:dyDescent="0.2">
      <c r="A299" s="4"/>
      <c r="B299" s="4"/>
      <c r="C299" s="4"/>
      <c r="D299" s="4"/>
      <c r="E299" s="5"/>
      <c r="F299" s="5" t="str">
        <f>IF($A299="","",SUMIF(Party_Ledger!$B:$B,$A299,Party_Ledger!$F:$F))</f>
        <v/>
      </c>
      <c r="G299" s="5" t="str">
        <f>IF($A299="","",SUMIF(Party_Ledger!$B:$B,$A299,Party_Ledger!$G:$G))</f>
        <v/>
      </c>
      <c r="H299" s="5" t="str">
        <f t="shared" si="8"/>
        <v/>
      </c>
      <c r="I299" s="4" t="str">
        <f t="shared" si="9"/>
        <v/>
      </c>
    </row>
    <row r="300" spans="1:9" x14ac:dyDescent="0.2">
      <c r="A300" s="4"/>
      <c r="B300" s="4"/>
      <c r="C300" s="4"/>
      <c r="D300" s="4"/>
      <c r="E300" s="5"/>
      <c r="F300" s="5" t="str">
        <f>IF($A300="","",SUMIF(Party_Ledger!$B:$B,$A300,Party_Ledger!$F:$F))</f>
        <v/>
      </c>
      <c r="G300" s="5" t="str">
        <f>IF($A300="","",SUMIF(Party_Ledger!$B:$B,$A300,Party_Ledger!$G:$G))</f>
        <v/>
      </c>
      <c r="H300" s="5" t="str">
        <f t="shared" si="8"/>
        <v/>
      </c>
      <c r="I300" s="4" t="str">
        <f t="shared" si="9"/>
        <v/>
      </c>
    </row>
    <row r="301" spans="1:9" x14ac:dyDescent="0.2">
      <c r="A301" s="4"/>
      <c r="B301" s="4"/>
      <c r="C301" s="4"/>
      <c r="D301" s="4"/>
      <c r="E301" s="5"/>
      <c r="F301" s="5" t="str">
        <f>IF($A301="","",SUMIF(Party_Ledger!$B:$B,$A301,Party_Ledger!$F:$F))</f>
        <v/>
      </c>
      <c r="G301" s="5" t="str">
        <f>IF($A301="","",SUMIF(Party_Ledger!$B:$B,$A301,Party_Ledger!$G:$G))</f>
        <v/>
      </c>
      <c r="H301" s="5" t="str">
        <f t="shared" si="8"/>
        <v/>
      </c>
      <c r="I301" s="4" t="str">
        <f t="shared" si="9"/>
        <v/>
      </c>
    </row>
    <row r="302" spans="1:9" x14ac:dyDescent="0.2">
      <c r="A302" s="4"/>
      <c r="B302" s="4"/>
      <c r="C302" s="4"/>
      <c r="D302" s="4"/>
      <c r="E302" s="5"/>
      <c r="F302" s="5" t="str">
        <f>IF($A302="","",SUMIF(Party_Ledger!$B:$B,$A302,Party_Ledger!$F:$F))</f>
        <v/>
      </c>
      <c r="G302" s="5" t="str">
        <f>IF($A302="","",SUMIF(Party_Ledger!$B:$B,$A302,Party_Ledger!$G:$G))</f>
        <v/>
      </c>
      <c r="H302" s="5" t="str">
        <f t="shared" si="8"/>
        <v/>
      </c>
      <c r="I302" s="4" t="str">
        <f t="shared" si="9"/>
        <v/>
      </c>
    </row>
    <row r="303" spans="1:9" x14ac:dyDescent="0.2">
      <c r="A303" s="4"/>
      <c r="B303" s="4"/>
      <c r="C303" s="4"/>
      <c r="D303" s="4"/>
      <c r="E303" s="5"/>
      <c r="F303" s="5" t="str">
        <f>IF($A303="","",SUMIF(Party_Ledger!$B:$B,$A303,Party_Ledger!$F:$F))</f>
        <v/>
      </c>
      <c r="G303" s="5" t="str">
        <f>IF($A303="","",SUMIF(Party_Ledger!$B:$B,$A303,Party_Ledger!$G:$G))</f>
        <v/>
      </c>
      <c r="H303" s="5" t="str">
        <f t="shared" si="8"/>
        <v/>
      </c>
      <c r="I303" s="4" t="str">
        <f t="shared" si="9"/>
        <v/>
      </c>
    </row>
    <row r="304" spans="1:9" x14ac:dyDescent="0.2">
      <c r="A304" s="4"/>
      <c r="B304" s="4"/>
      <c r="C304" s="4"/>
      <c r="D304" s="4"/>
      <c r="E304" s="5"/>
      <c r="F304" s="5" t="str">
        <f>IF($A304="","",SUMIF(Party_Ledger!$B:$B,$A304,Party_Ledger!$F:$F))</f>
        <v/>
      </c>
      <c r="G304" s="5" t="str">
        <f>IF($A304="","",SUMIF(Party_Ledger!$B:$B,$A304,Party_Ledger!$G:$G))</f>
        <v/>
      </c>
      <c r="H304" s="5" t="str">
        <f t="shared" si="8"/>
        <v/>
      </c>
      <c r="I304" s="4" t="str">
        <f t="shared" si="9"/>
        <v/>
      </c>
    </row>
    <row r="305" spans="1:9" x14ac:dyDescent="0.2">
      <c r="A305" s="4"/>
      <c r="B305" s="4"/>
      <c r="C305" s="4"/>
      <c r="D305" s="4"/>
      <c r="E305" s="5"/>
      <c r="F305" s="5" t="str">
        <f>IF($A305="","",SUMIF(Party_Ledger!$B:$B,$A305,Party_Ledger!$F:$F))</f>
        <v/>
      </c>
      <c r="G305" s="5" t="str">
        <f>IF($A305="","",SUMIF(Party_Ledger!$B:$B,$A305,Party_Ledger!$G:$G))</f>
        <v/>
      </c>
      <c r="H305" s="5" t="str">
        <f t="shared" si="8"/>
        <v/>
      </c>
      <c r="I305" s="4" t="str">
        <f t="shared" si="9"/>
        <v/>
      </c>
    </row>
    <row r="306" spans="1:9" x14ac:dyDescent="0.2">
      <c r="A306" s="4"/>
      <c r="B306" s="4"/>
      <c r="C306" s="4"/>
      <c r="D306" s="4"/>
      <c r="E306" s="5"/>
      <c r="F306" s="5" t="str">
        <f>IF($A306="","",SUMIF(Party_Ledger!$B:$B,$A306,Party_Ledger!$F:$F))</f>
        <v/>
      </c>
      <c r="G306" s="5" t="str">
        <f>IF($A306="","",SUMIF(Party_Ledger!$B:$B,$A306,Party_Ledger!$G:$G))</f>
        <v/>
      </c>
      <c r="H306" s="5" t="str">
        <f t="shared" si="8"/>
        <v/>
      </c>
      <c r="I306" s="4" t="str">
        <f t="shared" si="9"/>
        <v/>
      </c>
    </row>
    <row r="307" spans="1:9" x14ac:dyDescent="0.2">
      <c r="A307" s="4"/>
      <c r="B307" s="4"/>
      <c r="C307" s="4"/>
      <c r="D307" s="4"/>
      <c r="E307" s="5"/>
      <c r="F307" s="5" t="str">
        <f>IF($A307="","",SUMIF(Party_Ledger!$B:$B,$A307,Party_Ledger!$F:$F))</f>
        <v/>
      </c>
      <c r="G307" s="5" t="str">
        <f>IF($A307="","",SUMIF(Party_Ledger!$B:$B,$A307,Party_Ledger!$G:$G))</f>
        <v/>
      </c>
      <c r="H307" s="5" t="str">
        <f t="shared" si="8"/>
        <v/>
      </c>
      <c r="I307" s="4" t="str">
        <f t="shared" si="9"/>
        <v/>
      </c>
    </row>
    <row r="308" spans="1:9" x14ac:dyDescent="0.2">
      <c r="A308" s="4"/>
      <c r="B308" s="4"/>
      <c r="C308" s="4"/>
      <c r="D308" s="4"/>
      <c r="E308" s="5"/>
      <c r="F308" s="5" t="str">
        <f>IF($A308="","",SUMIF(Party_Ledger!$B:$B,$A308,Party_Ledger!$F:$F))</f>
        <v/>
      </c>
      <c r="G308" s="5" t="str">
        <f>IF($A308="","",SUMIF(Party_Ledger!$B:$B,$A308,Party_Ledger!$G:$G))</f>
        <v/>
      </c>
      <c r="H308" s="5" t="str">
        <f t="shared" si="8"/>
        <v/>
      </c>
      <c r="I308" s="4" t="str">
        <f t="shared" si="9"/>
        <v/>
      </c>
    </row>
    <row r="309" spans="1:9" x14ac:dyDescent="0.2">
      <c r="A309" s="4"/>
      <c r="B309" s="4"/>
      <c r="C309" s="4"/>
      <c r="D309" s="4"/>
      <c r="E309" s="5"/>
      <c r="F309" s="5" t="str">
        <f>IF($A309="","",SUMIF(Party_Ledger!$B:$B,$A309,Party_Ledger!$F:$F))</f>
        <v/>
      </c>
      <c r="G309" s="5" t="str">
        <f>IF($A309="","",SUMIF(Party_Ledger!$B:$B,$A309,Party_Ledger!$G:$G))</f>
        <v/>
      </c>
      <c r="H309" s="5" t="str">
        <f t="shared" si="8"/>
        <v/>
      </c>
      <c r="I309" s="4" t="str">
        <f t="shared" si="9"/>
        <v/>
      </c>
    </row>
    <row r="310" spans="1:9" x14ac:dyDescent="0.2">
      <c r="A310" s="4"/>
      <c r="B310" s="4"/>
      <c r="C310" s="4"/>
      <c r="D310" s="4"/>
      <c r="E310" s="5"/>
      <c r="F310" s="5" t="str">
        <f>IF($A310="","",SUMIF(Party_Ledger!$B:$B,$A310,Party_Ledger!$F:$F))</f>
        <v/>
      </c>
      <c r="G310" s="5" t="str">
        <f>IF($A310="","",SUMIF(Party_Ledger!$B:$B,$A310,Party_Ledger!$G:$G))</f>
        <v/>
      </c>
      <c r="H310" s="5" t="str">
        <f t="shared" si="8"/>
        <v/>
      </c>
      <c r="I310" s="4" t="str">
        <f t="shared" si="9"/>
        <v/>
      </c>
    </row>
    <row r="311" spans="1:9" x14ac:dyDescent="0.2">
      <c r="A311" s="4"/>
      <c r="B311" s="4"/>
      <c r="C311" s="4"/>
      <c r="D311" s="4"/>
      <c r="E311" s="5"/>
      <c r="F311" s="5" t="str">
        <f>IF($A311="","",SUMIF(Party_Ledger!$B:$B,$A311,Party_Ledger!$F:$F))</f>
        <v/>
      </c>
      <c r="G311" s="5" t="str">
        <f>IF($A311="","",SUMIF(Party_Ledger!$B:$B,$A311,Party_Ledger!$G:$G))</f>
        <v/>
      </c>
      <c r="H311" s="5" t="str">
        <f t="shared" si="8"/>
        <v/>
      </c>
      <c r="I311" s="4" t="str">
        <f t="shared" si="9"/>
        <v/>
      </c>
    </row>
    <row r="312" spans="1:9" x14ac:dyDescent="0.2">
      <c r="A312" s="4"/>
      <c r="B312" s="4"/>
      <c r="C312" s="4"/>
      <c r="D312" s="4"/>
      <c r="E312" s="5"/>
      <c r="F312" s="5" t="str">
        <f>IF($A312="","",SUMIF(Party_Ledger!$B:$B,$A312,Party_Ledger!$F:$F))</f>
        <v/>
      </c>
      <c r="G312" s="5" t="str">
        <f>IF($A312="","",SUMIF(Party_Ledger!$B:$B,$A312,Party_Ledger!$G:$G))</f>
        <v/>
      </c>
      <c r="H312" s="5" t="str">
        <f t="shared" si="8"/>
        <v/>
      </c>
      <c r="I312" s="4" t="str">
        <f t="shared" si="9"/>
        <v/>
      </c>
    </row>
    <row r="313" spans="1:9" x14ac:dyDescent="0.2">
      <c r="A313" s="4"/>
      <c r="B313" s="4"/>
      <c r="C313" s="4"/>
      <c r="D313" s="4"/>
      <c r="E313" s="5"/>
      <c r="F313" s="5" t="str">
        <f>IF($A313="","",SUMIF(Party_Ledger!$B:$B,$A313,Party_Ledger!$F:$F))</f>
        <v/>
      </c>
      <c r="G313" s="5" t="str">
        <f>IF($A313="","",SUMIF(Party_Ledger!$B:$B,$A313,Party_Ledger!$G:$G))</f>
        <v/>
      </c>
      <c r="H313" s="5" t="str">
        <f t="shared" si="8"/>
        <v/>
      </c>
      <c r="I313" s="4" t="str">
        <f t="shared" si="9"/>
        <v/>
      </c>
    </row>
    <row r="314" spans="1:9" x14ac:dyDescent="0.2">
      <c r="A314" s="4"/>
      <c r="B314" s="4"/>
      <c r="C314" s="4"/>
      <c r="D314" s="4"/>
      <c r="E314" s="5"/>
      <c r="F314" s="5" t="str">
        <f>IF($A314="","",SUMIF(Party_Ledger!$B:$B,$A314,Party_Ledger!$F:$F))</f>
        <v/>
      </c>
      <c r="G314" s="5" t="str">
        <f>IF($A314="","",SUMIF(Party_Ledger!$B:$B,$A314,Party_Ledger!$G:$G))</f>
        <v/>
      </c>
      <c r="H314" s="5" t="str">
        <f t="shared" si="8"/>
        <v/>
      </c>
      <c r="I314" s="4" t="str">
        <f t="shared" si="9"/>
        <v/>
      </c>
    </row>
    <row r="315" spans="1:9" x14ac:dyDescent="0.2">
      <c r="A315" s="4"/>
      <c r="B315" s="4"/>
      <c r="C315" s="4"/>
      <c r="D315" s="4"/>
      <c r="E315" s="5"/>
      <c r="F315" s="5" t="str">
        <f>IF($A315="","",SUMIF(Party_Ledger!$B:$B,$A315,Party_Ledger!$F:$F))</f>
        <v/>
      </c>
      <c r="G315" s="5" t="str">
        <f>IF($A315="","",SUMIF(Party_Ledger!$B:$B,$A315,Party_Ledger!$G:$G))</f>
        <v/>
      </c>
      <c r="H315" s="5" t="str">
        <f t="shared" si="8"/>
        <v/>
      </c>
      <c r="I315" s="4" t="str">
        <f t="shared" si="9"/>
        <v/>
      </c>
    </row>
    <row r="316" spans="1:9" x14ac:dyDescent="0.2">
      <c r="A316" s="4"/>
      <c r="B316" s="4"/>
      <c r="C316" s="4"/>
      <c r="D316" s="4"/>
      <c r="E316" s="5"/>
      <c r="F316" s="5" t="str">
        <f>IF($A316="","",SUMIF(Party_Ledger!$B:$B,$A316,Party_Ledger!$F:$F))</f>
        <v/>
      </c>
      <c r="G316" s="5" t="str">
        <f>IF($A316="","",SUMIF(Party_Ledger!$B:$B,$A316,Party_Ledger!$G:$G))</f>
        <v/>
      </c>
      <c r="H316" s="5" t="str">
        <f t="shared" si="8"/>
        <v/>
      </c>
      <c r="I316" s="4" t="str">
        <f t="shared" si="9"/>
        <v/>
      </c>
    </row>
    <row r="317" spans="1:9" x14ac:dyDescent="0.2">
      <c r="A317" s="4"/>
      <c r="B317" s="4"/>
      <c r="C317" s="4"/>
      <c r="D317" s="4"/>
      <c r="E317" s="5"/>
      <c r="F317" s="5" t="str">
        <f>IF($A317="","",SUMIF(Party_Ledger!$B:$B,$A317,Party_Ledger!$F:$F))</f>
        <v/>
      </c>
      <c r="G317" s="5" t="str">
        <f>IF($A317="","",SUMIF(Party_Ledger!$B:$B,$A317,Party_Ledger!$G:$G))</f>
        <v/>
      </c>
      <c r="H317" s="5" t="str">
        <f t="shared" si="8"/>
        <v/>
      </c>
      <c r="I317" s="4" t="str">
        <f t="shared" si="9"/>
        <v/>
      </c>
    </row>
    <row r="318" spans="1:9" x14ac:dyDescent="0.2">
      <c r="A318" s="4"/>
      <c r="B318" s="4"/>
      <c r="C318" s="4"/>
      <c r="D318" s="4"/>
      <c r="E318" s="5"/>
      <c r="F318" s="5" t="str">
        <f>IF($A318="","",SUMIF(Party_Ledger!$B:$B,$A318,Party_Ledger!$F:$F))</f>
        <v/>
      </c>
      <c r="G318" s="5" t="str">
        <f>IF($A318="","",SUMIF(Party_Ledger!$B:$B,$A318,Party_Ledger!$G:$G))</f>
        <v/>
      </c>
      <c r="H318" s="5" t="str">
        <f t="shared" si="8"/>
        <v/>
      </c>
      <c r="I318" s="4" t="str">
        <f t="shared" si="9"/>
        <v/>
      </c>
    </row>
    <row r="319" spans="1:9" x14ac:dyDescent="0.2">
      <c r="A319" s="4"/>
      <c r="B319" s="4"/>
      <c r="C319" s="4"/>
      <c r="D319" s="4"/>
      <c r="E319" s="5"/>
      <c r="F319" s="5" t="str">
        <f>IF($A319="","",SUMIF(Party_Ledger!$B:$B,$A319,Party_Ledger!$F:$F))</f>
        <v/>
      </c>
      <c r="G319" s="5" t="str">
        <f>IF($A319="","",SUMIF(Party_Ledger!$B:$B,$A319,Party_Ledger!$G:$G))</f>
        <v/>
      </c>
      <c r="H319" s="5" t="str">
        <f t="shared" si="8"/>
        <v/>
      </c>
      <c r="I319" s="4" t="str">
        <f t="shared" si="9"/>
        <v/>
      </c>
    </row>
    <row r="320" spans="1:9" x14ac:dyDescent="0.2">
      <c r="A320" s="4"/>
      <c r="B320" s="4"/>
      <c r="C320" s="4"/>
      <c r="D320" s="4"/>
      <c r="E320" s="5"/>
      <c r="F320" s="5" t="str">
        <f>IF($A320="","",SUMIF(Party_Ledger!$B:$B,$A320,Party_Ledger!$F:$F))</f>
        <v/>
      </c>
      <c r="G320" s="5" t="str">
        <f>IF($A320="","",SUMIF(Party_Ledger!$B:$B,$A320,Party_Ledger!$G:$G))</f>
        <v/>
      </c>
      <c r="H320" s="5" t="str">
        <f t="shared" si="8"/>
        <v/>
      </c>
      <c r="I320" s="4" t="str">
        <f t="shared" si="9"/>
        <v/>
      </c>
    </row>
    <row r="321" spans="1:9" x14ac:dyDescent="0.2">
      <c r="A321" s="4"/>
      <c r="B321" s="4"/>
      <c r="C321" s="4"/>
      <c r="D321" s="4"/>
      <c r="E321" s="5"/>
      <c r="F321" s="5" t="str">
        <f>IF($A321="","",SUMIF(Party_Ledger!$B:$B,$A321,Party_Ledger!$F:$F))</f>
        <v/>
      </c>
      <c r="G321" s="5" t="str">
        <f>IF($A321="","",SUMIF(Party_Ledger!$B:$B,$A321,Party_Ledger!$G:$G))</f>
        <v/>
      </c>
      <c r="H321" s="5" t="str">
        <f t="shared" si="8"/>
        <v/>
      </c>
      <c r="I321" s="4" t="str">
        <f t="shared" si="9"/>
        <v/>
      </c>
    </row>
    <row r="322" spans="1:9" x14ac:dyDescent="0.2">
      <c r="A322" s="4"/>
      <c r="B322" s="4"/>
      <c r="C322" s="4"/>
      <c r="D322" s="4"/>
      <c r="E322" s="5"/>
      <c r="F322" s="5" t="str">
        <f>IF($A322="","",SUMIF(Party_Ledger!$B:$B,$A322,Party_Ledger!$F:$F))</f>
        <v/>
      </c>
      <c r="G322" s="5" t="str">
        <f>IF($A322="","",SUMIF(Party_Ledger!$B:$B,$A322,Party_Ledger!$G:$G))</f>
        <v/>
      </c>
      <c r="H322" s="5" t="str">
        <f t="shared" si="8"/>
        <v/>
      </c>
      <c r="I322" s="4" t="str">
        <f t="shared" si="9"/>
        <v/>
      </c>
    </row>
    <row r="323" spans="1:9" x14ac:dyDescent="0.2">
      <c r="A323" s="4"/>
      <c r="B323" s="4"/>
      <c r="C323" s="4"/>
      <c r="D323" s="4"/>
      <c r="E323" s="5"/>
      <c r="F323" s="5" t="str">
        <f>IF($A323="","",SUMIF(Party_Ledger!$B:$B,$A323,Party_Ledger!$F:$F))</f>
        <v/>
      </c>
      <c r="G323" s="5" t="str">
        <f>IF($A323="","",SUMIF(Party_Ledger!$B:$B,$A323,Party_Ledger!$G:$G))</f>
        <v/>
      </c>
      <c r="H323" s="5" t="str">
        <f t="shared" ref="H323:H386" si="10">IF($A323="","",$E323+$F323-$G323)</f>
        <v/>
      </c>
      <c r="I323" s="4" t="str">
        <f t="shared" ref="I323:I386" si="11">IF($A323="","",IF(ROUND($H323,0)=0,"Settled",IF($H323&gt;0,"Outstanding","Advance")))</f>
        <v/>
      </c>
    </row>
    <row r="324" spans="1:9" x14ac:dyDescent="0.2">
      <c r="A324" s="4"/>
      <c r="B324" s="4"/>
      <c r="C324" s="4"/>
      <c r="D324" s="4"/>
      <c r="E324" s="5"/>
      <c r="F324" s="5" t="str">
        <f>IF($A324="","",SUMIF(Party_Ledger!$B:$B,$A324,Party_Ledger!$F:$F))</f>
        <v/>
      </c>
      <c r="G324" s="5" t="str">
        <f>IF($A324="","",SUMIF(Party_Ledger!$B:$B,$A324,Party_Ledger!$G:$G))</f>
        <v/>
      </c>
      <c r="H324" s="5" t="str">
        <f t="shared" si="10"/>
        <v/>
      </c>
      <c r="I324" s="4" t="str">
        <f t="shared" si="11"/>
        <v/>
      </c>
    </row>
    <row r="325" spans="1:9" x14ac:dyDescent="0.2">
      <c r="A325" s="4"/>
      <c r="B325" s="4"/>
      <c r="C325" s="4"/>
      <c r="D325" s="4"/>
      <c r="E325" s="5"/>
      <c r="F325" s="5" t="str">
        <f>IF($A325="","",SUMIF(Party_Ledger!$B:$B,$A325,Party_Ledger!$F:$F))</f>
        <v/>
      </c>
      <c r="G325" s="5" t="str">
        <f>IF($A325="","",SUMIF(Party_Ledger!$B:$B,$A325,Party_Ledger!$G:$G))</f>
        <v/>
      </c>
      <c r="H325" s="5" t="str">
        <f t="shared" si="10"/>
        <v/>
      </c>
      <c r="I325" s="4" t="str">
        <f t="shared" si="11"/>
        <v/>
      </c>
    </row>
    <row r="326" spans="1:9" x14ac:dyDescent="0.2">
      <c r="A326" s="4"/>
      <c r="B326" s="4"/>
      <c r="C326" s="4"/>
      <c r="D326" s="4"/>
      <c r="E326" s="5"/>
      <c r="F326" s="5" t="str">
        <f>IF($A326="","",SUMIF(Party_Ledger!$B:$B,$A326,Party_Ledger!$F:$F))</f>
        <v/>
      </c>
      <c r="G326" s="5" t="str">
        <f>IF($A326="","",SUMIF(Party_Ledger!$B:$B,$A326,Party_Ledger!$G:$G))</f>
        <v/>
      </c>
      <c r="H326" s="5" t="str">
        <f t="shared" si="10"/>
        <v/>
      </c>
      <c r="I326" s="4" t="str">
        <f t="shared" si="11"/>
        <v/>
      </c>
    </row>
    <row r="327" spans="1:9" x14ac:dyDescent="0.2">
      <c r="A327" s="4"/>
      <c r="B327" s="4"/>
      <c r="C327" s="4"/>
      <c r="D327" s="4"/>
      <c r="E327" s="5"/>
      <c r="F327" s="5" t="str">
        <f>IF($A327="","",SUMIF(Party_Ledger!$B:$B,$A327,Party_Ledger!$F:$F))</f>
        <v/>
      </c>
      <c r="G327" s="5" t="str">
        <f>IF($A327="","",SUMIF(Party_Ledger!$B:$B,$A327,Party_Ledger!$G:$G))</f>
        <v/>
      </c>
      <c r="H327" s="5" t="str">
        <f t="shared" si="10"/>
        <v/>
      </c>
      <c r="I327" s="4" t="str">
        <f t="shared" si="11"/>
        <v/>
      </c>
    </row>
    <row r="328" spans="1:9" x14ac:dyDescent="0.2">
      <c r="A328" s="4"/>
      <c r="B328" s="4"/>
      <c r="C328" s="4"/>
      <c r="D328" s="4"/>
      <c r="E328" s="5"/>
      <c r="F328" s="5" t="str">
        <f>IF($A328="","",SUMIF(Party_Ledger!$B:$B,$A328,Party_Ledger!$F:$F))</f>
        <v/>
      </c>
      <c r="G328" s="5" t="str">
        <f>IF($A328="","",SUMIF(Party_Ledger!$B:$B,$A328,Party_Ledger!$G:$G))</f>
        <v/>
      </c>
      <c r="H328" s="5" t="str">
        <f t="shared" si="10"/>
        <v/>
      </c>
      <c r="I328" s="4" t="str">
        <f t="shared" si="11"/>
        <v/>
      </c>
    </row>
    <row r="329" spans="1:9" x14ac:dyDescent="0.2">
      <c r="A329" s="4"/>
      <c r="B329" s="4"/>
      <c r="C329" s="4"/>
      <c r="D329" s="4"/>
      <c r="E329" s="5"/>
      <c r="F329" s="5" t="str">
        <f>IF($A329="","",SUMIF(Party_Ledger!$B:$B,$A329,Party_Ledger!$F:$F))</f>
        <v/>
      </c>
      <c r="G329" s="5" t="str">
        <f>IF($A329="","",SUMIF(Party_Ledger!$B:$B,$A329,Party_Ledger!$G:$G))</f>
        <v/>
      </c>
      <c r="H329" s="5" t="str">
        <f t="shared" si="10"/>
        <v/>
      </c>
      <c r="I329" s="4" t="str">
        <f t="shared" si="11"/>
        <v/>
      </c>
    </row>
    <row r="330" spans="1:9" x14ac:dyDescent="0.2">
      <c r="A330" s="4"/>
      <c r="B330" s="4"/>
      <c r="C330" s="4"/>
      <c r="D330" s="4"/>
      <c r="E330" s="5"/>
      <c r="F330" s="5" t="str">
        <f>IF($A330="","",SUMIF(Party_Ledger!$B:$B,$A330,Party_Ledger!$F:$F))</f>
        <v/>
      </c>
      <c r="G330" s="5" t="str">
        <f>IF($A330="","",SUMIF(Party_Ledger!$B:$B,$A330,Party_Ledger!$G:$G))</f>
        <v/>
      </c>
      <c r="H330" s="5" t="str">
        <f t="shared" si="10"/>
        <v/>
      </c>
      <c r="I330" s="4" t="str">
        <f t="shared" si="11"/>
        <v/>
      </c>
    </row>
    <row r="331" spans="1:9" x14ac:dyDescent="0.2">
      <c r="A331" s="4"/>
      <c r="B331" s="4"/>
      <c r="C331" s="4"/>
      <c r="D331" s="4"/>
      <c r="E331" s="5"/>
      <c r="F331" s="5" t="str">
        <f>IF($A331="","",SUMIF(Party_Ledger!$B:$B,$A331,Party_Ledger!$F:$F))</f>
        <v/>
      </c>
      <c r="G331" s="5" t="str">
        <f>IF($A331="","",SUMIF(Party_Ledger!$B:$B,$A331,Party_Ledger!$G:$G))</f>
        <v/>
      </c>
      <c r="H331" s="5" t="str">
        <f t="shared" si="10"/>
        <v/>
      </c>
      <c r="I331" s="4" t="str">
        <f t="shared" si="11"/>
        <v/>
      </c>
    </row>
    <row r="332" spans="1:9" x14ac:dyDescent="0.2">
      <c r="A332" s="4"/>
      <c r="B332" s="4"/>
      <c r="C332" s="4"/>
      <c r="D332" s="4"/>
      <c r="E332" s="5"/>
      <c r="F332" s="5" t="str">
        <f>IF($A332="","",SUMIF(Party_Ledger!$B:$B,$A332,Party_Ledger!$F:$F))</f>
        <v/>
      </c>
      <c r="G332" s="5" t="str">
        <f>IF($A332="","",SUMIF(Party_Ledger!$B:$B,$A332,Party_Ledger!$G:$G))</f>
        <v/>
      </c>
      <c r="H332" s="5" t="str">
        <f t="shared" si="10"/>
        <v/>
      </c>
      <c r="I332" s="4" t="str">
        <f t="shared" si="11"/>
        <v/>
      </c>
    </row>
    <row r="333" spans="1:9" x14ac:dyDescent="0.2">
      <c r="A333" s="4"/>
      <c r="B333" s="4"/>
      <c r="C333" s="4"/>
      <c r="D333" s="4"/>
      <c r="E333" s="5"/>
      <c r="F333" s="5" t="str">
        <f>IF($A333="","",SUMIF(Party_Ledger!$B:$B,$A333,Party_Ledger!$F:$F))</f>
        <v/>
      </c>
      <c r="G333" s="5" t="str">
        <f>IF($A333="","",SUMIF(Party_Ledger!$B:$B,$A333,Party_Ledger!$G:$G))</f>
        <v/>
      </c>
      <c r="H333" s="5" t="str">
        <f t="shared" si="10"/>
        <v/>
      </c>
      <c r="I333" s="4" t="str">
        <f t="shared" si="11"/>
        <v/>
      </c>
    </row>
    <row r="334" spans="1:9" x14ac:dyDescent="0.2">
      <c r="A334" s="4"/>
      <c r="B334" s="4"/>
      <c r="C334" s="4"/>
      <c r="D334" s="4"/>
      <c r="E334" s="5"/>
      <c r="F334" s="5" t="str">
        <f>IF($A334="","",SUMIF(Party_Ledger!$B:$B,$A334,Party_Ledger!$F:$F))</f>
        <v/>
      </c>
      <c r="G334" s="5" t="str">
        <f>IF($A334="","",SUMIF(Party_Ledger!$B:$B,$A334,Party_Ledger!$G:$G))</f>
        <v/>
      </c>
      <c r="H334" s="5" t="str">
        <f t="shared" si="10"/>
        <v/>
      </c>
      <c r="I334" s="4" t="str">
        <f t="shared" si="11"/>
        <v/>
      </c>
    </row>
    <row r="335" spans="1:9" x14ac:dyDescent="0.2">
      <c r="A335" s="4"/>
      <c r="B335" s="4"/>
      <c r="C335" s="4"/>
      <c r="D335" s="4"/>
      <c r="E335" s="5"/>
      <c r="F335" s="5" t="str">
        <f>IF($A335="","",SUMIF(Party_Ledger!$B:$B,$A335,Party_Ledger!$F:$F))</f>
        <v/>
      </c>
      <c r="G335" s="5" t="str">
        <f>IF($A335="","",SUMIF(Party_Ledger!$B:$B,$A335,Party_Ledger!$G:$G))</f>
        <v/>
      </c>
      <c r="H335" s="5" t="str">
        <f t="shared" si="10"/>
        <v/>
      </c>
      <c r="I335" s="4" t="str">
        <f t="shared" si="11"/>
        <v/>
      </c>
    </row>
    <row r="336" spans="1:9" x14ac:dyDescent="0.2">
      <c r="A336" s="4"/>
      <c r="B336" s="4"/>
      <c r="C336" s="4"/>
      <c r="D336" s="4"/>
      <c r="E336" s="5"/>
      <c r="F336" s="5" t="str">
        <f>IF($A336="","",SUMIF(Party_Ledger!$B:$B,$A336,Party_Ledger!$F:$F))</f>
        <v/>
      </c>
      <c r="G336" s="5" t="str">
        <f>IF($A336="","",SUMIF(Party_Ledger!$B:$B,$A336,Party_Ledger!$G:$G))</f>
        <v/>
      </c>
      <c r="H336" s="5" t="str">
        <f t="shared" si="10"/>
        <v/>
      </c>
      <c r="I336" s="4" t="str">
        <f t="shared" si="11"/>
        <v/>
      </c>
    </row>
    <row r="337" spans="1:9" x14ac:dyDescent="0.2">
      <c r="A337" s="4"/>
      <c r="B337" s="4"/>
      <c r="C337" s="4"/>
      <c r="D337" s="4"/>
      <c r="E337" s="5"/>
      <c r="F337" s="5" t="str">
        <f>IF($A337="","",SUMIF(Party_Ledger!$B:$B,$A337,Party_Ledger!$F:$F))</f>
        <v/>
      </c>
      <c r="G337" s="5" t="str">
        <f>IF($A337="","",SUMIF(Party_Ledger!$B:$B,$A337,Party_Ledger!$G:$G))</f>
        <v/>
      </c>
      <c r="H337" s="5" t="str">
        <f t="shared" si="10"/>
        <v/>
      </c>
      <c r="I337" s="4" t="str">
        <f t="shared" si="11"/>
        <v/>
      </c>
    </row>
    <row r="338" spans="1:9" x14ac:dyDescent="0.2">
      <c r="A338" s="4"/>
      <c r="B338" s="4"/>
      <c r="C338" s="4"/>
      <c r="D338" s="4"/>
      <c r="E338" s="5"/>
      <c r="F338" s="5" t="str">
        <f>IF($A338="","",SUMIF(Party_Ledger!$B:$B,$A338,Party_Ledger!$F:$F))</f>
        <v/>
      </c>
      <c r="G338" s="5" t="str">
        <f>IF($A338="","",SUMIF(Party_Ledger!$B:$B,$A338,Party_Ledger!$G:$G))</f>
        <v/>
      </c>
      <c r="H338" s="5" t="str">
        <f t="shared" si="10"/>
        <v/>
      </c>
      <c r="I338" s="4" t="str">
        <f t="shared" si="11"/>
        <v/>
      </c>
    </row>
    <row r="339" spans="1:9" x14ac:dyDescent="0.2">
      <c r="A339" s="4"/>
      <c r="B339" s="4"/>
      <c r="C339" s="4"/>
      <c r="D339" s="4"/>
      <c r="E339" s="5"/>
      <c r="F339" s="5" t="str">
        <f>IF($A339="","",SUMIF(Party_Ledger!$B:$B,$A339,Party_Ledger!$F:$F))</f>
        <v/>
      </c>
      <c r="G339" s="5" t="str">
        <f>IF($A339="","",SUMIF(Party_Ledger!$B:$B,$A339,Party_Ledger!$G:$G))</f>
        <v/>
      </c>
      <c r="H339" s="5" t="str">
        <f t="shared" si="10"/>
        <v/>
      </c>
      <c r="I339" s="4" t="str">
        <f t="shared" si="11"/>
        <v/>
      </c>
    </row>
    <row r="340" spans="1:9" x14ac:dyDescent="0.2">
      <c r="A340" s="4"/>
      <c r="B340" s="4"/>
      <c r="C340" s="4"/>
      <c r="D340" s="4"/>
      <c r="E340" s="5"/>
      <c r="F340" s="5" t="str">
        <f>IF($A340="","",SUMIF(Party_Ledger!$B:$B,$A340,Party_Ledger!$F:$F))</f>
        <v/>
      </c>
      <c r="G340" s="5" t="str">
        <f>IF($A340="","",SUMIF(Party_Ledger!$B:$B,$A340,Party_Ledger!$G:$G))</f>
        <v/>
      </c>
      <c r="H340" s="5" t="str">
        <f t="shared" si="10"/>
        <v/>
      </c>
      <c r="I340" s="4" t="str">
        <f t="shared" si="11"/>
        <v/>
      </c>
    </row>
    <row r="341" spans="1:9" x14ac:dyDescent="0.2">
      <c r="A341" s="4"/>
      <c r="B341" s="4"/>
      <c r="C341" s="4"/>
      <c r="D341" s="4"/>
      <c r="E341" s="5"/>
      <c r="F341" s="5" t="str">
        <f>IF($A341="","",SUMIF(Party_Ledger!$B:$B,$A341,Party_Ledger!$F:$F))</f>
        <v/>
      </c>
      <c r="G341" s="5" t="str">
        <f>IF($A341="","",SUMIF(Party_Ledger!$B:$B,$A341,Party_Ledger!$G:$G))</f>
        <v/>
      </c>
      <c r="H341" s="5" t="str">
        <f t="shared" si="10"/>
        <v/>
      </c>
      <c r="I341" s="4" t="str">
        <f t="shared" si="11"/>
        <v/>
      </c>
    </row>
    <row r="342" spans="1:9" x14ac:dyDescent="0.2">
      <c r="A342" s="4"/>
      <c r="B342" s="4"/>
      <c r="C342" s="4"/>
      <c r="D342" s="4"/>
      <c r="E342" s="5"/>
      <c r="F342" s="5" t="str">
        <f>IF($A342="","",SUMIF(Party_Ledger!$B:$B,$A342,Party_Ledger!$F:$F))</f>
        <v/>
      </c>
      <c r="G342" s="5" t="str">
        <f>IF($A342="","",SUMIF(Party_Ledger!$B:$B,$A342,Party_Ledger!$G:$G))</f>
        <v/>
      </c>
      <c r="H342" s="5" t="str">
        <f t="shared" si="10"/>
        <v/>
      </c>
      <c r="I342" s="4" t="str">
        <f t="shared" si="11"/>
        <v/>
      </c>
    </row>
    <row r="343" spans="1:9" x14ac:dyDescent="0.2">
      <c r="A343" s="4"/>
      <c r="B343" s="4"/>
      <c r="C343" s="4"/>
      <c r="D343" s="4"/>
      <c r="E343" s="5"/>
      <c r="F343" s="5" t="str">
        <f>IF($A343="","",SUMIF(Party_Ledger!$B:$B,$A343,Party_Ledger!$F:$F))</f>
        <v/>
      </c>
      <c r="G343" s="5" t="str">
        <f>IF($A343="","",SUMIF(Party_Ledger!$B:$B,$A343,Party_Ledger!$G:$G))</f>
        <v/>
      </c>
      <c r="H343" s="5" t="str">
        <f t="shared" si="10"/>
        <v/>
      </c>
      <c r="I343" s="4" t="str">
        <f t="shared" si="11"/>
        <v/>
      </c>
    </row>
    <row r="344" spans="1:9" x14ac:dyDescent="0.2">
      <c r="A344" s="4"/>
      <c r="B344" s="4"/>
      <c r="C344" s="4"/>
      <c r="D344" s="4"/>
      <c r="E344" s="5"/>
      <c r="F344" s="5" t="str">
        <f>IF($A344="","",SUMIF(Party_Ledger!$B:$B,$A344,Party_Ledger!$F:$F))</f>
        <v/>
      </c>
      <c r="G344" s="5" t="str">
        <f>IF($A344="","",SUMIF(Party_Ledger!$B:$B,$A344,Party_Ledger!$G:$G))</f>
        <v/>
      </c>
      <c r="H344" s="5" t="str">
        <f t="shared" si="10"/>
        <v/>
      </c>
      <c r="I344" s="4" t="str">
        <f t="shared" si="11"/>
        <v/>
      </c>
    </row>
    <row r="345" spans="1:9" x14ac:dyDescent="0.2">
      <c r="A345" s="4"/>
      <c r="B345" s="4"/>
      <c r="C345" s="4"/>
      <c r="D345" s="4"/>
      <c r="E345" s="5"/>
      <c r="F345" s="5" t="str">
        <f>IF($A345="","",SUMIF(Party_Ledger!$B:$B,$A345,Party_Ledger!$F:$F))</f>
        <v/>
      </c>
      <c r="G345" s="5" t="str">
        <f>IF($A345="","",SUMIF(Party_Ledger!$B:$B,$A345,Party_Ledger!$G:$G))</f>
        <v/>
      </c>
      <c r="H345" s="5" t="str">
        <f t="shared" si="10"/>
        <v/>
      </c>
      <c r="I345" s="4" t="str">
        <f t="shared" si="11"/>
        <v/>
      </c>
    </row>
    <row r="346" spans="1:9" x14ac:dyDescent="0.2">
      <c r="A346" s="4"/>
      <c r="B346" s="4"/>
      <c r="C346" s="4"/>
      <c r="D346" s="4"/>
      <c r="E346" s="5"/>
      <c r="F346" s="5" t="str">
        <f>IF($A346="","",SUMIF(Party_Ledger!$B:$B,$A346,Party_Ledger!$F:$F))</f>
        <v/>
      </c>
      <c r="G346" s="5" t="str">
        <f>IF($A346="","",SUMIF(Party_Ledger!$B:$B,$A346,Party_Ledger!$G:$G))</f>
        <v/>
      </c>
      <c r="H346" s="5" t="str">
        <f t="shared" si="10"/>
        <v/>
      </c>
      <c r="I346" s="4" t="str">
        <f t="shared" si="11"/>
        <v/>
      </c>
    </row>
    <row r="347" spans="1:9" x14ac:dyDescent="0.2">
      <c r="A347" s="4"/>
      <c r="B347" s="4"/>
      <c r="C347" s="4"/>
      <c r="D347" s="4"/>
      <c r="E347" s="5"/>
      <c r="F347" s="5" t="str">
        <f>IF($A347="","",SUMIF(Party_Ledger!$B:$B,$A347,Party_Ledger!$F:$F))</f>
        <v/>
      </c>
      <c r="G347" s="5" t="str">
        <f>IF($A347="","",SUMIF(Party_Ledger!$B:$B,$A347,Party_Ledger!$G:$G))</f>
        <v/>
      </c>
      <c r="H347" s="5" t="str">
        <f t="shared" si="10"/>
        <v/>
      </c>
      <c r="I347" s="4" t="str">
        <f t="shared" si="11"/>
        <v/>
      </c>
    </row>
    <row r="348" spans="1:9" x14ac:dyDescent="0.2">
      <c r="A348" s="4"/>
      <c r="B348" s="4"/>
      <c r="C348" s="4"/>
      <c r="D348" s="4"/>
      <c r="E348" s="5"/>
      <c r="F348" s="5" t="str">
        <f>IF($A348="","",SUMIF(Party_Ledger!$B:$B,$A348,Party_Ledger!$F:$F))</f>
        <v/>
      </c>
      <c r="G348" s="5" t="str">
        <f>IF($A348="","",SUMIF(Party_Ledger!$B:$B,$A348,Party_Ledger!$G:$G))</f>
        <v/>
      </c>
      <c r="H348" s="5" t="str">
        <f t="shared" si="10"/>
        <v/>
      </c>
      <c r="I348" s="4" t="str">
        <f t="shared" si="11"/>
        <v/>
      </c>
    </row>
    <row r="349" spans="1:9" x14ac:dyDescent="0.2">
      <c r="A349" s="4"/>
      <c r="B349" s="4"/>
      <c r="C349" s="4"/>
      <c r="D349" s="4"/>
      <c r="E349" s="5"/>
      <c r="F349" s="5" t="str">
        <f>IF($A349="","",SUMIF(Party_Ledger!$B:$B,$A349,Party_Ledger!$F:$F))</f>
        <v/>
      </c>
      <c r="G349" s="5" t="str">
        <f>IF($A349="","",SUMIF(Party_Ledger!$B:$B,$A349,Party_Ledger!$G:$G))</f>
        <v/>
      </c>
      <c r="H349" s="5" t="str">
        <f t="shared" si="10"/>
        <v/>
      </c>
      <c r="I349" s="4" t="str">
        <f t="shared" si="11"/>
        <v/>
      </c>
    </row>
    <row r="350" spans="1:9" x14ac:dyDescent="0.2">
      <c r="A350" s="4"/>
      <c r="B350" s="4"/>
      <c r="C350" s="4"/>
      <c r="D350" s="4"/>
      <c r="E350" s="5"/>
      <c r="F350" s="5" t="str">
        <f>IF($A350="","",SUMIF(Party_Ledger!$B:$B,$A350,Party_Ledger!$F:$F))</f>
        <v/>
      </c>
      <c r="G350" s="5" t="str">
        <f>IF($A350="","",SUMIF(Party_Ledger!$B:$B,$A350,Party_Ledger!$G:$G))</f>
        <v/>
      </c>
      <c r="H350" s="5" t="str">
        <f t="shared" si="10"/>
        <v/>
      </c>
      <c r="I350" s="4" t="str">
        <f t="shared" si="11"/>
        <v/>
      </c>
    </row>
    <row r="351" spans="1:9" x14ac:dyDescent="0.2">
      <c r="A351" s="4"/>
      <c r="B351" s="4"/>
      <c r="C351" s="4"/>
      <c r="D351" s="4"/>
      <c r="E351" s="5"/>
      <c r="F351" s="5" t="str">
        <f>IF($A351="","",SUMIF(Party_Ledger!$B:$B,$A351,Party_Ledger!$F:$F))</f>
        <v/>
      </c>
      <c r="G351" s="5" t="str">
        <f>IF($A351="","",SUMIF(Party_Ledger!$B:$B,$A351,Party_Ledger!$G:$G))</f>
        <v/>
      </c>
      <c r="H351" s="5" t="str">
        <f t="shared" si="10"/>
        <v/>
      </c>
      <c r="I351" s="4" t="str">
        <f t="shared" si="11"/>
        <v/>
      </c>
    </row>
    <row r="352" spans="1:9" x14ac:dyDescent="0.2">
      <c r="A352" s="4"/>
      <c r="B352" s="4"/>
      <c r="C352" s="4"/>
      <c r="D352" s="4"/>
      <c r="E352" s="5"/>
      <c r="F352" s="5" t="str">
        <f>IF($A352="","",SUMIF(Party_Ledger!$B:$B,$A352,Party_Ledger!$F:$F))</f>
        <v/>
      </c>
      <c r="G352" s="5" t="str">
        <f>IF($A352="","",SUMIF(Party_Ledger!$B:$B,$A352,Party_Ledger!$G:$G))</f>
        <v/>
      </c>
      <c r="H352" s="5" t="str">
        <f t="shared" si="10"/>
        <v/>
      </c>
      <c r="I352" s="4" t="str">
        <f t="shared" si="11"/>
        <v/>
      </c>
    </row>
    <row r="353" spans="1:9" x14ac:dyDescent="0.2">
      <c r="A353" s="4"/>
      <c r="B353" s="4"/>
      <c r="C353" s="4"/>
      <c r="D353" s="4"/>
      <c r="E353" s="5"/>
      <c r="F353" s="5" t="str">
        <f>IF($A353="","",SUMIF(Party_Ledger!$B:$B,$A353,Party_Ledger!$F:$F))</f>
        <v/>
      </c>
      <c r="G353" s="5" t="str">
        <f>IF($A353="","",SUMIF(Party_Ledger!$B:$B,$A353,Party_Ledger!$G:$G))</f>
        <v/>
      </c>
      <c r="H353" s="5" t="str">
        <f t="shared" si="10"/>
        <v/>
      </c>
      <c r="I353" s="4" t="str">
        <f t="shared" si="11"/>
        <v/>
      </c>
    </row>
    <row r="354" spans="1:9" x14ac:dyDescent="0.2">
      <c r="A354" s="4"/>
      <c r="B354" s="4"/>
      <c r="C354" s="4"/>
      <c r="D354" s="4"/>
      <c r="E354" s="5"/>
      <c r="F354" s="5" t="str">
        <f>IF($A354="","",SUMIF(Party_Ledger!$B:$B,$A354,Party_Ledger!$F:$F))</f>
        <v/>
      </c>
      <c r="G354" s="5" t="str">
        <f>IF($A354="","",SUMIF(Party_Ledger!$B:$B,$A354,Party_Ledger!$G:$G))</f>
        <v/>
      </c>
      <c r="H354" s="5" t="str">
        <f t="shared" si="10"/>
        <v/>
      </c>
      <c r="I354" s="4" t="str">
        <f t="shared" si="11"/>
        <v/>
      </c>
    </row>
    <row r="355" spans="1:9" x14ac:dyDescent="0.2">
      <c r="A355" s="4"/>
      <c r="B355" s="4"/>
      <c r="C355" s="4"/>
      <c r="D355" s="4"/>
      <c r="E355" s="5"/>
      <c r="F355" s="5" t="str">
        <f>IF($A355="","",SUMIF(Party_Ledger!$B:$B,$A355,Party_Ledger!$F:$F))</f>
        <v/>
      </c>
      <c r="G355" s="5" t="str">
        <f>IF($A355="","",SUMIF(Party_Ledger!$B:$B,$A355,Party_Ledger!$G:$G))</f>
        <v/>
      </c>
      <c r="H355" s="5" t="str">
        <f t="shared" si="10"/>
        <v/>
      </c>
      <c r="I355" s="4" t="str">
        <f t="shared" si="11"/>
        <v/>
      </c>
    </row>
    <row r="356" spans="1:9" x14ac:dyDescent="0.2">
      <c r="A356" s="4"/>
      <c r="B356" s="4"/>
      <c r="C356" s="4"/>
      <c r="D356" s="4"/>
      <c r="E356" s="5"/>
      <c r="F356" s="5" t="str">
        <f>IF($A356="","",SUMIF(Party_Ledger!$B:$B,$A356,Party_Ledger!$F:$F))</f>
        <v/>
      </c>
      <c r="G356" s="5" t="str">
        <f>IF($A356="","",SUMIF(Party_Ledger!$B:$B,$A356,Party_Ledger!$G:$G))</f>
        <v/>
      </c>
      <c r="H356" s="5" t="str">
        <f t="shared" si="10"/>
        <v/>
      </c>
      <c r="I356" s="4" t="str">
        <f t="shared" si="11"/>
        <v/>
      </c>
    </row>
    <row r="357" spans="1:9" x14ac:dyDescent="0.2">
      <c r="A357" s="4"/>
      <c r="B357" s="4"/>
      <c r="C357" s="4"/>
      <c r="D357" s="4"/>
      <c r="E357" s="5"/>
      <c r="F357" s="5" t="str">
        <f>IF($A357="","",SUMIF(Party_Ledger!$B:$B,$A357,Party_Ledger!$F:$F))</f>
        <v/>
      </c>
      <c r="G357" s="5" t="str">
        <f>IF($A357="","",SUMIF(Party_Ledger!$B:$B,$A357,Party_Ledger!$G:$G))</f>
        <v/>
      </c>
      <c r="H357" s="5" t="str">
        <f t="shared" si="10"/>
        <v/>
      </c>
      <c r="I357" s="4" t="str">
        <f t="shared" si="11"/>
        <v/>
      </c>
    </row>
    <row r="358" spans="1:9" x14ac:dyDescent="0.2">
      <c r="A358" s="4"/>
      <c r="B358" s="4"/>
      <c r="C358" s="4"/>
      <c r="D358" s="4"/>
      <c r="E358" s="5"/>
      <c r="F358" s="5" t="str">
        <f>IF($A358="","",SUMIF(Party_Ledger!$B:$B,$A358,Party_Ledger!$F:$F))</f>
        <v/>
      </c>
      <c r="G358" s="5" t="str">
        <f>IF($A358="","",SUMIF(Party_Ledger!$B:$B,$A358,Party_Ledger!$G:$G))</f>
        <v/>
      </c>
      <c r="H358" s="5" t="str">
        <f t="shared" si="10"/>
        <v/>
      </c>
      <c r="I358" s="4" t="str">
        <f t="shared" si="11"/>
        <v/>
      </c>
    </row>
    <row r="359" spans="1:9" x14ac:dyDescent="0.2">
      <c r="A359" s="4"/>
      <c r="B359" s="4"/>
      <c r="C359" s="4"/>
      <c r="D359" s="4"/>
      <c r="E359" s="5"/>
      <c r="F359" s="5" t="str">
        <f>IF($A359="","",SUMIF(Party_Ledger!$B:$B,$A359,Party_Ledger!$F:$F))</f>
        <v/>
      </c>
      <c r="G359" s="5" t="str">
        <f>IF($A359="","",SUMIF(Party_Ledger!$B:$B,$A359,Party_Ledger!$G:$G))</f>
        <v/>
      </c>
      <c r="H359" s="5" t="str">
        <f t="shared" si="10"/>
        <v/>
      </c>
      <c r="I359" s="4" t="str">
        <f t="shared" si="11"/>
        <v/>
      </c>
    </row>
    <row r="360" spans="1:9" x14ac:dyDescent="0.2">
      <c r="A360" s="4"/>
      <c r="B360" s="4"/>
      <c r="C360" s="4"/>
      <c r="D360" s="4"/>
      <c r="E360" s="5"/>
      <c r="F360" s="5" t="str">
        <f>IF($A360="","",SUMIF(Party_Ledger!$B:$B,$A360,Party_Ledger!$F:$F))</f>
        <v/>
      </c>
      <c r="G360" s="5" t="str">
        <f>IF($A360="","",SUMIF(Party_Ledger!$B:$B,$A360,Party_Ledger!$G:$G))</f>
        <v/>
      </c>
      <c r="H360" s="5" t="str">
        <f t="shared" si="10"/>
        <v/>
      </c>
      <c r="I360" s="4" t="str">
        <f t="shared" si="11"/>
        <v/>
      </c>
    </row>
    <row r="361" spans="1:9" x14ac:dyDescent="0.2">
      <c r="A361" s="4"/>
      <c r="B361" s="4"/>
      <c r="C361" s="4"/>
      <c r="D361" s="4"/>
      <c r="E361" s="5"/>
      <c r="F361" s="5" t="str">
        <f>IF($A361="","",SUMIF(Party_Ledger!$B:$B,$A361,Party_Ledger!$F:$F))</f>
        <v/>
      </c>
      <c r="G361" s="5" t="str">
        <f>IF($A361="","",SUMIF(Party_Ledger!$B:$B,$A361,Party_Ledger!$G:$G))</f>
        <v/>
      </c>
      <c r="H361" s="5" t="str">
        <f t="shared" si="10"/>
        <v/>
      </c>
      <c r="I361" s="4" t="str">
        <f t="shared" si="11"/>
        <v/>
      </c>
    </row>
    <row r="362" spans="1:9" x14ac:dyDescent="0.2">
      <c r="A362" s="4"/>
      <c r="B362" s="4"/>
      <c r="C362" s="4"/>
      <c r="D362" s="4"/>
      <c r="E362" s="5"/>
      <c r="F362" s="5" t="str">
        <f>IF($A362="","",SUMIF(Party_Ledger!$B:$B,$A362,Party_Ledger!$F:$F))</f>
        <v/>
      </c>
      <c r="G362" s="5" t="str">
        <f>IF($A362="","",SUMIF(Party_Ledger!$B:$B,$A362,Party_Ledger!$G:$G))</f>
        <v/>
      </c>
      <c r="H362" s="5" t="str">
        <f t="shared" si="10"/>
        <v/>
      </c>
      <c r="I362" s="4" t="str">
        <f t="shared" si="11"/>
        <v/>
      </c>
    </row>
    <row r="363" spans="1:9" x14ac:dyDescent="0.2">
      <c r="A363" s="4"/>
      <c r="B363" s="4"/>
      <c r="C363" s="4"/>
      <c r="D363" s="4"/>
      <c r="E363" s="5"/>
      <c r="F363" s="5" t="str">
        <f>IF($A363="","",SUMIF(Party_Ledger!$B:$B,$A363,Party_Ledger!$F:$F))</f>
        <v/>
      </c>
      <c r="G363" s="5" t="str">
        <f>IF($A363="","",SUMIF(Party_Ledger!$B:$B,$A363,Party_Ledger!$G:$G))</f>
        <v/>
      </c>
      <c r="H363" s="5" t="str">
        <f t="shared" si="10"/>
        <v/>
      </c>
      <c r="I363" s="4" t="str">
        <f t="shared" si="11"/>
        <v/>
      </c>
    </row>
    <row r="364" spans="1:9" x14ac:dyDescent="0.2">
      <c r="A364" s="4"/>
      <c r="B364" s="4"/>
      <c r="C364" s="4"/>
      <c r="D364" s="4"/>
      <c r="E364" s="5"/>
      <c r="F364" s="5" t="str">
        <f>IF($A364="","",SUMIF(Party_Ledger!$B:$B,$A364,Party_Ledger!$F:$F))</f>
        <v/>
      </c>
      <c r="G364" s="5" t="str">
        <f>IF($A364="","",SUMIF(Party_Ledger!$B:$B,$A364,Party_Ledger!$G:$G))</f>
        <v/>
      </c>
      <c r="H364" s="5" t="str">
        <f t="shared" si="10"/>
        <v/>
      </c>
      <c r="I364" s="4" t="str">
        <f t="shared" si="11"/>
        <v/>
      </c>
    </row>
    <row r="365" spans="1:9" x14ac:dyDescent="0.2">
      <c r="A365" s="4"/>
      <c r="B365" s="4"/>
      <c r="C365" s="4"/>
      <c r="D365" s="4"/>
      <c r="E365" s="5"/>
      <c r="F365" s="5" t="str">
        <f>IF($A365="","",SUMIF(Party_Ledger!$B:$B,$A365,Party_Ledger!$F:$F))</f>
        <v/>
      </c>
      <c r="G365" s="5" t="str">
        <f>IF($A365="","",SUMIF(Party_Ledger!$B:$B,$A365,Party_Ledger!$G:$G))</f>
        <v/>
      </c>
      <c r="H365" s="5" t="str">
        <f t="shared" si="10"/>
        <v/>
      </c>
      <c r="I365" s="4" t="str">
        <f t="shared" si="11"/>
        <v/>
      </c>
    </row>
    <row r="366" spans="1:9" x14ac:dyDescent="0.2">
      <c r="A366" s="4"/>
      <c r="B366" s="4"/>
      <c r="C366" s="4"/>
      <c r="D366" s="4"/>
      <c r="E366" s="5"/>
      <c r="F366" s="5" t="str">
        <f>IF($A366="","",SUMIF(Party_Ledger!$B:$B,$A366,Party_Ledger!$F:$F))</f>
        <v/>
      </c>
      <c r="G366" s="5" t="str">
        <f>IF($A366="","",SUMIF(Party_Ledger!$B:$B,$A366,Party_Ledger!$G:$G))</f>
        <v/>
      </c>
      <c r="H366" s="5" t="str">
        <f t="shared" si="10"/>
        <v/>
      </c>
      <c r="I366" s="4" t="str">
        <f t="shared" si="11"/>
        <v/>
      </c>
    </row>
    <row r="367" spans="1:9" x14ac:dyDescent="0.2">
      <c r="A367" s="4"/>
      <c r="B367" s="4"/>
      <c r="C367" s="4"/>
      <c r="D367" s="4"/>
      <c r="E367" s="5"/>
      <c r="F367" s="5" t="str">
        <f>IF($A367="","",SUMIF(Party_Ledger!$B:$B,$A367,Party_Ledger!$F:$F))</f>
        <v/>
      </c>
      <c r="G367" s="5" t="str">
        <f>IF($A367="","",SUMIF(Party_Ledger!$B:$B,$A367,Party_Ledger!$G:$G))</f>
        <v/>
      </c>
      <c r="H367" s="5" t="str">
        <f t="shared" si="10"/>
        <v/>
      </c>
      <c r="I367" s="4" t="str">
        <f t="shared" si="11"/>
        <v/>
      </c>
    </row>
    <row r="368" spans="1:9" x14ac:dyDescent="0.2">
      <c r="A368" s="4"/>
      <c r="B368" s="4"/>
      <c r="C368" s="4"/>
      <c r="D368" s="4"/>
      <c r="E368" s="5"/>
      <c r="F368" s="5" t="str">
        <f>IF($A368="","",SUMIF(Party_Ledger!$B:$B,$A368,Party_Ledger!$F:$F))</f>
        <v/>
      </c>
      <c r="G368" s="5" t="str">
        <f>IF($A368="","",SUMIF(Party_Ledger!$B:$B,$A368,Party_Ledger!$G:$G))</f>
        <v/>
      </c>
      <c r="H368" s="5" t="str">
        <f t="shared" si="10"/>
        <v/>
      </c>
      <c r="I368" s="4" t="str">
        <f t="shared" si="11"/>
        <v/>
      </c>
    </row>
    <row r="369" spans="1:9" x14ac:dyDescent="0.2">
      <c r="A369" s="4"/>
      <c r="B369" s="4"/>
      <c r="C369" s="4"/>
      <c r="D369" s="4"/>
      <c r="E369" s="5"/>
      <c r="F369" s="5" t="str">
        <f>IF($A369="","",SUMIF(Party_Ledger!$B:$B,$A369,Party_Ledger!$F:$F))</f>
        <v/>
      </c>
      <c r="G369" s="5" t="str">
        <f>IF($A369="","",SUMIF(Party_Ledger!$B:$B,$A369,Party_Ledger!$G:$G))</f>
        <v/>
      </c>
      <c r="H369" s="5" t="str">
        <f t="shared" si="10"/>
        <v/>
      </c>
      <c r="I369" s="4" t="str">
        <f t="shared" si="11"/>
        <v/>
      </c>
    </row>
    <row r="370" spans="1:9" x14ac:dyDescent="0.2">
      <c r="A370" s="4"/>
      <c r="B370" s="4"/>
      <c r="C370" s="4"/>
      <c r="D370" s="4"/>
      <c r="E370" s="5"/>
      <c r="F370" s="5" t="str">
        <f>IF($A370="","",SUMIF(Party_Ledger!$B:$B,$A370,Party_Ledger!$F:$F))</f>
        <v/>
      </c>
      <c r="G370" s="5" t="str">
        <f>IF($A370="","",SUMIF(Party_Ledger!$B:$B,$A370,Party_Ledger!$G:$G))</f>
        <v/>
      </c>
      <c r="H370" s="5" t="str">
        <f t="shared" si="10"/>
        <v/>
      </c>
      <c r="I370" s="4" t="str">
        <f t="shared" si="11"/>
        <v/>
      </c>
    </row>
    <row r="371" spans="1:9" x14ac:dyDescent="0.2">
      <c r="A371" s="4"/>
      <c r="B371" s="4"/>
      <c r="C371" s="4"/>
      <c r="D371" s="4"/>
      <c r="E371" s="5"/>
      <c r="F371" s="5" t="str">
        <f>IF($A371="","",SUMIF(Party_Ledger!$B:$B,$A371,Party_Ledger!$F:$F))</f>
        <v/>
      </c>
      <c r="G371" s="5" t="str">
        <f>IF($A371="","",SUMIF(Party_Ledger!$B:$B,$A371,Party_Ledger!$G:$G))</f>
        <v/>
      </c>
      <c r="H371" s="5" t="str">
        <f t="shared" si="10"/>
        <v/>
      </c>
      <c r="I371" s="4" t="str">
        <f t="shared" si="11"/>
        <v/>
      </c>
    </row>
    <row r="372" spans="1:9" x14ac:dyDescent="0.2">
      <c r="A372" s="4"/>
      <c r="B372" s="4"/>
      <c r="C372" s="4"/>
      <c r="D372" s="4"/>
      <c r="E372" s="5"/>
      <c r="F372" s="5" t="str">
        <f>IF($A372="","",SUMIF(Party_Ledger!$B:$B,$A372,Party_Ledger!$F:$F))</f>
        <v/>
      </c>
      <c r="G372" s="5" t="str">
        <f>IF($A372="","",SUMIF(Party_Ledger!$B:$B,$A372,Party_Ledger!$G:$G))</f>
        <v/>
      </c>
      <c r="H372" s="5" t="str">
        <f t="shared" si="10"/>
        <v/>
      </c>
      <c r="I372" s="4" t="str">
        <f t="shared" si="11"/>
        <v/>
      </c>
    </row>
    <row r="373" spans="1:9" x14ac:dyDescent="0.2">
      <c r="A373" s="4"/>
      <c r="B373" s="4"/>
      <c r="C373" s="4"/>
      <c r="D373" s="4"/>
      <c r="E373" s="5"/>
      <c r="F373" s="5" t="str">
        <f>IF($A373="","",SUMIF(Party_Ledger!$B:$B,$A373,Party_Ledger!$F:$F))</f>
        <v/>
      </c>
      <c r="G373" s="5" t="str">
        <f>IF($A373="","",SUMIF(Party_Ledger!$B:$B,$A373,Party_Ledger!$G:$G))</f>
        <v/>
      </c>
      <c r="H373" s="5" t="str">
        <f t="shared" si="10"/>
        <v/>
      </c>
      <c r="I373" s="4" t="str">
        <f t="shared" si="11"/>
        <v/>
      </c>
    </row>
    <row r="374" spans="1:9" x14ac:dyDescent="0.2">
      <c r="A374" s="4"/>
      <c r="B374" s="4"/>
      <c r="C374" s="4"/>
      <c r="D374" s="4"/>
      <c r="E374" s="5"/>
      <c r="F374" s="5" t="str">
        <f>IF($A374="","",SUMIF(Party_Ledger!$B:$B,$A374,Party_Ledger!$F:$F))</f>
        <v/>
      </c>
      <c r="G374" s="5" t="str">
        <f>IF($A374="","",SUMIF(Party_Ledger!$B:$B,$A374,Party_Ledger!$G:$G))</f>
        <v/>
      </c>
      <c r="H374" s="5" t="str">
        <f t="shared" si="10"/>
        <v/>
      </c>
      <c r="I374" s="4" t="str">
        <f t="shared" si="11"/>
        <v/>
      </c>
    </row>
    <row r="375" spans="1:9" x14ac:dyDescent="0.2">
      <c r="A375" s="4"/>
      <c r="B375" s="4"/>
      <c r="C375" s="4"/>
      <c r="D375" s="4"/>
      <c r="E375" s="5"/>
      <c r="F375" s="5" t="str">
        <f>IF($A375="","",SUMIF(Party_Ledger!$B:$B,$A375,Party_Ledger!$F:$F))</f>
        <v/>
      </c>
      <c r="G375" s="5" t="str">
        <f>IF($A375="","",SUMIF(Party_Ledger!$B:$B,$A375,Party_Ledger!$G:$G))</f>
        <v/>
      </c>
      <c r="H375" s="5" t="str">
        <f t="shared" si="10"/>
        <v/>
      </c>
      <c r="I375" s="4" t="str">
        <f t="shared" si="11"/>
        <v/>
      </c>
    </row>
    <row r="376" spans="1:9" x14ac:dyDescent="0.2">
      <c r="A376" s="4"/>
      <c r="B376" s="4"/>
      <c r="C376" s="4"/>
      <c r="D376" s="4"/>
      <c r="E376" s="5"/>
      <c r="F376" s="5" t="str">
        <f>IF($A376="","",SUMIF(Party_Ledger!$B:$B,$A376,Party_Ledger!$F:$F))</f>
        <v/>
      </c>
      <c r="G376" s="5" t="str">
        <f>IF($A376="","",SUMIF(Party_Ledger!$B:$B,$A376,Party_Ledger!$G:$G))</f>
        <v/>
      </c>
      <c r="H376" s="5" t="str">
        <f t="shared" si="10"/>
        <v/>
      </c>
      <c r="I376" s="4" t="str">
        <f t="shared" si="11"/>
        <v/>
      </c>
    </row>
    <row r="377" spans="1:9" x14ac:dyDescent="0.2">
      <c r="A377" s="4"/>
      <c r="B377" s="4"/>
      <c r="C377" s="4"/>
      <c r="D377" s="4"/>
      <c r="E377" s="5"/>
      <c r="F377" s="5" t="str">
        <f>IF($A377="","",SUMIF(Party_Ledger!$B:$B,$A377,Party_Ledger!$F:$F))</f>
        <v/>
      </c>
      <c r="G377" s="5" t="str">
        <f>IF($A377="","",SUMIF(Party_Ledger!$B:$B,$A377,Party_Ledger!$G:$G))</f>
        <v/>
      </c>
      <c r="H377" s="5" t="str">
        <f t="shared" si="10"/>
        <v/>
      </c>
      <c r="I377" s="4" t="str">
        <f t="shared" si="11"/>
        <v/>
      </c>
    </row>
    <row r="378" spans="1:9" x14ac:dyDescent="0.2">
      <c r="A378" s="4"/>
      <c r="B378" s="4"/>
      <c r="C378" s="4"/>
      <c r="D378" s="4"/>
      <c r="E378" s="5"/>
      <c r="F378" s="5" t="str">
        <f>IF($A378="","",SUMIF(Party_Ledger!$B:$B,$A378,Party_Ledger!$F:$F))</f>
        <v/>
      </c>
      <c r="G378" s="5" t="str">
        <f>IF($A378="","",SUMIF(Party_Ledger!$B:$B,$A378,Party_Ledger!$G:$G))</f>
        <v/>
      </c>
      <c r="H378" s="5" t="str">
        <f t="shared" si="10"/>
        <v/>
      </c>
      <c r="I378" s="4" t="str">
        <f t="shared" si="11"/>
        <v/>
      </c>
    </row>
    <row r="379" spans="1:9" x14ac:dyDescent="0.2">
      <c r="A379" s="4"/>
      <c r="B379" s="4"/>
      <c r="C379" s="4"/>
      <c r="D379" s="4"/>
      <c r="E379" s="5"/>
      <c r="F379" s="5" t="str">
        <f>IF($A379="","",SUMIF(Party_Ledger!$B:$B,$A379,Party_Ledger!$F:$F))</f>
        <v/>
      </c>
      <c r="G379" s="5" t="str">
        <f>IF($A379="","",SUMIF(Party_Ledger!$B:$B,$A379,Party_Ledger!$G:$G))</f>
        <v/>
      </c>
      <c r="H379" s="5" t="str">
        <f t="shared" si="10"/>
        <v/>
      </c>
      <c r="I379" s="4" t="str">
        <f t="shared" si="11"/>
        <v/>
      </c>
    </row>
    <row r="380" spans="1:9" x14ac:dyDescent="0.2">
      <c r="A380" s="4"/>
      <c r="B380" s="4"/>
      <c r="C380" s="4"/>
      <c r="D380" s="4"/>
      <c r="E380" s="5"/>
      <c r="F380" s="5" t="str">
        <f>IF($A380="","",SUMIF(Party_Ledger!$B:$B,$A380,Party_Ledger!$F:$F))</f>
        <v/>
      </c>
      <c r="G380" s="5" t="str">
        <f>IF($A380="","",SUMIF(Party_Ledger!$B:$B,$A380,Party_Ledger!$G:$G))</f>
        <v/>
      </c>
      <c r="H380" s="5" t="str">
        <f t="shared" si="10"/>
        <v/>
      </c>
      <c r="I380" s="4" t="str">
        <f t="shared" si="11"/>
        <v/>
      </c>
    </row>
    <row r="381" spans="1:9" x14ac:dyDescent="0.2">
      <c r="A381" s="4"/>
      <c r="B381" s="4"/>
      <c r="C381" s="4"/>
      <c r="D381" s="4"/>
      <c r="E381" s="5"/>
      <c r="F381" s="5" t="str">
        <f>IF($A381="","",SUMIF(Party_Ledger!$B:$B,$A381,Party_Ledger!$F:$F))</f>
        <v/>
      </c>
      <c r="G381" s="5" t="str">
        <f>IF($A381="","",SUMIF(Party_Ledger!$B:$B,$A381,Party_Ledger!$G:$G))</f>
        <v/>
      </c>
      <c r="H381" s="5" t="str">
        <f t="shared" si="10"/>
        <v/>
      </c>
      <c r="I381" s="4" t="str">
        <f t="shared" si="11"/>
        <v/>
      </c>
    </row>
    <row r="382" spans="1:9" x14ac:dyDescent="0.2">
      <c r="A382" s="4"/>
      <c r="B382" s="4"/>
      <c r="C382" s="4"/>
      <c r="D382" s="4"/>
      <c r="E382" s="5"/>
      <c r="F382" s="5" t="str">
        <f>IF($A382="","",SUMIF(Party_Ledger!$B:$B,$A382,Party_Ledger!$F:$F))</f>
        <v/>
      </c>
      <c r="G382" s="5" t="str">
        <f>IF($A382="","",SUMIF(Party_Ledger!$B:$B,$A382,Party_Ledger!$G:$G))</f>
        <v/>
      </c>
      <c r="H382" s="5" t="str">
        <f t="shared" si="10"/>
        <v/>
      </c>
      <c r="I382" s="4" t="str">
        <f t="shared" si="11"/>
        <v/>
      </c>
    </row>
    <row r="383" spans="1:9" x14ac:dyDescent="0.2">
      <c r="A383" s="4"/>
      <c r="B383" s="4"/>
      <c r="C383" s="4"/>
      <c r="D383" s="4"/>
      <c r="E383" s="5"/>
      <c r="F383" s="5" t="str">
        <f>IF($A383="","",SUMIF(Party_Ledger!$B:$B,$A383,Party_Ledger!$F:$F))</f>
        <v/>
      </c>
      <c r="G383" s="5" t="str">
        <f>IF($A383="","",SUMIF(Party_Ledger!$B:$B,$A383,Party_Ledger!$G:$G))</f>
        <v/>
      </c>
      <c r="H383" s="5" t="str">
        <f t="shared" si="10"/>
        <v/>
      </c>
      <c r="I383" s="4" t="str">
        <f t="shared" si="11"/>
        <v/>
      </c>
    </row>
    <row r="384" spans="1:9" x14ac:dyDescent="0.2">
      <c r="A384" s="4"/>
      <c r="B384" s="4"/>
      <c r="C384" s="4"/>
      <c r="D384" s="4"/>
      <c r="E384" s="5"/>
      <c r="F384" s="5" t="str">
        <f>IF($A384="","",SUMIF(Party_Ledger!$B:$B,$A384,Party_Ledger!$F:$F))</f>
        <v/>
      </c>
      <c r="G384" s="5" t="str">
        <f>IF($A384="","",SUMIF(Party_Ledger!$B:$B,$A384,Party_Ledger!$G:$G))</f>
        <v/>
      </c>
      <c r="H384" s="5" t="str">
        <f t="shared" si="10"/>
        <v/>
      </c>
      <c r="I384" s="4" t="str">
        <f t="shared" si="11"/>
        <v/>
      </c>
    </row>
    <row r="385" spans="1:9" x14ac:dyDescent="0.2">
      <c r="A385" s="4"/>
      <c r="B385" s="4"/>
      <c r="C385" s="4"/>
      <c r="D385" s="4"/>
      <c r="E385" s="5"/>
      <c r="F385" s="5" t="str">
        <f>IF($A385="","",SUMIF(Party_Ledger!$B:$B,$A385,Party_Ledger!$F:$F))</f>
        <v/>
      </c>
      <c r="G385" s="5" t="str">
        <f>IF($A385="","",SUMIF(Party_Ledger!$B:$B,$A385,Party_Ledger!$G:$G))</f>
        <v/>
      </c>
      <c r="H385" s="5" t="str">
        <f t="shared" si="10"/>
        <v/>
      </c>
      <c r="I385" s="4" t="str">
        <f t="shared" si="11"/>
        <v/>
      </c>
    </row>
    <row r="386" spans="1:9" x14ac:dyDescent="0.2">
      <c r="A386" s="4"/>
      <c r="B386" s="4"/>
      <c r="C386" s="4"/>
      <c r="D386" s="4"/>
      <c r="E386" s="5"/>
      <c r="F386" s="5" t="str">
        <f>IF($A386="","",SUMIF(Party_Ledger!$B:$B,$A386,Party_Ledger!$F:$F))</f>
        <v/>
      </c>
      <c r="G386" s="5" t="str">
        <f>IF($A386="","",SUMIF(Party_Ledger!$B:$B,$A386,Party_Ledger!$G:$G))</f>
        <v/>
      </c>
      <c r="H386" s="5" t="str">
        <f t="shared" si="10"/>
        <v/>
      </c>
      <c r="I386" s="4" t="str">
        <f t="shared" si="11"/>
        <v/>
      </c>
    </row>
    <row r="387" spans="1:9" x14ac:dyDescent="0.2">
      <c r="A387" s="4"/>
      <c r="B387" s="4"/>
      <c r="C387" s="4"/>
      <c r="D387" s="4"/>
      <c r="E387" s="5"/>
      <c r="F387" s="5" t="str">
        <f>IF($A387="","",SUMIF(Party_Ledger!$B:$B,$A387,Party_Ledger!$F:$F))</f>
        <v/>
      </c>
      <c r="G387" s="5" t="str">
        <f>IF($A387="","",SUMIF(Party_Ledger!$B:$B,$A387,Party_Ledger!$G:$G))</f>
        <v/>
      </c>
      <c r="H387" s="5" t="str">
        <f t="shared" ref="H387:H450" si="12">IF($A387="","",$E387+$F387-$G387)</f>
        <v/>
      </c>
      <c r="I387" s="4" t="str">
        <f t="shared" ref="I387:I450" si="13">IF($A387="","",IF(ROUND($H387,0)=0,"Settled",IF($H387&gt;0,"Outstanding","Advance")))</f>
        <v/>
      </c>
    </row>
    <row r="388" spans="1:9" x14ac:dyDescent="0.2">
      <c r="A388" s="4"/>
      <c r="B388" s="4"/>
      <c r="C388" s="4"/>
      <c r="D388" s="4"/>
      <c r="E388" s="5"/>
      <c r="F388" s="5" t="str">
        <f>IF($A388="","",SUMIF(Party_Ledger!$B:$B,$A388,Party_Ledger!$F:$F))</f>
        <v/>
      </c>
      <c r="G388" s="5" t="str">
        <f>IF($A388="","",SUMIF(Party_Ledger!$B:$B,$A388,Party_Ledger!$G:$G))</f>
        <v/>
      </c>
      <c r="H388" s="5" t="str">
        <f t="shared" si="12"/>
        <v/>
      </c>
      <c r="I388" s="4" t="str">
        <f t="shared" si="13"/>
        <v/>
      </c>
    </row>
    <row r="389" spans="1:9" x14ac:dyDescent="0.2">
      <c r="A389" s="4"/>
      <c r="B389" s="4"/>
      <c r="C389" s="4"/>
      <c r="D389" s="4"/>
      <c r="E389" s="5"/>
      <c r="F389" s="5" t="str">
        <f>IF($A389="","",SUMIF(Party_Ledger!$B:$B,$A389,Party_Ledger!$F:$F))</f>
        <v/>
      </c>
      <c r="G389" s="5" t="str">
        <f>IF($A389="","",SUMIF(Party_Ledger!$B:$B,$A389,Party_Ledger!$G:$G))</f>
        <v/>
      </c>
      <c r="H389" s="5" t="str">
        <f t="shared" si="12"/>
        <v/>
      </c>
      <c r="I389" s="4" t="str">
        <f t="shared" si="13"/>
        <v/>
      </c>
    </row>
    <row r="390" spans="1:9" x14ac:dyDescent="0.2">
      <c r="A390" s="4"/>
      <c r="B390" s="4"/>
      <c r="C390" s="4"/>
      <c r="D390" s="4"/>
      <c r="E390" s="5"/>
      <c r="F390" s="5" t="str">
        <f>IF($A390="","",SUMIF(Party_Ledger!$B:$B,$A390,Party_Ledger!$F:$F))</f>
        <v/>
      </c>
      <c r="G390" s="5" t="str">
        <f>IF($A390="","",SUMIF(Party_Ledger!$B:$B,$A390,Party_Ledger!$G:$G))</f>
        <v/>
      </c>
      <c r="H390" s="5" t="str">
        <f t="shared" si="12"/>
        <v/>
      </c>
      <c r="I390" s="4" t="str">
        <f t="shared" si="13"/>
        <v/>
      </c>
    </row>
    <row r="391" spans="1:9" x14ac:dyDescent="0.2">
      <c r="A391" s="4"/>
      <c r="B391" s="4"/>
      <c r="C391" s="4"/>
      <c r="D391" s="4"/>
      <c r="E391" s="5"/>
      <c r="F391" s="5" t="str">
        <f>IF($A391="","",SUMIF(Party_Ledger!$B:$B,$A391,Party_Ledger!$F:$F))</f>
        <v/>
      </c>
      <c r="G391" s="5" t="str">
        <f>IF($A391="","",SUMIF(Party_Ledger!$B:$B,$A391,Party_Ledger!$G:$G))</f>
        <v/>
      </c>
      <c r="H391" s="5" t="str">
        <f t="shared" si="12"/>
        <v/>
      </c>
      <c r="I391" s="4" t="str">
        <f t="shared" si="13"/>
        <v/>
      </c>
    </row>
    <row r="392" spans="1:9" x14ac:dyDescent="0.2">
      <c r="A392" s="4"/>
      <c r="B392" s="4"/>
      <c r="C392" s="4"/>
      <c r="D392" s="4"/>
      <c r="E392" s="5"/>
      <c r="F392" s="5" t="str">
        <f>IF($A392="","",SUMIF(Party_Ledger!$B:$B,$A392,Party_Ledger!$F:$F))</f>
        <v/>
      </c>
      <c r="G392" s="5" t="str">
        <f>IF($A392="","",SUMIF(Party_Ledger!$B:$B,$A392,Party_Ledger!$G:$G))</f>
        <v/>
      </c>
      <c r="H392" s="5" t="str">
        <f t="shared" si="12"/>
        <v/>
      </c>
      <c r="I392" s="4" t="str">
        <f t="shared" si="13"/>
        <v/>
      </c>
    </row>
    <row r="393" spans="1:9" x14ac:dyDescent="0.2">
      <c r="A393" s="4"/>
      <c r="B393" s="4"/>
      <c r="C393" s="4"/>
      <c r="D393" s="4"/>
      <c r="E393" s="5"/>
      <c r="F393" s="5" t="str">
        <f>IF($A393="","",SUMIF(Party_Ledger!$B:$B,$A393,Party_Ledger!$F:$F))</f>
        <v/>
      </c>
      <c r="G393" s="5" t="str">
        <f>IF($A393="","",SUMIF(Party_Ledger!$B:$B,$A393,Party_Ledger!$G:$G))</f>
        <v/>
      </c>
      <c r="H393" s="5" t="str">
        <f t="shared" si="12"/>
        <v/>
      </c>
      <c r="I393" s="4" t="str">
        <f t="shared" si="13"/>
        <v/>
      </c>
    </row>
    <row r="394" spans="1:9" x14ac:dyDescent="0.2">
      <c r="A394" s="4"/>
      <c r="B394" s="4"/>
      <c r="C394" s="4"/>
      <c r="D394" s="4"/>
      <c r="E394" s="5"/>
      <c r="F394" s="5" t="str">
        <f>IF($A394="","",SUMIF(Party_Ledger!$B:$B,$A394,Party_Ledger!$F:$F))</f>
        <v/>
      </c>
      <c r="G394" s="5" t="str">
        <f>IF($A394="","",SUMIF(Party_Ledger!$B:$B,$A394,Party_Ledger!$G:$G))</f>
        <v/>
      </c>
      <c r="H394" s="5" t="str">
        <f t="shared" si="12"/>
        <v/>
      </c>
      <c r="I394" s="4" t="str">
        <f t="shared" si="13"/>
        <v/>
      </c>
    </row>
    <row r="395" spans="1:9" x14ac:dyDescent="0.2">
      <c r="A395" s="4"/>
      <c r="B395" s="4"/>
      <c r="C395" s="4"/>
      <c r="D395" s="4"/>
      <c r="E395" s="5"/>
      <c r="F395" s="5" t="str">
        <f>IF($A395="","",SUMIF(Party_Ledger!$B:$B,$A395,Party_Ledger!$F:$F))</f>
        <v/>
      </c>
      <c r="G395" s="5" t="str">
        <f>IF($A395="","",SUMIF(Party_Ledger!$B:$B,$A395,Party_Ledger!$G:$G))</f>
        <v/>
      </c>
      <c r="H395" s="5" t="str">
        <f t="shared" si="12"/>
        <v/>
      </c>
      <c r="I395" s="4" t="str">
        <f t="shared" si="13"/>
        <v/>
      </c>
    </row>
    <row r="396" spans="1:9" x14ac:dyDescent="0.2">
      <c r="A396" s="4"/>
      <c r="B396" s="4"/>
      <c r="C396" s="4"/>
      <c r="D396" s="4"/>
      <c r="E396" s="5"/>
      <c r="F396" s="5" t="str">
        <f>IF($A396="","",SUMIF(Party_Ledger!$B:$B,$A396,Party_Ledger!$F:$F))</f>
        <v/>
      </c>
      <c r="G396" s="5" t="str">
        <f>IF($A396="","",SUMIF(Party_Ledger!$B:$B,$A396,Party_Ledger!$G:$G))</f>
        <v/>
      </c>
      <c r="H396" s="5" t="str">
        <f t="shared" si="12"/>
        <v/>
      </c>
      <c r="I396" s="4" t="str">
        <f t="shared" si="13"/>
        <v/>
      </c>
    </row>
    <row r="397" spans="1:9" x14ac:dyDescent="0.2">
      <c r="A397" s="4"/>
      <c r="B397" s="4"/>
      <c r="C397" s="4"/>
      <c r="D397" s="4"/>
      <c r="E397" s="5"/>
      <c r="F397" s="5" t="str">
        <f>IF($A397="","",SUMIF(Party_Ledger!$B:$B,$A397,Party_Ledger!$F:$F))</f>
        <v/>
      </c>
      <c r="G397" s="5" t="str">
        <f>IF($A397="","",SUMIF(Party_Ledger!$B:$B,$A397,Party_Ledger!$G:$G))</f>
        <v/>
      </c>
      <c r="H397" s="5" t="str">
        <f t="shared" si="12"/>
        <v/>
      </c>
      <c r="I397" s="4" t="str">
        <f t="shared" si="13"/>
        <v/>
      </c>
    </row>
    <row r="398" spans="1:9" x14ac:dyDescent="0.2">
      <c r="A398" s="4"/>
      <c r="B398" s="4"/>
      <c r="C398" s="4"/>
      <c r="D398" s="4"/>
      <c r="E398" s="5"/>
      <c r="F398" s="5" t="str">
        <f>IF($A398="","",SUMIF(Party_Ledger!$B:$B,$A398,Party_Ledger!$F:$F))</f>
        <v/>
      </c>
      <c r="G398" s="5" t="str">
        <f>IF($A398="","",SUMIF(Party_Ledger!$B:$B,$A398,Party_Ledger!$G:$G))</f>
        <v/>
      </c>
      <c r="H398" s="5" t="str">
        <f t="shared" si="12"/>
        <v/>
      </c>
      <c r="I398" s="4" t="str">
        <f t="shared" si="13"/>
        <v/>
      </c>
    </row>
    <row r="399" spans="1:9" x14ac:dyDescent="0.2">
      <c r="A399" s="4"/>
      <c r="B399" s="4"/>
      <c r="C399" s="4"/>
      <c r="D399" s="4"/>
      <c r="E399" s="5"/>
      <c r="F399" s="5" t="str">
        <f>IF($A399="","",SUMIF(Party_Ledger!$B:$B,$A399,Party_Ledger!$F:$F))</f>
        <v/>
      </c>
      <c r="G399" s="5" t="str">
        <f>IF($A399="","",SUMIF(Party_Ledger!$B:$B,$A399,Party_Ledger!$G:$G))</f>
        <v/>
      </c>
      <c r="H399" s="5" t="str">
        <f t="shared" si="12"/>
        <v/>
      </c>
      <c r="I399" s="4" t="str">
        <f t="shared" si="13"/>
        <v/>
      </c>
    </row>
    <row r="400" spans="1:9" x14ac:dyDescent="0.2">
      <c r="A400" s="4"/>
      <c r="B400" s="4"/>
      <c r="C400" s="4"/>
      <c r="D400" s="4"/>
      <c r="E400" s="5"/>
      <c r="F400" s="5" t="str">
        <f>IF($A400="","",SUMIF(Party_Ledger!$B:$B,$A400,Party_Ledger!$F:$F))</f>
        <v/>
      </c>
      <c r="G400" s="5" t="str">
        <f>IF($A400="","",SUMIF(Party_Ledger!$B:$B,$A400,Party_Ledger!$G:$G))</f>
        <v/>
      </c>
      <c r="H400" s="5" t="str">
        <f t="shared" si="12"/>
        <v/>
      </c>
      <c r="I400" s="4" t="str">
        <f t="shared" si="13"/>
        <v/>
      </c>
    </row>
    <row r="401" spans="1:9" x14ac:dyDescent="0.2">
      <c r="A401" s="4"/>
      <c r="B401" s="4"/>
      <c r="C401" s="4"/>
      <c r="D401" s="4"/>
      <c r="E401" s="5"/>
      <c r="F401" s="5" t="str">
        <f>IF($A401="","",SUMIF(Party_Ledger!$B:$B,$A401,Party_Ledger!$F:$F))</f>
        <v/>
      </c>
      <c r="G401" s="5" t="str">
        <f>IF($A401="","",SUMIF(Party_Ledger!$B:$B,$A401,Party_Ledger!$G:$G))</f>
        <v/>
      </c>
      <c r="H401" s="5" t="str">
        <f t="shared" si="12"/>
        <v/>
      </c>
      <c r="I401" s="4" t="str">
        <f t="shared" si="13"/>
        <v/>
      </c>
    </row>
    <row r="402" spans="1:9" x14ac:dyDescent="0.2">
      <c r="A402" s="4"/>
      <c r="B402" s="4"/>
      <c r="C402" s="4"/>
      <c r="D402" s="4"/>
      <c r="E402" s="5"/>
      <c r="F402" s="5" t="str">
        <f>IF($A402="","",SUMIF(Party_Ledger!$B:$B,$A402,Party_Ledger!$F:$F))</f>
        <v/>
      </c>
      <c r="G402" s="5" t="str">
        <f>IF($A402="","",SUMIF(Party_Ledger!$B:$B,$A402,Party_Ledger!$G:$G))</f>
        <v/>
      </c>
      <c r="H402" s="5" t="str">
        <f t="shared" si="12"/>
        <v/>
      </c>
      <c r="I402" s="4" t="str">
        <f t="shared" si="13"/>
        <v/>
      </c>
    </row>
    <row r="403" spans="1:9" x14ac:dyDescent="0.2">
      <c r="A403" s="4"/>
      <c r="B403" s="4"/>
      <c r="C403" s="4"/>
      <c r="D403" s="4"/>
      <c r="E403" s="5"/>
      <c r="F403" s="5" t="str">
        <f>IF($A403="","",SUMIF(Party_Ledger!$B:$B,$A403,Party_Ledger!$F:$F))</f>
        <v/>
      </c>
      <c r="G403" s="5" t="str">
        <f>IF($A403="","",SUMIF(Party_Ledger!$B:$B,$A403,Party_Ledger!$G:$G))</f>
        <v/>
      </c>
      <c r="H403" s="5" t="str">
        <f t="shared" si="12"/>
        <v/>
      </c>
      <c r="I403" s="4" t="str">
        <f t="shared" si="13"/>
        <v/>
      </c>
    </row>
    <row r="404" spans="1:9" x14ac:dyDescent="0.2">
      <c r="A404" s="4"/>
      <c r="B404" s="4"/>
      <c r="C404" s="4"/>
      <c r="D404" s="4"/>
      <c r="E404" s="5"/>
      <c r="F404" s="5" t="str">
        <f>IF($A404="","",SUMIF(Party_Ledger!$B:$B,$A404,Party_Ledger!$F:$F))</f>
        <v/>
      </c>
      <c r="G404" s="5" t="str">
        <f>IF($A404="","",SUMIF(Party_Ledger!$B:$B,$A404,Party_Ledger!$G:$G))</f>
        <v/>
      </c>
      <c r="H404" s="5" t="str">
        <f t="shared" si="12"/>
        <v/>
      </c>
      <c r="I404" s="4" t="str">
        <f t="shared" si="13"/>
        <v/>
      </c>
    </row>
    <row r="405" spans="1:9" x14ac:dyDescent="0.2">
      <c r="A405" s="4"/>
      <c r="B405" s="4"/>
      <c r="C405" s="4"/>
      <c r="D405" s="4"/>
      <c r="E405" s="5"/>
      <c r="F405" s="5" t="str">
        <f>IF($A405="","",SUMIF(Party_Ledger!$B:$B,$A405,Party_Ledger!$F:$F))</f>
        <v/>
      </c>
      <c r="G405" s="5" t="str">
        <f>IF($A405="","",SUMIF(Party_Ledger!$B:$B,$A405,Party_Ledger!$G:$G))</f>
        <v/>
      </c>
      <c r="H405" s="5" t="str">
        <f t="shared" si="12"/>
        <v/>
      </c>
      <c r="I405" s="4" t="str">
        <f t="shared" si="13"/>
        <v/>
      </c>
    </row>
    <row r="406" spans="1:9" x14ac:dyDescent="0.2">
      <c r="A406" s="4"/>
      <c r="B406" s="4"/>
      <c r="C406" s="4"/>
      <c r="D406" s="4"/>
      <c r="E406" s="5"/>
      <c r="F406" s="5" t="str">
        <f>IF($A406="","",SUMIF(Party_Ledger!$B:$B,$A406,Party_Ledger!$F:$F))</f>
        <v/>
      </c>
      <c r="G406" s="5" t="str">
        <f>IF($A406="","",SUMIF(Party_Ledger!$B:$B,$A406,Party_Ledger!$G:$G))</f>
        <v/>
      </c>
      <c r="H406" s="5" t="str">
        <f t="shared" si="12"/>
        <v/>
      </c>
      <c r="I406" s="4" t="str">
        <f t="shared" si="13"/>
        <v/>
      </c>
    </row>
    <row r="407" spans="1:9" x14ac:dyDescent="0.2">
      <c r="A407" s="4"/>
      <c r="B407" s="4"/>
      <c r="C407" s="4"/>
      <c r="D407" s="4"/>
      <c r="E407" s="5"/>
      <c r="F407" s="5" t="str">
        <f>IF($A407="","",SUMIF(Party_Ledger!$B:$B,$A407,Party_Ledger!$F:$F))</f>
        <v/>
      </c>
      <c r="G407" s="5" t="str">
        <f>IF($A407="","",SUMIF(Party_Ledger!$B:$B,$A407,Party_Ledger!$G:$G))</f>
        <v/>
      </c>
      <c r="H407" s="5" t="str">
        <f t="shared" si="12"/>
        <v/>
      </c>
      <c r="I407" s="4" t="str">
        <f t="shared" si="13"/>
        <v/>
      </c>
    </row>
    <row r="408" spans="1:9" x14ac:dyDescent="0.2">
      <c r="A408" s="4"/>
      <c r="B408" s="4"/>
      <c r="C408" s="4"/>
      <c r="D408" s="4"/>
      <c r="E408" s="5"/>
      <c r="F408" s="5" t="str">
        <f>IF($A408="","",SUMIF(Party_Ledger!$B:$B,$A408,Party_Ledger!$F:$F))</f>
        <v/>
      </c>
      <c r="G408" s="5" t="str">
        <f>IF($A408="","",SUMIF(Party_Ledger!$B:$B,$A408,Party_Ledger!$G:$G))</f>
        <v/>
      </c>
      <c r="H408" s="5" t="str">
        <f t="shared" si="12"/>
        <v/>
      </c>
      <c r="I408" s="4" t="str">
        <f t="shared" si="13"/>
        <v/>
      </c>
    </row>
    <row r="409" spans="1:9" x14ac:dyDescent="0.2">
      <c r="A409" s="4"/>
      <c r="B409" s="4"/>
      <c r="C409" s="4"/>
      <c r="D409" s="4"/>
      <c r="E409" s="5"/>
      <c r="F409" s="5" t="str">
        <f>IF($A409="","",SUMIF(Party_Ledger!$B:$B,$A409,Party_Ledger!$F:$F))</f>
        <v/>
      </c>
      <c r="G409" s="5" t="str">
        <f>IF($A409="","",SUMIF(Party_Ledger!$B:$B,$A409,Party_Ledger!$G:$G))</f>
        <v/>
      </c>
      <c r="H409" s="5" t="str">
        <f t="shared" si="12"/>
        <v/>
      </c>
      <c r="I409" s="4" t="str">
        <f t="shared" si="13"/>
        <v/>
      </c>
    </row>
    <row r="410" spans="1:9" x14ac:dyDescent="0.2">
      <c r="A410" s="4"/>
      <c r="B410" s="4"/>
      <c r="C410" s="4"/>
      <c r="D410" s="4"/>
      <c r="E410" s="5"/>
      <c r="F410" s="5" t="str">
        <f>IF($A410="","",SUMIF(Party_Ledger!$B:$B,$A410,Party_Ledger!$F:$F))</f>
        <v/>
      </c>
      <c r="G410" s="5" t="str">
        <f>IF($A410="","",SUMIF(Party_Ledger!$B:$B,$A410,Party_Ledger!$G:$G))</f>
        <v/>
      </c>
      <c r="H410" s="5" t="str">
        <f t="shared" si="12"/>
        <v/>
      </c>
      <c r="I410" s="4" t="str">
        <f t="shared" si="13"/>
        <v/>
      </c>
    </row>
    <row r="411" spans="1:9" x14ac:dyDescent="0.2">
      <c r="A411" s="4"/>
      <c r="B411" s="4"/>
      <c r="C411" s="4"/>
      <c r="D411" s="4"/>
      <c r="E411" s="5"/>
      <c r="F411" s="5" t="str">
        <f>IF($A411="","",SUMIF(Party_Ledger!$B:$B,$A411,Party_Ledger!$F:$F))</f>
        <v/>
      </c>
      <c r="G411" s="5" t="str">
        <f>IF($A411="","",SUMIF(Party_Ledger!$B:$B,$A411,Party_Ledger!$G:$G))</f>
        <v/>
      </c>
      <c r="H411" s="5" t="str">
        <f t="shared" si="12"/>
        <v/>
      </c>
      <c r="I411" s="4" t="str">
        <f t="shared" si="13"/>
        <v/>
      </c>
    </row>
    <row r="412" spans="1:9" x14ac:dyDescent="0.2">
      <c r="A412" s="4"/>
      <c r="B412" s="4"/>
      <c r="C412" s="4"/>
      <c r="D412" s="4"/>
      <c r="E412" s="5"/>
      <c r="F412" s="5" t="str">
        <f>IF($A412="","",SUMIF(Party_Ledger!$B:$B,$A412,Party_Ledger!$F:$F))</f>
        <v/>
      </c>
      <c r="G412" s="5" t="str">
        <f>IF($A412="","",SUMIF(Party_Ledger!$B:$B,$A412,Party_Ledger!$G:$G))</f>
        <v/>
      </c>
      <c r="H412" s="5" t="str">
        <f t="shared" si="12"/>
        <v/>
      </c>
      <c r="I412" s="4" t="str">
        <f t="shared" si="13"/>
        <v/>
      </c>
    </row>
    <row r="413" spans="1:9" x14ac:dyDescent="0.2">
      <c r="A413" s="4"/>
      <c r="B413" s="4"/>
      <c r="C413" s="4"/>
      <c r="D413" s="4"/>
      <c r="E413" s="5"/>
      <c r="F413" s="5" t="str">
        <f>IF($A413="","",SUMIF(Party_Ledger!$B:$B,$A413,Party_Ledger!$F:$F))</f>
        <v/>
      </c>
      <c r="G413" s="5" t="str">
        <f>IF($A413="","",SUMIF(Party_Ledger!$B:$B,$A413,Party_Ledger!$G:$G))</f>
        <v/>
      </c>
      <c r="H413" s="5" t="str">
        <f t="shared" si="12"/>
        <v/>
      </c>
      <c r="I413" s="4" t="str">
        <f t="shared" si="13"/>
        <v/>
      </c>
    </row>
    <row r="414" spans="1:9" x14ac:dyDescent="0.2">
      <c r="A414" s="4"/>
      <c r="B414" s="4"/>
      <c r="C414" s="4"/>
      <c r="D414" s="4"/>
      <c r="E414" s="5"/>
      <c r="F414" s="5" t="str">
        <f>IF($A414="","",SUMIF(Party_Ledger!$B:$B,$A414,Party_Ledger!$F:$F))</f>
        <v/>
      </c>
      <c r="G414" s="5" t="str">
        <f>IF($A414="","",SUMIF(Party_Ledger!$B:$B,$A414,Party_Ledger!$G:$G))</f>
        <v/>
      </c>
      <c r="H414" s="5" t="str">
        <f t="shared" si="12"/>
        <v/>
      </c>
      <c r="I414" s="4" t="str">
        <f t="shared" si="13"/>
        <v/>
      </c>
    </row>
    <row r="415" spans="1:9" x14ac:dyDescent="0.2">
      <c r="A415" s="4"/>
      <c r="B415" s="4"/>
      <c r="C415" s="4"/>
      <c r="D415" s="4"/>
      <c r="E415" s="5"/>
      <c r="F415" s="5" t="str">
        <f>IF($A415="","",SUMIF(Party_Ledger!$B:$B,$A415,Party_Ledger!$F:$F))</f>
        <v/>
      </c>
      <c r="G415" s="5" t="str">
        <f>IF($A415="","",SUMIF(Party_Ledger!$B:$B,$A415,Party_Ledger!$G:$G))</f>
        <v/>
      </c>
      <c r="H415" s="5" t="str">
        <f t="shared" si="12"/>
        <v/>
      </c>
      <c r="I415" s="4" t="str">
        <f t="shared" si="13"/>
        <v/>
      </c>
    </row>
    <row r="416" spans="1:9" x14ac:dyDescent="0.2">
      <c r="A416" s="4"/>
      <c r="B416" s="4"/>
      <c r="C416" s="4"/>
      <c r="D416" s="4"/>
      <c r="E416" s="5"/>
      <c r="F416" s="5" t="str">
        <f>IF($A416="","",SUMIF(Party_Ledger!$B:$B,$A416,Party_Ledger!$F:$F))</f>
        <v/>
      </c>
      <c r="G416" s="5" t="str">
        <f>IF($A416="","",SUMIF(Party_Ledger!$B:$B,$A416,Party_Ledger!$G:$G))</f>
        <v/>
      </c>
      <c r="H416" s="5" t="str">
        <f t="shared" si="12"/>
        <v/>
      </c>
      <c r="I416" s="4" t="str">
        <f t="shared" si="13"/>
        <v/>
      </c>
    </row>
    <row r="417" spans="1:9" x14ac:dyDescent="0.2">
      <c r="A417" s="4"/>
      <c r="B417" s="4"/>
      <c r="C417" s="4"/>
      <c r="D417" s="4"/>
      <c r="E417" s="5"/>
      <c r="F417" s="5" t="str">
        <f>IF($A417="","",SUMIF(Party_Ledger!$B:$B,$A417,Party_Ledger!$F:$F))</f>
        <v/>
      </c>
      <c r="G417" s="5" t="str">
        <f>IF($A417="","",SUMIF(Party_Ledger!$B:$B,$A417,Party_Ledger!$G:$G))</f>
        <v/>
      </c>
      <c r="H417" s="5" t="str">
        <f t="shared" si="12"/>
        <v/>
      </c>
      <c r="I417" s="4" t="str">
        <f t="shared" si="13"/>
        <v/>
      </c>
    </row>
    <row r="418" spans="1:9" x14ac:dyDescent="0.2">
      <c r="A418" s="4"/>
      <c r="B418" s="4"/>
      <c r="C418" s="4"/>
      <c r="D418" s="4"/>
      <c r="E418" s="5"/>
      <c r="F418" s="5" t="str">
        <f>IF($A418="","",SUMIF(Party_Ledger!$B:$B,$A418,Party_Ledger!$F:$F))</f>
        <v/>
      </c>
      <c r="G418" s="5" t="str">
        <f>IF($A418="","",SUMIF(Party_Ledger!$B:$B,$A418,Party_Ledger!$G:$G))</f>
        <v/>
      </c>
      <c r="H418" s="5" t="str">
        <f t="shared" si="12"/>
        <v/>
      </c>
      <c r="I418" s="4" t="str">
        <f t="shared" si="13"/>
        <v/>
      </c>
    </row>
    <row r="419" spans="1:9" x14ac:dyDescent="0.2">
      <c r="A419" s="4"/>
      <c r="B419" s="4"/>
      <c r="C419" s="4"/>
      <c r="D419" s="4"/>
      <c r="E419" s="5"/>
      <c r="F419" s="5" t="str">
        <f>IF($A419="","",SUMIF(Party_Ledger!$B:$B,$A419,Party_Ledger!$F:$F))</f>
        <v/>
      </c>
      <c r="G419" s="5" t="str">
        <f>IF($A419="","",SUMIF(Party_Ledger!$B:$B,$A419,Party_Ledger!$G:$G))</f>
        <v/>
      </c>
      <c r="H419" s="5" t="str">
        <f t="shared" si="12"/>
        <v/>
      </c>
      <c r="I419" s="4" t="str">
        <f t="shared" si="13"/>
        <v/>
      </c>
    </row>
    <row r="420" spans="1:9" x14ac:dyDescent="0.2">
      <c r="A420" s="4"/>
      <c r="B420" s="4"/>
      <c r="C420" s="4"/>
      <c r="D420" s="4"/>
      <c r="E420" s="5"/>
      <c r="F420" s="5" t="str">
        <f>IF($A420="","",SUMIF(Party_Ledger!$B:$B,$A420,Party_Ledger!$F:$F))</f>
        <v/>
      </c>
      <c r="G420" s="5" t="str">
        <f>IF($A420="","",SUMIF(Party_Ledger!$B:$B,$A420,Party_Ledger!$G:$G))</f>
        <v/>
      </c>
      <c r="H420" s="5" t="str">
        <f t="shared" si="12"/>
        <v/>
      </c>
      <c r="I420" s="4" t="str">
        <f t="shared" si="13"/>
        <v/>
      </c>
    </row>
    <row r="421" spans="1:9" x14ac:dyDescent="0.2">
      <c r="A421" s="4"/>
      <c r="B421" s="4"/>
      <c r="C421" s="4"/>
      <c r="D421" s="4"/>
      <c r="E421" s="5"/>
      <c r="F421" s="5" t="str">
        <f>IF($A421="","",SUMIF(Party_Ledger!$B:$B,$A421,Party_Ledger!$F:$F))</f>
        <v/>
      </c>
      <c r="G421" s="5" t="str">
        <f>IF($A421="","",SUMIF(Party_Ledger!$B:$B,$A421,Party_Ledger!$G:$G))</f>
        <v/>
      </c>
      <c r="H421" s="5" t="str">
        <f t="shared" si="12"/>
        <v/>
      </c>
      <c r="I421" s="4" t="str">
        <f t="shared" si="13"/>
        <v/>
      </c>
    </row>
    <row r="422" spans="1:9" x14ac:dyDescent="0.2">
      <c r="A422" s="4"/>
      <c r="B422" s="4"/>
      <c r="C422" s="4"/>
      <c r="D422" s="4"/>
      <c r="E422" s="5"/>
      <c r="F422" s="5" t="str">
        <f>IF($A422="","",SUMIF(Party_Ledger!$B:$B,$A422,Party_Ledger!$F:$F))</f>
        <v/>
      </c>
      <c r="G422" s="5" t="str">
        <f>IF($A422="","",SUMIF(Party_Ledger!$B:$B,$A422,Party_Ledger!$G:$G))</f>
        <v/>
      </c>
      <c r="H422" s="5" t="str">
        <f t="shared" si="12"/>
        <v/>
      </c>
      <c r="I422" s="4" t="str">
        <f t="shared" si="13"/>
        <v/>
      </c>
    </row>
    <row r="423" spans="1:9" x14ac:dyDescent="0.2">
      <c r="A423" s="4"/>
      <c r="B423" s="4"/>
      <c r="C423" s="4"/>
      <c r="D423" s="4"/>
      <c r="E423" s="5"/>
      <c r="F423" s="5" t="str">
        <f>IF($A423="","",SUMIF(Party_Ledger!$B:$B,$A423,Party_Ledger!$F:$F))</f>
        <v/>
      </c>
      <c r="G423" s="5" t="str">
        <f>IF($A423="","",SUMIF(Party_Ledger!$B:$B,$A423,Party_Ledger!$G:$G))</f>
        <v/>
      </c>
      <c r="H423" s="5" t="str">
        <f t="shared" si="12"/>
        <v/>
      </c>
      <c r="I423" s="4" t="str">
        <f t="shared" si="13"/>
        <v/>
      </c>
    </row>
    <row r="424" spans="1:9" x14ac:dyDescent="0.2">
      <c r="A424" s="4"/>
      <c r="B424" s="4"/>
      <c r="C424" s="4"/>
      <c r="D424" s="4"/>
      <c r="E424" s="5"/>
      <c r="F424" s="5" t="str">
        <f>IF($A424="","",SUMIF(Party_Ledger!$B:$B,$A424,Party_Ledger!$F:$F))</f>
        <v/>
      </c>
      <c r="G424" s="5" t="str">
        <f>IF($A424="","",SUMIF(Party_Ledger!$B:$B,$A424,Party_Ledger!$G:$G))</f>
        <v/>
      </c>
      <c r="H424" s="5" t="str">
        <f t="shared" si="12"/>
        <v/>
      </c>
      <c r="I424" s="4" t="str">
        <f t="shared" si="13"/>
        <v/>
      </c>
    </row>
    <row r="425" spans="1:9" x14ac:dyDescent="0.2">
      <c r="A425" s="4"/>
      <c r="B425" s="4"/>
      <c r="C425" s="4"/>
      <c r="D425" s="4"/>
      <c r="E425" s="5"/>
      <c r="F425" s="5" t="str">
        <f>IF($A425="","",SUMIF(Party_Ledger!$B:$B,$A425,Party_Ledger!$F:$F))</f>
        <v/>
      </c>
      <c r="G425" s="5" t="str">
        <f>IF($A425="","",SUMIF(Party_Ledger!$B:$B,$A425,Party_Ledger!$G:$G))</f>
        <v/>
      </c>
      <c r="H425" s="5" t="str">
        <f t="shared" si="12"/>
        <v/>
      </c>
      <c r="I425" s="4" t="str">
        <f t="shared" si="13"/>
        <v/>
      </c>
    </row>
    <row r="426" spans="1:9" x14ac:dyDescent="0.2">
      <c r="A426" s="4"/>
      <c r="B426" s="4"/>
      <c r="C426" s="4"/>
      <c r="D426" s="4"/>
      <c r="E426" s="5"/>
      <c r="F426" s="5" t="str">
        <f>IF($A426="","",SUMIF(Party_Ledger!$B:$B,$A426,Party_Ledger!$F:$F))</f>
        <v/>
      </c>
      <c r="G426" s="5" t="str">
        <f>IF($A426="","",SUMIF(Party_Ledger!$B:$B,$A426,Party_Ledger!$G:$G))</f>
        <v/>
      </c>
      <c r="H426" s="5" t="str">
        <f t="shared" si="12"/>
        <v/>
      </c>
      <c r="I426" s="4" t="str">
        <f t="shared" si="13"/>
        <v/>
      </c>
    </row>
    <row r="427" spans="1:9" x14ac:dyDescent="0.2">
      <c r="A427" s="4"/>
      <c r="B427" s="4"/>
      <c r="C427" s="4"/>
      <c r="D427" s="4"/>
      <c r="E427" s="5"/>
      <c r="F427" s="5" t="str">
        <f>IF($A427="","",SUMIF(Party_Ledger!$B:$B,$A427,Party_Ledger!$F:$F))</f>
        <v/>
      </c>
      <c r="G427" s="5" t="str">
        <f>IF($A427="","",SUMIF(Party_Ledger!$B:$B,$A427,Party_Ledger!$G:$G))</f>
        <v/>
      </c>
      <c r="H427" s="5" t="str">
        <f t="shared" si="12"/>
        <v/>
      </c>
      <c r="I427" s="4" t="str">
        <f t="shared" si="13"/>
        <v/>
      </c>
    </row>
    <row r="428" spans="1:9" x14ac:dyDescent="0.2">
      <c r="A428" s="4"/>
      <c r="B428" s="4"/>
      <c r="C428" s="4"/>
      <c r="D428" s="4"/>
      <c r="E428" s="5"/>
      <c r="F428" s="5" t="str">
        <f>IF($A428="","",SUMIF(Party_Ledger!$B:$B,$A428,Party_Ledger!$F:$F))</f>
        <v/>
      </c>
      <c r="G428" s="5" t="str">
        <f>IF($A428="","",SUMIF(Party_Ledger!$B:$B,$A428,Party_Ledger!$G:$G))</f>
        <v/>
      </c>
      <c r="H428" s="5" t="str">
        <f t="shared" si="12"/>
        <v/>
      </c>
      <c r="I428" s="4" t="str">
        <f t="shared" si="13"/>
        <v/>
      </c>
    </row>
    <row r="429" spans="1:9" x14ac:dyDescent="0.2">
      <c r="A429" s="4"/>
      <c r="B429" s="4"/>
      <c r="C429" s="4"/>
      <c r="D429" s="4"/>
      <c r="E429" s="5"/>
      <c r="F429" s="5" t="str">
        <f>IF($A429="","",SUMIF(Party_Ledger!$B:$B,$A429,Party_Ledger!$F:$F))</f>
        <v/>
      </c>
      <c r="G429" s="5" t="str">
        <f>IF($A429="","",SUMIF(Party_Ledger!$B:$B,$A429,Party_Ledger!$G:$G))</f>
        <v/>
      </c>
      <c r="H429" s="5" t="str">
        <f t="shared" si="12"/>
        <v/>
      </c>
      <c r="I429" s="4" t="str">
        <f t="shared" si="13"/>
        <v/>
      </c>
    </row>
    <row r="430" spans="1:9" x14ac:dyDescent="0.2">
      <c r="A430" s="4"/>
      <c r="B430" s="4"/>
      <c r="C430" s="4"/>
      <c r="D430" s="4"/>
      <c r="E430" s="5"/>
      <c r="F430" s="5" t="str">
        <f>IF($A430="","",SUMIF(Party_Ledger!$B:$B,$A430,Party_Ledger!$F:$F))</f>
        <v/>
      </c>
      <c r="G430" s="5" t="str">
        <f>IF($A430="","",SUMIF(Party_Ledger!$B:$B,$A430,Party_Ledger!$G:$G))</f>
        <v/>
      </c>
      <c r="H430" s="5" t="str">
        <f t="shared" si="12"/>
        <v/>
      </c>
      <c r="I430" s="4" t="str">
        <f t="shared" si="13"/>
        <v/>
      </c>
    </row>
    <row r="431" spans="1:9" x14ac:dyDescent="0.2">
      <c r="A431" s="4"/>
      <c r="B431" s="4"/>
      <c r="C431" s="4"/>
      <c r="D431" s="4"/>
      <c r="E431" s="5"/>
      <c r="F431" s="5" t="str">
        <f>IF($A431="","",SUMIF(Party_Ledger!$B:$B,$A431,Party_Ledger!$F:$F))</f>
        <v/>
      </c>
      <c r="G431" s="5" t="str">
        <f>IF($A431="","",SUMIF(Party_Ledger!$B:$B,$A431,Party_Ledger!$G:$G))</f>
        <v/>
      </c>
      <c r="H431" s="5" t="str">
        <f t="shared" si="12"/>
        <v/>
      </c>
      <c r="I431" s="4" t="str">
        <f t="shared" si="13"/>
        <v/>
      </c>
    </row>
    <row r="432" spans="1:9" x14ac:dyDescent="0.2">
      <c r="A432" s="4"/>
      <c r="B432" s="4"/>
      <c r="C432" s="4"/>
      <c r="D432" s="4"/>
      <c r="E432" s="5"/>
      <c r="F432" s="5" t="str">
        <f>IF($A432="","",SUMIF(Party_Ledger!$B:$B,$A432,Party_Ledger!$F:$F))</f>
        <v/>
      </c>
      <c r="G432" s="5" t="str">
        <f>IF($A432="","",SUMIF(Party_Ledger!$B:$B,$A432,Party_Ledger!$G:$G))</f>
        <v/>
      </c>
      <c r="H432" s="5" t="str">
        <f t="shared" si="12"/>
        <v/>
      </c>
      <c r="I432" s="4" t="str">
        <f t="shared" si="13"/>
        <v/>
      </c>
    </row>
    <row r="433" spans="1:9" x14ac:dyDescent="0.2">
      <c r="A433" s="4"/>
      <c r="B433" s="4"/>
      <c r="C433" s="4"/>
      <c r="D433" s="4"/>
      <c r="E433" s="5"/>
      <c r="F433" s="5" t="str">
        <f>IF($A433="","",SUMIF(Party_Ledger!$B:$B,$A433,Party_Ledger!$F:$F))</f>
        <v/>
      </c>
      <c r="G433" s="5" t="str">
        <f>IF($A433="","",SUMIF(Party_Ledger!$B:$B,$A433,Party_Ledger!$G:$G))</f>
        <v/>
      </c>
      <c r="H433" s="5" t="str">
        <f t="shared" si="12"/>
        <v/>
      </c>
      <c r="I433" s="4" t="str">
        <f t="shared" si="13"/>
        <v/>
      </c>
    </row>
    <row r="434" spans="1:9" x14ac:dyDescent="0.2">
      <c r="A434" s="4"/>
      <c r="B434" s="4"/>
      <c r="C434" s="4"/>
      <c r="D434" s="4"/>
      <c r="E434" s="5"/>
      <c r="F434" s="5" t="str">
        <f>IF($A434="","",SUMIF(Party_Ledger!$B:$B,$A434,Party_Ledger!$F:$F))</f>
        <v/>
      </c>
      <c r="G434" s="5" t="str">
        <f>IF($A434="","",SUMIF(Party_Ledger!$B:$B,$A434,Party_Ledger!$G:$G))</f>
        <v/>
      </c>
      <c r="H434" s="5" t="str">
        <f t="shared" si="12"/>
        <v/>
      </c>
      <c r="I434" s="4" t="str">
        <f t="shared" si="13"/>
        <v/>
      </c>
    </row>
    <row r="435" spans="1:9" x14ac:dyDescent="0.2">
      <c r="A435" s="4"/>
      <c r="B435" s="4"/>
      <c r="C435" s="4"/>
      <c r="D435" s="4"/>
      <c r="E435" s="5"/>
      <c r="F435" s="5" t="str">
        <f>IF($A435="","",SUMIF(Party_Ledger!$B:$B,$A435,Party_Ledger!$F:$F))</f>
        <v/>
      </c>
      <c r="G435" s="5" t="str">
        <f>IF($A435="","",SUMIF(Party_Ledger!$B:$B,$A435,Party_Ledger!$G:$G))</f>
        <v/>
      </c>
      <c r="H435" s="5" t="str">
        <f t="shared" si="12"/>
        <v/>
      </c>
      <c r="I435" s="4" t="str">
        <f t="shared" si="13"/>
        <v/>
      </c>
    </row>
    <row r="436" spans="1:9" x14ac:dyDescent="0.2">
      <c r="A436" s="4"/>
      <c r="B436" s="4"/>
      <c r="C436" s="4"/>
      <c r="D436" s="4"/>
      <c r="E436" s="5"/>
      <c r="F436" s="5" t="str">
        <f>IF($A436="","",SUMIF(Party_Ledger!$B:$B,$A436,Party_Ledger!$F:$F))</f>
        <v/>
      </c>
      <c r="G436" s="5" t="str">
        <f>IF($A436="","",SUMIF(Party_Ledger!$B:$B,$A436,Party_Ledger!$G:$G))</f>
        <v/>
      </c>
      <c r="H436" s="5" t="str">
        <f t="shared" si="12"/>
        <v/>
      </c>
      <c r="I436" s="4" t="str">
        <f t="shared" si="13"/>
        <v/>
      </c>
    </row>
    <row r="437" spans="1:9" x14ac:dyDescent="0.2">
      <c r="A437" s="4"/>
      <c r="B437" s="4"/>
      <c r="C437" s="4"/>
      <c r="D437" s="4"/>
      <c r="E437" s="5"/>
      <c r="F437" s="5" t="str">
        <f>IF($A437="","",SUMIF(Party_Ledger!$B:$B,$A437,Party_Ledger!$F:$F))</f>
        <v/>
      </c>
      <c r="G437" s="5" t="str">
        <f>IF($A437="","",SUMIF(Party_Ledger!$B:$B,$A437,Party_Ledger!$G:$G))</f>
        <v/>
      </c>
      <c r="H437" s="5" t="str">
        <f t="shared" si="12"/>
        <v/>
      </c>
      <c r="I437" s="4" t="str">
        <f t="shared" si="13"/>
        <v/>
      </c>
    </row>
    <row r="438" spans="1:9" x14ac:dyDescent="0.2">
      <c r="A438" s="4"/>
      <c r="B438" s="4"/>
      <c r="C438" s="4"/>
      <c r="D438" s="4"/>
      <c r="E438" s="5"/>
      <c r="F438" s="5" t="str">
        <f>IF($A438="","",SUMIF(Party_Ledger!$B:$B,$A438,Party_Ledger!$F:$F))</f>
        <v/>
      </c>
      <c r="G438" s="5" t="str">
        <f>IF($A438="","",SUMIF(Party_Ledger!$B:$B,$A438,Party_Ledger!$G:$G))</f>
        <v/>
      </c>
      <c r="H438" s="5" t="str">
        <f t="shared" si="12"/>
        <v/>
      </c>
      <c r="I438" s="4" t="str">
        <f t="shared" si="13"/>
        <v/>
      </c>
    </row>
    <row r="439" spans="1:9" x14ac:dyDescent="0.2">
      <c r="A439" s="4"/>
      <c r="B439" s="4"/>
      <c r="C439" s="4"/>
      <c r="D439" s="4"/>
      <c r="E439" s="5"/>
      <c r="F439" s="5" t="str">
        <f>IF($A439="","",SUMIF(Party_Ledger!$B:$B,$A439,Party_Ledger!$F:$F))</f>
        <v/>
      </c>
      <c r="G439" s="5" t="str">
        <f>IF($A439="","",SUMIF(Party_Ledger!$B:$B,$A439,Party_Ledger!$G:$G))</f>
        <v/>
      </c>
      <c r="H439" s="5" t="str">
        <f t="shared" si="12"/>
        <v/>
      </c>
      <c r="I439" s="4" t="str">
        <f t="shared" si="13"/>
        <v/>
      </c>
    </row>
    <row r="440" spans="1:9" x14ac:dyDescent="0.2">
      <c r="A440" s="4"/>
      <c r="B440" s="4"/>
      <c r="C440" s="4"/>
      <c r="D440" s="4"/>
      <c r="E440" s="5"/>
      <c r="F440" s="5" t="str">
        <f>IF($A440="","",SUMIF(Party_Ledger!$B:$B,$A440,Party_Ledger!$F:$F))</f>
        <v/>
      </c>
      <c r="G440" s="5" t="str">
        <f>IF($A440="","",SUMIF(Party_Ledger!$B:$B,$A440,Party_Ledger!$G:$G))</f>
        <v/>
      </c>
      <c r="H440" s="5" t="str">
        <f t="shared" si="12"/>
        <v/>
      </c>
      <c r="I440" s="4" t="str">
        <f t="shared" si="13"/>
        <v/>
      </c>
    </row>
    <row r="441" spans="1:9" x14ac:dyDescent="0.2">
      <c r="A441" s="4"/>
      <c r="B441" s="4"/>
      <c r="C441" s="4"/>
      <c r="D441" s="4"/>
      <c r="E441" s="5"/>
      <c r="F441" s="5" t="str">
        <f>IF($A441="","",SUMIF(Party_Ledger!$B:$B,$A441,Party_Ledger!$F:$F))</f>
        <v/>
      </c>
      <c r="G441" s="5" t="str">
        <f>IF($A441="","",SUMIF(Party_Ledger!$B:$B,$A441,Party_Ledger!$G:$G))</f>
        <v/>
      </c>
      <c r="H441" s="5" t="str">
        <f t="shared" si="12"/>
        <v/>
      </c>
      <c r="I441" s="4" t="str">
        <f t="shared" si="13"/>
        <v/>
      </c>
    </row>
    <row r="442" spans="1:9" x14ac:dyDescent="0.2">
      <c r="A442" s="4"/>
      <c r="B442" s="4"/>
      <c r="C442" s="4"/>
      <c r="D442" s="4"/>
      <c r="E442" s="5"/>
      <c r="F442" s="5" t="str">
        <f>IF($A442="","",SUMIF(Party_Ledger!$B:$B,$A442,Party_Ledger!$F:$F))</f>
        <v/>
      </c>
      <c r="G442" s="5" t="str">
        <f>IF($A442="","",SUMIF(Party_Ledger!$B:$B,$A442,Party_Ledger!$G:$G))</f>
        <v/>
      </c>
      <c r="H442" s="5" t="str">
        <f t="shared" si="12"/>
        <v/>
      </c>
      <c r="I442" s="4" t="str">
        <f t="shared" si="13"/>
        <v/>
      </c>
    </row>
    <row r="443" spans="1:9" x14ac:dyDescent="0.2">
      <c r="A443" s="4"/>
      <c r="B443" s="4"/>
      <c r="C443" s="4"/>
      <c r="D443" s="4"/>
      <c r="E443" s="5"/>
      <c r="F443" s="5" t="str">
        <f>IF($A443="","",SUMIF(Party_Ledger!$B:$B,$A443,Party_Ledger!$F:$F))</f>
        <v/>
      </c>
      <c r="G443" s="5" t="str">
        <f>IF($A443="","",SUMIF(Party_Ledger!$B:$B,$A443,Party_Ledger!$G:$G))</f>
        <v/>
      </c>
      <c r="H443" s="5" t="str">
        <f t="shared" si="12"/>
        <v/>
      </c>
      <c r="I443" s="4" t="str">
        <f t="shared" si="13"/>
        <v/>
      </c>
    </row>
    <row r="444" spans="1:9" x14ac:dyDescent="0.2">
      <c r="A444" s="4"/>
      <c r="B444" s="4"/>
      <c r="C444" s="4"/>
      <c r="D444" s="4"/>
      <c r="E444" s="5"/>
      <c r="F444" s="5" t="str">
        <f>IF($A444="","",SUMIF(Party_Ledger!$B:$B,$A444,Party_Ledger!$F:$F))</f>
        <v/>
      </c>
      <c r="G444" s="5" t="str">
        <f>IF($A444="","",SUMIF(Party_Ledger!$B:$B,$A444,Party_Ledger!$G:$G))</f>
        <v/>
      </c>
      <c r="H444" s="5" t="str">
        <f t="shared" si="12"/>
        <v/>
      </c>
      <c r="I444" s="4" t="str">
        <f t="shared" si="13"/>
        <v/>
      </c>
    </row>
    <row r="445" spans="1:9" x14ac:dyDescent="0.2">
      <c r="A445" s="4"/>
      <c r="B445" s="4"/>
      <c r="C445" s="4"/>
      <c r="D445" s="4"/>
      <c r="E445" s="5"/>
      <c r="F445" s="5" t="str">
        <f>IF($A445="","",SUMIF(Party_Ledger!$B:$B,$A445,Party_Ledger!$F:$F))</f>
        <v/>
      </c>
      <c r="G445" s="5" t="str">
        <f>IF($A445="","",SUMIF(Party_Ledger!$B:$B,$A445,Party_Ledger!$G:$G))</f>
        <v/>
      </c>
      <c r="H445" s="5" t="str">
        <f t="shared" si="12"/>
        <v/>
      </c>
      <c r="I445" s="4" t="str">
        <f t="shared" si="13"/>
        <v/>
      </c>
    </row>
    <row r="446" spans="1:9" x14ac:dyDescent="0.2">
      <c r="A446" s="4"/>
      <c r="B446" s="4"/>
      <c r="C446" s="4"/>
      <c r="D446" s="4"/>
      <c r="E446" s="5"/>
      <c r="F446" s="5" t="str">
        <f>IF($A446="","",SUMIF(Party_Ledger!$B:$B,$A446,Party_Ledger!$F:$F))</f>
        <v/>
      </c>
      <c r="G446" s="5" t="str">
        <f>IF($A446="","",SUMIF(Party_Ledger!$B:$B,$A446,Party_Ledger!$G:$G))</f>
        <v/>
      </c>
      <c r="H446" s="5" t="str">
        <f t="shared" si="12"/>
        <v/>
      </c>
      <c r="I446" s="4" t="str">
        <f t="shared" si="13"/>
        <v/>
      </c>
    </row>
    <row r="447" spans="1:9" x14ac:dyDescent="0.2">
      <c r="A447" s="4"/>
      <c r="B447" s="4"/>
      <c r="C447" s="4"/>
      <c r="D447" s="4"/>
      <c r="E447" s="5"/>
      <c r="F447" s="5" t="str">
        <f>IF($A447="","",SUMIF(Party_Ledger!$B:$B,$A447,Party_Ledger!$F:$F))</f>
        <v/>
      </c>
      <c r="G447" s="5" t="str">
        <f>IF($A447="","",SUMIF(Party_Ledger!$B:$B,$A447,Party_Ledger!$G:$G))</f>
        <v/>
      </c>
      <c r="H447" s="5" t="str">
        <f t="shared" si="12"/>
        <v/>
      </c>
      <c r="I447" s="4" t="str">
        <f t="shared" si="13"/>
        <v/>
      </c>
    </row>
    <row r="448" spans="1:9" x14ac:dyDescent="0.2">
      <c r="A448" s="4"/>
      <c r="B448" s="4"/>
      <c r="C448" s="4"/>
      <c r="D448" s="4"/>
      <c r="E448" s="5"/>
      <c r="F448" s="5" t="str">
        <f>IF($A448="","",SUMIF(Party_Ledger!$B:$B,$A448,Party_Ledger!$F:$F))</f>
        <v/>
      </c>
      <c r="G448" s="5" t="str">
        <f>IF($A448="","",SUMIF(Party_Ledger!$B:$B,$A448,Party_Ledger!$G:$G))</f>
        <v/>
      </c>
      <c r="H448" s="5" t="str">
        <f t="shared" si="12"/>
        <v/>
      </c>
      <c r="I448" s="4" t="str">
        <f t="shared" si="13"/>
        <v/>
      </c>
    </row>
    <row r="449" spans="1:9" x14ac:dyDescent="0.2">
      <c r="A449" s="4"/>
      <c r="B449" s="4"/>
      <c r="C449" s="4"/>
      <c r="D449" s="4"/>
      <c r="E449" s="5"/>
      <c r="F449" s="5" t="str">
        <f>IF($A449="","",SUMIF(Party_Ledger!$B:$B,$A449,Party_Ledger!$F:$F))</f>
        <v/>
      </c>
      <c r="G449" s="5" t="str">
        <f>IF($A449="","",SUMIF(Party_Ledger!$B:$B,$A449,Party_Ledger!$G:$G))</f>
        <v/>
      </c>
      <c r="H449" s="5" t="str">
        <f t="shared" si="12"/>
        <v/>
      </c>
      <c r="I449" s="4" t="str">
        <f t="shared" si="13"/>
        <v/>
      </c>
    </row>
    <row r="450" spans="1:9" x14ac:dyDescent="0.2">
      <c r="A450" s="4"/>
      <c r="B450" s="4"/>
      <c r="C450" s="4"/>
      <c r="D450" s="4"/>
      <c r="E450" s="5"/>
      <c r="F450" s="5" t="str">
        <f>IF($A450="","",SUMIF(Party_Ledger!$B:$B,$A450,Party_Ledger!$F:$F))</f>
        <v/>
      </c>
      <c r="G450" s="5" t="str">
        <f>IF($A450="","",SUMIF(Party_Ledger!$B:$B,$A450,Party_Ledger!$G:$G))</f>
        <v/>
      </c>
      <c r="H450" s="5" t="str">
        <f t="shared" si="12"/>
        <v/>
      </c>
      <c r="I450" s="4" t="str">
        <f t="shared" si="13"/>
        <v/>
      </c>
    </row>
    <row r="451" spans="1:9" x14ac:dyDescent="0.2">
      <c r="A451" s="4"/>
      <c r="B451" s="4"/>
      <c r="C451" s="4"/>
      <c r="D451" s="4"/>
      <c r="E451" s="5"/>
      <c r="F451" s="5" t="str">
        <f>IF($A451="","",SUMIF(Party_Ledger!$B:$B,$A451,Party_Ledger!$F:$F))</f>
        <v/>
      </c>
      <c r="G451" s="5" t="str">
        <f>IF($A451="","",SUMIF(Party_Ledger!$B:$B,$A451,Party_Ledger!$G:$G))</f>
        <v/>
      </c>
      <c r="H451" s="5" t="str">
        <f t="shared" ref="H451:H502" si="14">IF($A451="","",$E451+$F451-$G451)</f>
        <v/>
      </c>
      <c r="I451" s="4" t="str">
        <f t="shared" ref="I451:I502" si="15">IF($A451="","",IF(ROUND($H451,0)=0,"Settled",IF($H451&gt;0,"Outstanding","Advance")))</f>
        <v/>
      </c>
    </row>
    <row r="452" spans="1:9" x14ac:dyDescent="0.2">
      <c r="A452" s="4"/>
      <c r="B452" s="4"/>
      <c r="C452" s="4"/>
      <c r="D452" s="4"/>
      <c r="E452" s="5"/>
      <c r="F452" s="5" t="str">
        <f>IF($A452="","",SUMIF(Party_Ledger!$B:$B,$A452,Party_Ledger!$F:$F))</f>
        <v/>
      </c>
      <c r="G452" s="5" t="str">
        <f>IF($A452="","",SUMIF(Party_Ledger!$B:$B,$A452,Party_Ledger!$G:$G))</f>
        <v/>
      </c>
      <c r="H452" s="5" t="str">
        <f t="shared" si="14"/>
        <v/>
      </c>
      <c r="I452" s="4" t="str">
        <f t="shared" si="15"/>
        <v/>
      </c>
    </row>
    <row r="453" spans="1:9" x14ac:dyDescent="0.2">
      <c r="A453" s="4"/>
      <c r="B453" s="4"/>
      <c r="C453" s="4"/>
      <c r="D453" s="4"/>
      <c r="E453" s="5"/>
      <c r="F453" s="5" t="str">
        <f>IF($A453="","",SUMIF(Party_Ledger!$B:$B,$A453,Party_Ledger!$F:$F))</f>
        <v/>
      </c>
      <c r="G453" s="5" t="str">
        <f>IF($A453="","",SUMIF(Party_Ledger!$B:$B,$A453,Party_Ledger!$G:$G))</f>
        <v/>
      </c>
      <c r="H453" s="5" t="str">
        <f t="shared" si="14"/>
        <v/>
      </c>
      <c r="I453" s="4" t="str">
        <f t="shared" si="15"/>
        <v/>
      </c>
    </row>
    <row r="454" spans="1:9" x14ac:dyDescent="0.2">
      <c r="A454" s="4"/>
      <c r="B454" s="4"/>
      <c r="C454" s="4"/>
      <c r="D454" s="4"/>
      <c r="E454" s="5"/>
      <c r="F454" s="5" t="str">
        <f>IF($A454="","",SUMIF(Party_Ledger!$B:$B,$A454,Party_Ledger!$F:$F))</f>
        <v/>
      </c>
      <c r="G454" s="5" t="str">
        <f>IF($A454="","",SUMIF(Party_Ledger!$B:$B,$A454,Party_Ledger!$G:$G))</f>
        <v/>
      </c>
      <c r="H454" s="5" t="str">
        <f t="shared" si="14"/>
        <v/>
      </c>
      <c r="I454" s="4" t="str">
        <f t="shared" si="15"/>
        <v/>
      </c>
    </row>
    <row r="455" spans="1:9" x14ac:dyDescent="0.2">
      <c r="A455" s="4"/>
      <c r="B455" s="4"/>
      <c r="C455" s="4"/>
      <c r="D455" s="4"/>
      <c r="E455" s="5"/>
      <c r="F455" s="5" t="str">
        <f>IF($A455="","",SUMIF(Party_Ledger!$B:$B,$A455,Party_Ledger!$F:$F))</f>
        <v/>
      </c>
      <c r="G455" s="5" t="str">
        <f>IF($A455="","",SUMIF(Party_Ledger!$B:$B,$A455,Party_Ledger!$G:$G))</f>
        <v/>
      </c>
      <c r="H455" s="5" t="str">
        <f t="shared" si="14"/>
        <v/>
      </c>
      <c r="I455" s="4" t="str">
        <f t="shared" si="15"/>
        <v/>
      </c>
    </row>
    <row r="456" spans="1:9" x14ac:dyDescent="0.2">
      <c r="A456" s="4"/>
      <c r="B456" s="4"/>
      <c r="C456" s="4"/>
      <c r="D456" s="4"/>
      <c r="E456" s="5"/>
      <c r="F456" s="5" t="str">
        <f>IF($A456="","",SUMIF(Party_Ledger!$B:$B,$A456,Party_Ledger!$F:$F))</f>
        <v/>
      </c>
      <c r="G456" s="5" t="str">
        <f>IF($A456="","",SUMIF(Party_Ledger!$B:$B,$A456,Party_Ledger!$G:$G))</f>
        <v/>
      </c>
      <c r="H456" s="5" t="str">
        <f t="shared" si="14"/>
        <v/>
      </c>
      <c r="I456" s="4" t="str">
        <f t="shared" si="15"/>
        <v/>
      </c>
    </row>
    <row r="457" spans="1:9" x14ac:dyDescent="0.2">
      <c r="A457" s="4"/>
      <c r="B457" s="4"/>
      <c r="C457" s="4"/>
      <c r="D457" s="4"/>
      <c r="E457" s="5"/>
      <c r="F457" s="5" t="str">
        <f>IF($A457="","",SUMIF(Party_Ledger!$B:$B,$A457,Party_Ledger!$F:$F))</f>
        <v/>
      </c>
      <c r="G457" s="5" t="str">
        <f>IF($A457="","",SUMIF(Party_Ledger!$B:$B,$A457,Party_Ledger!$G:$G))</f>
        <v/>
      </c>
      <c r="H457" s="5" t="str">
        <f t="shared" si="14"/>
        <v/>
      </c>
      <c r="I457" s="4" t="str">
        <f t="shared" si="15"/>
        <v/>
      </c>
    </row>
    <row r="458" spans="1:9" x14ac:dyDescent="0.2">
      <c r="A458" s="4"/>
      <c r="B458" s="4"/>
      <c r="C458" s="4"/>
      <c r="D458" s="4"/>
      <c r="E458" s="5"/>
      <c r="F458" s="5" t="str">
        <f>IF($A458="","",SUMIF(Party_Ledger!$B:$B,$A458,Party_Ledger!$F:$F))</f>
        <v/>
      </c>
      <c r="G458" s="5" t="str">
        <f>IF($A458="","",SUMIF(Party_Ledger!$B:$B,$A458,Party_Ledger!$G:$G))</f>
        <v/>
      </c>
      <c r="H458" s="5" t="str">
        <f t="shared" si="14"/>
        <v/>
      </c>
      <c r="I458" s="4" t="str">
        <f t="shared" si="15"/>
        <v/>
      </c>
    </row>
    <row r="459" spans="1:9" x14ac:dyDescent="0.2">
      <c r="A459" s="4"/>
      <c r="B459" s="4"/>
      <c r="C459" s="4"/>
      <c r="D459" s="4"/>
      <c r="E459" s="5"/>
      <c r="F459" s="5" t="str">
        <f>IF($A459="","",SUMIF(Party_Ledger!$B:$B,$A459,Party_Ledger!$F:$F))</f>
        <v/>
      </c>
      <c r="G459" s="5" t="str">
        <f>IF($A459="","",SUMIF(Party_Ledger!$B:$B,$A459,Party_Ledger!$G:$G))</f>
        <v/>
      </c>
      <c r="H459" s="5" t="str">
        <f t="shared" si="14"/>
        <v/>
      </c>
      <c r="I459" s="4" t="str">
        <f t="shared" si="15"/>
        <v/>
      </c>
    </row>
    <row r="460" spans="1:9" x14ac:dyDescent="0.2">
      <c r="A460" s="4"/>
      <c r="B460" s="4"/>
      <c r="C460" s="4"/>
      <c r="D460" s="4"/>
      <c r="E460" s="5"/>
      <c r="F460" s="5" t="str">
        <f>IF($A460="","",SUMIF(Party_Ledger!$B:$B,$A460,Party_Ledger!$F:$F))</f>
        <v/>
      </c>
      <c r="G460" s="5" t="str">
        <f>IF($A460="","",SUMIF(Party_Ledger!$B:$B,$A460,Party_Ledger!$G:$G))</f>
        <v/>
      </c>
      <c r="H460" s="5" t="str">
        <f t="shared" si="14"/>
        <v/>
      </c>
      <c r="I460" s="4" t="str">
        <f t="shared" si="15"/>
        <v/>
      </c>
    </row>
    <row r="461" spans="1:9" x14ac:dyDescent="0.2">
      <c r="A461" s="4"/>
      <c r="B461" s="4"/>
      <c r="C461" s="4"/>
      <c r="D461" s="4"/>
      <c r="E461" s="5"/>
      <c r="F461" s="5" t="str">
        <f>IF($A461="","",SUMIF(Party_Ledger!$B:$B,$A461,Party_Ledger!$F:$F))</f>
        <v/>
      </c>
      <c r="G461" s="5" t="str">
        <f>IF($A461="","",SUMIF(Party_Ledger!$B:$B,$A461,Party_Ledger!$G:$G))</f>
        <v/>
      </c>
      <c r="H461" s="5" t="str">
        <f t="shared" si="14"/>
        <v/>
      </c>
      <c r="I461" s="4" t="str">
        <f t="shared" si="15"/>
        <v/>
      </c>
    </row>
    <row r="462" spans="1:9" x14ac:dyDescent="0.2">
      <c r="A462" s="4"/>
      <c r="B462" s="4"/>
      <c r="C462" s="4"/>
      <c r="D462" s="4"/>
      <c r="E462" s="5"/>
      <c r="F462" s="5" t="str">
        <f>IF($A462="","",SUMIF(Party_Ledger!$B:$B,$A462,Party_Ledger!$F:$F))</f>
        <v/>
      </c>
      <c r="G462" s="5" t="str">
        <f>IF($A462="","",SUMIF(Party_Ledger!$B:$B,$A462,Party_Ledger!$G:$G))</f>
        <v/>
      </c>
      <c r="H462" s="5" t="str">
        <f t="shared" si="14"/>
        <v/>
      </c>
      <c r="I462" s="4" t="str">
        <f t="shared" si="15"/>
        <v/>
      </c>
    </row>
    <row r="463" spans="1:9" x14ac:dyDescent="0.2">
      <c r="A463" s="4"/>
      <c r="B463" s="4"/>
      <c r="C463" s="4"/>
      <c r="D463" s="4"/>
      <c r="E463" s="5"/>
      <c r="F463" s="5" t="str">
        <f>IF($A463="","",SUMIF(Party_Ledger!$B:$B,$A463,Party_Ledger!$F:$F))</f>
        <v/>
      </c>
      <c r="G463" s="5" t="str">
        <f>IF($A463="","",SUMIF(Party_Ledger!$B:$B,$A463,Party_Ledger!$G:$G))</f>
        <v/>
      </c>
      <c r="H463" s="5" t="str">
        <f t="shared" si="14"/>
        <v/>
      </c>
      <c r="I463" s="4" t="str">
        <f t="shared" si="15"/>
        <v/>
      </c>
    </row>
    <row r="464" spans="1:9" x14ac:dyDescent="0.2">
      <c r="A464" s="4"/>
      <c r="B464" s="4"/>
      <c r="C464" s="4"/>
      <c r="D464" s="4"/>
      <c r="E464" s="5"/>
      <c r="F464" s="5" t="str">
        <f>IF($A464="","",SUMIF(Party_Ledger!$B:$B,$A464,Party_Ledger!$F:$F))</f>
        <v/>
      </c>
      <c r="G464" s="5" t="str">
        <f>IF($A464="","",SUMIF(Party_Ledger!$B:$B,$A464,Party_Ledger!$G:$G))</f>
        <v/>
      </c>
      <c r="H464" s="5" t="str">
        <f t="shared" si="14"/>
        <v/>
      </c>
      <c r="I464" s="4" t="str">
        <f t="shared" si="15"/>
        <v/>
      </c>
    </row>
    <row r="465" spans="1:9" x14ac:dyDescent="0.2">
      <c r="A465" s="4"/>
      <c r="B465" s="4"/>
      <c r="C465" s="4"/>
      <c r="D465" s="4"/>
      <c r="E465" s="5"/>
      <c r="F465" s="5" t="str">
        <f>IF($A465="","",SUMIF(Party_Ledger!$B:$B,$A465,Party_Ledger!$F:$F))</f>
        <v/>
      </c>
      <c r="G465" s="5" t="str">
        <f>IF($A465="","",SUMIF(Party_Ledger!$B:$B,$A465,Party_Ledger!$G:$G))</f>
        <v/>
      </c>
      <c r="H465" s="5" t="str">
        <f t="shared" si="14"/>
        <v/>
      </c>
      <c r="I465" s="4" t="str">
        <f t="shared" si="15"/>
        <v/>
      </c>
    </row>
    <row r="466" spans="1:9" x14ac:dyDescent="0.2">
      <c r="A466" s="4"/>
      <c r="B466" s="4"/>
      <c r="C466" s="4"/>
      <c r="D466" s="4"/>
      <c r="E466" s="5"/>
      <c r="F466" s="5" t="str">
        <f>IF($A466="","",SUMIF(Party_Ledger!$B:$B,$A466,Party_Ledger!$F:$F))</f>
        <v/>
      </c>
      <c r="G466" s="5" t="str">
        <f>IF($A466="","",SUMIF(Party_Ledger!$B:$B,$A466,Party_Ledger!$G:$G))</f>
        <v/>
      </c>
      <c r="H466" s="5" t="str">
        <f t="shared" si="14"/>
        <v/>
      </c>
      <c r="I466" s="4" t="str">
        <f t="shared" si="15"/>
        <v/>
      </c>
    </row>
    <row r="467" spans="1:9" x14ac:dyDescent="0.2">
      <c r="A467" s="4"/>
      <c r="B467" s="4"/>
      <c r="C467" s="4"/>
      <c r="D467" s="4"/>
      <c r="E467" s="5"/>
      <c r="F467" s="5" t="str">
        <f>IF($A467="","",SUMIF(Party_Ledger!$B:$B,$A467,Party_Ledger!$F:$F))</f>
        <v/>
      </c>
      <c r="G467" s="5" t="str">
        <f>IF($A467="","",SUMIF(Party_Ledger!$B:$B,$A467,Party_Ledger!$G:$G))</f>
        <v/>
      </c>
      <c r="H467" s="5" t="str">
        <f t="shared" si="14"/>
        <v/>
      </c>
      <c r="I467" s="4" t="str">
        <f t="shared" si="15"/>
        <v/>
      </c>
    </row>
    <row r="468" spans="1:9" x14ac:dyDescent="0.2">
      <c r="A468" s="4"/>
      <c r="B468" s="4"/>
      <c r="C468" s="4"/>
      <c r="D468" s="4"/>
      <c r="E468" s="5"/>
      <c r="F468" s="5" t="str">
        <f>IF($A468="","",SUMIF(Party_Ledger!$B:$B,$A468,Party_Ledger!$F:$F))</f>
        <v/>
      </c>
      <c r="G468" s="5" t="str">
        <f>IF($A468="","",SUMIF(Party_Ledger!$B:$B,$A468,Party_Ledger!$G:$G))</f>
        <v/>
      </c>
      <c r="H468" s="5" t="str">
        <f t="shared" si="14"/>
        <v/>
      </c>
      <c r="I468" s="4" t="str">
        <f t="shared" si="15"/>
        <v/>
      </c>
    </row>
    <row r="469" spans="1:9" x14ac:dyDescent="0.2">
      <c r="A469" s="4"/>
      <c r="B469" s="4"/>
      <c r="C469" s="4"/>
      <c r="D469" s="4"/>
      <c r="E469" s="5"/>
      <c r="F469" s="5" t="str">
        <f>IF($A469="","",SUMIF(Party_Ledger!$B:$B,$A469,Party_Ledger!$F:$F))</f>
        <v/>
      </c>
      <c r="G469" s="5" t="str">
        <f>IF($A469="","",SUMIF(Party_Ledger!$B:$B,$A469,Party_Ledger!$G:$G))</f>
        <v/>
      </c>
      <c r="H469" s="5" t="str">
        <f t="shared" si="14"/>
        <v/>
      </c>
      <c r="I469" s="4" t="str">
        <f t="shared" si="15"/>
        <v/>
      </c>
    </row>
    <row r="470" spans="1:9" x14ac:dyDescent="0.2">
      <c r="A470" s="4"/>
      <c r="B470" s="4"/>
      <c r="C470" s="4"/>
      <c r="D470" s="4"/>
      <c r="E470" s="5"/>
      <c r="F470" s="5" t="str">
        <f>IF($A470="","",SUMIF(Party_Ledger!$B:$B,$A470,Party_Ledger!$F:$F))</f>
        <v/>
      </c>
      <c r="G470" s="5" t="str">
        <f>IF($A470="","",SUMIF(Party_Ledger!$B:$B,$A470,Party_Ledger!$G:$G))</f>
        <v/>
      </c>
      <c r="H470" s="5" t="str">
        <f t="shared" si="14"/>
        <v/>
      </c>
      <c r="I470" s="4" t="str">
        <f t="shared" si="15"/>
        <v/>
      </c>
    </row>
    <row r="471" spans="1:9" x14ac:dyDescent="0.2">
      <c r="A471" s="4"/>
      <c r="B471" s="4"/>
      <c r="C471" s="4"/>
      <c r="D471" s="4"/>
      <c r="E471" s="5"/>
      <c r="F471" s="5" t="str">
        <f>IF($A471="","",SUMIF(Party_Ledger!$B:$B,$A471,Party_Ledger!$F:$F))</f>
        <v/>
      </c>
      <c r="G471" s="5" t="str">
        <f>IF($A471="","",SUMIF(Party_Ledger!$B:$B,$A471,Party_Ledger!$G:$G))</f>
        <v/>
      </c>
      <c r="H471" s="5" t="str">
        <f t="shared" si="14"/>
        <v/>
      </c>
      <c r="I471" s="4" t="str">
        <f t="shared" si="15"/>
        <v/>
      </c>
    </row>
    <row r="472" spans="1:9" x14ac:dyDescent="0.2">
      <c r="A472" s="4"/>
      <c r="B472" s="4"/>
      <c r="C472" s="4"/>
      <c r="D472" s="4"/>
      <c r="E472" s="5"/>
      <c r="F472" s="5" t="str">
        <f>IF($A472="","",SUMIF(Party_Ledger!$B:$B,$A472,Party_Ledger!$F:$F))</f>
        <v/>
      </c>
      <c r="G472" s="5" t="str">
        <f>IF($A472="","",SUMIF(Party_Ledger!$B:$B,$A472,Party_Ledger!$G:$G))</f>
        <v/>
      </c>
      <c r="H472" s="5" t="str">
        <f t="shared" si="14"/>
        <v/>
      </c>
      <c r="I472" s="4" t="str">
        <f t="shared" si="15"/>
        <v/>
      </c>
    </row>
    <row r="473" spans="1:9" x14ac:dyDescent="0.2">
      <c r="A473" s="4"/>
      <c r="B473" s="4"/>
      <c r="C473" s="4"/>
      <c r="D473" s="4"/>
      <c r="E473" s="5"/>
      <c r="F473" s="5" t="str">
        <f>IF($A473="","",SUMIF(Party_Ledger!$B:$B,$A473,Party_Ledger!$F:$F))</f>
        <v/>
      </c>
      <c r="G473" s="5" t="str">
        <f>IF($A473="","",SUMIF(Party_Ledger!$B:$B,$A473,Party_Ledger!$G:$G))</f>
        <v/>
      </c>
      <c r="H473" s="5" t="str">
        <f t="shared" si="14"/>
        <v/>
      </c>
      <c r="I473" s="4" t="str">
        <f t="shared" si="15"/>
        <v/>
      </c>
    </row>
    <row r="474" spans="1:9" x14ac:dyDescent="0.2">
      <c r="A474" s="4"/>
      <c r="B474" s="4"/>
      <c r="C474" s="4"/>
      <c r="D474" s="4"/>
      <c r="E474" s="5"/>
      <c r="F474" s="5" t="str">
        <f>IF($A474="","",SUMIF(Party_Ledger!$B:$B,$A474,Party_Ledger!$F:$F))</f>
        <v/>
      </c>
      <c r="G474" s="5" t="str">
        <f>IF($A474="","",SUMIF(Party_Ledger!$B:$B,$A474,Party_Ledger!$G:$G))</f>
        <v/>
      </c>
      <c r="H474" s="5" t="str">
        <f t="shared" si="14"/>
        <v/>
      </c>
      <c r="I474" s="4" t="str">
        <f t="shared" si="15"/>
        <v/>
      </c>
    </row>
    <row r="475" spans="1:9" x14ac:dyDescent="0.2">
      <c r="A475" s="4"/>
      <c r="B475" s="4"/>
      <c r="C475" s="4"/>
      <c r="D475" s="4"/>
      <c r="E475" s="5"/>
      <c r="F475" s="5" t="str">
        <f>IF($A475="","",SUMIF(Party_Ledger!$B:$B,$A475,Party_Ledger!$F:$F))</f>
        <v/>
      </c>
      <c r="G475" s="5" t="str">
        <f>IF($A475="","",SUMIF(Party_Ledger!$B:$B,$A475,Party_Ledger!$G:$G))</f>
        <v/>
      </c>
      <c r="H475" s="5" t="str">
        <f t="shared" si="14"/>
        <v/>
      </c>
      <c r="I475" s="4" t="str">
        <f t="shared" si="15"/>
        <v/>
      </c>
    </row>
    <row r="476" spans="1:9" x14ac:dyDescent="0.2">
      <c r="A476" s="4"/>
      <c r="B476" s="4"/>
      <c r="C476" s="4"/>
      <c r="D476" s="4"/>
      <c r="E476" s="5"/>
      <c r="F476" s="5" t="str">
        <f>IF($A476="","",SUMIF(Party_Ledger!$B:$B,$A476,Party_Ledger!$F:$F))</f>
        <v/>
      </c>
      <c r="G476" s="5" t="str">
        <f>IF($A476="","",SUMIF(Party_Ledger!$B:$B,$A476,Party_Ledger!$G:$G))</f>
        <v/>
      </c>
      <c r="H476" s="5" t="str">
        <f t="shared" si="14"/>
        <v/>
      </c>
      <c r="I476" s="4" t="str">
        <f t="shared" si="15"/>
        <v/>
      </c>
    </row>
    <row r="477" spans="1:9" x14ac:dyDescent="0.2">
      <c r="A477" s="4"/>
      <c r="B477" s="4"/>
      <c r="C477" s="4"/>
      <c r="D477" s="4"/>
      <c r="E477" s="5"/>
      <c r="F477" s="5" t="str">
        <f>IF($A477="","",SUMIF(Party_Ledger!$B:$B,$A477,Party_Ledger!$F:$F))</f>
        <v/>
      </c>
      <c r="G477" s="5" t="str">
        <f>IF($A477="","",SUMIF(Party_Ledger!$B:$B,$A477,Party_Ledger!$G:$G))</f>
        <v/>
      </c>
      <c r="H477" s="5" t="str">
        <f t="shared" si="14"/>
        <v/>
      </c>
      <c r="I477" s="4" t="str">
        <f t="shared" si="15"/>
        <v/>
      </c>
    </row>
    <row r="478" spans="1:9" x14ac:dyDescent="0.2">
      <c r="A478" s="4"/>
      <c r="B478" s="4"/>
      <c r="C478" s="4"/>
      <c r="D478" s="4"/>
      <c r="E478" s="5"/>
      <c r="F478" s="5" t="str">
        <f>IF($A478="","",SUMIF(Party_Ledger!$B:$B,$A478,Party_Ledger!$F:$F))</f>
        <v/>
      </c>
      <c r="G478" s="5" t="str">
        <f>IF($A478="","",SUMIF(Party_Ledger!$B:$B,$A478,Party_Ledger!$G:$G))</f>
        <v/>
      </c>
      <c r="H478" s="5" t="str">
        <f t="shared" si="14"/>
        <v/>
      </c>
      <c r="I478" s="4" t="str">
        <f t="shared" si="15"/>
        <v/>
      </c>
    </row>
    <row r="479" spans="1:9" x14ac:dyDescent="0.2">
      <c r="A479" s="4"/>
      <c r="B479" s="4"/>
      <c r="C479" s="4"/>
      <c r="D479" s="4"/>
      <c r="E479" s="5"/>
      <c r="F479" s="5" t="str">
        <f>IF($A479="","",SUMIF(Party_Ledger!$B:$B,$A479,Party_Ledger!$F:$F))</f>
        <v/>
      </c>
      <c r="G479" s="5" t="str">
        <f>IF($A479="","",SUMIF(Party_Ledger!$B:$B,$A479,Party_Ledger!$G:$G))</f>
        <v/>
      </c>
      <c r="H479" s="5" t="str">
        <f t="shared" si="14"/>
        <v/>
      </c>
      <c r="I479" s="4" t="str">
        <f t="shared" si="15"/>
        <v/>
      </c>
    </row>
    <row r="480" spans="1:9" x14ac:dyDescent="0.2">
      <c r="A480" s="4"/>
      <c r="B480" s="4"/>
      <c r="C480" s="4"/>
      <c r="D480" s="4"/>
      <c r="E480" s="5"/>
      <c r="F480" s="5" t="str">
        <f>IF($A480="","",SUMIF(Party_Ledger!$B:$B,$A480,Party_Ledger!$F:$F))</f>
        <v/>
      </c>
      <c r="G480" s="5" t="str">
        <f>IF($A480="","",SUMIF(Party_Ledger!$B:$B,$A480,Party_Ledger!$G:$G))</f>
        <v/>
      </c>
      <c r="H480" s="5" t="str">
        <f t="shared" si="14"/>
        <v/>
      </c>
      <c r="I480" s="4" t="str">
        <f t="shared" si="15"/>
        <v/>
      </c>
    </row>
    <row r="481" spans="1:9" x14ac:dyDescent="0.2">
      <c r="A481" s="4"/>
      <c r="B481" s="4"/>
      <c r="C481" s="4"/>
      <c r="D481" s="4"/>
      <c r="E481" s="5"/>
      <c r="F481" s="5" t="str">
        <f>IF($A481="","",SUMIF(Party_Ledger!$B:$B,$A481,Party_Ledger!$F:$F))</f>
        <v/>
      </c>
      <c r="G481" s="5" t="str">
        <f>IF($A481="","",SUMIF(Party_Ledger!$B:$B,$A481,Party_Ledger!$G:$G))</f>
        <v/>
      </c>
      <c r="H481" s="5" t="str">
        <f t="shared" si="14"/>
        <v/>
      </c>
      <c r="I481" s="4" t="str">
        <f t="shared" si="15"/>
        <v/>
      </c>
    </row>
    <row r="482" spans="1:9" x14ac:dyDescent="0.2">
      <c r="A482" s="4"/>
      <c r="B482" s="4"/>
      <c r="C482" s="4"/>
      <c r="D482" s="4"/>
      <c r="E482" s="5"/>
      <c r="F482" s="5" t="str">
        <f>IF($A482="","",SUMIF(Party_Ledger!$B:$B,$A482,Party_Ledger!$F:$F))</f>
        <v/>
      </c>
      <c r="G482" s="5" t="str">
        <f>IF($A482="","",SUMIF(Party_Ledger!$B:$B,$A482,Party_Ledger!$G:$G))</f>
        <v/>
      </c>
      <c r="H482" s="5" t="str">
        <f t="shared" si="14"/>
        <v/>
      </c>
      <c r="I482" s="4" t="str">
        <f t="shared" si="15"/>
        <v/>
      </c>
    </row>
    <row r="483" spans="1:9" x14ac:dyDescent="0.2">
      <c r="A483" s="4"/>
      <c r="B483" s="4"/>
      <c r="C483" s="4"/>
      <c r="D483" s="4"/>
      <c r="E483" s="5"/>
      <c r="F483" s="5" t="str">
        <f>IF($A483="","",SUMIF(Party_Ledger!$B:$B,$A483,Party_Ledger!$F:$F))</f>
        <v/>
      </c>
      <c r="G483" s="5" t="str">
        <f>IF($A483="","",SUMIF(Party_Ledger!$B:$B,$A483,Party_Ledger!$G:$G))</f>
        <v/>
      </c>
      <c r="H483" s="5" t="str">
        <f t="shared" si="14"/>
        <v/>
      </c>
      <c r="I483" s="4" t="str">
        <f t="shared" si="15"/>
        <v/>
      </c>
    </row>
    <row r="484" spans="1:9" x14ac:dyDescent="0.2">
      <c r="A484" s="4"/>
      <c r="B484" s="4"/>
      <c r="C484" s="4"/>
      <c r="D484" s="4"/>
      <c r="E484" s="5"/>
      <c r="F484" s="5" t="str">
        <f>IF($A484="","",SUMIF(Party_Ledger!$B:$B,$A484,Party_Ledger!$F:$F))</f>
        <v/>
      </c>
      <c r="G484" s="5" t="str">
        <f>IF($A484="","",SUMIF(Party_Ledger!$B:$B,$A484,Party_Ledger!$G:$G))</f>
        <v/>
      </c>
      <c r="H484" s="5" t="str">
        <f t="shared" si="14"/>
        <v/>
      </c>
      <c r="I484" s="4" t="str">
        <f t="shared" si="15"/>
        <v/>
      </c>
    </row>
    <row r="485" spans="1:9" x14ac:dyDescent="0.2">
      <c r="A485" s="4"/>
      <c r="B485" s="4"/>
      <c r="C485" s="4"/>
      <c r="D485" s="4"/>
      <c r="E485" s="5"/>
      <c r="F485" s="5" t="str">
        <f>IF($A485="","",SUMIF(Party_Ledger!$B:$B,$A485,Party_Ledger!$F:$F))</f>
        <v/>
      </c>
      <c r="G485" s="5" t="str">
        <f>IF($A485="","",SUMIF(Party_Ledger!$B:$B,$A485,Party_Ledger!$G:$G))</f>
        <v/>
      </c>
      <c r="H485" s="5" t="str">
        <f t="shared" si="14"/>
        <v/>
      </c>
      <c r="I485" s="4" t="str">
        <f t="shared" si="15"/>
        <v/>
      </c>
    </row>
    <row r="486" spans="1:9" x14ac:dyDescent="0.2">
      <c r="A486" s="4"/>
      <c r="B486" s="4"/>
      <c r="C486" s="4"/>
      <c r="D486" s="4"/>
      <c r="E486" s="5"/>
      <c r="F486" s="5" t="str">
        <f>IF($A486="","",SUMIF(Party_Ledger!$B:$B,$A486,Party_Ledger!$F:$F))</f>
        <v/>
      </c>
      <c r="G486" s="5" t="str">
        <f>IF($A486="","",SUMIF(Party_Ledger!$B:$B,$A486,Party_Ledger!$G:$G))</f>
        <v/>
      </c>
      <c r="H486" s="5" t="str">
        <f t="shared" si="14"/>
        <v/>
      </c>
      <c r="I486" s="4" t="str">
        <f t="shared" si="15"/>
        <v/>
      </c>
    </row>
    <row r="487" spans="1:9" x14ac:dyDescent="0.2">
      <c r="A487" s="4"/>
      <c r="B487" s="4"/>
      <c r="C487" s="4"/>
      <c r="D487" s="4"/>
      <c r="E487" s="5"/>
      <c r="F487" s="5" t="str">
        <f>IF($A487="","",SUMIF(Party_Ledger!$B:$B,$A487,Party_Ledger!$F:$F))</f>
        <v/>
      </c>
      <c r="G487" s="5" t="str">
        <f>IF($A487="","",SUMIF(Party_Ledger!$B:$B,$A487,Party_Ledger!$G:$G))</f>
        <v/>
      </c>
      <c r="H487" s="5" t="str">
        <f t="shared" si="14"/>
        <v/>
      </c>
      <c r="I487" s="4" t="str">
        <f t="shared" si="15"/>
        <v/>
      </c>
    </row>
    <row r="488" spans="1:9" x14ac:dyDescent="0.2">
      <c r="A488" s="4"/>
      <c r="B488" s="4"/>
      <c r="C488" s="4"/>
      <c r="D488" s="4"/>
      <c r="E488" s="5"/>
      <c r="F488" s="5" t="str">
        <f>IF($A488="","",SUMIF(Party_Ledger!$B:$B,$A488,Party_Ledger!$F:$F))</f>
        <v/>
      </c>
      <c r="G488" s="5" t="str">
        <f>IF($A488="","",SUMIF(Party_Ledger!$B:$B,$A488,Party_Ledger!$G:$G))</f>
        <v/>
      </c>
      <c r="H488" s="5" t="str">
        <f t="shared" si="14"/>
        <v/>
      </c>
      <c r="I488" s="4" t="str">
        <f t="shared" si="15"/>
        <v/>
      </c>
    </row>
    <row r="489" spans="1:9" x14ac:dyDescent="0.2">
      <c r="A489" s="4"/>
      <c r="B489" s="4"/>
      <c r="C489" s="4"/>
      <c r="D489" s="4"/>
      <c r="E489" s="5"/>
      <c r="F489" s="5" t="str">
        <f>IF($A489="","",SUMIF(Party_Ledger!$B:$B,$A489,Party_Ledger!$F:$F))</f>
        <v/>
      </c>
      <c r="G489" s="5" t="str">
        <f>IF($A489="","",SUMIF(Party_Ledger!$B:$B,$A489,Party_Ledger!$G:$G))</f>
        <v/>
      </c>
      <c r="H489" s="5" t="str">
        <f t="shared" si="14"/>
        <v/>
      </c>
      <c r="I489" s="4" t="str">
        <f t="shared" si="15"/>
        <v/>
      </c>
    </row>
    <row r="490" spans="1:9" x14ac:dyDescent="0.2">
      <c r="A490" s="4"/>
      <c r="B490" s="4"/>
      <c r="C490" s="4"/>
      <c r="D490" s="4"/>
      <c r="E490" s="5"/>
      <c r="F490" s="5" t="str">
        <f>IF($A490="","",SUMIF(Party_Ledger!$B:$B,$A490,Party_Ledger!$F:$F))</f>
        <v/>
      </c>
      <c r="G490" s="5" t="str">
        <f>IF($A490="","",SUMIF(Party_Ledger!$B:$B,$A490,Party_Ledger!$G:$G))</f>
        <v/>
      </c>
      <c r="H490" s="5" t="str">
        <f t="shared" si="14"/>
        <v/>
      </c>
      <c r="I490" s="4" t="str">
        <f t="shared" si="15"/>
        <v/>
      </c>
    </row>
    <row r="491" spans="1:9" x14ac:dyDescent="0.2">
      <c r="A491" s="4"/>
      <c r="B491" s="4"/>
      <c r="C491" s="4"/>
      <c r="D491" s="4"/>
      <c r="E491" s="5"/>
      <c r="F491" s="5" t="str">
        <f>IF($A491="","",SUMIF(Party_Ledger!$B:$B,$A491,Party_Ledger!$F:$F))</f>
        <v/>
      </c>
      <c r="G491" s="5" t="str">
        <f>IF($A491="","",SUMIF(Party_Ledger!$B:$B,$A491,Party_Ledger!$G:$G))</f>
        <v/>
      </c>
      <c r="H491" s="5" t="str">
        <f t="shared" si="14"/>
        <v/>
      </c>
      <c r="I491" s="4" t="str">
        <f t="shared" si="15"/>
        <v/>
      </c>
    </row>
    <row r="492" spans="1:9" x14ac:dyDescent="0.2">
      <c r="A492" s="4"/>
      <c r="B492" s="4"/>
      <c r="C492" s="4"/>
      <c r="D492" s="4"/>
      <c r="E492" s="5"/>
      <c r="F492" s="5" t="str">
        <f>IF($A492="","",SUMIF(Party_Ledger!$B:$B,$A492,Party_Ledger!$F:$F))</f>
        <v/>
      </c>
      <c r="G492" s="5" t="str">
        <f>IF($A492="","",SUMIF(Party_Ledger!$B:$B,$A492,Party_Ledger!$G:$G))</f>
        <v/>
      </c>
      <c r="H492" s="5" t="str">
        <f t="shared" si="14"/>
        <v/>
      </c>
      <c r="I492" s="4" t="str">
        <f t="shared" si="15"/>
        <v/>
      </c>
    </row>
    <row r="493" spans="1:9" x14ac:dyDescent="0.2">
      <c r="A493" s="4"/>
      <c r="B493" s="4"/>
      <c r="C493" s="4"/>
      <c r="D493" s="4"/>
      <c r="E493" s="5"/>
      <c r="F493" s="5" t="str">
        <f>IF($A493="","",SUMIF(Party_Ledger!$B:$B,$A493,Party_Ledger!$F:$F))</f>
        <v/>
      </c>
      <c r="G493" s="5" t="str">
        <f>IF($A493="","",SUMIF(Party_Ledger!$B:$B,$A493,Party_Ledger!$G:$G))</f>
        <v/>
      </c>
      <c r="H493" s="5" t="str">
        <f t="shared" si="14"/>
        <v/>
      </c>
      <c r="I493" s="4" t="str">
        <f t="shared" si="15"/>
        <v/>
      </c>
    </row>
    <row r="494" spans="1:9" x14ac:dyDescent="0.2">
      <c r="A494" s="4"/>
      <c r="B494" s="4"/>
      <c r="C494" s="4"/>
      <c r="D494" s="4"/>
      <c r="E494" s="5"/>
      <c r="F494" s="5" t="str">
        <f>IF($A494="","",SUMIF(Party_Ledger!$B:$B,$A494,Party_Ledger!$F:$F))</f>
        <v/>
      </c>
      <c r="G494" s="5" t="str">
        <f>IF($A494="","",SUMIF(Party_Ledger!$B:$B,$A494,Party_Ledger!$G:$G))</f>
        <v/>
      </c>
      <c r="H494" s="5" t="str">
        <f t="shared" si="14"/>
        <v/>
      </c>
      <c r="I494" s="4" t="str">
        <f t="shared" si="15"/>
        <v/>
      </c>
    </row>
    <row r="495" spans="1:9" x14ac:dyDescent="0.2">
      <c r="A495" s="4"/>
      <c r="B495" s="4"/>
      <c r="C495" s="4"/>
      <c r="D495" s="4"/>
      <c r="E495" s="5"/>
      <c r="F495" s="5" t="str">
        <f>IF($A495="","",SUMIF(Party_Ledger!$B:$B,$A495,Party_Ledger!$F:$F))</f>
        <v/>
      </c>
      <c r="G495" s="5" t="str">
        <f>IF($A495="","",SUMIF(Party_Ledger!$B:$B,$A495,Party_Ledger!$G:$G))</f>
        <v/>
      </c>
      <c r="H495" s="5" t="str">
        <f t="shared" si="14"/>
        <v/>
      </c>
      <c r="I495" s="4" t="str">
        <f t="shared" si="15"/>
        <v/>
      </c>
    </row>
    <row r="496" spans="1:9" x14ac:dyDescent="0.2">
      <c r="A496" s="4"/>
      <c r="B496" s="4"/>
      <c r="C496" s="4"/>
      <c r="D496" s="4"/>
      <c r="E496" s="5"/>
      <c r="F496" s="5" t="str">
        <f>IF($A496="","",SUMIF(Party_Ledger!$B:$B,$A496,Party_Ledger!$F:$F))</f>
        <v/>
      </c>
      <c r="G496" s="5" t="str">
        <f>IF($A496="","",SUMIF(Party_Ledger!$B:$B,$A496,Party_Ledger!$G:$G))</f>
        <v/>
      </c>
      <c r="H496" s="5" t="str">
        <f t="shared" si="14"/>
        <v/>
      </c>
      <c r="I496" s="4" t="str">
        <f t="shared" si="15"/>
        <v/>
      </c>
    </row>
    <row r="497" spans="1:9" x14ac:dyDescent="0.2">
      <c r="A497" s="4"/>
      <c r="B497" s="4"/>
      <c r="C497" s="4"/>
      <c r="D497" s="4"/>
      <c r="E497" s="5"/>
      <c r="F497" s="5" t="str">
        <f>IF($A497="","",SUMIF(Party_Ledger!$B:$B,$A497,Party_Ledger!$F:$F))</f>
        <v/>
      </c>
      <c r="G497" s="5" t="str">
        <f>IF($A497="","",SUMIF(Party_Ledger!$B:$B,$A497,Party_Ledger!$G:$G))</f>
        <v/>
      </c>
      <c r="H497" s="5" t="str">
        <f t="shared" si="14"/>
        <v/>
      </c>
      <c r="I497" s="4" t="str">
        <f t="shared" si="15"/>
        <v/>
      </c>
    </row>
    <row r="498" spans="1:9" x14ac:dyDescent="0.2">
      <c r="A498" s="4"/>
      <c r="B498" s="4"/>
      <c r="C498" s="4"/>
      <c r="D498" s="4"/>
      <c r="E498" s="5"/>
      <c r="F498" s="5" t="str">
        <f>IF($A498="","",SUMIF(Party_Ledger!$B:$B,$A498,Party_Ledger!$F:$F))</f>
        <v/>
      </c>
      <c r="G498" s="5" t="str">
        <f>IF($A498="","",SUMIF(Party_Ledger!$B:$B,$A498,Party_Ledger!$G:$G))</f>
        <v/>
      </c>
      <c r="H498" s="5" t="str">
        <f t="shared" si="14"/>
        <v/>
      </c>
      <c r="I498" s="4" t="str">
        <f t="shared" si="15"/>
        <v/>
      </c>
    </row>
    <row r="499" spans="1:9" x14ac:dyDescent="0.2">
      <c r="A499" s="4"/>
      <c r="B499" s="4"/>
      <c r="C499" s="4"/>
      <c r="D499" s="4"/>
      <c r="E499" s="5"/>
      <c r="F499" s="5" t="str">
        <f>IF($A499="","",SUMIF(Party_Ledger!$B:$B,$A499,Party_Ledger!$F:$F))</f>
        <v/>
      </c>
      <c r="G499" s="5" t="str">
        <f>IF($A499="","",SUMIF(Party_Ledger!$B:$B,$A499,Party_Ledger!$G:$G))</f>
        <v/>
      </c>
      <c r="H499" s="5" t="str">
        <f t="shared" si="14"/>
        <v/>
      </c>
      <c r="I499" s="4" t="str">
        <f t="shared" si="15"/>
        <v/>
      </c>
    </row>
    <row r="500" spans="1:9" x14ac:dyDescent="0.2">
      <c r="A500" s="4"/>
      <c r="B500" s="4"/>
      <c r="C500" s="4"/>
      <c r="D500" s="4"/>
      <c r="E500" s="5"/>
      <c r="F500" s="5" t="str">
        <f>IF($A500="","",SUMIF(Party_Ledger!$B:$B,$A500,Party_Ledger!$F:$F))</f>
        <v/>
      </c>
      <c r="G500" s="5" t="str">
        <f>IF($A500="","",SUMIF(Party_Ledger!$B:$B,$A500,Party_Ledger!$G:$G))</f>
        <v/>
      </c>
      <c r="H500" s="5" t="str">
        <f t="shared" si="14"/>
        <v/>
      </c>
      <c r="I500" s="4" t="str">
        <f t="shared" si="15"/>
        <v/>
      </c>
    </row>
    <row r="501" spans="1:9" x14ac:dyDescent="0.2">
      <c r="A501" s="4"/>
      <c r="B501" s="4"/>
      <c r="C501" s="4"/>
      <c r="D501" s="4"/>
      <c r="E501" s="5"/>
      <c r="F501" s="5" t="str">
        <f>IF($A501="","",SUMIF(Party_Ledger!$B:$B,$A501,Party_Ledger!$F:$F))</f>
        <v/>
      </c>
      <c r="G501" s="5" t="str">
        <f>IF($A501="","",SUMIF(Party_Ledger!$B:$B,$A501,Party_Ledger!$G:$G))</f>
        <v/>
      </c>
      <c r="H501" s="5" t="str">
        <f t="shared" si="14"/>
        <v/>
      </c>
      <c r="I501" s="4" t="str">
        <f t="shared" si="15"/>
        <v/>
      </c>
    </row>
    <row r="502" spans="1:9" x14ac:dyDescent="0.2">
      <c r="A502" s="4"/>
      <c r="B502" s="4"/>
      <c r="C502" s="4"/>
      <c r="D502" s="4"/>
      <c r="E502" s="5"/>
      <c r="F502" s="5" t="str">
        <f>IF($A502="","",SUMIF(Party_Ledger!$B:$B,$A502,Party_Ledger!$F:$F))</f>
        <v/>
      </c>
      <c r="G502" s="5" t="str">
        <f>IF($A502="","",SUMIF(Party_Ledger!$B:$B,$A502,Party_Ledger!$G:$G))</f>
        <v/>
      </c>
      <c r="H502" s="5" t="str">
        <f t="shared" si="14"/>
        <v/>
      </c>
      <c r="I502" s="4" t="str">
        <f t="shared" si="15"/>
        <v/>
      </c>
    </row>
  </sheetData>
  <mergeCells count="1">
    <mergeCell ref="A1:I1"/>
  </mergeCells>
  <conditionalFormatting sqref="A3:A25">
    <cfRule type="expression" dxfId="10" priority="1">
      <formula>AND($A3&lt;&gt;"",MOD(ROW(),2)=0)</formula>
    </cfRule>
  </conditionalFormatting>
  <conditionalFormatting sqref="A3:I502">
    <cfRule type="expression" dxfId="9" priority="3">
      <formula>AND($A3&lt;&gt;"",MOD(ROW(),2)=0)</formula>
    </cfRule>
  </conditionalFormatting>
  <conditionalFormatting sqref="I3:I502">
    <cfRule type="cellIs" dxfId="8" priority="4" operator="equal">
      <formula>"Outstanding"</formula>
    </cfRule>
    <cfRule type="cellIs" dxfId="7" priority="5" operator="equal">
      <formula>"Settled"</formula>
    </cfRule>
  </conditionalFormatting>
  <printOptions horizontalCentered="1"/>
  <pageMargins left="0.75" right="0.75" top="1" bottom="1" header="0.5" footer="0.5"/>
  <pageSetup scale="57"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6B75"/>
    <pageSetUpPr fitToPage="1"/>
  </sheetPr>
  <dimension ref="A1:J1039"/>
  <sheetViews>
    <sheetView showGridLines="0" workbookViewId="0">
      <pane ySplit="2" topLeftCell="A669" activePane="bottomLeft" state="frozen"/>
      <selection pane="bottomLeft" activeCell="C677" sqref="C677"/>
    </sheetView>
  </sheetViews>
  <sheetFormatPr baseColWidth="10" defaultColWidth="8.83203125" defaultRowHeight="15" x14ac:dyDescent="0.2"/>
  <cols>
    <col min="1" max="1" width="10.5" bestFit="1" customWidth="1"/>
    <col min="2" max="2" width="22" style="177" customWidth="1"/>
    <col min="5" max="5" width="24" customWidth="1"/>
    <col min="6" max="7" width="14.1640625" bestFit="1" customWidth="1"/>
    <col min="8" max="8" width="13.6640625" bestFit="1" customWidth="1"/>
  </cols>
  <sheetData>
    <row r="1" spans="1:10" ht="32" customHeight="1" x14ac:dyDescent="0.2">
      <c r="A1" s="201" t="s">
        <v>1003</v>
      </c>
      <c r="B1" s="212"/>
      <c r="C1" s="202"/>
      <c r="D1" s="202"/>
      <c r="E1" s="202"/>
      <c r="F1" s="202"/>
      <c r="G1" s="202"/>
      <c r="H1" s="202"/>
      <c r="I1" s="202"/>
    </row>
    <row r="2" spans="1:10" ht="28" customHeight="1" x14ac:dyDescent="0.2">
      <c r="A2" s="154" t="s">
        <v>11</v>
      </c>
      <c r="B2" s="154" t="s">
        <v>44</v>
      </c>
      <c r="C2" s="154" t="s">
        <v>1004</v>
      </c>
      <c r="D2" s="154" t="s">
        <v>978</v>
      </c>
      <c r="E2" s="154" t="s">
        <v>1005</v>
      </c>
      <c r="F2" s="154" t="s">
        <v>1006</v>
      </c>
      <c r="G2" s="154" t="s">
        <v>64</v>
      </c>
      <c r="H2" s="154" t="s">
        <v>979</v>
      </c>
      <c r="I2" s="154" t="s">
        <v>60</v>
      </c>
      <c r="J2" s="75" t="s">
        <v>1007</v>
      </c>
    </row>
    <row r="3" spans="1:10" x14ac:dyDescent="0.2">
      <c r="A3" s="148">
        <f>Sales_Entry!A3</f>
        <v>66916</v>
      </c>
      <c r="B3" s="149" t="str">
        <f>Sales_Entry!C3</f>
        <v>SRIJANA DAIRY (DEVI NAGAR)</v>
      </c>
      <c r="C3" s="149" t="s">
        <v>984</v>
      </c>
      <c r="D3" s="149" t="str">
        <f>Sales_Entry!B3</f>
        <v>BILL-6001</v>
      </c>
      <c r="E3" s="149" t="str">
        <f>Sales_Entry!D3</f>
        <v>Mix Milk</v>
      </c>
      <c r="F3" s="150">
        <f>N(Sales_Entry!I3)</f>
        <v>5100</v>
      </c>
      <c r="G3" s="150">
        <v>0</v>
      </c>
      <c r="H3" s="150">
        <f>IF($B3="","",$F3-$G3)</f>
        <v>5100</v>
      </c>
      <c r="I3" s="149"/>
      <c r="J3" t="str">
        <f>IF($B3="","",IF(AND($B3=Party_Statement!$B$5,$A3&gt;=Party_Statement!$B$6,$A3&lt;=Party_Statement!$D$6),SUMPRODUCT(($B$3:$B3=Party_Statement!$B$5)*($A$3:$A3&gt;=Party_Statement!$B$6)*($A$3:$A3&lt;=Party_Statement!$D$6)),""))</f>
        <v/>
      </c>
    </row>
    <row r="4" spans="1:10" x14ac:dyDescent="0.2">
      <c r="A4" s="148">
        <f>Sales_Entry!A4</f>
        <v>66916</v>
      </c>
      <c r="B4" s="149" t="str">
        <f>Sales_Entry!C4</f>
        <v xml:space="preserve">SOBHA BHATTARAI </v>
      </c>
      <c r="C4" s="149" t="s">
        <v>984</v>
      </c>
      <c r="D4" s="149" t="str">
        <f>Sales_Entry!B4</f>
        <v>BILL-6002</v>
      </c>
      <c r="E4" s="149" t="str">
        <f>Sales_Entry!D4</f>
        <v>Mix Milk</v>
      </c>
      <c r="F4" s="150">
        <f>N(Sales_Entry!I4)</f>
        <v>1275</v>
      </c>
      <c r="G4" s="150">
        <v>0</v>
      </c>
      <c r="H4" s="150">
        <f t="shared" ref="H4:H67" si="0">IF($B4="","",IF($B4=$B3,$H3+$F4-$G4,$F4-$G4))</f>
        <v>1275</v>
      </c>
      <c r="I4" s="149"/>
      <c r="J4" t="str">
        <f>IF($B4="","",IF(AND($B4=Party_Statement!$B$5,$A4&gt;=Party_Statement!$B$6,$A4&lt;=Party_Statement!$D$6),SUMPRODUCT(($B$3:$B4=Party_Statement!$B$5)*($A$3:$A4&gt;=Party_Statement!$B$6)*($A$3:$A4&lt;=Party_Statement!$D$6)),""))</f>
        <v/>
      </c>
    </row>
    <row r="5" spans="1:10" x14ac:dyDescent="0.2">
      <c r="A5" s="148">
        <f>Sales_Entry!A5</f>
        <v>66916</v>
      </c>
      <c r="B5" s="149" t="str">
        <f>Sales_Entry!C5</f>
        <v>PALPALI</v>
      </c>
      <c r="C5" s="149" t="s">
        <v>984</v>
      </c>
      <c r="D5" s="149" t="str">
        <f>Sales_Entry!B5</f>
        <v>BILL-6003</v>
      </c>
      <c r="E5" s="149" t="str">
        <f>Sales_Entry!D5</f>
        <v>Mix Milk</v>
      </c>
      <c r="F5" s="150">
        <f>N(Sales_Entry!I5)</f>
        <v>2125</v>
      </c>
      <c r="G5" s="150">
        <v>0</v>
      </c>
      <c r="H5" s="150">
        <f t="shared" si="0"/>
        <v>2125</v>
      </c>
      <c r="I5" s="149"/>
      <c r="J5" t="str">
        <f>IF($B5="","",IF(AND($B5=Party_Statement!$B$5,$A5&gt;=Party_Statement!$B$6,$A5&lt;=Party_Statement!$D$6),SUMPRODUCT(($B$3:$B5=Party_Statement!$B$5)*($A$3:$A5&gt;=Party_Statement!$B$6)*($A$3:$A5&lt;=Party_Statement!$D$6)),""))</f>
        <v/>
      </c>
    </row>
    <row r="6" spans="1:10" x14ac:dyDescent="0.2">
      <c r="A6" s="148">
        <f>Sales_Entry!A6</f>
        <v>66916</v>
      </c>
      <c r="B6" s="149" t="str">
        <f>Sales_Entry!C6</f>
        <v xml:space="preserve">AAMOSH KIRANA </v>
      </c>
      <c r="C6" s="149" t="s">
        <v>984</v>
      </c>
      <c r="D6" s="149" t="str">
        <f>Sales_Entry!B6</f>
        <v>BILL-6004</v>
      </c>
      <c r="E6" s="149" t="str">
        <f>Sales_Entry!D6</f>
        <v>Mix Milk</v>
      </c>
      <c r="F6" s="150">
        <f>N(Sales_Entry!I6)</f>
        <v>5100</v>
      </c>
      <c r="G6" s="150">
        <v>0</v>
      </c>
      <c r="H6" s="150">
        <f t="shared" si="0"/>
        <v>5100</v>
      </c>
      <c r="I6" s="149"/>
      <c r="J6" t="str">
        <f>IF($B6="","",IF(AND($B6=Party_Statement!$B$5,$A6&gt;=Party_Statement!$B$6,$A6&lt;=Party_Statement!$D$6),SUMPRODUCT(($B$3:$B6=Party_Statement!$B$5)*($A$3:$A6&gt;=Party_Statement!$B$6)*($A$3:$A6&lt;=Party_Statement!$D$6)),""))</f>
        <v/>
      </c>
    </row>
    <row r="7" spans="1:10" x14ac:dyDescent="0.2">
      <c r="A7" s="148">
        <f>Sales_Entry!A7</f>
        <v>66916</v>
      </c>
      <c r="B7" s="149" t="str">
        <f>Sales_Entry!C7</f>
        <v xml:space="preserve">AAMOSH KIRANA </v>
      </c>
      <c r="C7" s="149" t="s">
        <v>984</v>
      </c>
      <c r="D7" s="149" t="str">
        <f>Sales_Entry!B7</f>
        <v>BILL-6004</v>
      </c>
      <c r="E7" s="149" t="str">
        <f>Sales_Entry!D7</f>
        <v>Cow Milk</v>
      </c>
      <c r="F7" s="150">
        <f>N(Sales_Entry!I7)</f>
        <v>80</v>
      </c>
      <c r="G7" s="150">
        <v>0</v>
      </c>
      <c r="H7" s="150">
        <f t="shared" si="0"/>
        <v>5180</v>
      </c>
      <c r="I7" s="149"/>
      <c r="J7" t="str">
        <f>IF($B7="","",IF(AND($B7=Party_Statement!$B$5,$A7&gt;=Party_Statement!$B$6,$A7&lt;=Party_Statement!$D$6),SUMPRODUCT(($B$3:$B7=Party_Statement!$B$5)*($A$3:$A7&gt;=Party_Statement!$B$6)*($A$3:$A7&lt;=Party_Statement!$D$6)),""))</f>
        <v/>
      </c>
    </row>
    <row r="8" spans="1:10" x14ac:dyDescent="0.2">
      <c r="A8" s="148">
        <f>Sales_Entry!A8</f>
        <v>66916</v>
      </c>
      <c r="B8" s="149" t="str">
        <f>Sales_Entry!C8</f>
        <v xml:space="preserve">KRITIKA KIRANA </v>
      </c>
      <c r="C8" s="149" t="s">
        <v>984</v>
      </c>
      <c r="D8" s="149" t="str">
        <f>Sales_Entry!B8</f>
        <v>BILL-6005</v>
      </c>
      <c r="E8" s="149" t="str">
        <f>Sales_Entry!D8</f>
        <v>Mix Milk</v>
      </c>
      <c r="F8" s="150">
        <f>N(Sales_Entry!I8)</f>
        <v>1290</v>
      </c>
      <c r="G8" s="150">
        <v>0</v>
      </c>
      <c r="H8" s="150">
        <f t="shared" si="0"/>
        <v>1290</v>
      </c>
      <c r="I8" s="149"/>
      <c r="J8" t="str">
        <f>IF($B8="","",IF(AND($B8=Party_Statement!$B$5,$A8&gt;=Party_Statement!$B$6,$A8&lt;=Party_Statement!$D$6),SUMPRODUCT(($B$3:$B8=Party_Statement!$B$5)*($A$3:$A8&gt;=Party_Statement!$B$6)*($A$3:$A8&lt;=Party_Statement!$D$6)),""))</f>
        <v/>
      </c>
    </row>
    <row r="9" spans="1:10" x14ac:dyDescent="0.2">
      <c r="A9" s="148">
        <f>Sales_Entry!A9</f>
        <v>66916</v>
      </c>
      <c r="B9" s="149" t="str">
        <f>Sales_Entry!C9</f>
        <v>MANAKAMANA DAIRY</v>
      </c>
      <c r="C9" s="149" t="s">
        <v>984</v>
      </c>
      <c r="D9" s="149" t="str">
        <f>Sales_Entry!B9</f>
        <v>BILL-6006</v>
      </c>
      <c r="E9" s="149" t="str">
        <f>Sales_Entry!D9</f>
        <v>Mix Milk</v>
      </c>
      <c r="F9" s="150">
        <f>N(Sales_Entry!I9)</f>
        <v>850</v>
      </c>
      <c r="G9" s="150">
        <v>0</v>
      </c>
      <c r="H9" s="150">
        <f t="shared" si="0"/>
        <v>850</v>
      </c>
      <c r="I9" s="149"/>
      <c r="J9" t="str">
        <f>IF($B9="","",IF(AND($B9=Party_Statement!$B$5,$A9&gt;=Party_Statement!$B$6,$A9&lt;=Party_Statement!$D$6),SUMPRODUCT(($B$3:$B9=Party_Statement!$B$5)*($A$3:$A9&gt;=Party_Statement!$B$6)*($A$3:$A9&lt;=Party_Statement!$D$6)),""))</f>
        <v/>
      </c>
    </row>
    <row r="10" spans="1:10" x14ac:dyDescent="0.2">
      <c r="A10" s="148">
        <f>Sales_Entry!A10</f>
        <v>66916</v>
      </c>
      <c r="B10" s="149" t="str">
        <f>Sales_Entry!C10</f>
        <v xml:space="preserve">AAYUSH AAYUSHMA </v>
      </c>
      <c r="C10" s="149" t="s">
        <v>984</v>
      </c>
      <c r="D10" s="149" t="str">
        <f>Sales_Entry!B10</f>
        <v>BILL-6007</v>
      </c>
      <c r="E10" s="149" t="str">
        <f>Sales_Entry!D10</f>
        <v>Mix Milk</v>
      </c>
      <c r="F10" s="150">
        <f>N(Sales_Entry!I10)</f>
        <v>595</v>
      </c>
      <c r="G10" s="150">
        <v>0</v>
      </c>
      <c r="H10" s="150">
        <f t="shared" si="0"/>
        <v>595</v>
      </c>
      <c r="I10" s="149"/>
      <c r="J10" t="str">
        <f>IF($B10="","",IF(AND($B10=Party_Statement!$B$5,$A10&gt;=Party_Statement!$B$6,$A10&lt;=Party_Statement!$D$6),SUMPRODUCT(($B$3:$B10=Party_Statement!$B$5)*($A$3:$A10&gt;=Party_Statement!$B$6)*($A$3:$A10&lt;=Party_Statement!$D$6)),""))</f>
        <v/>
      </c>
    </row>
    <row r="11" spans="1:10" x14ac:dyDescent="0.2">
      <c r="A11" s="148">
        <f>Sales_Entry!A11</f>
        <v>66916</v>
      </c>
      <c r="B11" s="149" t="str">
        <f>Sales_Entry!C11</f>
        <v xml:space="preserve">YUBARAJ AND SAMRAT </v>
      </c>
      <c r="C11" s="149" t="s">
        <v>984</v>
      </c>
      <c r="D11" s="149" t="str">
        <f>Sales_Entry!B11</f>
        <v>BILL-6008</v>
      </c>
      <c r="E11" s="149" t="str">
        <f>Sales_Entry!D11</f>
        <v>Mix Milk</v>
      </c>
      <c r="F11" s="150">
        <f>N(Sales_Entry!I11)</f>
        <v>1700</v>
      </c>
      <c r="G11" s="150">
        <v>0</v>
      </c>
      <c r="H11" s="150">
        <f t="shared" si="0"/>
        <v>1700</v>
      </c>
      <c r="I11" s="149"/>
      <c r="J11" t="str">
        <f>IF($B11="","",IF(AND($B11=Party_Statement!$B$5,$A11&gt;=Party_Statement!$B$6,$A11&lt;=Party_Statement!$D$6),SUMPRODUCT(($B$3:$B11=Party_Statement!$B$5)*($A$3:$A11&gt;=Party_Statement!$B$6)*($A$3:$A11&lt;=Party_Statement!$D$6)),""))</f>
        <v/>
      </c>
    </row>
    <row r="12" spans="1:10" x14ac:dyDescent="0.2">
      <c r="A12" s="148">
        <f>Sales_Entry!A12</f>
        <v>66916</v>
      </c>
      <c r="B12" s="149" t="str">
        <f>Sales_Entry!C12</f>
        <v xml:space="preserve">SAMIKSHYA </v>
      </c>
      <c r="C12" s="149" t="s">
        <v>984</v>
      </c>
      <c r="D12" s="149" t="str">
        <f>Sales_Entry!B12</f>
        <v>BILL-6009</v>
      </c>
      <c r="E12" s="149" t="str">
        <f>Sales_Entry!D12</f>
        <v>Mix Milk</v>
      </c>
      <c r="F12" s="150">
        <f>N(Sales_Entry!I12)</f>
        <v>850</v>
      </c>
      <c r="G12" s="150">
        <v>0</v>
      </c>
      <c r="H12" s="150">
        <f t="shared" si="0"/>
        <v>850</v>
      </c>
      <c r="I12" s="149"/>
      <c r="J12" t="str">
        <f>IF($B12="","",IF(AND($B12=Party_Statement!$B$5,$A12&gt;=Party_Statement!$B$6,$A12&lt;=Party_Statement!$D$6),SUMPRODUCT(($B$3:$B12=Party_Statement!$B$5)*($A$3:$A12&gt;=Party_Statement!$B$6)*($A$3:$A12&lt;=Party_Statement!$D$6)),""))</f>
        <v/>
      </c>
    </row>
    <row r="13" spans="1:10" x14ac:dyDescent="0.2">
      <c r="A13" s="148">
        <f>Sales_Entry!A13</f>
        <v>66916</v>
      </c>
      <c r="B13" s="149" t="str">
        <f>Sales_Entry!C13</f>
        <v>KRISHNA KHAREL</v>
      </c>
      <c r="C13" s="149" t="s">
        <v>984</v>
      </c>
      <c r="D13" s="149" t="str">
        <f>Sales_Entry!B13</f>
        <v>BILL-6010</v>
      </c>
      <c r="E13" s="149" t="str">
        <f>Sales_Entry!D13</f>
        <v>Mix Milk</v>
      </c>
      <c r="F13" s="150">
        <f>N(Sales_Entry!I13)</f>
        <v>344</v>
      </c>
      <c r="G13" s="150">
        <v>0</v>
      </c>
      <c r="H13" s="150">
        <f t="shared" si="0"/>
        <v>344</v>
      </c>
      <c r="I13" s="149"/>
      <c r="J13" t="str">
        <f>IF($B13="","",IF(AND($B13=Party_Statement!$B$5,$A13&gt;=Party_Statement!$B$6,$A13&lt;=Party_Statement!$D$6),SUMPRODUCT(($B$3:$B13=Party_Statement!$B$5)*($A$3:$A13&gt;=Party_Statement!$B$6)*($A$3:$A13&lt;=Party_Statement!$D$6)),""))</f>
        <v/>
      </c>
    </row>
    <row r="14" spans="1:10" x14ac:dyDescent="0.2">
      <c r="A14" s="148">
        <f>Sales_Entry!A14</f>
        <v>66916</v>
      </c>
      <c r="B14" s="149" t="str">
        <f>Sales_Entry!C14</f>
        <v>CHHATRABHUMI</v>
      </c>
      <c r="C14" s="149" t="s">
        <v>984</v>
      </c>
      <c r="D14" s="149" t="str">
        <f>Sales_Entry!B14</f>
        <v>BILL-6011</v>
      </c>
      <c r="E14" s="149" t="str">
        <f>Sales_Entry!D14</f>
        <v>Mix Milk</v>
      </c>
      <c r="F14" s="150">
        <f>N(Sales_Entry!I14)</f>
        <v>1720</v>
      </c>
      <c r="G14" s="150">
        <v>0</v>
      </c>
      <c r="H14" s="150">
        <f t="shared" si="0"/>
        <v>1720</v>
      </c>
      <c r="I14" s="149"/>
      <c r="J14" t="str">
        <f>IF($B14="","",IF(AND($B14=Party_Statement!$B$5,$A14&gt;=Party_Statement!$B$6,$A14&lt;=Party_Statement!$D$6),SUMPRODUCT(($B$3:$B14=Party_Statement!$B$5)*($A$3:$A14&gt;=Party_Statement!$B$6)*($A$3:$A14&lt;=Party_Statement!$D$6)),""))</f>
        <v/>
      </c>
    </row>
    <row r="15" spans="1:10" x14ac:dyDescent="0.2">
      <c r="A15" s="148">
        <f>Sales_Entry!A15</f>
        <v>66916</v>
      </c>
      <c r="B15" s="149" t="str">
        <f>Sales_Entry!C15</f>
        <v xml:space="preserve">DEURALI KIRANA </v>
      </c>
      <c r="C15" s="149" t="s">
        <v>984</v>
      </c>
      <c r="D15" s="149" t="str">
        <f>Sales_Entry!B15</f>
        <v>BILL-6012</v>
      </c>
      <c r="E15" s="149" t="str">
        <f>Sales_Entry!D15</f>
        <v>Mix Milk</v>
      </c>
      <c r="F15" s="150">
        <f>N(Sales_Entry!I15)</f>
        <v>425</v>
      </c>
      <c r="G15" s="150">
        <v>0</v>
      </c>
      <c r="H15" s="150">
        <f t="shared" si="0"/>
        <v>425</v>
      </c>
      <c r="I15" s="149"/>
      <c r="J15" t="str">
        <f>IF($B15="","",IF(AND($B15=Party_Statement!$B$5,$A15&gt;=Party_Statement!$B$6,$A15&lt;=Party_Statement!$D$6),SUMPRODUCT(($B$3:$B15=Party_Statement!$B$5)*($A$3:$A15&gt;=Party_Statement!$B$6)*($A$3:$A15&lt;=Party_Statement!$D$6)),""))</f>
        <v/>
      </c>
    </row>
    <row r="16" spans="1:10" x14ac:dyDescent="0.2">
      <c r="A16" s="148">
        <f>Sales_Entry!A16</f>
        <v>66916</v>
      </c>
      <c r="B16" s="149" t="str">
        <f>Sales_Entry!C16</f>
        <v xml:space="preserve">GIRI KIRANA </v>
      </c>
      <c r="C16" s="149" t="s">
        <v>984</v>
      </c>
      <c r="D16" s="149" t="str">
        <f>Sales_Entry!B16</f>
        <v>BILL-6013</v>
      </c>
      <c r="E16" s="149" t="str">
        <f>Sales_Entry!D16</f>
        <v>Mix Milk</v>
      </c>
      <c r="F16" s="150">
        <f>N(Sales_Entry!I16)</f>
        <v>1275</v>
      </c>
      <c r="G16" s="150">
        <v>0</v>
      </c>
      <c r="H16" s="150">
        <f t="shared" si="0"/>
        <v>1275</v>
      </c>
      <c r="I16" s="149"/>
      <c r="J16" t="str">
        <f>IF($B16="","",IF(AND($B16=Party_Statement!$B$5,$A16&gt;=Party_Statement!$B$6,$A16&lt;=Party_Statement!$D$6),SUMPRODUCT(($B$3:$B16=Party_Statement!$B$5)*($A$3:$A16&gt;=Party_Statement!$B$6)*($A$3:$A16&lt;=Party_Statement!$D$6)),""))</f>
        <v/>
      </c>
    </row>
    <row r="17" spans="1:10" x14ac:dyDescent="0.2">
      <c r="A17" s="148">
        <f>Sales_Entry!A17</f>
        <v>66916</v>
      </c>
      <c r="B17" s="149" t="str">
        <f>Sales_Entry!C17</f>
        <v>ORGANIC TARKALI</v>
      </c>
      <c r="C17" s="149" t="s">
        <v>984</v>
      </c>
      <c r="D17" s="149" t="str">
        <f>Sales_Entry!B17</f>
        <v>BILL-6014</v>
      </c>
      <c r="E17" s="149" t="str">
        <f>Sales_Entry!D17</f>
        <v>Mix Milk</v>
      </c>
      <c r="F17" s="150">
        <f>N(Sales_Entry!I17)</f>
        <v>2850</v>
      </c>
      <c r="G17" s="150">
        <v>0</v>
      </c>
      <c r="H17" s="150">
        <f t="shared" si="0"/>
        <v>2850</v>
      </c>
      <c r="I17" s="149"/>
      <c r="J17" t="str">
        <f>IF($B17="","",IF(AND($B17=Party_Statement!$B$5,$A17&gt;=Party_Statement!$B$6,$A17&lt;=Party_Statement!$D$6),SUMPRODUCT(($B$3:$B17=Party_Statement!$B$5)*($A$3:$A17&gt;=Party_Statement!$B$6)*($A$3:$A17&lt;=Party_Statement!$D$6)),""))</f>
        <v/>
      </c>
    </row>
    <row r="18" spans="1:10" x14ac:dyDescent="0.2">
      <c r="A18" s="148">
        <f>Sales_Entry!A18</f>
        <v>66916</v>
      </c>
      <c r="B18" s="149" t="str">
        <f>Sales_Entry!C18</f>
        <v>SHARMA DAI</v>
      </c>
      <c r="C18" s="149" t="s">
        <v>984</v>
      </c>
      <c r="D18" s="149" t="str">
        <f>Sales_Entry!B18</f>
        <v>BILL-6015</v>
      </c>
      <c r="E18" s="149" t="str">
        <f>Sales_Entry!D18</f>
        <v>Mix Milk</v>
      </c>
      <c r="F18" s="150">
        <f>N(Sales_Entry!I18)</f>
        <v>2100</v>
      </c>
      <c r="G18" s="150">
        <v>0</v>
      </c>
      <c r="H18" s="150">
        <f t="shared" si="0"/>
        <v>2100</v>
      </c>
      <c r="I18" s="149"/>
      <c r="J18" t="str">
        <f>IF($B18="","",IF(AND($B18=Party_Statement!$B$5,$A18&gt;=Party_Statement!$B$6,$A18&lt;=Party_Statement!$D$6),SUMPRODUCT(($B$3:$B18=Party_Statement!$B$5)*($A$3:$A18&gt;=Party_Statement!$B$6)*($A$3:$A18&lt;=Party_Statement!$D$6)),""))</f>
        <v/>
      </c>
    </row>
    <row r="19" spans="1:10" x14ac:dyDescent="0.2">
      <c r="A19" s="148">
        <f>Sales_Entry!A19</f>
        <v>66916</v>
      </c>
      <c r="B19" s="149" t="str">
        <f>Sales_Entry!C19</f>
        <v>SHARMA DAI</v>
      </c>
      <c r="C19" s="149" t="s">
        <v>984</v>
      </c>
      <c r="D19" s="149" t="str">
        <f>Sales_Entry!B19</f>
        <v>BILL-6015</v>
      </c>
      <c r="E19" s="149" t="str">
        <f>Sales_Entry!D19</f>
        <v>Ghee</v>
      </c>
      <c r="F19" s="150">
        <f>N(Sales_Entry!I19)</f>
        <v>550</v>
      </c>
      <c r="G19" s="150">
        <v>0</v>
      </c>
      <c r="H19" s="150">
        <f t="shared" si="0"/>
        <v>2650</v>
      </c>
      <c r="I19" s="149"/>
      <c r="J19" t="str">
        <f>IF($B19="","",IF(AND($B19=Party_Statement!$B$5,$A19&gt;=Party_Statement!$B$6,$A19&lt;=Party_Statement!$D$6),SUMPRODUCT(($B$3:$B19=Party_Statement!$B$5)*($A$3:$A19&gt;=Party_Statement!$B$6)*($A$3:$A19&lt;=Party_Statement!$D$6)),""))</f>
        <v/>
      </c>
    </row>
    <row r="20" spans="1:10" x14ac:dyDescent="0.2">
      <c r="A20" s="148">
        <f>Sales_Entry!A20</f>
        <v>66916</v>
      </c>
      <c r="B20" s="149" t="str">
        <f>Sales_Entry!C20</f>
        <v>SHARMA DAI</v>
      </c>
      <c r="C20" s="149" t="s">
        <v>984</v>
      </c>
      <c r="D20" s="149" t="str">
        <f>Sales_Entry!B20</f>
        <v>BILL-6015</v>
      </c>
      <c r="E20" s="149" t="str">
        <f>Sales_Entry!D20</f>
        <v>NAUNI</v>
      </c>
      <c r="F20" s="150">
        <f>N(Sales_Entry!I20)</f>
        <v>800</v>
      </c>
      <c r="G20" s="150">
        <v>0</v>
      </c>
      <c r="H20" s="150">
        <f t="shared" si="0"/>
        <v>3450</v>
      </c>
      <c r="I20" s="149"/>
      <c r="J20" t="str">
        <f>IF($B20="","",IF(AND($B20=Party_Statement!$B$5,$A20&gt;=Party_Statement!$B$6,$A20&lt;=Party_Statement!$D$6),SUMPRODUCT(($B$3:$B20=Party_Statement!$B$5)*($A$3:$A20&gt;=Party_Statement!$B$6)*($A$3:$A20&lt;=Party_Statement!$D$6)),""))</f>
        <v/>
      </c>
    </row>
    <row r="21" spans="1:10" x14ac:dyDescent="0.2">
      <c r="A21" s="148">
        <f>Sales_Entry!A21</f>
        <v>66916</v>
      </c>
      <c r="B21" s="149" t="str">
        <f>Sales_Entry!C21</f>
        <v>GANGA NEUPANE</v>
      </c>
      <c r="C21" s="149" t="s">
        <v>984</v>
      </c>
      <c r="D21" s="149" t="str">
        <f>Sales_Entry!B21</f>
        <v>BILL-6016</v>
      </c>
      <c r="E21" s="149" t="str">
        <f>Sales_Entry!D21</f>
        <v>Mix Milk</v>
      </c>
      <c r="F21" s="150">
        <f>N(Sales_Entry!I21)</f>
        <v>595</v>
      </c>
      <c r="G21" s="150">
        <v>0</v>
      </c>
      <c r="H21" s="150">
        <f t="shared" si="0"/>
        <v>595</v>
      </c>
      <c r="I21" s="149"/>
      <c r="J21" t="str">
        <f>IF($B21="","",IF(AND($B21=Party_Statement!$B$5,$A21&gt;=Party_Statement!$B$6,$A21&lt;=Party_Statement!$D$6),SUMPRODUCT(($B$3:$B21=Party_Statement!$B$5)*($A$3:$A21&gt;=Party_Statement!$B$6)*($A$3:$A21&lt;=Party_Statement!$D$6)),""))</f>
        <v/>
      </c>
    </row>
    <row r="22" spans="1:10" x14ac:dyDescent="0.2">
      <c r="A22" s="148">
        <f>Sales_Entry!A22</f>
        <v>66916</v>
      </c>
      <c r="B22" s="149" t="str">
        <f>Sales_Entry!C22</f>
        <v>LOCAL</v>
      </c>
      <c r="C22" s="149" t="s">
        <v>984</v>
      </c>
      <c r="D22" s="149" t="str">
        <f>Sales_Entry!B22</f>
        <v>BILL-6017</v>
      </c>
      <c r="E22" s="149" t="str">
        <f>Sales_Entry!D22</f>
        <v>Mix Milk</v>
      </c>
      <c r="F22" s="150">
        <f>N(Sales_Entry!I22)</f>
        <v>240</v>
      </c>
      <c r="G22" s="150">
        <v>0</v>
      </c>
      <c r="H22" s="150">
        <f t="shared" si="0"/>
        <v>240</v>
      </c>
      <c r="I22" s="149"/>
      <c r="J22" t="str">
        <f>IF($B22="","",IF(AND($B22=Party_Statement!$B$5,$A22&gt;=Party_Statement!$B$6,$A22&lt;=Party_Statement!$D$6),SUMPRODUCT(($B$3:$B22=Party_Statement!$B$5)*($A$3:$A22&gt;=Party_Statement!$B$6)*($A$3:$A22&lt;=Party_Statement!$D$6)),""))</f>
        <v/>
      </c>
    </row>
    <row r="23" spans="1:10" x14ac:dyDescent="0.2">
      <c r="A23" s="148">
        <f>Sales_Entry!A23</f>
        <v>66916</v>
      </c>
      <c r="B23" s="149" t="str">
        <f>Sales_Entry!C23</f>
        <v>BHUSAL JANARAL</v>
      </c>
      <c r="C23" s="149" t="s">
        <v>984</v>
      </c>
      <c r="D23" s="149" t="str">
        <f>Sales_Entry!B23</f>
        <v>BILL-6018</v>
      </c>
      <c r="E23" s="149" t="str">
        <f>Sales_Entry!D23</f>
        <v>Mix Milk</v>
      </c>
      <c r="F23" s="150">
        <f>N(Sales_Entry!I23)</f>
        <v>430</v>
      </c>
      <c r="G23" s="150">
        <v>0</v>
      </c>
      <c r="H23" s="150">
        <f t="shared" si="0"/>
        <v>430</v>
      </c>
      <c r="I23" s="149"/>
      <c r="J23" t="str">
        <f>IF($B23="","",IF(AND($B23=Party_Statement!$B$5,$A23&gt;=Party_Statement!$B$6,$A23&lt;=Party_Statement!$D$6),SUMPRODUCT(($B$3:$B23=Party_Statement!$B$5)*($A$3:$A23&gt;=Party_Statement!$B$6)*($A$3:$A23&lt;=Party_Statement!$D$6)),""))</f>
        <v/>
      </c>
    </row>
    <row r="24" spans="1:10" x14ac:dyDescent="0.2">
      <c r="A24" s="148">
        <f>Sales_Entry!A24</f>
        <v>66917</v>
      </c>
      <c r="B24" s="149" t="str">
        <f>Sales_Entry!C24</f>
        <v>SRIJANA DAIRY (DEVI NAGAR)</v>
      </c>
      <c r="C24" s="149" t="s">
        <v>984</v>
      </c>
      <c r="D24" s="149" t="str">
        <f>Sales_Entry!B24</f>
        <v>BILL-6019</v>
      </c>
      <c r="E24" s="149" t="str">
        <f>Sales_Entry!D24</f>
        <v>Mix Milk</v>
      </c>
      <c r="F24" s="150">
        <f>N(Sales_Entry!I24)</f>
        <v>5100</v>
      </c>
      <c r="G24" s="150">
        <v>0</v>
      </c>
      <c r="H24" s="150">
        <f t="shared" si="0"/>
        <v>5100</v>
      </c>
      <c r="I24" s="149"/>
      <c r="J24" t="str">
        <f>IF($B24="","",IF(AND($B24=Party_Statement!$B$5,$A24&gt;=Party_Statement!$B$6,$A24&lt;=Party_Statement!$D$6),SUMPRODUCT(($B$3:$B24=Party_Statement!$B$5)*($A$3:$A24&gt;=Party_Statement!$B$6)*($A$3:$A24&lt;=Party_Statement!$D$6)),""))</f>
        <v/>
      </c>
    </row>
    <row r="25" spans="1:10" x14ac:dyDescent="0.2">
      <c r="A25" s="148">
        <f>Sales_Entry!A25</f>
        <v>66917</v>
      </c>
      <c r="B25" s="149" t="str">
        <f>Sales_Entry!C25</f>
        <v xml:space="preserve">SOBHA BHATTARAI </v>
      </c>
      <c r="C25" s="149" t="s">
        <v>984</v>
      </c>
      <c r="D25" s="149" t="str">
        <f>Sales_Entry!B25</f>
        <v>BILL-6020</v>
      </c>
      <c r="E25" s="149" t="str">
        <f>Sales_Entry!D25</f>
        <v>Mix Milk</v>
      </c>
      <c r="F25" s="150">
        <f>N(Sales_Entry!I25)</f>
        <v>2125</v>
      </c>
      <c r="G25" s="150">
        <v>0</v>
      </c>
      <c r="H25" s="150">
        <f t="shared" si="0"/>
        <v>2125</v>
      </c>
      <c r="I25" s="149"/>
      <c r="J25" t="str">
        <f>IF($B25="","",IF(AND($B25=Party_Statement!$B$5,$A25&gt;=Party_Statement!$B$6,$A25&lt;=Party_Statement!$D$6),SUMPRODUCT(($B$3:$B25=Party_Statement!$B$5)*($A$3:$A25&gt;=Party_Statement!$B$6)*($A$3:$A25&lt;=Party_Statement!$D$6)),""))</f>
        <v/>
      </c>
    </row>
    <row r="26" spans="1:10" x14ac:dyDescent="0.2">
      <c r="A26" s="148">
        <f>Sales_Entry!A26</f>
        <v>66917</v>
      </c>
      <c r="B26" s="149" t="str">
        <f>Sales_Entry!C26</f>
        <v>MANAKAMANA DAIRY</v>
      </c>
      <c r="C26" s="149" t="s">
        <v>984</v>
      </c>
      <c r="D26" s="149" t="str">
        <f>Sales_Entry!B26</f>
        <v>BILL-6021</v>
      </c>
      <c r="E26" s="149" t="str">
        <f>Sales_Entry!D26</f>
        <v>Mix Milk</v>
      </c>
      <c r="F26" s="150">
        <f>N(Sales_Entry!I26)</f>
        <v>850</v>
      </c>
      <c r="G26" s="150">
        <v>0</v>
      </c>
      <c r="H26" s="150">
        <f t="shared" si="0"/>
        <v>850</v>
      </c>
      <c r="I26" s="149"/>
      <c r="J26" t="str">
        <f>IF($B26="","",IF(AND($B26=Party_Statement!$B$5,$A26&gt;=Party_Statement!$B$6,$A26&lt;=Party_Statement!$D$6),SUMPRODUCT(($B$3:$B26=Party_Statement!$B$5)*($A$3:$A26&gt;=Party_Statement!$B$6)*($A$3:$A26&lt;=Party_Statement!$D$6)),""))</f>
        <v/>
      </c>
    </row>
    <row r="27" spans="1:10" x14ac:dyDescent="0.2">
      <c r="A27" s="148">
        <f>Sales_Entry!A27</f>
        <v>66917</v>
      </c>
      <c r="B27" s="149" t="str">
        <f>Sales_Entry!C27</f>
        <v xml:space="preserve">SAMIKSHYA </v>
      </c>
      <c r="C27" s="149" t="s">
        <v>984</v>
      </c>
      <c r="D27" s="149" t="str">
        <f>Sales_Entry!B27</f>
        <v>BILL-6022</v>
      </c>
      <c r="E27" s="149" t="str">
        <f>Sales_Entry!D27</f>
        <v>Mix Milk</v>
      </c>
      <c r="F27" s="150">
        <f>N(Sales_Entry!I27)</f>
        <v>850</v>
      </c>
      <c r="G27" s="150">
        <v>0</v>
      </c>
      <c r="H27" s="150">
        <f t="shared" si="0"/>
        <v>850</v>
      </c>
      <c r="I27" s="149"/>
      <c r="J27" t="str">
        <f>IF($B27="","",IF(AND($B27=Party_Statement!$B$5,$A27&gt;=Party_Statement!$B$6,$A27&lt;=Party_Statement!$D$6),SUMPRODUCT(($B$3:$B27=Party_Statement!$B$5)*($A$3:$A27&gt;=Party_Statement!$B$6)*($A$3:$A27&lt;=Party_Statement!$D$6)),""))</f>
        <v/>
      </c>
    </row>
    <row r="28" spans="1:10" x14ac:dyDescent="0.2">
      <c r="A28" s="148">
        <f>Sales_Entry!A28</f>
        <v>66917</v>
      </c>
      <c r="B28" s="149" t="str">
        <f>Sales_Entry!C28</f>
        <v>KRISHNA KHAREL</v>
      </c>
      <c r="C28" s="149" t="s">
        <v>984</v>
      </c>
      <c r="D28" s="149" t="str">
        <f>Sales_Entry!B28</f>
        <v>BILL-6023</v>
      </c>
      <c r="E28" s="149" t="str">
        <f>Sales_Entry!D28</f>
        <v>Mix Milk</v>
      </c>
      <c r="F28" s="150">
        <f>N(Sales_Entry!I28)</f>
        <v>344</v>
      </c>
      <c r="G28" s="150">
        <v>0</v>
      </c>
      <c r="H28" s="150">
        <f t="shared" si="0"/>
        <v>344</v>
      </c>
      <c r="I28" s="149"/>
      <c r="J28" t="str">
        <f>IF($B28="","",IF(AND($B28=Party_Statement!$B$5,$A28&gt;=Party_Statement!$B$6,$A28&lt;=Party_Statement!$D$6),SUMPRODUCT(($B$3:$B28=Party_Statement!$B$5)*($A$3:$A28&gt;=Party_Statement!$B$6)*($A$3:$A28&lt;=Party_Statement!$D$6)),""))</f>
        <v/>
      </c>
    </row>
    <row r="29" spans="1:10" x14ac:dyDescent="0.2">
      <c r="A29" s="148">
        <f>Sales_Entry!A29</f>
        <v>66917</v>
      </c>
      <c r="B29" s="149" t="str">
        <f>Sales_Entry!C29</f>
        <v>CHHATRABHUMI</v>
      </c>
      <c r="C29" s="149" t="s">
        <v>984</v>
      </c>
      <c r="D29" s="149" t="str">
        <f>Sales_Entry!B29</f>
        <v>BILL-6024</v>
      </c>
      <c r="E29" s="149" t="str">
        <f>Sales_Entry!D29</f>
        <v>Mix Milk</v>
      </c>
      <c r="F29" s="150">
        <f>N(Sales_Entry!I29)</f>
        <v>1720</v>
      </c>
      <c r="G29" s="150">
        <v>0</v>
      </c>
      <c r="H29" s="150">
        <f t="shared" si="0"/>
        <v>1720</v>
      </c>
      <c r="I29" s="149"/>
      <c r="J29" t="str">
        <f>IF($B29="","",IF(AND($B29=Party_Statement!$B$5,$A29&gt;=Party_Statement!$B$6,$A29&lt;=Party_Statement!$D$6),SUMPRODUCT(($B$3:$B29=Party_Statement!$B$5)*($A$3:$A29&gt;=Party_Statement!$B$6)*($A$3:$A29&lt;=Party_Statement!$D$6)),""))</f>
        <v/>
      </c>
    </row>
    <row r="30" spans="1:10" x14ac:dyDescent="0.2">
      <c r="A30" s="148">
        <f>Sales_Entry!A30</f>
        <v>66917</v>
      </c>
      <c r="B30" s="149" t="str">
        <f>Sales_Entry!C30</f>
        <v>PALPALI</v>
      </c>
      <c r="C30" s="149" t="s">
        <v>984</v>
      </c>
      <c r="D30" s="149" t="str">
        <f>Sales_Entry!B30</f>
        <v>BILL-6025</v>
      </c>
      <c r="E30" s="149" t="str">
        <f>Sales_Entry!D30</f>
        <v>Mix Milk</v>
      </c>
      <c r="F30" s="150">
        <f>N(Sales_Entry!I30)</f>
        <v>1700</v>
      </c>
      <c r="G30" s="150">
        <v>0</v>
      </c>
      <c r="H30" s="150">
        <f t="shared" si="0"/>
        <v>1700</v>
      </c>
      <c r="I30" s="149"/>
      <c r="J30" t="str">
        <f>IF($B30="","",IF(AND($B30=Party_Statement!$B$5,$A30&gt;=Party_Statement!$B$6,$A30&lt;=Party_Statement!$D$6),SUMPRODUCT(($B$3:$B30=Party_Statement!$B$5)*($A$3:$A30&gt;=Party_Statement!$B$6)*($A$3:$A30&lt;=Party_Statement!$D$6)),""))</f>
        <v/>
      </c>
    </row>
    <row r="31" spans="1:10" x14ac:dyDescent="0.2">
      <c r="A31" s="148">
        <f>Sales_Entry!A31</f>
        <v>66917</v>
      </c>
      <c r="B31" s="149" t="str">
        <f>Sales_Entry!C31</f>
        <v xml:space="preserve">AAMOSH KIRANA </v>
      </c>
      <c r="C31" s="149" t="s">
        <v>984</v>
      </c>
      <c r="D31" s="149" t="str">
        <f>Sales_Entry!B31</f>
        <v>BILL-6026</v>
      </c>
      <c r="E31" s="149" t="str">
        <f>Sales_Entry!D31</f>
        <v>Mix Milk</v>
      </c>
      <c r="F31" s="150">
        <f>N(Sales_Entry!I31)</f>
        <v>5950</v>
      </c>
      <c r="G31" s="150">
        <v>0</v>
      </c>
      <c r="H31" s="150">
        <f t="shared" si="0"/>
        <v>5950</v>
      </c>
      <c r="I31" s="149"/>
      <c r="J31" t="str">
        <f>IF($B31="","",IF(AND($B31=Party_Statement!$B$5,$A31&gt;=Party_Statement!$B$6,$A31&lt;=Party_Statement!$D$6),SUMPRODUCT(($B$3:$B31=Party_Statement!$B$5)*($A$3:$A31&gt;=Party_Statement!$B$6)*($A$3:$A31&lt;=Party_Statement!$D$6)),""))</f>
        <v/>
      </c>
    </row>
    <row r="32" spans="1:10" x14ac:dyDescent="0.2">
      <c r="A32" s="148">
        <f>Sales_Entry!A32</f>
        <v>66917</v>
      </c>
      <c r="B32" s="149" t="str">
        <f>Sales_Entry!C32</f>
        <v xml:space="preserve">AAMOSH KIRANA </v>
      </c>
      <c r="C32" s="149" t="s">
        <v>984</v>
      </c>
      <c r="D32" s="149" t="str">
        <f>Sales_Entry!B32</f>
        <v>BILL-6026</v>
      </c>
      <c r="E32" s="149" t="str">
        <f>Sales_Entry!D32</f>
        <v>Cow Milk</v>
      </c>
      <c r="F32" s="150">
        <f>N(Sales_Entry!I32)</f>
        <v>3440</v>
      </c>
      <c r="G32" s="150">
        <v>0</v>
      </c>
      <c r="H32" s="150">
        <f t="shared" si="0"/>
        <v>9390</v>
      </c>
      <c r="I32" s="149"/>
      <c r="J32" t="str">
        <f>IF($B32="","",IF(AND($B32=Party_Statement!$B$5,$A32&gt;=Party_Statement!$B$6,$A32&lt;=Party_Statement!$D$6),SUMPRODUCT(($B$3:$B32=Party_Statement!$B$5)*($A$3:$A32&gt;=Party_Statement!$B$6)*($A$3:$A32&lt;=Party_Statement!$D$6)),""))</f>
        <v/>
      </c>
    </row>
    <row r="33" spans="1:10" x14ac:dyDescent="0.2">
      <c r="A33" s="148">
        <f>Sales_Entry!A33</f>
        <v>66917</v>
      </c>
      <c r="B33" s="149" t="str">
        <f>Sales_Entry!C33</f>
        <v xml:space="preserve">DEURALI KIRANA </v>
      </c>
      <c r="C33" s="149" t="s">
        <v>984</v>
      </c>
      <c r="D33" s="149" t="str">
        <f>Sales_Entry!B33</f>
        <v>BILL-6027</v>
      </c>
      <c r="E33" s="149" t="str">
        <f>Sales_Entry!D33</f>
        <v>Mix Milk</v>
      </c>
      <c r="F33" s="150">
        <f>N(Sales_Entry!I33)</f>
        <v>425</v>
      </c>
      <c r="G33" s="150">
        <v>0</v>
      </c>
      <c r="H33" s="150">
        <f t="shared" si="0"/>
        <v>425</v>
      </c>
      <c r="I33" s="149"/>
      <c r="J33" t="str">
        <f>IF($B33="","",IF(AND($B33=Party_Statement!$B$5,$A33&gt;=Party_Statement!$B$6,$A33&lt;=Party_Statement!$D$6),SUMPRODUCT(($B$3:$B33=Party_Statement!$B$5)*($A$3:$A33&gt;=Party_Statement!$B$6)*($A$3:$A33&lt;=Party_Statement!$D$6)),""))</f>
        <v/>
      </c>
    </row>
    <row r="34" spans="1:10" x14ac:dyDescent="0.2">
      <c r="A34" s="148">
        <f>Sales_Entry!A34</f>
        <v>66917</v>
      </c>
      <c r="B34" s="149" t="str">
        <f>Sales_Entry!C34</f>
        <v xml:space="preserve">GIRI KIRANA </v>
      </c>
      <c r="C34" s="149" t="s">
        <v>984</v>
      </c>
      <c r="D34" s="149" t="str">
        <f>Sales_Entry!B34</f>
        <v>BILL-6028</v>
      </c>
      <c r="E34" s="149" t="str">
        <f>Sales_Entry!D34</f>
        <v>Mix Milk</v>
      </c>
      <c r="F34" s="150">
        <f>N(Sales_Entry!I34)</f>
        <v>1275</v>
      </c>
      <c r="G34" s="150">
        <v>0</v>
      </c>
      <c r="H34" s="150">
        <f t="shared" si="0"/>
        <v>1275</v>
      </c>
      <c r="I34" s="149"/>
      <c r="J34" t="str">
        <f>IF($B34="","",IF(AND($B34=Party_Statement!$B$5,$A34&gt;=Party_Statement!$B$6,$A34&lt;=Party_Statement!$D$6),SUMPRODUCT(($B$3:$B34=Party_Statement!$B$5)*($A$3:$A34&gt;=Party_Statement!$B$6)*($A$3:$A34&lt;=Party_Statement!$D$6)),""))</f>
        <v/>
      </c>
    </row>
    <row r="35" spans="1:10" x14ac:dyDescent="0.2">
      <c r="A35" s="148">
        <f>Sales_Entry!A35</f>
        <v>66917</v>
      </c>
      <c r="B35" s="149" t="str">
        <f>Sales_Entry!C35</f>
        <v xml:space="preserve">YUBARAJ AND SAMRAT </v>
      </c>
      <c r="C35" s="149" t="s">
        <v>984</v>
      </c>
      <c r="D35" s="149" t="str">
        <f>Sales_Entry!B35</f>
        <v>BILL-6029</v>
      </c>
      <c r="E35" s="149" t="str">
        <f>Sales_Entry!D35</f>
        <v>Mix Milk</v>
      </c>
      <c r="F35" s="150">
        <f>N(Sales_Entry!I35)</f>
        <v>1275</v>
      </c>
      <c r="G35" s="150">
        <v>0</v>
      </c>
      <c r="H35" s="150">
        <f t="shared" si="0"/>
        <v>1275</v>
      </c>
      <c r="I35" s="149"/>
      <c r="J35" t="str">
        <f>IF($B35="","",IF(AND($B35=Party_Statement!$B$5,$A35&gt;=Party_Statement!$B$6,$A35&lt;=Party_Statement!$D$6),SUMPRODUCT(($B$3:$B35=Party_Statement!$B$5)*($A$3:$A35&gt;=Party_Statement!$B$6)*($A$3:$A35&lt;=Party_Statement!$D$6)),""))</f>
        <v/>
      </c>
    </row>
    <row r="36" spans="1:10" x14ac:dyDescent="0.2">
      <c r="A36" s="148">
        <f>Sales_Entry!A36</f>
        <v>66917</v>
      </c>
      <c r="B36" s="149" t="str">
        <f>Sales_Entry!C36</f>
        <v xml:space="preserve">AAYUSH AAYUSHMA </v>
      </c>
      <c r="C36" s="149" t="s">
        <v>984</v>
      </c>
      <c r="D36" s="149" t="str">
        <f>Sales_Entry!B36</f>
        <v>BILL-6030</v>
      </c>
      <c r="E36" s="149" t="str">
        <f>Sales_Entry!D36</f>
        <v>Mix Milk</v>
      </c>
      <c r="F36" s="150">
        <f>N(Sales_Entry!I36)</f>
        <v>425</v>
      </c>
      <c r="G36" s="150">
        <v>0</v>
      </c>
      <c r="H36" s="150">
        <f t="shared" si="0"/>
        <v>425</v>
      </c>
      <c r="I36" s="149"/>
      <c r="J36" t="str">
        <f>IF($B36="","",IF(AND($B36=Party_Statement!$B$5,$A36&gt;=Party_Statement!$B$6,$A36&lt;=Party_Statement!$D$6),SUMPRODUCT(($B$3:$B36=Party_Statement!$B$5)*($A$3:$A36&gt;=Party_Statement!$B$6)*($A$3:$A36&lt;=Party_Statement!$D$6)),""))</f>
        <v/>
      </c>
    </row>
    <row r="37" spans="1:10" x14ac:dyDescent="0.2">
      <c r="A37" s="148">
        <f>Sales_Entry!A37</f>
        <v>66917</v>
      </c>
      <c r="B37" s="149" t="str">
        <f>Sales_Entry!C37</f>
        <v>DURGA MALLA</v>
      </c>
      <c r="C37" s="149" t="s">
        <v>984</v>
      </c>
      <c r="D37" s="149" t="str">
        <f>Sales_Entry!B37</f>
        <v>BILL-6031</v>
      </c>
      <c r="E37" s="149" t="str">
        <f>Sales_Entry!D37</f>
        <v>Ghee</v>
      </c>
      <c r="F37" s="150">
        <f>N(Sales_Entry!I37)</f>
        <v>16500</v>
      </c>
      <c r="G37" s="150">
        <v>0</v>
      </c>
      <c r="H37" s="150">
        <f t="shared" si="0"/>
        <v>16500</v>
      </c>
      <c r="I37" s="149"/>
      <c r="J37" t="str">
        <f>IF($B37="","",IF(AND($B37=Party_Statement!$B$5,$A37&gt;=Party_Statement!$B$6,$A37&lt;=Party_Statement!$D$6),SUMPRODUCT(($B$3:$B37=Party_Statement!$B$5)*($A$3:$A37&gt;=Party_Statement!$B$6)*($A$3:$A37&lt;=Party_Statement!$D$6)),""))</f>
        <v/>
      </c>
    </row>
    <row r="38" spans="1:10" x14ac:dyDescent="0.2">
      <c r="A38" s="148">
        <f>Sales_Entry!A38</f>
        <v>66917</v>
      </c>
      <c r="B38" s="149" t="str">
        <f>Sales_Entry!C38</f>
        <v xml:space="preserve">KRITIKA KIRANA </v>
      </c>
      <c r="C38" s="149" t="s">
        <v>984</v>
      </c>
      <c r="D38" s="149" t="str">
        <f>Sales_Entry!B38</f>
        <v>BILL-6032</v>
      </c>
      <c r="E38" s="149" t="str">
        <f>Sales_Entry!D38</f>
        <v>Mix Milk</v>
      </c>
      <c r="F38" s="150">
        <f>N(Sales_Entry!I38)</f>
        <v>1548</v>
      </c>
      <c r="G38" s="150">
        <v>0</v>
      </c>
      <c r="H38" s="150">
        <f t="shared" si="0"/>
        <v>1548</v>
      </c>
      <c r="I38" s="149"/>
      <c r="J38" t="str">
        <f>IF($B38="","",IF(AND($B38=Party_Statement!$B$5,$A38&gt;=Party_Statement!$B$6,$A38&lt;=Party_Statement!$D$6),SUMPRODUCT(($B$3:$B38=Party_Statement!$B$5)*($A$3:$A38&gt;=Party_Statement!$B$6)*($A$3:$A38&lt;=Party_Statement!$D$6)),""))</f>
        <v/>
      </c>
    </row>
    <row r="39" spans="1:10" x14ac:dyDescent="0.2">
      <c r="A39" s="148">
        <f>Sales_Entry!A39</f>
        <v>66917</v>
      </c>
      <c r="B39" s="149" t="str">
        <f>Sales_Entry!C39</f>
        <v xml:space="preserve">KRITIKA KIRANA </v>
      </c>
      <c r="C39" s="149" t="s">
        <v>984</v>
      </c>
      <c r="D39" s="149" t="str">
        <f>Sales_Entry!B39</f>
        <v>BILL-6032</v>
      </c>
      <c r="E39" s="149" t="str">
        <f>Sales_Entry!D39</f>
        <v>NAUNI</v>
      </c>
      <c r="F39" s="150">
        <f>N(Sales_Entry!I39)</f>
        <v>775</v>
      </c>
      <c r="G39" s="150">
        <v>0</v>
      </c>
      <c r="H39" s="150">
        <f t="shared" si="0"/>
        <v>2323</v>
      </c>
      <c r="I39" s="149"/>
      <c r="J39" t="str">
        <f>IF($B39="","",IF(AND($B39=Party_Statement!$B$5,$A39&gt;=Party_Statement!$B$6,$A39&lt;=Party_Statement!$D$6),SUMPRODUCT(($B$3:$B39=Party_Statement!$B$5)*($A$3:$A39&gt;=Party_Statement!$B$6)*($A$3:$A39&lt;=Party_Statement!$D$6)),""))</f>
        <v/>
      </c>
    </row>
    <row r="40" spans="1:10" x14ac:dyDescent="0.2">
      <c r="A40" s="148">
        <f>Sales_Entry!A40</f>
        <v>66917</v>
      </c>
      <c r="B40" s="149" t="str">
        <f>Sales_Entry!C40</f>
        <v>KALIKA CANTEEN A</v>
      </c>
      <c r="C40" s="149" t="s">
        <v>984</v>
      </c>
      <c r="D40" s="149" t="str">
        <f>Sales_Entry!B40</f>
        <v>BILL-6033</v>
      </c>
      <c r="E40" s="149" t="str">
        <f>Sales_Entry!D40</f>
        <v>Mix Milk</v>
      </c>
      <c r="F40" s="150">
        <f>N(Sales_Entry!I40)</f>
        <v>2975</v>
      </c>
      <c r="G40" s="150">
        <v>0</v>
      </c>
      <c r="H40" s="150">
        <f t="shared" si="0"/>
        <v>2975</v>
      </c>
      <c r="I40" s="149"/>
      <c r="J40" t="str">
        <f>IF($B40="","",IF(AND($B40=Party_Statement!$B$5,$A40&gt;=Party_Statement!$B$6,$A40&lt;=Party_Statement!$D$6),SUMPRODUCT(($B$3:$B40=Party_Statement!$B$5)*($A$3:$A40&gt;=Party_Statement!$B$6)*($A$3:$A40&lt;=Party_Statement!$D$6)),""))</f>
        <v/>
      </c>
    </row>
    <row r="41" spans="1:10" x14ac:dyDescent="0.2">
      <c r="A41" s="148">
        <f>Sales_Entry!A41</f>
        <v>66917</v>
      </c>
      <c r="B41" s="149" t="str">
        <f>Sales_Entry!C41</f>
        <v>KALIKA CANTEEN A1</v>
      </c>
      <c r="C41" s="149" t="s">
        <v>984</v>
      </c>
      <c r="D41" s="149" t="str">
        <f>Sales_Entry!B41</f>
        <v>BILL-6034</v>
      </c>
      <c r="E41" s="149" t="str">
        <f>Sales_Entry!D41</f>
        <v>Mix Milk</v>
      </c>
      <c r="F41" s="150">
        <f>N(Sales_Entry!I41)</f>
        <v>2550</v>
      </c>
      <c r="G41" s="150">
        <v>0</v>
      </c>
      <c r="H41" s="150">
        <f t="shared" si="0"/>
        <v>2550</v>
      </c>
      <c r="I41" s="149"/>
      <c r="J41" t="str">
        <f>IF($B41="","",IF(AND($B41=Party_Statement!$B$5,$A41&gt;=Party_Statement!$B$6,$A41&lt;=Party_Statement!$D$6),SUMPRODUCT(($B$3:$B41=Party_Statement!$B$5)*($A$3:$A41&gt;=Party_Statement!$B$6)*($A$3:$A41&lt;=Party_Statement!$D$6)),""))</f>
        <v/>
      </c>
    </row>
    <row r="42" spans="1:10" x14ac:dyDescent="0.2">
      <c r="A42" s="148">
        <f>Sales_Entry!A42</f>
        <v>66917</v>
      </c>
      <c r="B42" s="149" t="str">
        <f>Sales_Entry!C42</f>
        <v>ORGANIC TARKALI</v>
      </c>
      <c r="C42" s="149" t="s">
        <v>984</v>
      </c>
      <c r="D42" s="149" t="str">
        <f>Sales_Entry!B42</f>
        <v>BILL-6035</v>
      </c>
      <c r="E42" s="149" t="str">
        <f>Sales_Entry!D42</f>
        <v>Mix Milk</v>
      </c>
      <c r="F42" s="150">
        <f>N(Sales_Entry!I42)</f>
        <v>1900</v>
      </c>
      <c r="G42" s="150">
        <v>0</v>
      </c>
      <c r="H42" s="150">
        <f t="shared" si="0"/>
        <v>1900</v>
      </c>
      <c r="I42" s="149"/>
      <c r="J42" t="str">
        <f>IF($B42="","",IF(AND($B42=Party_Statement!$B$5,$A42&gt;=Party_Statement!$B$6,$A42&lt;=Party_Statement!$D$6),SUMPRODUCT(($B$3:$B42=Party_Statement!$B$5)*($A$3:$A42&gt;=Party_Statement!$B$6)*($A$3:$A42&lt;=Party_Statement!$D$6)),""))</f>
        <v/>
      </c>
    </row>
    <row r="43" spans="1:10" x14ac:dyDescent="0.2">
      <c r="A43" s="148">
        <f>Sales_Entry!A43</f>
        <v>66917</v>
      </c>
      <c r="B43" s="149" t="str">
        <f>Sales_Entry!C43</f>
        <v>ORGANIC TARKALI</v>
      </c>
      <c r="C43" s="149" t="s">
        <v>984</v>
      </c>
      <c r="D43" s="149" t="str">
        <f>Sales_Entry!B43</f>
        <v>BILL-6035</v>
      </c>
      <c r="E43" s="149" t="str">
        <f>Sales_Entry!D43</f>
        <v>Mix Milk</v>
      </c>
      <c r="F43" s="150">
        <f>N(Sales_Entry!I43)</f>
        <v>595</v>
      </c>
      <c r="G43" s="150">
        <v>0</v>
      </c>
      <c r="H43" s="150">
        <f t="shared" si="0"/>
        <v>2495</v>
      </c>
      <c r="I43" s="149"/>
      <c r="J43" t="str">
        <f>IF($B43="","",IF(AND($B43=Party_Statement!$B$5,$A43&gt;=Party_Statement!$B$6,$A43&lt;=Party_Statement!$D$6),SUMPRODUCT(($B$3:$B43=Party_Statement!$B$5)*($A$3:$A43&gt;=Party_Statement!$B$6)*($A$3:$A43&lt;=Party_Statement!$D$6)),""))</f>
        <v/>
      </c>
    </row>
    <row r="44" spans="1:10" x14ac:dyDescent="0.2">
      <c r="A44" s="148">
        <f>Sales_Entry!A44</f>
        <v>66917</v>
      </c>
      <c r="B44" s="149" t="str">
        <f>Sales_Entry!C44</f>
        <v>SHARMA DAI</v>
      </c>
      <c r="C44" s="149" t="s">
        <v>984</v>
      </c>
      <c r="D44" s="149" t="str">
        <f>Sales_Entry!B44</f>
        <v>BILL-6036</v>
      </c>
      <c r="E44" s="149" t="str">
        <f>Sales_Entry!D44</f>
        <v>Mix Milk</v>
      </c>
      <c r="F44" s="150">
        <f>N(Sales_Entry!I44)</f>
        <v>2100</v>
      </c>
      <c r="G44" s="150">
        <v>0</v>
      </c>
      <c r="H44" s="150">
        <f t="shared" si="0"/>
        <v>2100</v>
      </c>
      <c r="I44" s="149"/>
      <c r="J44" t="str">
        <f>IF($B44="","",IF(AND($B44=Party_Statement!$B$5,$A44&gt;=Party_Statement!$B$6,$A44&lt;=Party_Statement!$D$6),SUMPRODUCT(($B$3:$B44=Party_Statement!$B$5)*($A$3:$A44&gt;=Party_Statement!$B$6)*($A$3:$A44&lt;=Party_Statement!$D$6)),""))</f>
        <v/>
      </c>
    </row>
    <row r="45" spans="1:10" x14ac:dyDescent="0.2">
      <c r="A45" s="148">
        <f>Sales_Entry!A45</f>
        <v>66917</v>
      </c>
      <c r="B45" s="149" t="str">
        <f>Sales_Entry!C45</f>
        <v>GANGA NEUPANE</v>
      </c>
      <c r="C45" s="149" t="s">
        <v>984</v>
      </c>
      <c r="D45" s="149" t="str">
        <f>Sales_Entry!B45</f>
        <v>BILL-6037</v>
      </c>
      <c r="E45" s="149" t="str">
        <f>Sales_Entry!D45</f>
        <v>Mix Milk</v>
      </c>
      <c r="F45" s="150">
        <f>N(Sales_Entry!I45)</f>
        <v>680</v>
      </c>
      <c r="G45" s="150">
        <v>0</v>
      </c>
      <c r="H45" s="150">
        <f t="shared" si="0"/>
        <v>680</v>
      </c>
      <c r="I45" s="149"/>
      <c r="J45" t="str">
        <f>IF($B45="","",IF(AND($B45=Party_Statement!$B$5,$A45&gt;=Party_Statement!$B$6,$A45&lt;=Party_Statement!$D$6),SUMPRODUCT(($B$3:$B45=Party_Statement!$B$5)*($A$3:$A45&gt;=Party_Statement!$B$6)*($A$3:$A45&lt;=Party_Statement!$D$6)),""))</f>
        <v/>
      </c>
    </row>
    <row r="46" spans="1:10" x14ac:dyDescent="0.2">
      <c r="A46" s="148">
        <f>Sales_Entry!A46</f>
        <v>66917</v>
      </c>
      <c r="B46" s="149" t="str">
        <f>Sales_Entry!C46</f>
        <v>LOCAL</v>
      </c>
      <c r="C46" s="149" t="s">
        <v>984</v>
      </c>
      <c r="D46" s="149" t="str">
        <f>Sales_Entry!B46</f>
        <v>BILL-6038</v>
      </c>
      <c r="E46" s="149" t="str">
        <f>Sales_Entry!D46</f>
        <v>Mix Milk</v>
      </c>
      <c r="F46" s="150">
        <f>N(Sales_Entry!I46)</f>
        <v>340</v>
      </c>
      <c r="G46" s="150">
        <v>0</v>
      </c>
      <c r="H46" s="150">
        <f t="shared" si="0"/>
        <v>340</v>
      </c>
      <c r="I46" s="149"/>
      <c r="J46" t="str">
        <f>IF($B46="","",IF(AND($B46=Party_Statement!$B$5,$A46&gt;=Party_Statement!$B$6,$A46&lt;=Party_Statement!$D$6),SUMPRODUCT(($B$3:$B46=Party_Statement!$B$5)*($A$3:$A46&gt;=Party_Statement!$B$6)*($A$3:$A46&lt;=Party_Statement!$D$6)),""))</f>
        <v/>
      </c>
    </row>
    <row r="47" spans="1:10" x14ac:dyDescent="0.2">
      <c r="A47" s="148">
        <f>Sales_Entry!A47</f>
        <v>66917</v>
      </c>
      <c r="B47" s="149" t="str">
        <f>Sales_Entry!C47</f>
        <v>LOCAL</v>
      </c>
      <c r="C47" s="149" t="s">
        <v>984</v>
      </c>
      <c r="D47" s="149" t="str">
        <f>Sales_Entry!B47</f>
        <v>BILL-6038</v>
      </c>
      <c r="E47" s="149" t="str">
        <f>Sales_Entry!D47</f>
        <v>Ghee</v>
      </c>
      <c r="F47" s="150">
        <f>N(Sales_Entry!I47)</f>
        <v>1100</v>
      </c>
      <c r="G47" s="150">
        <v>0</v>
      </c>
      <c r="H47" s="150">
        <f t="shared" si="0"/>
        <v>1440</v>
      </c>
      <c r="I47" s="149"/>
      <c r="J47" t="str">
        <f>IF($B47="","",IF(AND($B47=Party_Statement!$B$5,$A47&gt;=Party_Statement!$B$6,$A47&lt;=Party_Statement!$D$6),SUMPRODUCT(($B$3:$B47=Party_Statement!$B$5)*($A$3:$A47&gt;=Party_Statement!$B$6)*($A$3:$A47&lt;=Party_Statement!$D$6)),""))</f>
        <v/>
      </c>
    </row>
    <row r="48" spans="1:10" x14ac:dyDescent="0.2">
      <c r="A48" s="148">
        <f>Sales_Entry!A48</f>
        <v>66918</v>
      </c>
      <c r="B48" s="149" t="str">
        <f>Sales_Entry!C48</f>
        <v>MANAKAMANA DAIRY</v>
      </c>
      <c r="C48" s="149" t="s">
        <v>984</v>
      </c>
      <c r="D48" s="149" t="str">
        <f>Sales_Entry!B48</f>
        <v>BILL-6039</v>
      </c>
      <c r="E48" s="149" t="str">
        <f>Sales_Entry!D48</f>
        <v>Mix Milk</v>
      </c>
      <c r="F48" s="150">
        <f>N(Sales_Entry!I48)</f>
        <v>850</v>
      </c>
      <c r="G48" s="150">
        <v>0</v>
      </c>
      <c r="H48" s="150">
        <f t="shared" si="0"/>
        <v>850</v>
      </c>
      <c r="I48" s="149"/>
      <c r="J48" t="str">
        <f>IF($B48="","",IF(AND($B48=Party_Statement!$B$5,$A48&gt;=Party_Statement!$B$6,$A48&lt;=Party_Statement!$D$6),SUMPRODUCT(($B$3:$B48=Party_Statement!$B$5)*($A$3:$A48&gt;=Party_Statement!$B$6)*($A$3:$A48&lt;=Party_Statement!$D$6)),""))</f>
        <v/>
      </c>
    </row>
    <row r="49" spans="1:10" x14ac:dyDescent="0.2">
      <c r="A49" s="148">
        <f>Sales_Entry!A49</f>
        <v>66918</v>
      </c>
      <c r="B49" s="149" t="str">
        <f>Sales_Entry!C49</f>
        <v xml:space="preserve">YUBARAJ AND SAMRAT </v>
      </c>
      <c r="C49" s="149" t="s">
        <v>984</v>
      </c>
      <c r="D49" s="149" t="str">
        <f>Sales_Entry!B49</f>
        <v>BILL-6040</v>
      </c>
      <c r="E49" s="149" t="str">
        <f>Sales_Entry!D49</f>
        <v>Mix Milk</v>
      </c>
      <c r="F49" s="150">
        <f>N(Sales_Entry!I49)</f>
        <v>1700</v>
      </c>
      <c r="G49" s="150">
        <v>0</v>
      </c>
      <c r="H49" s="150">
        <f t="shared" si="0"/>
        <v>1700</v>
      </c>
      <c r="I49" s="149"/>
      <c r="J49" t="str">
        <f>IF($B49="","",IF(AND($B49=Party_Statement!$B$5,$A49&gt;=Party_Statement!$B$6,$A49&lt;=Party_Statement!$D$6),SUMPRODUCT(($B$3:$B49=Party_Statement!$B$5)*($A$3:$A49&gt;=Party_Statement!$B$6)*($A$3:$A49&lt;=Party_Statement!$D$6)),""))</f>
        <v/>
      </c>
    </row>
    <row r="50" spans="1:10" x14ac:dyDescent="0.2">
      <c r="A50" s="148">
        <f>Sales_Entry!A50</f>
        <v>66918</v>
      </c>
      <c r="B50" s="149" t="str">
        <f>Sales_Entry!C50</f>
        <v>KRISHNA KHAREL</v>
      </c>
      <c r="C50" s="149" t="s">
        <v>984</v>
      </c>
      <c r="D50" s="149" t="str">
        <f>Sales_Entry!B50</f>
        <v>BILL-6041</v>
      </c>
      <c r="E50" s="149" t="str">
        <f>Sales_Entry!D50</f>
        <v>Mix Milk</v>
      </c>
      <c r="F50" s="150">
        <f>N(Sales_Entry!I50)</f>
        <v>344</v>
      </c>
      <c r="G50" s="150">
        <v>0</v>
      </c>
      <c r="H50" s="150">
        <f t="shared" si="0"/>
        <v>344</v>
      </c>
      <c r="I50" s="149"/>
      <c r="J50" t="str">
        <f>IF($B50="","",IF(AND($B50=Party_Statement!$B$5,$A50&gt;=Party_Statement!$B$6,$A50&lt;=Party_Statement!$D$6),SUMPRODUCT(($B$3:$B50=Party_Statement!$B$5)*($A$3:$A50&gt;=Party_Statement!$B$6)*($A$3:$A50&lt;=Party_Statement!$D$6)),""))</f>
        <v/>
      </c>
    </row>
    <row r="51" spans="1:10" x14ac:dyDescent="0.2">
      <c r="A51" s="148">
        <f>Sales_Entry!A51</f>
        <v>66918</v>
      </c>
      <c r="B51" s="149" t="str">
        <f>Sales_Entry!C51</f>
        <v>CHHATRABHUMI</v>
      </c>
      <c r="C51" s="149" t="s">
        <v>984</v>
      </c>
      <c r="D51" s="149" t="str">
        <f>Sales_Entry!B51</f>
        <v>BILL-6042</v>
      </c>
      <c r="E51" s="149" t="str">
        <f>Sales_Entry!D51</f>
        <v>Mix Milk</v>
      </c>
      <c r="F51" s="150">
        <f>N(Sales_Entry!I51)</f>
        <v>3440</v>
      </c>
      <c r="G51" s="150">
        <v>0</v>
      </c>
      <c r="H51" s="150">
        <f t="shared" si="0"/>
        <v>3440</v>
      </c>
      <c r="I51" s="149"/>
      <c r="J51" t="str">
        <f>IF($B51="","",IF(AND($B51=Party_Statement!$B$5,$A51&gt;=Party_Statement!$B$6,$A51&lt;=Party_Statement!$D$6),SUMPRODUCT(($B$3:$B51=Party_Statement!$B$5)*($A$3:$A51&gt;=Party_Statement!$B$6)*($A$3:$A51&lt;=Party_Statement!$D$6)),""))</f>
        <v/>
      </c>
    </row>
    <row r="52" spans="1:10" x14ac:dyDescent="0.2">
      <c r="A52" s="148">
        <f>Sales_Entry!A52</f>
        <v>66918</v>
      </c>
      <c r="B52" s="149" t="str">
        <f>Sales_Entry!C52</f>
        <v xml:space="preserve">AAMOSH KIRANA </v>
      </c>
      <c r="C52" s="149" t="s">
        <v>984</v>
      </c>
      <c r="D52" s="149" t="str">
        <f>Sales_Entry!B52</f>
        <v>BILL-6043</v>
      </c>
      <c r="E52" s="149" t="str">
        <f>Sales_Entry!D52</f>
        <v>Mix Milk</v>
      </c>
      <c r="F52" s="150">
        <f>N(Sales_Entry!I52)</f>
        <v>3440</v>
      </c>
      <c r="G52" s="150">
        <v>0</v>
      </c>
      <c r="H52" s="150">
        <f t="shared" si="0"/>
        <v>3440</v>
      </c>
      <c r="I52" s="149"/>
      <c r="J52" t="str">
        <f>IF($B52="","",IF(AND($B52=Party_Statement!$B$5,$A52&gt;=Party_Statement!$B$6,$A52&lt;=Party_Statement!$D$6),SUMPRODUCT(($B$3:$B52=Party_Statement!$B$5)*($A$3:$A52&gt;=Party_Statement!$B$6)*($A$3:$A52&lt;=Party_Statement!$D$6)),""))</f>
        <v/>
      </c>
    </row>
    <row r="53" spans="1:10" x14ac:dyDescent="0.2">
      <c r="A53" s="148">
        <f>Sales_Entry!A53</f>
        <v>66918</v>
      </c>
      <c r="B53" s="149" t="str">
        <f>Sales_Entry!C53</f>
        <v xml:space="preserve">AAMOSH KIRANA </v>
      </c>
      <c r="C53" s="149" t="s">
        <v>984</v>
      </c>
      <c r="D53" s="149" t="str">
        <f>Sales_Entry!B53</f>
        <v>BILL-6043</v>
      </c>
      <c r="E53" s="149" t="str">
        <f>Sales_Entry!D53</f>
        <v>Mix Milk</v>
      </c>
      <c r="F53" s="150">
        <f>N(Sales_Entry!I53)</f>
        <v>2550</v>
      </c>
      <c r="G53" s="150">
        <v>0</v>
      </c>
      <c r="H53" s="150">
        <f t="shared" si="0"/>
        <v>5990</v>
      </c>
      <c r="I53" s="149"/>
      <c r="J53" t="str">
        <f>IF($B53="","",IF(AND($B53=Party_Statement!$B$5,$A53&gt;=Party_Statement!$B$6,$A53&lt;=Party_Statement!$D$6),SUMPRODUCT(($B$3:$B53=Party_Statement!$B$5)*($A$3:$A53&gt;=Party_Statement!$B$6)*($A$3:$A53&lt;=Party_Statement!$D$6)),""))</f>
        <v/>
      </c>
    </row>
    <row r="54" spans="1:10" x14ac:dyDescent="0.2">
      <c r="A54" s="148">
        <f>Sales_Entry!A54</f>
        <v>66918</v>
      </c>
      <c r="B54" s="149" t="str">
        <f>Sales_Entry!C54</f>
        <v xml:space="preserve">AAMOSH KIRANA </v>
      </c>
      <c r="C54" s="149" t="s">
        <v>984</v>
      </c>
      <c r="D54" s="149" t="str">
        <f>Sales_Entry!B54</f>
        <v>BILL-6043</v>
      </c>
      <c r="E54" s="149" t="str">
        <f>Sales_Entry!D54</f>
        <v>Cow Milk</v>
      </c>
      <c r="F54" s="150">
        <f>N(Sales_Entry!I54)</f>
        <v>80</v>
      </c>
      <c r="G54" s="150">
        <v>0</v>
      </c>
      <c r="H54" s="150">
        <f t="shared" si="0"/>
        <v>6070</v>
      </c>
      <c r="I54" s="149"/>
      <c r="J54" t="str">
        <f>IF($B54="","",IF(AND($B54=Party_Statement!$B$5,$A54&gt;=Party_Statement!$B$6,$A54&lt;=Party_Statement!$D$6),SUMPRODUCT(($B$3:$B54=Party_Statement!$B$5)*($A$3:$A54&gt;=Party_Statement!$B$6)*($A$3:$A54&lt;=Party_Statement!$D$6)),""))</f>
        <v/>
      </c>
    </row>
    <row r="55" spans="1:10" x14ac:dyDescent="0.2">
      <c r="A55" s="148">
        <f>Sales_Entry!A55</f>
        <v>66918</v>
      </c>
      <c r="B55" s="149" t="str">
        <f>Sales_Entry!C55</f>
        <v xml:space="preserve">KRITIKA KIRANA </v>
      </c>
      <c r="C55" s="149" t="s">
        <v>984</v>
      </c>
      <c r="D55" s="149" t="str">
        <f>Sales_Entry!B55</f>
        <v>BILL-6044</v>
      </c>
      <c r="E55" s="149" t="str">
        <f>Sales_Entry!D55</f>
        <v>Mix Milk</v>
      </c>
      <c r="F55" s="150">
        <f>N(Sales_Entry!I55)</f>
        <v>1290</v>
      </c>
      <c r="G55" s="150">
        <v>0</v>
      </c>
      <c r="H55" s="150">
        <f t="shared" si="0"/>
        <v>1290</v>
      </c>
      <c r="I55" s="149"/>
      <c r="J55" t="str">
        <f>IF($B55="","",IF(AND($B55=Party_Statement!$B$5,$A55&gt;=Party_Statement!$B$6,$A55&lt;=Party_Statement!$D$6),SUMPRODUCT(($B$3:$B55=Party_Statement!$B$5)*($A$3:$A55&gt;=Party_Statement!$B$6)*($A$3:$A55&lt;=Party_Statement!$D$6)),""))</f>
        <v/>
      </c>
    </row>
    <row r="56" spans="1:10" x14ac:dyDescent="0.2">
      <c r="A56" s="148">
        <f>Sales_Entry!A56</f>
        <v>66918</v>
      </c>
      <c r="B56" s="149" t="str">
        <f>Sales_Entry!C56</f>
        <v xml:space="preserve">SOBHA BHATTARAI </v>
      </c>
      <c r="C56" s="149" t="s">
        <v>984</v>
      </c>
      <c r="D56" s="149" t="str">
        <f>Sales_Entry!B56</f>
        <v>BILL-6045</v>
      </c>
      <c r="E56" s="149" t="str">
        <f>Sales_Entry!D56</f>
        <v>Mix Milk</v>
      </c>
      <c r="F56" s="150">
        <f>N(Sales_Entry!I56)</f>
        <v>2550</v>
      </c>
      <c r="G56" s="150">
        <v>0</v>
      </c>
      <c r="H56" s="150">
        <f t="shared" si="0"/>
        <v>2550</v>
      </c>
      <c r="I56" s="149"/>
      <c r="J56" t="str">
        <f>IF($B56="","",IF(AND($B56=Party_Statement!$B$5,$A56&gt;=Party_Statement!$B$6,$A56&lt;=Party_Statement!$D$6),SUMPRODUCT(($B$3:$B56=Party_Statement!$B$5)*($A$3:$A56&gt;=Party_Statement!$B$6)*($A$3:$A56&lt;=Party_Statement!$D$6)),""))</f>
        <v/>
      </c>
    </row>
    <row r="57" spans="1:10" x14ac:dyDescent="0.2">
      <c r="A57" s="148">
        <f>Sales_Entry!A57</f>
        <v>66918</v>
      </c>
      <c r="B57" s="149" t="str">
        <f>Sales_Entry!C57</f>
        <v xml:space="preserve">AAYUSH AAYUSHMA </v>
      </c>
      <c r="C57" s="149" t="s">
        <v>984</v>
      </c>
      <c r="D57" s="149" t="str">
        <f>Sales_Entry!B57</f>
        <v>BILL-6046</v>
      </c>
      <c r="E57" s="149" t="str">
        <f>Sales_Entry!D57</f>
        <v>Mix Milk</v>
      </c>
      <c r="F57" s="150">
        <f>N(Sales_Entry!I57)</f>
        <v>425</v>
      </c>
      <c r="G57" s="150">
        <v>0</v>
      </c>
      <c r="H57" s="150">
        <f t="shared" si="0"/>
        <v>425</v>
      </c>
      <c r="I57" s="149"/>
      <c r="J57" t="str">
        <f>IF($B57="","",IF(AND($B57=Party_Statement!$B$5,$A57&gt;=Party_Statement!$B$6,$A57&lt;=Party_Statement!$D$6),SUMPRODUCT(($B$3:$B57=Party_Statement!$B$5)*($A$3:$A57&gt;=Party_Statement!$B$6)*($A$3:$A57&lt;=Party_Statement!$D$6)),""))</f>
        <v/>
      </c>
    </row>
    <row r="58" spans="1:10" x14ac:dyDescent="0.2">
      <c r="A58" s="148">
        <f>Sales_Entry!A58</f>
        <v>66918</v>
      </c>
      <c r="B58" s="149" t="str">
        <f>Sales_Entry!C58</f>
        <v xml:space="preserve">SAMIKSHYA </v>
      </c>
      <c r="C58" s="149" t="s">
        <v>984</v>
      </c>
      <c r="D58" s="149" t="str">
        <f>Sales_Entry!B58</f>
        <v>BILL-6047</v>
      </c>
      <c r="E58" s="149" t="str">
        <f>Sales_Entry!D58</f>
        <v>Mix Milk</v>
      </c>
      <c r="F58" s="150">
        <f>N(Sales_Entry!I58)</f>
        <v>850</v>
      </c>
      <c r="G58" s="150">
        <v>0</v>
      </c>
      <c r="H58" s="150">
        <f t="shared" si="0"/>
        <v>850</v>
      </c>
      <c r="I58" s="149"/>
      <c r="J58" t="str">
        <f>IF($B58="","",IF(AND($B58=Party_Statement!$B$5,$A58&gt;=Party_Statement!$B$6,$A58&lt;=Party_Statement!$D$6),SUMPRODUCT(($B$3:$B58=Party_Statement!$B$5)*($A$3:$A58&gt;=Party_Statement!$B$6)*($A$3:$A58&lt;=Party_Statement!$D$6)),""))</f>
        <v/>
      </c>
    </row>
    <row r="59" spans="1:10" x14ac:dyDescent="0.2">
      <c r="A59" s="148">
        <f>Sales_Entry!A59</f>
        <v>66918</v>
      </c>
      <c r="B59" s="149" t="str">
        <f>Sales_Entry!C59</f>
        <v xml:space="preserve">GIRI KIRANA </v>
      </c>
      <c r="C59" s="149" t="s">
        <v>984</v>
      </c>
      <c r="D59" s="149" t="str">
        <f>Sales_Entry!B59</f>
        <v>BILL-6048</v>
      </c>
      <c r="E59" s="149" t="str">
        <f>Sales_Entry!D59</f>
        <v>Mix Milk</v>
      </c>
      <c r="F59" s="150">
        <f>N(Sales_Entry!I59)</f>
        <v>1275</v>
      </c>
      <c r="G59" s="150">
        <v>0</v>
      </c>
      <c r="H59" s="150">
        <f t="shared" si="0"/>
        <v>1275</v>
      </c>
      <c r="I59" s="149"/>
      <c r="J59" t="str">
        <f>IF($B59="","",IF(AND($B59=Party_Statement!$B$5,$A59&gt;=Party_Statement!$B$6,$A59&lt;=Party_Statement!$D$6),SUMPRODUCT(($B$3:$B59=Party_Statement!$B$5)*($A$3:$A59&gt;=Party_Statement!$B$6)*($A$3:$A59&lt;=Party_Statement!$D$6)),""))</f>
        <v/>
      </c>
    </row>
    <row r="60" spans="1:10" x14ac:dyDescent="0.2">
      <c r="A60" s="148">
        <f>Sales_Entry!A60</f>
        <v>66918</v>
      </c>
      <c r="B60" s="149" t="str">
        <f>Sales_Entry!C60</f>
        <v xml:space="preserve">DEURALI KIRANA </v>
      </c>
      <c r="C60" s="149" t="s">
        <v>984</v>
      </c>
      <c r="D60" s="149" t="str">
        <f>Sales_Entry!B60</f>
        <v>BILL-6049</v>
      </c>
      <c r="E60" s="149" t="str">
        <f>Sales_Entry!D60</f>
        <v>Mix Milk</v>
      </c>
      <c r="F60" s="150">
        <f>N(Sales_Entry!I60)</f>
        <v>425</v>
      </c>
      <c r="G60" s="150">
        <v>0</v>
      </c>
      <c r="H60" s="150">
        <f t="shared" si="0"/>
        <v>425</v>
      </c>
      <c r="I60" s="149"/>
      <c r="J60" t="str">
        <f>IF($B60="","",IF(AND($B60=Party_Statement!$B$5,$A60&gt;=Party_Statement!$B$6,$A60&lt;=Party_Statement!$D$6),SUMPRODUCT(($B$3:$B60=Party_Statement!$B$5)*($A$3:$A60&gt;=Party_Statement!$B$6)*($A$3:$A60&lt;=Party_Statement!$D$6)),""))</f>
        <v/>
      </c>
    </row>
    <row r="61" spans="1:10" x14ac:dyDescent="0.2">
      <c r="A61" s="148">
        <f>Sales_Entry!A61</f>
        <v>66918</v>
      </c>
      <c r="B61" s="149" t="str">
        <f>Sales_Entry!C61</f>
        <v>PALPALI</v>
      </c>
      <c r="C61" s="149" t="s">
        <v>984</v>
      </c>
      <c r="D61" s="149" t="str">
        <f>Sales_Entry!B61</f>
        <v>BILL-6050</v>
      </c>
      <c r="E61" s="149" t="str">
        <f>Sales_Entry!D61</f>
        <v>Mix Milk</v>
      </c>
      <c r="F61" s="150">
        <f>N(Sales_Entry!I61)</f>
        <v>1700</v>
      </c>
      <c r="G61" s="150">
        <v>0</v>
      </c>
      <c r="H61" s="150">
        <f t="shared" si="0"/>
        <v>1700</v>
      </c>
      <c r="I61" s="149"/>
      <c r="J61" t="str">
        <f>IF($B61="","",IF(AND($B61=Party_Statement!$B$5,$A61&gt;=Party_Statement!$B$6,$A61&lt;=Party_Statement!$D$6),SUMPRODUCT(($B$3:$B61=Party_Statement!$B$5)*($A$3:$A61&gt;=Party_Statement!$B$6)*($A$3:$A61&lt;=Party_Statement!$D$6)),""))</f>
        <v/>
      </c>
    </row>
    <row r="62" spans="1:10" x14ac:dyDescent="0.2">
      <c r="A62" s="148">
        <f>Sales_Entry!A62</f>
        <v>66918</v>
      </c>
      <c r="B62" s="149" t="str">
        <f>Sales_Entry!C62</f>
        <v>ORGANIC TARKALI</v>
      </c>
      <c r="C62" s="149" t="s">
        <v>984</v>
      </c>
      <c r="D62" s="149" t="str">
        <f>Sales_Entry!B62</f>
        <v>BILL-6051</v>
      </c>
      <c r="E62" s="149" t="str">
        <f>Sales_Entry!D62</f>
        <v>Mix Milk</v>
      </c>
      <c r="F62" s="150">
        <f>N(Sales_Entry!I62)</f>
        <v>2470</v>
      </c>
      <c r="G62" s="150">
        <v>0</v>
      </c>
      <c r="H62" s="150">
        <f t="shared" si="0"/>
        <v>2470</v>
      </c>
      <c r="I62" s="149"/>
      <c r="J62" t="str">
        <f>IF($B62="","",IF(AND($B62=Party_Statement!$B$5,$A62&gt;=Party_Statement!$B$6,$A62&lt;=Party_Statement!$D$6),SUMPRODUCT(($B$3:$B62=Party_Statement!$B$5)*($A$3:$A62&gt;=Party_Statement!$B$6)*($A$3:$A62&lt;=Party_Statement!$D$6)),""))</f>
        <v/>
      </c>
    </row>
    <row r="63" spans="1:10" x14ac:dyDescent="0.2">
      <c r="A63" s="148">
        <f>Sales_Entry!A63</f>
        <v>66918</v>
      </c>
      <c r="B63" s="149" t="str">
        <f>Sales_Entry!C63</f>
        <v>ORGANIC TARKALI</v>
      </c>
      <c r="C63" s="149" t="s">
        <v>984</v>
      </c>
      <c r="D63" s="149" t="str">
        <f>Sales_Entry!B63</f>
        <v>BILL-6051</v>
      </c>
      <c r="E63" s="149" t="str">
        <f>Sales_Entry!D63</f>
        <v>Mix Milk</v>
      </c>
      <c r="F63" s="150">
        <f>N(Sales_Entry!I63)</f>
        <v>425</v>
      </c>
      <c r="G63" s="150">
        <v>0</v>
      </c>
      <c r="H63" s="150">
        <f t="shared" si="0"/>
        <v>2895</v>
      </c>
      <c r="I63" s="149"/>
      <c r="J63" t="str">
        <f>IF($B63="","",IF(AND($B63=Party_Statement!$B$5,$A63&gt;=Party_Statement!$B$6,$A63&lt;=Party_Statement!$D$6),SUMPRODUCT(($B$3:$B63=Party_Statement!$B$5)*($A$3:$A63&gt;=Party_Statement!$B$6)*($A$3:$A63&lt;=Party_Statement!$D$6)),""))</f>
        <v/>
      </c>
    </row>
    <row r="64" spans="1:10" x14ac:dyDescent="0.2">
      <c r="A64" s="148">
        <f>Sales_Entry!A64</f>
        <v>66918</v>
      </c>
      <c r="B64" s="149" t="str">
        <f>Sales_Entry!C64</f>
        <v>ORGANIC TARKALI</v>
      </c>
      <c r="C64" s="149" t="s">
        <v>984</v>
      </c>
      <c r="D64" s="149" t="str">
        <f>Sales_Entry!B64</f>
        <v>BILL-6052</v>
      </c>
      <c r="E64" s="149" t="str">
        <f>Sales_Entry!D64</f>
        <v>Mix Milk</v>
      </c>
      <c r="F64" s="150">
        <f>N(Sales_Entry!I64)</f>
        <v>2375</v>
      </c>
      <c r="G64" s="150">
        <v>0</v>
      </c>
      <c r="H64" s="150">
        <f t="shared" si="0"/>
        <v>5270</v>
      </c>
      <c r="I64" s="149"/>
      <c r="J64" t="str">
        <f>IF($B64="","",IF(AND($B64=Party_Statement!$B$5,$A64&gt;=Party_Statement!$B$6,$A64&lt;=Party_Statement!$D$6),SUMPRODUCT(($B$3:$B64=Party_Statement!$B$5)*($A$3:$A64&gt;=Party_Statement!$B$6)*($A$3:$A64&lt;=Party_Statement!$D$6)),""))</f>
        <v/>
      </c>
    </row>
    <row r="65" spans="1:10" x14ac:dyDescent="0.2">
      <c r="A65" s="148">
        <f>Sales_Entry!A65</f>
        <v>66918</v>
      </c>
      <c r="B65" s="149" t="str">
        <f>Sales_Entry!C65</f>
        <v>ORGANIC TARKALI</v>
      </c>
      <c r="C65" s="149" t="s">
        <v>984</v>
      </c>
      <c r="D65" s="149" t="str">
        <f>Sales_Entry!B65</f>
        <v>BILL-6052</v>
      </c>
      <c r="E65" s="149" t="str">
        <f>Sales_Entry!D65</f>
        <v>Mix Milk</v>
      </c>
      <c r="F65" s="150">
        <f>N(Sales_Entry!I65)</f>
        <v>1020</v>
      </c>
      <c r="G65" s="150">
        <v>0</v>
      </c>
      <c r="H65" s="150">
        <f t="shared" si="0"/>
        <v>6290</v>
      </c>
      <c r="I65" s="149"/>
      <c r="J65" t="str">
        <f>IF($B65="","",IF(AND($B65=Party_Statement!$B$5,$A65&gt;=Party_Statement!$B$6,$A65&lt;=Party_Statement!$D$6),SUMPRODUCT(($B$3:$B65=Party_Statement!$B$5)*($A$3:$A65&gt;=Party_Statement!$B$6)*($A$3:$A65&lt;=Party_Statement!$D$6)),""))</f>
        <v/>
      </c>
    </row>
    <row r="66" spans="1:10" x14ac:dyDescent="0.2">
      <c r="A66" s="148">
        <f>Sales_Entry!A66</f>
        <v>66918</v>
      </c>
      <c r="B66" s="149" t="str">
        <f>Sales_Entry!C66</f>
        <v>SHARMA DAI</v>
      </c>
      <c r="C66" s="149" t="s">
        <v>984</v>
      </c>
      <c r="D66" s="149" t="str">
        <f>Sales_Entry!B66</f>
        <v>BILL-6053</v>
      </c>
      <c r="E66" s="149" t="str">
        <f>Sales_Entry!D66</f>
        <v>Mix Milk</v>
      </c>
      <c r="F66" s="150">
        <f>N(Sales_Entry!I66)</f>
        <v>2100</v>
      </c>
      <c r="G66" s="150">
        <v>0</v>
      </c>
      <c r="H66" s="150">
        <f t="shared" si="0"/>
        <v>2100</v>
      </c>
      <c r="I66" s="149"/>
      <c r="J66" t="str">
        <f>IF($B66="","",IF(AND($B66=Party_Statement!$B$5,$A66&gt;=Party_Statement!$B$6,$A66&lt;=Party_Statement!$D$6),SUMPRODUCT(($B$3:$B66=Party_Statement!$B$5)*($A$3:$A66&gt;=Party_Statement!$B$6)*($A$3:$A66&lt;=Party_Statement!$D$6)),""))</f>
        <v/>
      </c>
    </row>
    <row r="67" spans="1:10" x14ac:dyDescent="0.2">
      <c r="A67" s="148">
        <f>Sales_Entry!A67</f>
        <v>66918</v>
      </c>
      <c r="B67" s="149" t="str">
        <f>Sales_Entry!C67</f>
        <v>GANGA NEUPANE</v>
      </c>
      <c r="C67" s="149" t="s">
        <v>984</v>
      </c>
      <c r="D67" s="149" t="str">
        <f>Sales_Entry!B67</f>
        <v>BILL-6054</v>
      </c>
      <c r="E67" s="149" t="str">
        <f>Sales_Entry!D67</f>
        <v>Mix Milk</v>
      </c>
      <c r="F67" s="150">
        <f>N(Sales_Entry!I67)</f>
        <v>680</v>
      </c>
      <c r="G67" s="150">
        <v>0</v>
      </c>
      <c r="H67" s="150">
        <f t="shared" si="0"/>
        <v>680</v>
      </c>
      <c r="I67" s="149"/>
      <c r="J67" t="str">
        <f>IF($B67="","",IF(AND($B67=Party_Statement!$B$5,$A67&gt;=Party_Statement!$B$6,$A67&lt;=Party_Statement!$D$6),SUMPRODUCT(($B$3:$B67=Party_Statement!$B$5)*($A$3:$A67&gt;=Party_Statement!$B$6)*($A$3:$A67&lt;=Party_Statement!$D$6)),""))</f>
        <v/>
      </c>
    </row>
    <row r="68" spans="1:10" x14ac:dyDescent="0.2">
      <c r="A68" s="148">
        <f>Sales_Entry!A68</f>
        <v>66918</v>
      </c>
      <c r="B68" s="149" t="str">
        <f>Sales_Entry!C68</f>
        <v>LOCAL</v>
      </c>
      <c r="C68" s="149" t="s">
        <v>984</v>
      </c>
      <c r="D68" s="149" t="str">
        <f>Sales_Entry!B68</f>
        <v>BILL-6055</v>
      </c>
      <c r="E68" s="149" t="str">
        <f>Sales_Entry!D68</f>
        <v>Mix Milk</v>
      </c>
      <c r="F68" s="150">
        <f>N(Sales_Entry!I68)</f>
        <v>450</v>
      </c>
      <c r="G68" s="150">
        <v>0</v>
      </c>
      <c r="H68" s="150">
        <f t="shared" ref="H68:H131" si="1">IF($B68="","",IF($B68=$B67,$H67+$F68-$G68,$F68-$G68))</f>
        <v>450</v>
      </c>
      <c r="I68" s="149"/>
      <c r="J68" t="str">
        <f>IF($B68="","",IF(AND($B68=Party_Statement!$B$5,$A68&gt;=Party_Statement!$B$6,$A68&lt;=Party_Statement!$D$6),SUMPRODUCT(($B$3:$B68=Party_Statement!$B$5)*($A$3:$A68&gt;=Party_Statement!$B$6)*($A$3:$A68&lt;=Party_Statement!$D$6)),""))</f>
        <v/>
      </c>
    </row>
    <row r="69" spans="1:10" x14ac:dyDescent="0.2">
      <c r="A69" s="148">
        <f>Sales_Entry!A69</f>
        <v>66918</v>
      </c>
      <c r="B69" s="149" t="str">
        <f>Sales_Entry!C69</f>
        <v>NAWARAJ NEPAL</v>
      </c>
      <c r="C69" s="149" t="s">
        <v>984</v>
      </c>
      <c r="D69" s="149" t="str">
        <f>Sales_Entry!B69</f>
        <v>BILL-6056</v>
      </c>
      <c r="E69" s="149" t="str">
        <f>Sales_Entry!D69</f>
        <v>Mix Milk</v>
      </c>
      <c r="F69" s="150">
        <f>N(Sales_Entry!I69)</f>
        <v>255</v>
      </c>
      <c r="G69" s="150">
        <v>0</v>
      </c>
      <c r="H69" s="150">
        <f t="shared" si="1"/>
        <v>255</v>
      </c>
      <c r="I69" s="149"/>
      <c r="J69" t="str">
        <f>IF($B69="","",IF(AND($B69=Party_Statement!$B$5,$A69&gt;=Party_Statement!$B$6,$A69&lt;=Party_Statement!$D$6),SUMPRODUCT(($B$3:$B69=Party_Statement!$B$5)*($A$3:$A69&gt;=Party_Statement!$B$6)*($A$3:$A69&lt;=Party_Statement!$D$6)),""))</f>
        <v/>
      </c>
    </row>
    <row r="70" spans="1:10" x14ac:dyDescent="0.2">
      <c r="A70" s="148">
        <f>Sales_Entry!A70</f>
        <v>66918</v>
      </c>
      <c r="B70" s="149" t="str">
        <f>Sales_Entry!C70</f>
        <v>NAWARAJ NEPAL</v>
      </c>
      <c r="C70" s="149" t="s">
        <v>984</v>
      </c>
      <c r="D70" s="149" t="str">
        <f>Sales_Entry!B70</f>
        <v>BILL-6056</v>
      </c>
      <c r="E70" s="149" t="str">
        <f>Sales_Entry!D70</f>
        <v>Ghee</v>
      </c>
      <c r="F70" s="150">
        <f>N(Sales_Entry!I70)</f>
        <v>550</v>
      </c>
      <c r="G70" s="150">
        <v>0</v>
      </c>
      <c r="H70" s="150">
        <f t="shared" si="1"/>
        <v>805</v>
      </c>
      <c r="I70" s="149"/>
      <c r="J70" t="str">
        <f>IF($B70="","",IF(AND($B70=Party_Statement!$B$5,$A70&gt;=Party_Statement!$B$6,$A70&lt;=Party_Statement!$D$6),SUMPRODUCT(($B$3:$B70=Party_Statement!$B$5)*($A$3:$A70&gt;=Party_Statement!$B$6)*($A$3:$A70&lt;=Party_Statement!$D$6)),""))</f>
        <v/>
      </c>
    </row>
    <row r="71" spans="1:10" x14ac:dyDescent="0.2">
      <c r="A71" s="148">
        <f>Sales_Entry!A71</f>
        <v>66919</v>
      </c>
      <c r="B71" s="149" t="str">
        <f>Sales_Entry!C71</f>
        <v>SRIJANA DAIRY (DEVI NAGAR)</v>
      </c>
      <c r="C71" s="149" t="s">
        <v>984</v>
      </c>
      <c r="D71" s="149" t="str">
        <f>Sales_Entry!B71</f>
        <v>BILL-6057</v>
      </c>
      <c r="E71" s="149" t="str">
        <f>Sales_Entry!D71</f>
        <v>Mix Milk</v>
      </c>
      <c r="F71" s="150">
        <f>N(Sales_Entry!I71)</f>
        <v>4250</v>
      </c>
      <c r="G71" s="150">
        <v>0</v>
      </c>
      <c r="H71" s="150">
        <f t="shared" si="1"/>
        <v>4250</v>
      </c>
      <c r="I71" s="149"/>
      <c r="J71" t="str">
        <f>IF($B71="","",IF(AND($B71=Party_Statement!$B$5,$A71&gt;=Party_Statement!$B$6,$A71&lt;=Party_Statement!$D$6),SUMPRODUCT(($B$3:$B71=Party_Statement!$B$5)*($A$3:$A71&gt;=Party_Statement!$B$6)*($A$3:$A71&lt;=Party_Statement!$D$6)),""))</f>
        <v/>
      </c>
    </row>
    <row r="72" spans="1:10" x14ac:dyDescent="0.2">
      <c r="A72" s="148">
        <f>Sales_Entry!A72</f>
        <v>66919</v>
      </c>
      <c r="B72" s="149" t="str">
        <f>Sales_Entry!C72</f>
        <v xml:space="preserve">SOBHA BHATTARAI </v>
      </c>
      <c r="C72" s="149" t="s">
        <v>984</v>
      </c>
      <c r="D72" s="149" t="str">
        <f>Sales_Entry!B72</f>
        <v>BILL-6058</v>
      </c>
      <c r="E72" s="149" t="str">
        <f>Sales_Entry!D72</f>
        <v>Mix Milk</v>
      </c>
      <c r="F72" s="150">
        <f>N(Sales_Entry!I72)</f>
        <v>2125</v>
      </c>
      <c r="G72" s="150">
        <v>0</v>
      </c>
      <c r="H72" s="150">
        <f t="shared" si="1"/>
        <v>2125</v>
      </c>
      <c r="I72" s="149"/>
      <c r="J72" t="str">
        <f>IF($B72="","",IF(AND($B72=Party_Statement!$B$5,$A72&gt;=Party_Statement!$B$6,$A72&lt;=Party_Statement!$D$6),SUMPRODUCT(($B$3:$B72=Party_Statement!$B$5)*($A$3:$A72&gt;=Party_Statement!$B$6)*($A$3:$A72&lt;=Party_Statement!$D$6)),""))</f>
        <v/>
      </c>
    </row>
    <row r="73" spans="1:10" x14ac:dyDescent="0.2">
      <c r="A73" s="148">
        <f>Sales_Entry!A73</f>
        <v>66919</v>
      </c>
      <c r="B73" s="149" t="str">
        <f>Sales_Entry!C73</f>
        <v xml:space="preserve">AAMOSH KIRANA </v>
      </c>
      <c r="C73" s="149" t="s">
        <v>984</v>
      </c>
      <c r="D73" s="149" t="str">
        <f>Sales_Entry!B73</f>
        <v>BILL-6059</v>
      </c>
      <c r="E73" s="149" t="str">
        <f>Sales_Entry!D73</f>
        <v>Mix Milk</v>
      </c>
      <c r="F73" s="150">
        <f>N(Sales_Entry!I73)</f>
        <v>3440</v>
      </c>
      <c r="G73" s="150">
        <v>0</v>
      </c>
      <c r="H73" s="150">
        <f t="shared" si="1"/>
        <v>3440</v>
      </c>
      <c r="I73" s="149"/>
      <c r="J73" t="str">
        <f>IF($B73="","",IF(AND($B73=Party_Statement!$B$5,$A73&gt;=Party_Statement!$B$6,$A73&lt;=Party_Statement!$D$6),SUMPRODUCT(($B$3:$B73=Party_Statement!$B$5)*($A$3:$A73&gt;=Party_Statement!$B$6)*($A$3:$A73&lt;=Party_Statement!$D$6)),""))</f>
        <v/>
      </c>
    </row>
    <row r="74" spans="1:10" x14ac:dyDescent="0.2">
      <c r="A74" s="148">
        <f>Sales_Entry!A74</f>
        <v>66919</v>
      </c>
      <c r="B74" s="149" t="str">
        <f>Sales_Entry!C74</f>
        <v xml:space="preserve">AAMOSH KIRANA </v>
      </c>
      <c r="C74" s="149" t="s">
        <v>984</v>
      </c>
      <c r="D74" s="149" t="str">
        <f>Sales_Entry!B74</f>
        <v>BILL-6059</v>
      </c>
      <c r="E74" s="149" t="str">
        <f>Sales_Entry!D74</f>
        <v>Mix Milk</v>
      </c>
      <c r="F74" s="150">
        <f>N(Sales_Entry!I74)</f>
        <v>4250</v>
      </c>
      <c r="G74" s="150">
        <v>0</v>
      </c>
      <c r="H74" s="150">
        <f t="shared" si="1"/>
        <v>7690</v>
      </c>
      <c r="I74" s="149"/>
      <c r="J74" t="str">
        <f>IF($B74="","",IF(AND($B74=Party_Statement!$B$5,$A74&gt;=Party_Statement!$B$6,$A74&lt;=Party_Statement!$D$6),SUMPRODUCT(($B$3:$B74=Party_Statement!$B$5)*($A$3:$A74&gt;=Party_Statement!$B$6)*($A$3:$A74&lt;=Party_Statement!$D$6)),""))</f>
        <v/>
      </c>
    </row>
    <row r="75" spans="1:10" x14ac:dyDescent="0.2">
      <c r="A75" s="148">
        <f>Sales_Entry!A75</f>
        <v>66919</v>
      </c>
      <c r="B75" s="149" t="str">
        <f>Sales_Entry!C75</f>
        <v xml:space="preserve">AAMOSH KIRANA </v>
      </c>
      <c r="C75" s="149" t="s">
        <v>984</v>
      </c>
      <c r="D75" s="149" t="str">
        <f>Sales_Entry!B75</f>
        <v>BILL-6059</v>
      </c>
      <c r="E75" s="149" t="str">
        <f>Sales_Entry!D75</f>
        <v>Cow Milk</v>
      </c>
      <c r="F75" s="150">
        <f>N(Sales_Entry!I75)</f>
        <v>80</v>
      </c>
      <c r="G75" s="150">
        <v>0</v>
      </c>
      <c r="H75" s="150">
        <f t="shared" si="1"/>
        <v>7770</v>
      </c>
      <c r="I75" s="149"/>
      <c r="J75" t="str">
        <f>IF($B75="","",IF(AND($B75=Party_Statement!$B$5,$A75&gt;=Party_Statement!$B$6,$A75&lt;=Party_Statement!$D$6),SUMPRODUCT(($B$3:$B75=Party_Statement!$B$5)*($A$3:$A75&gt;=Party_Statement!$B$6)*($A$3:$A75&lt;=Party_Statement!$D$6)),""))</f>
        <v/>
      </c>
    </row>
    <row r="76" spans="1:10" x14ac:dyDescent="0.2">
      <c r="A76" s="148">
        <f>Sales_Entry!A76</f>
        <v>66919</v>
      </c>
      <c r="B76" s="149" t="str">
        <f>Sales_Entry!C76</f>
        <v>PALPALI</v>
      </c>
      <c r="C76" s="149" t="s">
        <v>984</v>
      </c>
      <c r="D76" s="149" t="str">
        <f>Sales_Entry!B76</f>
        <v>BILL-6060</v>
      </c>
      <c r="E76" s="149" t="str">
        <f>Sales_Entry!D76</f>
        <v>Mix Milk</v>
      </c>
      <c r="F76" s="150">
        <f>N(Sales_Entry!I76)</f>
        <v>2125</v>
      </c>
      <c r="G76" s="150">
        <v>0</v>
      </c>
      <c r="H76" s="150">
        <f t="shared" si="1"/>
        <v>2125</v>
      </c>
      <c r="I76" s="149"/>
      <c r="J76" t="str">
        <f>IF($B76="","",IF(AND($B76=Party_Statement!$B$5,$A76&gt;=Party_Statement!$B$6,$A76&lt;=Party_Statement!$D$6),SUMPRODUCT(($B$3:$B76=Party_Statement!$B$5)*($A$3:$A76&gt;=Party_Statement!$B$6)*($A$3:$A76&lt;=Party_Statement!$D$6)),""))</f>
        <v/>
      </c>
    </row>
    <row r="77" spans="1:10" x14ac:dyDescent="0.2">
      <c r="A77" s="148">
        <f>Sales_Entry!A77</f>
        <v>66919</v>
      </c>
      <c r="B77" s="149" t="str">
        <f>Sales_Entry!C77</f>
        <v xml:space="preserve">GIRI KIRANA </v>
      </c>
      <c r="C77" s="149" t="s">
        <v>984</v>
      </c>
      <c r="D77" s="149" t="str">
        <f>Sales_Entry!B77</f>
        <v>BILL-6061</v>
      </c>
      <c r="E77" s="149" t="str">
        <f>Sales_Entry!D77</f>
        <v>Mix Milk</v>
      </c>
      <c r="F77" s="150">
        <f>N(Sales_Entry!I77)</f>
        <v>1275</v>
      </c>
      <c r="G77" s="150">
        <v>0</v>
      </c>
      <c r="H77" s="150">
        <f t="shared" si="1"/>
        <v>1275</v>
      </c>
      <c r="I77" s="149"/>
      <c r="J77" t="str">
        <f>IF($B77="","",IF(AND($B77=Party_Statement!$B$5,$A77&gt;=Party_Statement!$B$6,$A77&lt;=Party_Statement!$D$6),SUMPRODUCT(($B$3:$B77=Party_Statement!$B$5)*($A$3:$A77&gt;=Party_Statement!$B$6)*($A$3:$A77&lt;=Party_Statement!$D$6)),""))</f>
        <v/>
      </c>
    </row>
    <row r="78" spans="1:10" x14ac:dyDescent="0.2">
      <c r="A78" s="148">
        <f>Sales_Entry!A78</f>
        <v>66919</v>
      </c>
      <c r="B78" s="149" t="str">
        <f>Sales_Entry!C78</f>
        <v>CHHATRABHUMI</v>
      </c>
      <c r="C78" s="149" t="s">
        <v>984</v>
      </c>
      <c r="D78" s="149" t="str">
        <f>Sales_Entry!B78</f>
        <v>BILL-6062</v>
      </c>
      <c r="E78" s="149" t="str">
        <f>Sales_Entry!D78</f>
        <v>Mix Milk</v>
      </c>
      <c r="F78" s="150">
        <f>N(Sales_Entry!I78)</f>
        <v>1720</v>
      </c>
      <c r="G78" s="150">
        <v>0</v>
      </c>
      <c r="H78" s="150">
        <f t="shared" si="1"/>
        <v>1720</v>
      </c>
      <c r="I78" s="149"/>
      <c r="J78" t="str">
        <f>IF($B78="","",IF(AND($B78=Party_Statement!$B$5,$A78&gt;=Party_Statement!$B$6,$A78&lt;=Party_Statement!$D$6),SUMPRODUCT(($B$3:$B78=Party_Statement!$B$5)*($A$3:$A78&gt;=Party_Statement!$B$6)*($A$3:$A78&lt;=Party_Statement!$D$6)),""))</f>
        <v/>
      </c>
    </row>
    <row r="79" spans="1:10" x14ac:dyDescent="0.2">
      <c r="A79" s="148">
        <f>Sales_Entry!A79</f>
        <v>66919</v>
      </c>
      <c r="B79" s="149" t="str">
        <f>Sales_Entry!C79</f>
        <v>KRISHNA KHAREL</v>
      </c>
      <c r="C79" s="149" t="s">
        <v>984</v>
      </c>
      <c r="D79" s="149" t="str">
        <f>Sales_Entry!B79</f>
        <v>BILL-6063</v>
      </c>
      <c r="E79" s="149" t="str">
        <f>Sales_Entry!D79</f>
        <v>Mix Milk</v>
      </c>
      <c r="F79" s="150">
        <f>N(Sales_Entry!I79)</f>
        <v>344</v>
      </c>
      <c r="G79" s="150">
        <v>0</v>
      </c>
      <c r="H79" s="150">
        <f t="shared" si="1"/>
        <v>344</v>
      </c>
      <c r="I79" s="149"/>
      <c r="J79" t="str">
        <f>IF($B79="","",IF(AND($B79=Party_Statement!$B$5,$A79&gt;=Party_Statement!$B$6,$A79&lt;=Party_Statement!$D$6),SUMPRODUCT(($B$3:$B79=Party_Statement!$B$5)*($A$3:$A79&gt;=Party_Statement!$B$6)*($A$3:$A79&lt;=Party_Statement!$D$6)),""))</f>
        <v/>
      </c>
    </row>
    <row r="80" spans="1:10" x14ac:dyDescent="0.2">
      <c r="A80" s="148">
        <f>Sales_Entry!A80</f>
        <v>66919</v>
      </c>
      <c r="B80" s="149" t="str">
        <f>Sales_Entry!C80</f>
        <v xml:space="preserve">DEURALI KIRANA </v>
      </c>
      <c r="C80" s="149" t="s">
        <v>984</v>
      </c>
      <c r="D80" s="149" t="str">
        <f>Sales_Entry!B80</f>
        <v>BILL-6064</v>
      </c>
      <c r="E80" s="149" t="str">
        <f>Sales_Entry!D80</f>
        <v>Mix Milk</v>
      </c>
      <c r="F80" s="150">
        <f>N(Sales_Entry!I80)</f>
        <v>425</v>
      </c>
      <c r="G80" s="150">
        <v>0</v>
      </c>
      <c r="H80" s="150">
        <f t="shared" si="1"/>
        <v>425</v>
      </c>
      <c r="I80" s="149"/>
      <c r="J80" t="str">
        <f>IF($B80="","",IF(AND($B80=Party_Statement!$B$5,$A80&gt;=Party_Statement!$B$6,$A80&lt;=Party_Statement!$D$6),SUMPRODUCT(($B$3:$B80=Party_Statement!$B$5)*($A$3:$A80&gt;=Party_Statement!$B$6)*($A$3:$A80&lt;=Party_Statement!$D$6)),""))</f>
        <v/>
      </c>
    </row>
    <row r="81" spans="1:10" x14ac:dyDescent="0.2">
      <c r="A81" s="148">
        <f>Sales_Entry!A81</f>
        <v>66919</v>
      </c>
      <c r="B81" s="149" t="str">
        <f>Sales_Entry!C81</f>
        <v xml:space="preserve">SAMIKSHYA </v>
      </c>
      <c r="C81" s="149" t="s">
        <v>984</v>
      </c>
      <c r="D81" s="149" t="str">
        <f>Sales_Entry!B81</f>
        <v>BILL-6065</v>
      </c>
      <c r="E81" s="149" t="str">
        <f>Sales_Entry!D81</f>
        <v>Mix Milk</v>
      </c>
      <c r="F81" s="150">
        <f>N(Sales_Entry!I81)</f>
        <v>850</v>
      </c>
      <c r="G81" s="150">
        <v>0</v>
      </c>
      <c r="H81" s="150">
        <f t="shared" si="1"/>
        <v>850</v>
      </c>
      <c r="I81" s="149"/>
      <c r="J81" t="str">
        <f>IF($B81="","",IF(AND($B81=Party_Statement!$B$5,$A81&gt;=Party_Statement!$B$6,$A81&lt;=Party_Statement!$D$6),SUMPRODUCT(($B$3:$B81=Party_Statement!$B$5)*($A$3:$A81&gt;=Party_Statement!$B$6)*($A$3:$A81&lt;=Party_Statement!$D$6)),""))</f>
        <v/>
      </c>
    </row>
    <row r="82" spans="1:10" x14ac:dyDescent="0.2">
      <c r="A82" s="148">
        <f>Sales_Entry!A82</f>
        <v>66919</v>
      </c>
      <c r="B82" s="149" t="str">
        <f>Sales_Entry!C82</f>
        <v xml:space="preserve">YUBARAJ AND SAMRAT </v>
      </c>
      <c r="C82" s="149" t="s">
        <v>984</v>
      </c>
      <c r="D82" s="149" t="str">
        <f>Sales_Entry!B82</f>
        <v>BILL-6066</v>
      </c>
      <c r="E82" s="149" t="str">
        <f>Sales_Entry!D82</f>
        <v>Mix Milk</v>
      </c>
      <c r="F82" s="150">
        <f>N(Sales_Entry!I82)</f>
        <v>1275</v>
      </c>
      <c r="G82" s="150">
        <v>0</v>
      </c>
      <c r="H82" s="150">
        <f t="shared" si="1"/>
        <v>1275</v>
      </c>
      <c r="I82" s="149"/>
      <c r="J82" t="str">
        <f>IF($B82="","",IF(AND($B82=Party_Statement!$B$5,$A82&gt;=Party_Statement!$B$6,$A82&lt;=Party_Statement!$D$6),SUMPRODUCT(($B$3:$B82=Party_Statement!$B$5)*($A$3:$A82&gt;=Party_Statement!$B$6)*($A$3:$A82&lt;=Party_Statement!$D$6)),""))</f>
        <v/>
      </c>
    </row>
    <row r="83" spans="1:10" x14ac:dyDescent="0.2">
      <c r="A83" s="148">
        <f>Sales_Entry!A83</f>
        <v>66919</v>
      </c>
      <c r="B83" s="149" t="str">
        <f>Sales_Entry!C83</f>
        <v>MANAKAMANA DAIRY</v>
      </c>
      <c r="C83" s="149" t="s">
        <v>984</v>
      </c>
      <c r="D83" s="149" t="str">
        <f>Sales_Entry!B83</f>
        <v>BILL-6067</v>
      </c>
      <c r="E83" s="149" t="str">
        <f>Sales_Entry!D83</f>
        <v>Mix Milk</v>
      </c>
      <c r="F83" s="150">
        <f>N(Sales_Entry!I83)</f>
        <v>850</v>
      </c>
      <c r="G83" s="150">
        <v>0</v>
      </c>
      <c r="H83" s="150">
        <f t="shared" si="1"/>
        <v>850</v>
      </c>
      <c r="I83" s="149"/>
      <c r="J83" t="str">
        <f>IF($B83="","",IF(AND($B83=Party_Statement!$B$5,$A83&gt;=Party_Statement!$B$6,$A83&lt;=Party_Statement!$D$6),SUMPRODUCT(($B$3:$B83=Party_Statement!$B$5)*($A$3:$A83&gt;=Party_Statement!$B$6)*($A$3:$A83&lt;=Party_Statement!$D$6)),""))</f>
        <v/>
      </c>
    </row>
    <row r="84" spans="1:10" x14ac:dyDescent="0.2">
      <c r="A84" s="148">
        <f>Sales_Entry!A84</f>
        <v>66919</v>
      </c>
      <c r="B84" s="149" t="str">
        <f>Sales_Entry!C84</f>
        <v xml:space="preserve">KRITIKA KIRANA </v>
      </c>
      <c r="C84" s="149" t="s">
        <v>984</v>
      </c>
      <c r="D84" s="149" t="str">
        <f>Sales_Entry!B84</f>
        <v>BILL-6068</v>
      </c>
      <c r="E84" s="149" t="str">
        <f>Sales_Entry!D84</f>
        <v>Mix Milk</v>
      </c>
      <c r="F84" s="150">
        <f>N(Sales_Entry!I84)</f>
        <v>1720</v>
      </c>
      <c r="G84" s="150">
        <v>0</v>
      </c>
      <c r="H84" s="150">
        <f t="shared" si="1"/>
        <v>1720</v>
      </c>
      <c r="I84" s="149"/>
      <c r="J84" t="str">
        <f>IF($B84="","",IF(AND($B84=Party_Statement!$B$5,$A84&gt;=Party_Statement!$B$6,$A84&lt;=Party_Statement!$D$6),SUMPRODUCT(($B$3:$B84=Party_Statement!$B$5)*($A$3:$A84&gt;=Party_Statement!$B$6)*($A$3:$A84&lt;=Party_Statement!$D$6)),""))</f>
        <v/>
      </c>
    </row>
    <row r="85" spans="1:10" x14ac:dyDescent="0.2">
      <c r="A85" s="148">
        <f>Sales_Entry!A85</f>
        <v>66919</v>
      </c>
      <c r="B85" s="149" t="str">
        <f>Sales_Entry!C85</f>
        <v xml:space="preserve">KRITIKA KIRANA </v>
      </c>
      <c r="C85" s="149" t="s">
        <v>984</v>
      </c>
      <c r="D85" s="149" t="str">
        <f>Sales_Entry!B85</f>
        <v>BILL-6068</v>
      </c>
      <c r="E85" s="149" t="str">
        <f>Sales_Entry!D85</f>
        <v>NAUNI</v>
      </c>
      <c r="F85" s="150">
        <f>N(Sales_Entry!I85)</f>
        <v>775</v>
      </c>
      <c r="G85" s="150">
        <v>0</v>
      </c>
      <c r="H85" s="150">
        <f t="shared" si="1"/>
        <v>2495</v>
      </c>
      <c r="I85" s="149"/>
      <c r="J85" t="str">
        <f>IF($B85="","",IF(AND($B85=Party_Statement!$B$5,$A85&gt;=Party_Statement!$B$6,$A85&lt;=Party_Statement!$D$6),SUMPRODUCT(($B$3:$B85=Party_Statement!$B$5)*($A$3:$A85&gt;=Party_Statement!$B$6)*($A$3:$A85&lt;=Party_Statement!$D$6)),""))</f>
        <v/>
      </c>
    </row>
    <row r="86" spans="1:10" x14ac:dyDescent="0.2">
      <c r="A86" s="148">
        <f>Sales_Entry!A86</f>
        <v>66919</v>
      </c>
      <c r="B86" s="149" t="str">
        <f>Sales_Entry!C86</f>
        <v>LILADHAR GAUTAM</v>
      </c>
      <c r="C86" s="149" t="s">
        <v>984</v>
      </c>
      <c r="D86" s="149" t="str">
        <f>Sales_Entry!B86</f>
        <v>BILL-6069</v>
      </c>
      <c r="E86" s="149" t="str">
        <f>Sales_Entry!D86</f>
        <v>NAUNI</v>
      </c>
      <c r="F86" s="150">
        <f>N(Sales_Entry!I86)</f>
        <v>2400</v>
      </c>
      <c r="G86" s="150">
        <v>0</v>
      </c>
      <c r="H86" s="150">
        <f t="shared" si="1"/>
        <v>2400</v>
      </c>
      <c r="I86" s="149"/>
      <c r="J86" t="str">
        <f>IF($B86="","",IF(AND($B86=Party_Statement!$B$5,$A86&gt;=Party_Statement!$B$6,$A86&lt;=Party_Statement!$D$6),SUMPRODUCT(($B$3:$B86=Party_Statement!$B$5)*($A$3:$A86&gt;=Party_Statement!$B$6)*($A$3:$A86&lt;=Party_Statement!$D$6)),""))</f>
        <v/>
      </c>
    </row>
    <row r="87" spans="1:10" x14ac:dyDescent="0.2">
      <c r="A87" s="148">
        <f>Sales_Entry!A87</f>
        <v>66919</v>
      </c>
      <c r="B87" s="149" t="str">
        <f>Sales_Entry!C87</f>
        <v>SHARMA DAI</v>
      </c>
      <c r="C87" s="149" t="s">
        <v>984</v>
      </c>
      <c r="D87" s="149" t="str">
        <f>Sales_Entry!B87</f>
        <v>BILL-6070</v>
      </c>
      <c r="E87" s="149" t="str">
        <f>Sales_Entry!D87</f>
        <v>Mix Milk</v>
      </c>
      <c r="F87" s="150">
        <f>N(Sales_Entry!I87)</f>
        <v>2100</v>
      </c>
      <c r="G87" s="150">
        <v>0</v>
      </c>
      <c r="H87" s="150">
        <f t="shared" si="1"/>
        <v>2100</v>
      </c>
      <c r="I87" s="149"/>
      <c r="J87" t="str">
        <f>IF($B87="","",IF(AND($B87=Party_Statement!$B$5,$A87&gt;=Party_Statement!$B$6,$A87&lt;=Party_Statement!$D$6),SUMPRODUCT(($B$3:$B87=Party_Statement!$B$5)*($A$3:$A87&gt;=Party_Statement!$B$6)*($A$3:$A87&lt;=Party_Statement!$D$6)),""))</f>
        <v/>
      </c>
    </row>
    <row r="88" spans="1:10" x14ac:dyDescent="0.2">
      <c r="A88" s="148">
        <f>Sales_Entry!A88</f>
        <v>66919</v>
      </c>
      <c r="B88" s="149" t="str">
        <f>Sales_Entry!C88</f>
        <v>GANGA NEUPANE</v>
      </c>
      <c r="C88" s="149" t="s">
        <v>984</v>
      </c>
      <c r="D88" s="149" t="str">
        <f>Sales_Entry!B88</f>
        <v>BILL-6071</v>
      </c>
      <c r="E88" s="149" t="str">
        <f>Sales_Entry!D88</f>
        <v>Mix Milk</v>
      </c>
      <c r="F88" s="150">
        <f>N(Sales_Entry!I88)</f>
        <v>680</v>
      </c>
      <c r="G88" s="150">
        <v>0</v>
      </c>
      <c r="H88" s="150">
        <f t="shared" si="1"/>
        <v>680</v>
      </c>
      <c r="I88" s="149"/>
      <c r="J88" t="str">
        <f>IF($B88="","",IF(AND($B88=Party_Statement!$B$5,$A88&gt;=Party_Statement!$B$6,$A88&lt;=Party_Statement!$D$6),SUMPRODUCT(($B$3:$B88=Party_Statement!$B$5)*($A$3:$A88&gt;=Party_Statement!$B$6)*($A$3:$A88&lt;=Party_Statement!$D$6)),""))</f>
        <v/>
      </c>
    </row>
    <row r="89" spans="1:10" x14ac:dyDescent="0.2">
      <c r="A89" s="148">
        <f>Sales_Entry!A89</f>
        <v>66919</v>
      </c>
      <c r="B89" s="149" t="str">
        <f>Sales_Entry!C89</f>
        <v>ORGANIC TARKALI</v>
      </c>
      <c r="C89" s="149" t="s">
        <v>984</v>
      </c>
      <c r="D89" s="149" t="str">
        <f>Sales_Entry!B89</f>
        <v>BILL-6072</v>
      </c>
      <c r="E89" s="149" t="str">
        <f>Sales_Entry!D89</f>
        <v>Mix Milk</v>
      </c>
      <c r="F89" s="150">
        <f>N(Sales_Entry!I89)</f>
        <v>2375</v>
      </c>
      <c r="G89" s="150">
        <v>0</v>
      </c>
      <c r="H89" s="150">
        <f t="shared" si="1"/>
        <v>2375</v>
      </c>
      <c r="I89" s="149"/>
      <c r="J89" t="str">
        <f>IF($B89="","",IF(AND($B89=Party_Statement!$B$5,$A89&gt;=Party_Statement!$B$6,$A89&lt;=Party_Statement!$D$6),SUMPRODUCT(($B$3:$B89=Party_Statement!$B$5)*($A$3:$A89&gt;=Party_Statement!$B$6)*($A$3:$A89&lt;=Party_Statement!$D$6)),""))</f>
        <v/>
      </c>
    </row>
    <row r="90" spans="1:10" x14ac:dyDescent="0.2">
      <c r="A90" s="148">
        <f>Sales_Entry!A90</f>
        <v>66919</v>
      </c>
      <c r="B90" s="149" t="str">
        <f>Sales_Entry!C90</f>
        <v>ORGANIC TARKALI</v>
      </c>
      <c r="C90" s="149" t="s">
        <v>984</v>
      </c>
      <c r="D90" s="149" t="str">
        <f>Sales_Entry!B90</f>
        <v>BILL-6072</v>
      </c>
      <c r="E90" s="149" t="str">
        <f>Sales_Entry!D90</f>
        <v>Mix Milk</v>
      </c>
      <c r="F90" s="150">
        <f>N(Sales_Entry!I90)</f>
        <v>1020</v>
      </c>
      <c r="G90" s="150">
        <v>0</v>
      </c>
      <c r="H90" s="150">
        <f t="shared" si="1"/>
        <v>3395</v>
      </c>
      <c r="I90" s="149"/>
      <c r="J90" t="str">
        <f>IF($B90="","",IF(AND($B90=Party_Statement!$B$5,$A90&gt;=Party_Statement!$B$6,$A90&lt;=Party_Statement!$D$6),SUMPRODUCT(($B$3:$B90=Party_Statement!$B$5)*($A$3:$A90&gt;=Party_Statement!$B$6)*($A$3:$A90&lt;=Party_Statement!$D$6)),""))</f>
        <v/>
      </c>
    </row>
    <row r="91" spans="1:10" x14ac:dyDescent="0.2">
      <c r="A91" s="148">
        <f>Sales_Entry!A91</f>
        <v>66919</v>
      </c>
      <c r="B91" s="149" t="str">
        <f>Sales_Entry!C91</f>
        <v>BHUSAL JANARAL</v>
      </c>
      <c r="C91" s="149" t="s">
        <v>984</v>
      </c>
      <c r="D91" s="149" t="str">
        <f>Sales_Entry!B91</f>
        <v>BILL-6073</v>
      </c>
      <c r="E91" s="149" t="str">
        <f>Sales_Entry!D91</f>
        <v>Mix Milk</v>
      </c>
      <c r="F91" s="150">
        <f>N(Sales_Entry!I91)</f>
        <v>430</v>
      </c>
      <c r="G91" s="150">
        <v>0</v>
      </c>
      <c r="H91" s="150">
        <f t="shared" si="1"/>
        <v>430</v>
      </c>
      <c r="I91" s="149"/>
      <c r="J91" t="str">
        <f>IF($B91="","",IF(AND($B91=Party_Statement!$B$5,$A91&gt;=Party_Statement!$B$6,$A91&lt;=Party_Statement!$D$6),SUMPRODUCT(($B$3:$B91=Party_Statement!$B$5)*($A$3:$A91&gt;=Party_Statement!$B$6)*($A$3:$A91&lt;=Party_Statement!$D$6)),""))</f>
        <v/>
      </c>
    </row>
    <row r="92" spans="1:10" x14ac:dyDescent="0.2">
      <c r="A92" s="148">
        <f>Sales_Entry!A92</f>
        <v>66919</v>
      </c>
      <c r="B92" s="149" t="str">
        <f>Sales_Entry!C92</f>
        <v>LOCAL</v>
      </c>
      <c r="C92" s="149" t="s">
        <v>984</v>
      </c>
      <c r="D92" s="149" t="str">
        <f>Sales_Entry!B92</f>
        <v>BILL-6074</v>
      </c>
      <c r="E92" s="149" t="str">
        <f>Sales_Entry!D92</f>
        <v>Mix Milk</v>
      </c>
      <c r="F92" s="150">
        <f>N(Sales_Entry!I92)</f>
        <v>419.98500000000001</v>
      </c>
      <c r="G92" s="150">
        <v>0</v>
      </c>
      <c r="H92" s="150">
        <f t="shared" si="1"/>
        <v>419.98500000000001</v>
      </c>
      <c r="I92" s="149"/>
      <c r="J92" t="str">
        <f>IF($B92="","",IF(AND($B92=Party_Statement!$B$5,$A92&gt;=Party_Statement!$B$6,$A92&lt;=Party_Statement!$D$6),SUMPRODUCT(($B$3:$B92=Party_Statement!$B$5)*($A$3:$A92&gt;=Party_Statement!$B$6)*($A$3:$A92&lt;=Party_Statement!$D$6)),""))</f>
        <v/>
      </c>
    </row>
    <row r="93" spans="1:10" x14ac:dyDescent="0.2">
      <c r="A93" s="148">
        <f>Sales_Entry!A93</f>
        <v>66919</v>
      </c>
      <c r="B93" s="149" t="str">
        <f>Sales_Entry!C93</f>
        <v>LOCAL</v>
      </c>
      <c r="C93" s="149" t="s">
        <v>984</v>
      </c>
      <c r="D93" s="149" t="str">
        <f>Sales_Entry!B93</f>
        <v>BILL-6074</v>
      </c>
      <c r="E93" s="149" t="str">
        <f>Sales_Entry!D93</f>
        <v>PANEER</v>
      </c>
      <c r="F93" s="150">
        <f>N(Sales_Entry!I93)</f>
        <v>400</v>
      </c>
      <c r="G93" s="150">
        <v>0</v>
      </c>
      <c r="H93" s="150">
        <f t="shared" si="1"/>
        <v>819.98500000000001</v>
      </c>
      <c r="I93" s="149"/>
      <c r="J93" t="str">
        <f>IF($B93="","",IF(AND($B93=Party_Statement!$B$5,$A93&gt;=Party_Statement!$B$6,$A93&lt;=Party_Statement!$D$6),SUMPRODUCT(($B$3:$B93=Party_Statement!$B$5)*($A$3:$A93&gt;=Party_Statement!$B$6)*($A$3:$A93&lt;=Party_Statement!$D$6)),""))</f>
        <v/>
      </c>
    </row>
    <row r="94" spans="1:10" x14ac:dyDescent="0.2">
      <c r="A94" s="148">
        <f>Sales_Entry!A94</f>
        <v>66919</v>
      </c>
      <c r="B94" s="149" t="str">
        <f>Sales_Entry!C94</f>
        <v xml:space="preserve">NAR BAHADUR RANA </v>
      </c>
      <c r="C94" s="149" t="s">
        <v>984</v>
      </c>
      <c r="D94" s="149" t="str">
        <f>Sales_Entry!B94</f>
        <v>BILL-6075</v>
      </c>
      <c r="E94" s="149" t="str">
        <f>Sales_Entry!D94</f>
        <v>Mix Milk</v>
      </c>
      <c r="F94" s="150">
        <f>N(Sales_Entry!I94)</f>
        <v>510</v>
      </c>
      <c r="G94" s="150">
        <v>0</v>
      </c>
      <c r="H94" s="150">
        <f t="shared" si="1"/>
        <v>510</v>
      </c>
      <c r="I94" s="149"/>
      <c r="J94" t="str">
        <f>IF($B94="","",IF(AND($B94=Party_Statement!$B$5,$A94&gt;=Party_Statement!$B$6,$A94&lt;=Party_Statement!$D$6),SUMPRODUCT(($B$3:$B94=Party_Statement!$B$5)*($A$3:$A94&gt;=Party_Statement!$B$6)*($A$3:$A94&lt;=Party_Statement!$D$6)),""))</f>
        <v/>
      </c>
    </row>
    <row r="95" spans="1:10" x14ac:dyDescent="0.2">
      <c r="A95" s="148">
        <f>Sales_Entry!A95</f>
        <v>66919</v>
      </c>
      <c r="B95" s="149" t="str">
        <f>Sales_Entry!C95</f>
        <v>CHHATRABHUMI</v>
      </c>
      <c r="C95" s="149" t="s">
        <v>984</v>
      </c>
      <c r="D95" s="149" t="str">
        <f>Sales_Entry!B95</f>
        <v>BILL-6076</v>
      </c>
      <c r="E95" s="149" t="str">
        <f>Sales_Entry!D95</f>
        <v>Mix Milk</v>
      </c>
      <c r="F95" s="150">
        <f>N(Sales_Entry!I95)</f>
        <v>860</v>
      </c>
      <c r="G95" s="150">
        <v>0</v>
      </c>
      <c r="H95" s="150">
        <f t="shared" si="1"/>
        <v>860</v>
      </c>
      <c r="I95" s="149"/>
      <c r="J95" t="str">
        <f>IF($B95="","",IF(AND($B95=Party_Statement!$B$5,$A95&gt;=Party_Statement!$B$6,$A95&lt;=Party_Statement!$D$6),SUMPRODUCT(($B$3:$B95=Party_Statement!$B$5)*($A$3:$A95&gt;=Party_Statement!$B$6)*($A$3:$A95&lt;=Party_Statement!$D$6)),""))</f>
        <v/>
      </c>
    </row>
    <row r="96" spans="1:10" x14ac:dyDescent="0.2">
      <c r="A96" s="148">
        <f>Sales_Entry!A96</f>
        <v>66920</v>
      </c>
      <c r="B96" s="149" t="str">
        <f>Sales_Entry!C96</f>
        <v>SRIJANA DAIRY (DEVI NAGAR)</v>
      </c>
      <c r="C96" s="149" t="s">
        <v>984</v>
      </c>
      <c r="D96" s="149" t="str">
        <f>Sales_Entry!B96</f>
        <v>BILL-6077</v>
      </c>
      <c r="E96" s="149" t="str">
        <f>Sales_Entry!D96</f>
        <v>Mix Milk</v>
      </c>
      <c r="F96" s="150">
        <f>N(Sales_Entry!I96)</f>
        <v>5100</v>
      </c>
      <c r="G96" s="150">
        <v>0</v>
      </c>
      <c r="H96" s="150">
        <f t="shared" si="1"/>
        <v>5100</v>
      </c>
      <c r="I96" s="149"/>
      <c r="J96" t="str">
        <f>IF($B96="","",IF(AND($B96=Party_Statement!$B$5,$A96&gt;=Party_Statement!$B$6,$A96&lt;=Party_Statement!$D$6),SUMPRODUCT(($B$3:$B96=Party_Statement!$B$5)*($A$3:$A96&gt;=Party_Statement!$B$6)*($A$3:$A96&lt;=Party_Statement!$D$6)),""))</f>
        <v/>
      </c>
    </row>
    <row r="97" spans="1:10" x14ac:dyDescent="0.2">
      <c r="A97" s="148">
        <f>Sales_Entry!A97</f>
        <v>66920</v>
      </c>
      <c r="B97" s="149" t="str">
        <f>Sales_Entry!C97</f>
        <v xml:space="preserve">SOBHA BHATTARAI </v>
      </c>
      <c r="C97" s="149" t="s">
        <v>984</v>
      </c>
      <c r="D97" s="149" t="str">
        <f>Sales_Entry!B97</f>
        <v>BILL-6078</v>
      </c>
      <c r="E97" s="149" t="str">
        <f>Sales_Entry!D97</f>
        <v>Mix Milk</v>
      </c>
      <c r="F97" s="150">
        <f>N(Sales_Entry!I97)</f>
        <v>2550</v>
      </c>
      <c r="G97" s="150">
        <v>0</v>
      </c>
      <c r="H97" s="150">
        <f t="shared" si="1"/>
        <v>2550</v>
      </c>
      <c r="I97" s="149"/>
      <c r="J97" t="str">
        <f>IF($B97="","",IF(AND($B97=Party_Statement!$B$5,$A97&gt;=Party_Statement!$B$6,$A97&lt;=Party_Statement!$D$6),SUMPRODUCT(($B$3:$B97=Party_Statement!$B$5)*($A$3:$A97&gt;=Party_Statement!$B$6)*($A$3:$A97&lt;=Party_Statement!$D$6)),""))</f>
        <v/>
      </c>
    </row>
    <row r="98" spans="1:10" x14ac:dyDescent="0.2">
      <c r="A98" s="148">
        <f>Sales_Entry!A98</f>
        <v>66920</v>
      </c>
      <c r="B98" s="149" t="str">
        <f>Sales_Entry!C98</f>
        <v>MANAKAMANA DAIRY</v>
      </c>
      <c r="C98" s="149" t="s">
        <v>984</v>
      </c>
      <c r="D98" s="149" t="str">
        <f>Sales_Entry!B98</f>
        <v>BILL-6079</v>
      </c>
      <c r="E98" s="149" t="str">
        <f>Sales_Entry!D98</f>
        <v>Mix Milk</v>
      </c>
      <c r="F98" s="150">
        <f>N(Sales_Entry!I98)</f>
        <v>850</v>
      </c>
      <c r="G98" s="150">
        <v>0</v>
      </c>
      <c r="H98" s="150">
        <f t="shared" si="1"/>
        <v>850</v>
      </c>
      <c r="I98" s="149"/>
      <c r="J98" t="str">
        <f>IF($B98="","",IF(AND($B98=Party_Statement!$B$5,$A98&gt;=Party_Statement!$B$6,$A98&lt;=Party_Statement!$D$6),SUMPRODUCT(($B$3:$B98=Party_Statement!$B$5)*($A$3:$A98&gt;=Party_Statement!$B$6)*($A$3:$A98&lt;=Party_Statement!$D$6)),""))</f>
        <v/>
      </c>
    </row>
    <row r="99" spans="1:10" x14ac:dyDescent="0.2">
      <c r="A99" s="148">
        <f>Sales_Entry!A99</f>
        <v>66920</v>
      </c>
      <c r="B99" s="149" t="str">
        <f>Sales_Entry!C99</f>
        <v xml:space="preserve">SAMIKSHYA </v>
      </c>
      <c r="C99" s="149" t="s">
        <v>984</v>
      </c>
      <c r="D99" s="149" t="str">
        <f>Sales_Entry!B99</f>
        <v>BILL-6080</v>
      </c>
      <c r="E99" s="149" t="str">
        <f>Sales_Entry!D99</f>
        <v>Mix Milk</v>
      </c>
      <c r="F99" s="150">
        <f>N(Sales_Entry!I99)</f>
        <v>850</v>
      </c>
      <c r="G99" s="150">
        <v>0</v>
      </c>
      <c r="H99" s="150">
        <f t="shared" si="1"/>
        <v>850</v>
      </c>
      <c r="I99" s="149"/>
      <c r="J99" t="str">
        <f>IF($B99="","",IF(AND($B99=Party_Statement!$B$5,$A99&gt;=Party_Statement!$B$6,$A99&lt;=Party_Statement!$D$6),SUMPRODUCT(($B$3:$B99=Party_Statement!$B$5)*($A$3:$A99&gt;=Party_Statement!$B$6)*($A$3:$A99&lt;=Party_Statement!$D$6)),""))</f>
        <v/>
      </c>
    </row>
    <row r="100" spans="1:10" x14ac:dyDescent="0.2">
      <c r="A100" s="148">
        <f>Sales_Entry!A100</f>
        <v>66920</v>
      </c>
      <c r="B100" s="149" t="str">
        <f>Sales_Entry!C100</f>
        <v>KRISHNA KHAREL</v>
      </c>
      <c r="C100" s="149" t="s">
        <v>984</v>
      </c>
      <c r="D100" s="149" t="str">
        <f>Sales_Entry!B100</f>
        <v>BILL-6081</v>
      </c>
      <c r="E100" s="149" t="str">
        <f>Sales_Entry!D100</f>
        <v>Mix Milk</v>
      </c>
      <c r="F100" s="150">
        <f>N(Sales_Entry!I100)</f>
        <v>344</v>
      </c>
      <c r="G100" s="150">
        <v>0</v>
      </c>
      <c r="H100" s="150">
        <f t="shared" si="1"/>
        <v>344</v>
      </c>
      <c r="I100" s="149"/>
      <c r="J100" t="str">
        <f>IF($B100="","",IF(AND($B100=Party_Statement!$B$5,$A100&gt;=Party_Statement!$B$6,$A100&lt;=Party_Statement!$D$6),SUMPRODUCT(($B$3:$B100=Party_Statement!$B$5)*($A$3:$A100&gt;=Party_Statement!$B$6)*($A$3:$A100&lt;=Party_Statement!$D$6)),""))</f>
        <v/>
      </c>
    </row>
    <row r="101" spans="1:10" x14ac:dyDescent="0.2">
      <c r="A101" s="148">
        <f>Sales_Entry!A101</f>
        <v>66920</v>
      </c>
      <c r="B101" s="149" t="str">
        <f>Sales_Entry!C101</f>
        <v>CHHATRABHUMI</v>
      </c>
      <c r="C101" s="149" t="s">
        <v>984</v>
      </c>
      <c r="D101" s="149" t="str">
        <f>Sales_Entry!B101</f>
        <v>BILL-6082</v>
      </c>
      <c r="E101" s="149" t="str">
        <f>Sales_Entry!D101</f>
        <v>Mix Milk</v>
      </c>
      <c r="F101" s="150">
        <f>N(Sales_Entry!I101)</f>
        <v>1720</v>
      </c>
      <c r="G101" s="150">
        <v>0</v>
      </c>
      <c r="H101" s="150">
        <f t="shared" si="1"/>
        <v>1720</v>
      </c>
      <c r="I101" s="149"/>
      <c r="J101" t="str">
        <f>IF($B101="","",IF(AND($B101=Party_Statement!$B$5,$A101&gt;=Party_Statement!$B$6,$A101&lt;=Party_Statement!$D$6),SUMPRODUCT(($B$3:$B101=Party_Statement!$B$5)*($A$3:$A101&gt;=Party_Statement!$B$6)*($A$3:$A101&lt;=Party_Statement!$D$6)),""))</f>
        <v/>
      </c>
    </row>
    <row r="102" spans="1:10" x14ac:dyDescent="0.2">
      <c r="A102" s="148">
        <f>Sales_Entry!A102</f>
        <v>66920</v>
      </c>
      <c r="B102" s="149" t="str">
        <f>Sales_Entry!C102</f>
        <v>PALPALI</v>
      </c>
      <c r="C102" s="149" t="s">
        <v>984</v>
      </c>
      <c r="D102" s="149" t="str">
        <f>Sales_Entry!B102</f>
        <v>BILL-6083</v>
      </c>
      <c r="E102" s="149" t="str">
        <f>Sales_Entry!D102</f>
        <v>Mix Milk</v>
      </c>
      <c r="F102" s="150">
        <f>N(Sales_Entry!I102)</f>
        <v>1700</v>
      </c>
      <c r="G102" s="150">
        <v>0</v>
      </c>
      <c r="H102" s="150">
        <f t="shared" si="1"/>
        <v>1700</v>
      </c>
      <c r="I102" s="149"/>
      <c r="J102" t="str">
        <f>IF($B102="","",IF(AND($B102=Party_Statement!$B$5,$A102&gt;=Party_Statement!$B$6,$A102&lt;=Party_Statement!$D$6),SUMPRODUCT(($B$3:$B102=Party_Statement!$B$5)*($A$3:$A102&gt;=Party_Statement!$B$6)*($A$3:$A102&lt;=Party_Statement!$D$6)),""))</f>
        <v/>
      </c>
    </row>
    <row r="103" spans="1:10" x14ac:dyDescent="0.2">
      <c r="A103" s="148">
        <f>Sales_Entry!A103</f>
        <v>66920</v>
      </c>
      <c r="B103" s="149" t="str">
        <f>Sales_Entry!C103</f>
        <v xml:space="preserve">AAMOSH KIRANA </v>
      </c>
      <c r="C103" s="149" t="s">
        <v>984</v>
      </c>
      <c r="D103" s="149" t="str">
        <f>Sales_Entry!B103</f>
        <v>BILL-6084</v>
      </c>
      <c r="E103" s="149" t="str">
        <f>Sales_Entry!D103</f>
        <v>Mix Milk</v>
      </c>
      <c r="F103" s="150">
        <f>N(Sales_Entry!I103)</f>
        <v>3440</v>
      </c>
      <c r="G103" s="150">
        <v>0</v>
      </c>
      <c r="H103" s="150">
        <f t="shared" si="1"/>
        <v>3440</v>
      </c>
      <c r="I103" s="149"/>
      <c r="J103" t="str">
        <f>IF($B103="","",IF(AND($B103=Party_Statement!$B$5,$A103&gt;=Party_Statement!$B$6,$A103&lt;=Party_Statement!$D$6),SUMPRODUCT(($B$3:$B103=Party_Statement!$B$5)*($A$3:$A103&gt;=Party_Statement!$B$6)*($A$3:$A103&lt;=Party_Statement!$D$6)),""))</f>
        <v/>
      </c>
    </row>
    <row r="104" spans="1:10" x14ac:dyDescent="0.2">
      <c r="A104" s="148">
        <f>Sales_Entry!A104</f>
        <v>66920</v>
      </c>
      <c r="B104" s="149" t="str">
        <f>Sales_Entry!C104</f>
        <v xml:space="preserve">AAMOSH KIRANA </v>
      </c>
      <c r="C104" s="149" t="s">
        <v>984</v>
      </c>
      <c r="D104" s="149" t="str">
        <f>Sales_Entry!B104</f>
        <v>BILL-6084</v>
      </c>
      <c r="E104" s="149" t="str">
        <f>Sales_Entry!D104</f>
        <v>Mix Milk</v>
      </c>
      <c r="F104" s="150">
        <f>N(Sales_Entry!I104)</f>
        <v>2975</v>
      </c>
      <c r="G104" s="150">
        <v>0</v>
      </c>
      <c r="H104" s="150">
        <f t="shared" si="1"/>
        <v>6415</v>
      </c>
      <c r="I104" s="149"/>
      <c r="J104" t="str">
        <f>IF($B104="","",IF(AND($B104=Party_Statement!$B$5,$A104&gt;=Party_Statement!$B$6,$A104&lt;=Party_Statement!$D$6),SUMPRODUCT(($B$3:$B104=Party_Statement!$B$5)*($A$3:$A104&gt;=Party_Statement!$B$6)*($A$3:$A104&lt;=Party_Statement!$D$6)),""))</f>
        <v/>
      </c>
    </row>
    <row r="105" spans="1:10" x14ac:dyDescent="0.2">
      <c r="A105" s="148">
        <f>Sales_Entry!A105</f>
        <v>66920</v>
      </c>
      <c r="B105" s="149" t="str">
        <f>Sales_Entry!C105</f>
        <v xml:space="preserve">AAMOSH KIRANA </v>
      </c>
      <c r="C105" s="149" t="s">
        <v>984</v>
      </c>
      <c r="D105" s="149" t="str">
        <f>Sales_Entry!B105</f>
        <v>BILL-6084</v>
      </c>
      <c r="E105" s="149" t="str">
        <f>Sales_Entry!D105</f>
        <v>Cow Milk</v>
      </c>
      <c r="F105" s="150">
        <f>N(Sales_Entry!I105)</f>
        <v>80</v>
      </c>
      <c r="G105" s="150">
        <v>0</v>
      </c>
      <c r="H105" s="150">
        <f t="shared" si="1"/>
        <v>6495</v>
      </c>
      <c r="I105" s="149"/>
      <c r="J105" t="str">
        <f>IF($B105="","",IF(AND($B105=Party_Statement!$B$5,$A105&gt;=Party_Statement!$B$6,$A105&lt;=Party_Statement!$D$6),SUMPRODUCT(($B$3:$B105=Party_Statement!$B$5)*($A$3:$A105&gt;=Party_Statement!$B$6)*($A$3:$A105&lt;=Party_Statement!$D$6)),""))</f>
        <v/>
      </c>
    </row>
    <row r="106" spans="1:10" x14ac:dyDescent="0.2">
      <c r="A106" s="148">
        <f>Sales_Entry!A106</f>
        <v>66920</v>
      </c>
      <c r="B106" s="149" t="str">
        <f>Sales_Entry!C106</f>
        <v xml:space="preserve">DEURALI KIRANA </v>
      </c>
      <c r="C106" s="149" t="s">
        <v>984</v>
      </c>
      <c r="D106" s="149" t="str">
        <f>Sales_Entry!B106</f>
        <v>BILL-6085</v>
      </c>
      <c r="E106" s="149" t="str">
        <f>Sales_Entry!D106</f>
        <v>Mix Milk</v>
      </c>
      <c r="F106" s="150">
        <f>N(Sales_Entry!I106)</f>
        <v>425</v>
      </c>
      <c r="G106" s="150">
        <v>0</v>
      </c>
      <c r="H106" s="150">
        <f t="shared" si="1"/>
        <v>425</v>
      </c>
      <c r="I106" s="149"/>
      <c r="J106" t="str">
        <f>IF($B106="","",IF(AND($B106=Party_Statement!$B$5,$A106&gt;=Party_Statement!$B$6,$A106&lt;=Party_Statement!$D$6),SUMPRODUCT(($B$3:$B106=Party_Statement!$B$5)*($A$3:$A106&gt;=Party_Statement!$B$6)*($A$3:$A106&lt;=Party_Statement!$D$6)),""))</f>
        <v/>
      </c>
    </row>
    <row r="107" spans="1:10" x14ac:dyDescent="0.2">
      <c r="A107" s="148">
        <f>Sales_Entry!A107</f>
        <v>66920</v>
      </c>
      <c r="B107" s="149" t="str">
        <f>Sales_Entry!C107</f>
        <v xml:space="preserve">GIRI KIRANA </v>
      </c>
      <c r="C107" s="149" t="s">
        <v>984</v>
      </c>
      <c r="D107" s="149" t="str">
        <f>Sales_Entry!B107</f>
        <v>BILL-6086</v>
      </c>
      <c r="E107" s="149" t="str">
        <f>Sales_Entry!D107</f>
        <v>Mix Milk</v>
      </c>
      <c r="F107" s="150">
        <f>N(Sales_Entry!I107)</f>
        <v>1275</v>
      </c>
      <c r="G107" s="150">
        <v>0</v>
      </c>
      <c r="H107" s="150">
        <f t="shared" si="1"/>
        <v>1275</v>
      </c>
      <c r="I107" s="149"/>
      <c r="J107" t="str">
        <f>IF($B107="","",IF(AND($B107=Party_Statement!$B$5,$A107&gt;=Party_Statement!$B$6,$A107&lt;=Party_Statement!$D$6),SUMPRODUCT(($B$3:$B107=Party_Statement!$B$5)*($A$3:$A107&gt;=Party_Statement!$B$6)*($A$3:$A107&lt;=Party_Statement!$D$6)),""))</f>
        <v/>
      </c>
    </row>
    <row r="108" spans="1:10" x14ac:dyDescent="0.2">
      <c r="A108" s="148">
        <f>Sales_Entry!A108</f>
        <v>66920</v>
      </c>
      <c r="B108" s="149" t="str">
        <f>Sales_Entry!C108</f>
        <v xml:space="preserve">AAYUSH AAYUSHMA </v>
      </c>
      <c r="C108" s="149" t="s">
        <v>984</v>
      </c>
      <c r="D108" s="149" t="str">
        <f>Sales_Entry!B108</f>
        <v>BILL-6087</v>
      </c>
      <c r="E108" s="149" t="str">
        <f>Sales_Entry!D108</f>
        <v>Mix Milk</v>
      </c>
      <c r="F108" s="150">
        <f>N(Sales_Entry!I108)</f>
        <v>425</v>
      </c>
      <c r="G108" s="150">
        <v>0</v>
      </c>
      <c r="H108" s="150">
        <f t="shared" si="1"/>
        <v>425</v>
      </c>
      <c r="I108" s="149"/>
      <c r="J108" t="str">
        <f>IF($B108="","",IF(AND($B108=Party_Statement!$B$5,$A108&gt;=Party_Statement!$B$6,$A108&lt;=Party_Statement!$D$6),SUMPRODUCT(($B$3:$B108=Party_Statement!$B$5)*($A$3:$A108&gt;=Party_Statement!$B$6)*($A$3:$A108&lt;=Party_Statement!$D$6)),""))</f>
        <v/>
      </c>
    </row>
    <row r="109" spans="1:10" x14ac:dyDescent="0.2">
      <c r="A109" s="148">
        <f>Sales_Entry!A109</f>
        <v>66920</v>
      </c>
      <c r="B109" s="149" t="str">
        <f>Sales_Entry!C109</f>
        <v xml:space="preserve">YUBARAJ AND SAMRAT </v>
      </c>
      <c r="C109" s="149" t="s">
        <v>984</v>
      </c>
      <c r="D109" s="149" t="str">
        <f>Sales_Entry!B109</f>
        <v>BILL-6088</v>
      </c>
      <c r="E109" s="149" t="str">
        <f>Sales_Entry!D109</f>
        <v>Mix Milk</v>
      </c>
      <c r="F109" s="150">
        <f>N(Sales_Entry!I109)</f>
        <v>1020</v>
      </c>
      <c r="G109" s="150">
        <v>0</v>
      </c>
      <c r="H109" s="150">
        <f t="shared" si="1"/>
        <v>1020</v>
      </c>
      <c r="I109" s="149"/>
      <c r="J109" t="str">
        <f>IF($B109="","",IF(AND($B109=Party_Statement!$B$5,$A109&gt;=Party_Statement!$B$6,$A109&lt;=Party_Statement!$D$6),SUMPRODUCT(($B$3:$B109=Party_Statement!$B$5)*($A$3:$A109&gt;=Party_Statement!$B$6)*($A$3:$A109&lt;=Party_Statement!$D$6)),""))</f>
        <v/>
      </c>
    </row>
    <row r="110" spans="1:10" x14ac:dyDescent="0.2">
      <c r="A110" s="148">
        <f>Sales_Entry!A110</f>
        <v>66920</v>
      </c>
      <c r="B110" s="149" t="str">
        <f>Sales_Entry!C110</f>
        <v xml:space="preserve">KRITIKA KIRANA </v>
      </c>
      <c r="C110" s="149" t="s">
        <v>984</v>
      </c>
      <c r="D110" s="149" t="str">
        <f>Sales_Entry!B110</f>
        <v>BILL-6089</v>
      </c>
      <c r="E110" s="149" t="str">
        <f>Sales_Entry!D110</f>
        <v>Mix Milk</v>
      </c>
      <c r="F110" s="150">
        <f>N(Sales_Entry!I110)</f>
        <v>1720</v>
      </c>
      <c r="G110" s="150">
        <v>0</v>
      </c>
      <c r="H110" s="150">
        <f t="shared" si="1"/>
        <v>1720</v>
      </c>
      <c r="I110" s="149"/>
      <c r="J110" t="str">
        <f>IF($B110="","",IF(AND($B110=Party_Statement!$B$5,$A110&gt;=Party_Statement!$B$6,$A110&lt;=Party_Statement!$D$6),SUMPRODUCT(($B$3:$B110=Party_Statement!$B$5)*($A$3:$A110&gt;=Party_Statement!$B$6)*($A$3:$A110&lt;=Party_Statement!$D$6)),""))</f>
        <v/>
      </c>
    </row>
    <row r="111" spans="1:10" x14ac:dyDescent="0.2">
      <c r="A111" s="148">
        <f>Sales_Entry!A111</f>
        <v>66920</v>
      </c>
      <c r="B111" s="149" t="str">
        <f>Sales_Entry!C111</f>
        <v>ORGANIC TARKALI</v>
      </c>
      <c r="C111" s="149" t="s">
        <v>984</v>
      </c>
      <c r="D111" s="149" t="str">
        <f>Sales_Entry!B111</f>
        <v>BILL-6090</v>
      </c>
      <c r="E111" s="149" t="str">
        <f>Sales_Entry!D111</f>
        <v>Mix Milk</v>
      </c>
      <c r="F111" s="150">
        <f>N(Sales_Entry!I111)</f>
        <v>2375</v>
      </c>
      <c r="G111" s="150">
        <v>0</v>
      </c>
      <c r="H111" s="150">
        <f t="shared" si="1"/>
        <v>2375</v>
      </c>
      <c r="I111" s="149"/>
      <c r="J111" t="str">
        <f>IF($B111="","",IF(AND($B111=Party_Statement!$B$5,$A111&gt;=Party_Statement!$B$6,$A111&lt;=Party_Statement!$D$6),SUMPRODUCT(($B$3:$B111=Party_Statement!$B$5)*($A$3:$A111&gt;=Party_Statement!$B$6)*($A$3:$A111&lt;=Party_Statement!$D$6)),""))</f>
        <v/>
      </c>
    </row>
    <row r="112" spans="1:10" x14ac:dyDescent="0.2">
      <c r="A112" s="148">
        <f>Sales_Entry!A112</f>
        <v>66920</v>
      </c>
      <c r="B112" s="149" t="str">
        <f>Sales_Entry!C112</f>
        <v>ORGANIC TARKALI</v>
      </c>
      <c r="C112" s="149" t="s">
        <v>984</v>
      </c>
      <c r="D112" s="149" t="str">
        <f>Sales_Entry!B112</f>
        <v>BILL-6090</v>
      </c>
      <c r="E112" s="149" t="str">
        <f>Sales_Entry!D112</f>
        <v>Mix Milk</v>
      </c>
      <c r="F112" s="150">
        <f>N(Sales_Entry!I112)</f>
        <v>1020</v>
      </c>
      <c r="G112" s="150">
        <v>0</v>
      </c>
      <c r="H112" s="150">
        <f t="shared" si="1"/>
        <v>3395</v>
      </c>
      <c r="I112" s="149"/>
      <c r="J112" t="str">
        <f>IF($B112="","",IF(AND($B112=Party_Statement!$B$5,$A112&gt;=Party_Statement!$B$6,$A112&lt;=Party_Statement!$D$6),SUMPRODUCT(($B$3:$B112=Party_Statement!$B$5)*($A$3:$A112&gt;=Party_Statement!$B$6)*($A$3:$A112&lt;=Party_Statement!$D$6)),""))</f>
        <v/>
      </c>
    </row>
    <row r="113" spans="1:10" x14ac:dyDescent="0.2">
      <c r="A113" s="148">
        <f>Sales_Entry!A113</f>
        <v>66920</v>
      </c>
      <c r="B113" s="149" t="str">
        <f>Sales_Entry!C113</f>
        <v>SHARMA DAI</v>
      </c>
      <c r="C113" s="149" t="s">
        <v>984</v>
      </c>
      <c r="D113" s="149" t="str">
        <f>Sales_Entry!B113</f>
        <v>BILL-6091</v>
      </c>
      <c r="E113" s="149" t="str">
        <f>Sales_Entry!D113</f>
        <v>Mix Milk</v>
      </c>
      <c r="F113" s="150">
        <f>N(Sales_Entry!I113)</f>
        <v>2100</v>
      </c>
      <c r="G113" s="150">
        <v>0</v>
      </c>
      <c r="H113" s="150">
        <f t="shared" si="1"/>
        <v>2100</v>
      </c>
      <c r="I113" s="149"/>
      <c r="J113" t="str">
        <f>IF($B113="","",IF(AND($B113=Party_Statement!$B$5,$A113&gt;=Party_Statement!$B$6,$A113&lt;=Party_Statement!$D$6),SUMPRODUCT(($B$3:$B113=Party_Statement!$B$5)*($A$3:$A113&gt;=Party_Statement!$B$6)*($A$3:$A113&lt;=Party_Statement!$D$6)),""))</f>
        <v/>
      </c>
    </row>
    <row r="114" spans="1:10" x14ac:dyDescent="0.2">
      <c r="A114" s="148">
        <f>Sales_Entry!A114</f>
        <v>66920</v>
      </c>
      <c r="B114" s="149" t="str">
        <f>Sales_Entry!C114</f>
        <v>GANGA NEUPANE</v>
      </c>
      <c r="C114" s="149" t="s">
        <v>984</v>
      </c>
      <c r="D114" s="149" t="str">
        <f>Sales_Entry!B114</f>
        <v>BILL-6092</v>
      </c>
      <c r="E114" s="149" t="str">
        <f>Sales_Entry!D114</f>
        <v>Mix Milk</v>
      </c>
      <c r="F114" s="150">
        <f>N(Sales_Entry!I114)</f>
        <v>680</v>
      </c>
      <c r="G114" s="150">
        <v>0</v>
      </c>
      <c r="H114" s="150">
        <f t="shared" si="1"/>
        <v>680</v>
      </c>
      <c r="I114" s="149"/>
      <c r="J114" t="str">
        <f>IF($B114="","",IF(AND($B114=Party_Statement!$B$5,$A114&gt;=Party_Statement!$B$6,$A114&lt;=Party_Statement!$D$6),SUMPRODUCT(($B$3:$B114=Party_Statement!$B$5)*($A$3:$A114&gt;=Party_Statement!$B$6)*($A$3:$A114&lt;=Party_Statement!$D$6)),""))</f>
        <v/>
      </c>
    </row>
    <row r="115" spans="1:10" x14ac:dyDescent="0.2">
      <c r="A115" s="148">
        <f>Sales_Entry!A115</f>
        <v>66920</v>
      </c>
      <c r="B115" s="149" t="str">
        <f>Sales_Entry!C115</f>
        <v>LOCAL</v>
      </c>
      <c r="C115" s="149" t="s">
        <v>984</v>
      </c>
      <c r="D115" s="149" t="str">
        <f>Sales_Entry!B115</f>
        <v>BILL-6093</v>
      </c>
      <c r="E115" s="149" t="str">
        <f>Sales_Entry!D115</f>
        <v>Mix Milk</v>
      </c>
      <c r="F115" s="150">
        <f>N(Sales_Entry!I115)</f>
        <v>915</v>
      </c>
      <c r="G115" s="150">
        <v>0</v>
      </c>
      <c r="H115" s="150">
        <f t="shared" si="1"/>
        <v>915</v>
      </c>
      <c r="I115" s="149"/>
      <c r="J115" t="str">
        <f>IF($B115="","",IF(AND($B115=Party_Statement!$B$5,$A115&gt;=Party_Statement!$B$6,$A115&lt;=Party_Statement!$D$6),SUMPRODUCT(($B$3:$B115=Party_Statement!$B$5)*($A$3:$A115&gt;=Party_Statement!$B$6)*($A$3:$A115&lt;=Party_Statement!$D$6)),""))</f>
        <v/>
      </c>
    </row>
    <row r="116" spans="1:10" x14ac:dyDescent="0.2">
      <c r="A116" s="148">
        <f>Sales_Entry!A116</f>
        <v>66920</v>
      </c>
      <c r="B116" s="149" t="str">
        <f>Sales_Entry!C116</f>
        <v>CHHATRABHUMI</v>
      </c>
      <c r="C116" s="149" t="s">
        <v>984</v>
      </c>
      <c r="D116" s="149" t="str">
        <f>Sales_Entry!B116</f>
        <v>BILL-6094</v>
      </c>
      <c r="E116" s="149" t="str">
        <f>Sales_Entry!D116</f>
        <v>Mix Milk</v>
      </c>
      <c r="F116" s="150">
        <f>N(Sales_Entry!I116)</f>
        <v>860</v>
      </c>
      <c r="G116" s="150">
        <v>0</v>
      </c>
      <c r="H116" s="150">
        <f t="shared" si="1"/>
        <v>860</v>
      </c>
      <c r="I116" s="149"/>
      <c r="J116" t="str">
        <f>IF($B116="","",IF(AND($B116=Party_Statement!$B$5,$A116&gt;=Party_Statement!$B$6,$A116&lt;=Party_Statement!$D$6),SUMPRODUCT(($B$3:$B116=Party_Statement!$B$5)*($A$3:$A116&gt;=Party_Statement!$B$6)*($A$3:$A116&lt;=Party_Statement!$D$6)),""))</f>
        <v/>
      </c>
    </row>
    <row r="117" spans="1:10" x14ac:dyDescent="0.2">
      <c r="A117" s="148">
        <f>Sales_Entry!A117</f>
        <v>66921</v>
      </c>
      <c r="B117" s="149" t="str">
        <f>Sales_Entry!C117</f>
        <v>SRIJANA DAIRY (DEVI NAGAR)</v>
      </c>
      <c r="C117" s="149" t="s">
        <v>984</v>
      </c>
      <c r="D117" s="149" t="str">
        <f>Sales_Entry!B117</f>
        <v>BILL-6095</v>
      </c>
      <c r="E117" s="149" t="str">
        <f>Sales_Entry!D117</f>
        <v>Mix Milk</v>
      </c>
      <c r="F117" s="150">
        <f>N(Sales_Entry!I117)</f>
        <v>5100</v>
      </c>
      <c r="G117" s="150">
        <v>0</v>
      </c>
      <c r="H117" s="150">
        <f t="shared" si="1"/>
        <v>5100</v>
      </c>
      <c r="I117" s="149"/>
      <c r="J117" t="str">
        <f>IF($B117="","",IF(AND($B117=Party_Statement!$B$5,$A117&gt;=Party_Statement!$B$6,$A117&lt;=Party_Statement!$D$6),SUMPRODUCT(($B$3:$B117=Party_Statement!$B$5)*($A$3:$A117&gt;=Party_Statement!$B$6)*($A$3:$A117&lt;=Party_Statement!$D$6)),""))</f>
        <v/>
      </c>
    </row>
    <row r="118" spans="1:10" x14ac:dyDescent="0.2">
      <c r="A118" s="148">
        <f>Sales_Entry!A118</f>
        <v>66921</v>
      </c>
      <c r="B118" s="149" t="str">
        <f>Sales_Entry!C118</f>
        <v xml:space="preserve">SOBHA BHATTARAI </v>
      </c>
      <c r="C118" s="149" t="s">
        <v>984</v>
      </c>
      <c r="D118" s="149" t="str">
        <f>Sales_Entry!B118</f>
        <v>BILL-6096</v>
      </c>
      <c r="E118" s="149" t="str">
        <f>Sales_Entry!D118</f>
        <v>Mix Milk</v>
      </c>
      <c r="F118" s="150">
        <f>N(Sales_Entry!I118)</f>
        <v>2550</v>
      </c>
      <c r="G118" s="150">
        <v>0</v>
      </c>
      <c r="H118" s="150">
        <f t="shared" si="1"/>
        <v>2550</v>
      </c>
      <c r="I118" s="149"/>
      <c r="J118" t="str">
        <f>IF($B118="","",IF(AND($B118=Party_Statement!$B$5,$A118&gt;=Party_Statement!$B$6,$A118&lt;=Party_Statement!$D$6),SUMPRODUCT(($B$3:$B118=Party_Statement!$B$5)*($A$3:$A118&gt;=Party_Statement!$B$6)*($A$3:$A118&lt;=Party_Statement!$D$6)),""))</f>
        <v/>
      </c>
    </row>
    <row r="119" spans="1:10" x14ac:dyDescent="0.2">
      <c r="A119" s="148">
        <f>Sales_Entry!A119</f>
        <v>66921</v>
      </c>
      <c r="B119" s="149" t="str">
        <f>Sales_Entry!C119</f>
        <v>MANAKAMANA DAIRY</v>
      </c>
      <c r="C119" s="149" t="s">
        <v>984</v>
      </c>
      <c r="D119" s="149" t="str">
        <f>Sales_Entry!B119</f>
        <v>BILL-6097</v>
      </c>
      <c r="E119" s="149" t="str">
        <f>Sales_Entry!D119</f>
        <v>Mix Milk</v>
      </c>
      <c r="F119" s="150">
        <f>N(Sales_Entry!I119)</f>
        <v>850</v>
      </c>
      <c r="G119" s="150">
        <v>0</v>
      </c>
      <c r="H119" s="150">
        <f t="shared" si="1"/>
        <v>850</v>
      </c>
      <c r="I119" s="149"/>
      <c r="J119" t="str">
        <f>IF($B119="","",IF(AND($B119=Party_Statement!$B$5,$A119&gt;=Party_Statement!$B$6,$A119&lt;=Party_Statement!$D$6),SUMPRODUCT(($B$3:$B119=Party_Statement!$B$5)*($A$3:$A119&gt;=Party_Statement!$B$6)*($A$3:$A119&lt;=Party_Statement!$D$6)),""))</f>
        <v/>
      </c>
    </row>
    <row r="120" spans="1:10" x14ac:dyDescent="0.2">
      <c r="A120" s="148">
        <f>Sales_Entry!A120</f>
        <v>66921</v>
      </c>
      <c r="B120" s="149" t="str">
        <f>Sales_Entry!C120</f>
        <v xml:space="preserve">SAMIKSHYA </v>
      </c>
      <c r="C120" s="149" t="s">
        <v>984</v>
      </c>
      <c r="D120" s="149" t="str">
        <f>Sales_Entry!B120</f>
        <v>BILL-6098</v>
      </c>
      <c r="E120" s="149" t="str">
        <f>Sales_Entry!D120</f>
        <v>Mix Milk</v>
      </c>
      <c r="F120" s="150">
        <f>N(Sales_Entry!I120)</f>
        <v>850</v>
      </c>
      <c r="G120" s="150">
        <v>0</v>
      </c>
      <c r="H120" s="150">
        <f t="shared" si="1"/>
        <v>850</v>
      </c>
      <c r="I120" s="149"/>
      <c r="J120" t="str">
        <f>IF($B120="","",IF(AND($B120=Party_Statement!$B$5,$A120&gt;=Party_Statement!$B$6,$A120&lt;=Party_Statement!$D$6),SUMPRODUCT(($B$3:$B120=Party_Statement!$B$5)*($A$3:$A120&gt;=Party_Statement!$B$6)*($A$3:$A120&lt;=Party_Statement!$D$6)),""))</f>
        <v/>
      </c>
    </row>
    <row r="121" spans="1:10" x14ac:dyDescent="0.2">
      <c r="A121" s="148">
        <f>Sales_Entry!A121</f>
        <v>66921</v>
      </c>
      <c r="B121" s="149" t="str">
        <f>Sales_Entry!C121</f>
        <v>KRISHNA KHAREL</v>
      </c>
      <c r="C121" s="149" t="s">
        <v>984</v>
      </c>
      <c r="D121" s="149" t="str">
        <f>Sales_Entry!B121</f>
        <v>BILL-6099</v>
      </c>
      <c r="E121" s="149" t="str">
        <f>Sales_Entry!D121</f>
        <v>Mix Milk</v>
      </c>
      <c r="F121" s="150">
        <f>N(Sales_Entry!I121)</f>
        <v>344</v>
      </c>
      <c r="G121" s="150">
        <v>0</v>
      </c>
      <c r="H121" s="150">
        <f t="shared" si="1"/>
        <v>344</v>
      </c>
      <c r="I121" s="149"/>
      <c r="J121" t="str">
        <f>IF($B121="","",IF(AND($B121=Party_Statement!$B$5,$A121&gt;=Party_Statement!$B$6,$A121&lt;=Party_Statement!$D$6),SUMPRODUCT(($B$3:$B121=Party_Statement!$B$5)*($A$3:$A121&gt;=Party_Statement!$B$6)*($A$3:$A121&lt;=Party_Statement!$D$6)),""))</f>
        <v/>
      </c>
    </row>
    <row r="122" spans="1:10" x14ac:dyDescent="0.2">
      <c r="A122" s="148">
        <f>Sales_Entry!A122</f>
        <v>66921</v>
      </c>
      <c r="B122" s="149" t="str">
        <f>Sales_Entry!C122</f>
        <v>CHHATRABHUMI</v>
      </c>
      <c r="C122" s="149" t="s">
        <v>984</v>
      </c>
      <c r="D122" s="149" t="str">
        <f>Sales_Entry!B122</f>
        <v>BILL-6100</v>
      </c>
      <c r="E122" s="149" t="str">
        <f>Sales_Entry!D122</f>
        <v>Mix Milk</v>
      </c>
      <c r="F122" s="150">
        <f>N(Sales_Entry!I122)</f>
        <v>2150</v>
      </c>
      <c r="G122" s="150">
        <v>0</v>
      </c>
      <c r="H122" s="150">
        <f t="shared" si="1"/>
        <v>2150</v>
      </c>
      <c r="I122" s="149"/>
      <c r="J122" t="str">
        <f>IF($B122="","",IF(AND($B122=Party_Statement!$B$5,$A122&gt;=Party_Statement!$B$6,$A122&lt;=Party_Statement!$D$6),SUMPRODUCT(($B$3:$B122=Party_Statement!$B$5)*($A$3:$A122&gt;=Party_Statement!$B$6)*($A$3:$A122&lt;=Party_Statement!$D$6)),""))</f>
        <v/>
      </c>
    </row>
    <row r="123" spans="1:10" x14ac:dyDescent="0.2">
      <c r="A123" s="148">
        <f>Sales_Entry!A123</f>
        <v>66921</v>
      </c>
      <c r="B123" s="149" t="str">
        <f>Sales_Entry!C123</f>
        <v>PALPALI</v>
      </c>
      <c r="C123" s="149" t="s">
        <v>984</v>
      </c>
      <c r="D123" s="149" t="str">
        <f>Sales_Entry!B123</f>
        <v>BILL-6101</v>
      </c>
      <c r="E123" s="149" t="str">
        <f>Sales_Entry!D123</f>
        <v>Mix Milk</v>
      </c>
      <c r="F123" s="150">
        <f>N(Sales_Entry!I123)</f>
        <v>2975</v>
      </c>
      <c r="G123" s="150">
        <v>0</v>
      </c>
      <c r="H123" s="150">
        <f t="shared" si="1"/>
        <v>2975</v>
      </c>
      <c r="I123" s="149"/>
      <c r="J123" t="str">
        <f>IF($B123="","",IF(AND($B123=Party_Statement!$B$5,$A123&gt;=Party_Statement!$B$6,$A123&lt;=Party_Statement!$D$6),SUMPRODUCT(($B$3:$B123=Party_Statement!$B$5)*($A$3:$A123&gt;=Party_Statement!$B$6)*($A$3:$A123&lt;=Party_Statement!$D$6)),""))</f>
        <v/>
      </c>
    </row>
    <row r="124" spans="1:10" x14ac:dyDescent="0.2">
      <c r="A124" s="148">
        <f>Sales_Entry!A124</f>
        <v>66921</v>
      </c>
      <c r="B124" s="149" t="str">
        <f>Sales_Entry!C124</f>
        <v xml:space="preserve">AAMOSH KIRANA </v>
      </c>
      <c r="C124" s="149" t="s">
        <v>984</v>
      </c>
      <c r="D124" s="149" t="str">
        <f>Sales_Entry!B124</f>
        <v>BILL-6102</v>
      </c>
      <c r="E124" s="149" t="str">
        <f>Sales_Entry!D124</f>
        <v>Mix Milk</v>
      </c>
      <c r="F124" s="150">
        <f>N(Sales_Entry!I124)</f>
        <v>3440</v>
      </c>
      <c r="G124" s="150">
        <v>0</v>
      </c>
      <c r="H124" s="150">
        <f t="shared" si="1"/>
        <v>3440</v>
      </c>
      <c r="I124" s="149"/>
      <c r="J124" t="str">
        <f>IF($B124="","",IF(AND($B124=Party_Statement!$B$5,$A124&gt;=Party_Statement!$B$6,$A124&lt;=Party_Statement!$D$6),SUMPRODUCT(($B$3:$B124=Party_Statement!$B$5)*($A$3:$A124&gt;=Party_Statement!$B$6)*($A$3:$A124&lt;=Party_Statement!$D$6)),""))</f>
        <v/>
      </c>
    </row>
    <row r="125" spans="1:10" x14ac:dyDescent="0.2">
      <c r="A125" s="148">
        <f>Sales_Entry!A125</f>
        <v>66921</v>
      </c>
      <c r="B125" s="149" t="str">
        <f>Sales_Entry!C125</f>
        <v xml:space="preserve">AAMOSH KIRANA </v>
      </c>
      <c r="C125" s="149" t="s">
        <v>984</v>
      </c>
      <c r="D125" s="149" t="str">
        <f>Sales_Entry!B125</f>
        <v>BILL-6102</v>
      </c>
      <c r="E125" s="149" t="str">
        <f>Sales_Entry!D125</f>
        <v>Mix Milk</v>
      </c>
      <c r="F125" s="150">
        <f>N(Sales_Entry!I125)</f>
        <v>4250</v>
      </c>
      <c r="G125" s="150">
        <v>0</v>
      </c>
      <c r="H125" s="150">
        <f t="shared" si="1"/>
        <v>7690</v>
      </c>
      <c r="I125" s="149"/>
      <c r="J125" t="str">
        <f>IF($B125="","",IF(AND($B125=Party_Statement!$B$5,$A125&gt;=Party_Statement!$B$6,$A125&lt;=Party_Statement!$D$6),SUMPRODUCT(($B$3:$B125=Party_Statement!$B$5)*($A$3:$A125&gt;=Party_Statement!$B$6)*($A$3:$A125&lt;=Party_Statement!$D$6)),""))</f>
        <v/>
      </c>
    </row>
    <row r="126" spans="1:10" x14ac:dyDescent="0.2">
      <c r="A126" s="148">
        <f>Sales_Entry!A126</f>
        <v>66921</v>
      </c>
      <c r="B126" s="149" t="str">
        <f>Sales_Entry!C126</f>
        <v>KULCHANDRA GYAWALI</v>
      </c>
      <c r="C126" s="149" t="s">
        <v>984</v>
      </c>
      <c r="D126" s="149" t="str">
        <f>Sales_Entry!B126</f>
        <v>BILL-6103</v>
      </c>
      <c r="E126" s="149" t="str">
        <f>Sales_Entry!D126</f>
        <v>NAUNI</v>
      </c>
      <c r="F126" s="150">
        <f>N(Sales_Entry!I126)</f>
        <v>800</v>
      </c>
      <c r="G126" s="150">
        <v>0</v>
      </c>
      <c r="H126" s="150">
        <f t="shared" si="1"/>
        <v>800</v>
      </c>
      <c r="I126" s="149"/>
      <c r="J126" t="str">
        <f>IF($B126="","",IF(AND($B126=Party_Statement!$B$5,$A126&gt;=Party_Statement!$B$6,$A126&lt;=Party_Statement!$D$6),SUMPRODUCT(($B$3:$B126=Party_Statement!$B$5)*($A$3:$A126&gt;=Party_Statement!$B$6)*($A$3:$A126&lt;=Party_Statement!$D$6)),""))</f>
        <v/>
      </c>
    </row>
    <row r="127" spans="1:10" x14ac:dyDescent="0.2">
      <c r="A127" s="148">
        <f>Sales_Entry!A127</f>
        <v>66921</v>
      </c>
      <c r="B127" s="149" t="str">
        <f>Sales_Entry!C127</f>
        <v xml:space="preserve">DEURALI KIRANA </v>
      </c>
      <c r="C127" s="149" t="s">
        <v>984</v>
      </c>
      <c r="D127" s="149" t="str">
        <f>Sales_Entry!B127</f>
        <v>BILL-6104</v>
      </c>
      <c r="E127" s="149" t="str">
        <f>Sales_Entry!D127</f>
        <v>Mix Milk</v>
      </c>
      <c r="F127" s="150">
        <f>N(Sales_Entry!I127)</f>
        <v>425</v>
      </c>
      <c r="G127" s="150">
        <v>0</v>
      </c>
      <c r="H127" s="150">
        <f t="shared" si="1"/>
        <v>425</v>
      </c>
      <c r="I127" s="149"/>
      <c r="J127" t="str">
        <f>IF($B127="","",IF(AND($B127=Party_Statement!$B$5,$A127&gt;=Party_Statement!$B$6,$A127&lt;=Party_Statement!$D$6),SUMPRODUCT(($B$3:$B127=Party_Statement!$B$5)*($A$3:$A127&gt;=Party_Statement!$B$6)*($A$3:$A127&lt;=Party_Statement!$D$6)),""))</f>
        <v/>
      </c>
    </row>
    <row r="128" spans="1:10" x14ac:dyDescent="0.2">
      <c r="A128" s="148">
        <f>Sales_Entry!A128</f>
        <v>66921</v>
      </c>
      <c r="B128" s="149" t="str">
        <f>Sales_Entry!C128</f>
        <v xml:space="preserve">GIRI KIRANA </v>
      </c>
      <c r="C128" s="149" t="s">
        <v>984</v>
      </c>
      <c r="D128" s="149" t="str">
        <f>Sales_Entry!B128</f>
        <v>BILL-6105</v>
      </c>
      <c r="E128" s="149" t="str">
        <f>Sales_Entry!D128</f>
        <v>Mix Milk</v>
      </c>
      <c r="F128" s="150">
        <f>N(Sales_Entry!I128)</f>
        <v>1275</v>
      </c>
      <c r="G128" s="150">
        <v>0</v>
      </c>
      <c r="H128" s="150">
        <f t="shared" si="1"/>
        <v>1275</v>
      </c>
      <c r="I128" s="149"/>
      <c r="J128" t="str">
        <f>IF($B128="","",IF(AND($B128=Party_Statement!$B$5,$A128&gt;=Party_Statement!$B$6,$A128&lt;=Party_Statement!$D$6),SUMPRODUCT(($B$3:$B128=Party_Statement!$B$5)*($A$3:$A128&gt;=Party_Statement!$B$6)*($A$3:$A128&lt;=Party_Statement!$D$6)),""))</f>
        <v/>
      </c>
    </row>
    <row r="129" spans="1:10" x14ac:dyDescent="0.2">
      <c r="A129" s="148">
        <f>Sales_Entry!A129</f>
        <v>66921</v>
      </c>
      <c r="B129" s="149" t="str">
        <f>Sales_Entry!C129</f>
        <v xml:space="preserve">YUBARAJ AND SAMRAT </v>
      </c>
      <c r="C129" s="149" t="s">
        <v>984</v>
      </c>
      <c r="D129" s="149" t="str">
        <f>Sales_Entry!B129</f>
        <v>BILL-6106</v>
      </c>
      <c r="E129" s="149" t="str">
        <f>Sales_Entry!D129</f>
        <v>Mix Milk</v>
      </c>
      <c r="F129" s="150">
        <f>N(Sales_Entry!I129)</f>
        <v>1700</v>
      </c>
      <c r="G129" s="150">
        <v>0</v>
      </c>
      <c r="H129" s="150">
        <f t="shared" si="1"/>
        <v>1700</v>
      </c>
      <c r="I129" s="149"/>
      <c r="J129" t="str">
        <f>IF($B129="","",IF(AND($B129=Party_Statement!$B$5,$A129&gt;=Party_Statement!$B$6,$A129&lt;=Party_Statement!$D$6),SUMPRODUCT(($B$3:$B129=Party_Statement!$B$5)*($A$3:$A129&gt;=Party_Statement!$B$6)*($A$3:$A129&lt;=Party_Statement!$D$6)),""))</f>
        <v/>
      </c>
    </row>
    <row r="130" spans="1:10" x14ac:dyDescent="0.2">
      <c r="A130" s="148">
        <f>Sales_Entry!A130</f>
        <v>66921</v>
      </c>
      <c r="B130" s="149" t="str">
        <f>Sales_Entry!C130</f>
        <v xml:space="preserve">AAYUSH AAYUSHMA </v>
      </c>
      <c r="C130" s="149" t="s">
        <v>984</v>
      </c>
      <c r="D130" s="149" t="str">
        <f>Sales_Entry!B130</f>
        <v>BILL-6107</v>
      </c>
      <c r="E130" s="149" t="str">
        <f>Sales_Entry!D130</f>
        <v>Mix Milk</v>
      </c>
      <c r="F130" s="150">
        <f>N(Sales_Entry!I130)</f>
        <v>425</v>
      </c>
      <c r="G130" s="150">
        <v>0</v>
      </c>
      <c r="H130" s="150">
        <f t="shared" si="1"/>
        <v>425</v>
      </c>
      <c r="I130" s="149"/>
      <c r="J130" t="str">
        <f>IF($B130="","",IF(AND($B130=Party_Statement!$B$5,$A130&gt;=Party_Statement!$B$6,$A130&lt;=Party_Statement!$D$6),SUMPRODUCT(($B$3:$B130=Party_Statement!$B$5)*($A$3:$A130&gt;=Party_Statement!$B$6)*($A$3:$A130&lt;=Party_Statement!$D$6)),""))</f>
        <v/>
      </c>
    </row>
    <row r="131" spans="1:10" x14ac:dyDescent="0.2">
      <c r="A131" s="148">
        <f>Sales_Entry!A131</f>
        <v>66921</v>
      </c>
      <c r="B131" s="149" t="str">
        <f>Sales_Entry!C131</f>
        <v xml:space="preserve">KRITIKA KIRANA </v>
      </c>
      <c r="C131" s="149" t="s">
        <v>984</v>
      </c>
      <c r="D131" s="149" t="str">
        <f>Sales_Entry!B131</f>
        <v>BILL-6108</v>
      </c>
      <c r="E131" s="149" t="str">
        <f>Sales_Entry!D131</f>
        <v>Mix Milk</v>
      </c>
      <c r="F131" s="150">
        <f>N(Sales_Entry!I131)</f>
        <v>1275</v>
      </c>
      <c r="G131" s="150">
        <v>0</v>
      </c>
      <c r="H131" s="150">
        <f t="shared" si="1"/>
        <v>1275</v>
      </c>
      <c r="I131" s="149"/>
      <c r="J131" t="str">
        <f>IF($B131="","",IF(AND($B131=Party_Statement!$B$5,$A131&gt;=Party_Statement!$B$6,$A131&lt;=Party_Statement!$D$6),SUMPRODUCT(($B$3:$B131=Party_Statement!$B$5)*($A$3:$A131&gt;=Party_Statement!$B$6)*($A$3:$A131&lt;=Party_Statement!$D$6)),""))</f>
        <v/>
      </c>
    </row>
    <row r="132" spans="1:10" x14ac:dyDescent="0.2">
      <c r="A132" s="148">
        <f>Sales_Entry!A132</f>
        <v>66921</v>
      </c>
      <c r="B132" s="149" t="str">
        <f>Sales_Entry!C132</f>
        <v>ORGANIC TARKALI</v>
      </c>
      <c r="C132" s="149" t="s">
        <v>984</v>
      </c>
      <c r="D132" s="149" t="str">
        <f>Sales_Entry!B132</f>
        <v>BILL-6109</v>
      </c>
      <c r="E132" s="149" t="str">
        <f>Sales_Entry!D132</f>
        <v>Mix Milk</v>
      </c>
      <c r="F132" s="150">
        <f>N(Sales_Entry!I132)</f>
        <v>1140</v>
      </c>
      <c r="G132" s="150">
        <v>0</v>
      </c>
      <c r="H132" s="150">
        <f t="shared" ref="H132:H195" si="2">IF($B132="","",IF($B132=$B131,$H131+$F132-$G132,$F132-$G132))</f>
        <v>1140</v>
      </c>
      <c r="I132" s="149"/>
      <c r="J132" t="str">
        <f>IF($B132="","",IF(AND($B132=Party_Statement!$B$5,$A132&gt;=Party_Statement!$B$6,$A132&lt;=Party_Statement!$D$6),SUMPRODUCT(($B$3:$B132=Party_Statement!$B$5)*($A$3:$A132&gt;=Party_Statement!$B$6)*($A$3:$A132&lt;=Party_Statement!$D$6)),""))</f>
        <v/>
      </c>
    </row>
    <row r="133" spans="1:10" x14ac:dyDescent="0.2">
      <c r="A133" s="148">
        <f>Sales_Entry!A133</f>
        <v>66921</v>
      </c>
      <c r="B133" s="149" t="str">
        <f>Sales_Entry!C133</f>
        <v>ORGANIC TARKALI</v>
      </c>
      <c r="C133" s="149" t="s">
        <v>984</v>
      </c>
      <c r="D133" s="149" t="str">
        <f>Sales_Entry!B133</f>
        <v>BILL-6110</v>
      </c>
      <c r="E133" s="149" t="str">
        <f>Sales_Entry!D133</f>
        <v>Mix Milk</v>
      </c>
      <c r="F133" s="150">
        <f>N(Sales_Entry!I133)</f>
        <v>2375</v>
      </c>
      <c r="G133" s="150">
        <v>0</v>
      </c>
      <c r="H133" s="150">
        <f t="shared" si="2"/>
        <v>3515</v>
      </c>
      <c r="I133" s="149"/>
      <c r="J133" t="str">
        <f>IF($B133="","",IF(AND($B133=Party_Statement!$B$5,$A133&gt;=Party_Statement!$B$6,$A133&lt;=Party_Statement!$D$6),SUMPRODUCT(($B$3:$B133=Party_Statement!$B$5)*($A$3:$A133&gt;=Party_Statement!$B$6)*($A$3:$A133&lt;=Party_Statement!$D$6)),""))</f>
        <v/>
      </c>
    </row>
    <row r="134" spans="1:10" x14ac:dyDescent="0.2">
      <c r="A134" s="148">
        <f>Sales_Entry!A134</f>
        <v>66921</v>
      </c>
      <c r="B134" s="149" t="str">
        <f>Sales_Entry!C134</f>
        <v>ORGANIC TARKALI</v>
      </c>
      <c r="C134" s="149" t="s">
        <v>984</v>
      </c>
      <c r="D134" s="149" t="str">
        <f>Sales_Entry!B134</f>
        <v>BILL-6110</v>
      </c>
      <c r="E134" s="149" t="str">
        <f>Sales_Entry!D134</f>
        <v>Mix Milk</v>
      </c>
      <c r="F134" s="150">
        <f>N(Sales_Entry!I134)</f>
        <v>1020</v>
      </c>
      <c r="G134" s="150">
        <v>0</v>
      </c>
      <c r="H134" s="150">
        <f t="shared" si="2"/>
        <v>4535</v>
      </c>
      <c r="I134" s="149"/>
      <c r="J134" t="str">
        <f>IF($B134="","",IF(AND($B134=Party_Statement!$B$5,$A134&gt;=Party_Statement!$B$6,$A134&lt;=Party_Statement!$D$6),SUMPRODUCT(($B$3:$B134=Party_Statement!$B$5)*($A$3:$A134&gt;=Party_Statement!$B$6)*($A$3:$A134&lt;=Party_Statement!$D$6)),""))</f>
        <v/>
      </c>
    </row>
    <row r="135" spans="1:10" x14ac:dyDescent="0.2">
      <c r="A135" s="148">
        <f>Sales_Entry!A135</f>
        <v>66921</v>
      </c>
      <c r="B135" s="149" t="str">
        <f>Sales_Entry!C135</f>
        <v>SHARMA DAI</v>
      </c>
      <c r="C135" s="149" t="s">
        <v>984</v>
      </c>
      <c r="D135" s="149" t="str">
        <f>Sales_Entry!B135</f>
        <v>BILL-6111</v>
      </c>
      <c r="E135" s="149" t="str">
        <f>Sales_Entry!D135</f>
        <v>Mix Milk</v>
      </c>
      <c r="F135" s="150">
        <f>N(Sales_Entry!I135)</f>
        <v>2352</v>
      </c>
      <c r="G135" s="150">
        <v>0</v>
      </c>
      <c r="H135" s="150">
        <f t="shared" si="2"/>
        <v>2352</v>
      </c>
      <c r="I135" s="149"/>
      <c r="J135" t="str">
        <f>IF($B135="","",IF(AND($B135=Party_Statement!$B$5,$A135&gt;=Party_Statement!$B$6,$A135&lt;=Party_Statement!$D$6),SUMPRODUCT(($B$3:$B135=Party_Statement!$B$5)*($A$3:$A135&gt;=Party_Statement!$B$6)*($A$3:$A135&lt;=Party_Statement!$D$6)),""))</f>
        <v/>
      </c>
    </row>
    <row r="136" spans="1:10" x14ac:dyDescent="0.2">
      <c r="A136" s="148">
        <f>Sales_Entry!A136</f>
        <v>66921</v>
      </c>
      <c r="B136" s="149" t="str">
        <f>Sales_Entry!C136</f>
        <v>GANGA NEUPANE</v>
      </c>
      <c r="C136" s="149" t="s">
        <v>984</v>
      </c>
      <c r="D136" s="149" t="str">
        <f>Sales_Entry!B136</f>
        <v>BILL-6112</v>
      </c>
      <c r="E136" s="149" t="str">
        <f>Sales_Entry!D136</f>
        <v>Mix Milk</v>
      </c>
      <c r="F136" s="150">
        <f>N(Sales_Entry!I136)</f>
        <v>680</v>
      </c>
      <c r="G136" s="150">
        <v>0</v>
      </c>
      <c r="H136" s="150">
        <f t="shared" si="2"/>
        <v>680</v>
      </c>
      <c r="I136" s="149"/>
      <c r="J136" t="str">
        <f>IF($B136="","",IF(AND($B136=Party_Statement!$B$5,$A136&gt;=Party_Statement!$B$6,$A136&lt;=Party_Statement!$D$6),SUMPRODUCT(($B$3:$B136=Party_Statement!$B$5)*($A$3:$A136&gt;=Party_Statement!$B$6)*($A$3:$A136&lt;=Party_Statement!$D$6)),""))</f>
        <v/>
      </c>
    </row>
    <row r="137" spans="1:10" x14ac:dyDescent="0.2">
      <c r="A137" s="148">
        <f>Sales_Entry!A137</f>
        <v>66921</v>
      </c>
      <c r="B137" s="149" t="str">
        <f>Sales_Entry!C137</f>
        <v xml:space="preserve">DANDA PANI ACHARYA </v>
      </c>
      <c r="C137" s="149" t="s">
        <v>984</v>
      </c>
      <c r="D137" s="149" t="str">
        <f>Sales_Entry!B137</f>
        <v>BILL-6113</v>
      </c>
      <c r="E137" s="149" t="str">
        <f>Sales_Entry!D137</f>
        <v>Ghee</v>
      </c>
      <c r="F137" s="150">
        <f>N(Sales_Entry!I137)</f>
        <v>1100</v>
      </c>
      <c r="G137" s="150">
        <v>0</v>
      </c>
      <c r="H137" s="150">
        <f t="shared" si="2"/>
        <v>1100</v>
      </c>
      <c r="I137" s="149"/>
      <c r="J137" t="str">
        <f>IF($B137="","",IF(AND($B137=Party_Statement!$B$5,$A137&gt;=Party_Statement!$B$6,$A137&lt;=Party_Statement!$D$6),SUMPRODUCT(($B$3:$B137=Party_Statement!$B$5)*($A$3:$A137&gt;=Party_Statement!$B$6)*($A$3:$A137&lt;=Party_Statement!$D$6)),""))</f>
        <v/>
      </c>
    </row>
    <row r="138" spans="1:10" x14ac:dyDescent="0.2">
      <c r="A138" s="148">
        <f>Sales_Entry!A138</f>
        <v>66921</v>
      </c>
      <c r="B138" s="149" t="str">
        <f>Sales_Entry!C138</f>
        <v>LOCAL</v>
      </c>
      <c r="C138" s="149" t="s">
        <v>984</v>
      </c>
      <c r="D138" s="149" t="str">
        <f>Sales_Entry!B138</f>
        <v>BILL-6114</v>
      </c>
      <c r="E138" s="149" t="str">
        <f>Sales_Entry!D138</f>
        <v>Mix Milk</v>
      </c>
      <c r="F138" s="150">
        <f>N(Sales_Entry!I138)</f>
        <v>475</v>
      </c>
      <c r="G138" s="150">
        <v>0</v>
      </c>
      <c r="H138" s="150">
        <f t="shared" si="2"/>
        <v>475</v>
      </c>
      <c r="I138" s="149"/>
      <c r="J138" t="str">
        <f>IF($B138="","",IF(AND($B138=Party_Statement!$B$5,$A138&gt;=Party_Statement!$B$6,$A138&lt;=Party_Statement!$D$6),SUMPRODUCT(($B$3:$B138=Party_Statement!$B$5)*($A$3:$A138&gt;=Party_Statement!$B$6)*($A$3:$A138&lt;=Party_Statement!$D$6)),""))</f>
        <v/>
      </c>
    </row>
    <row r="139" spans="1:10" x14ac:dyDescent="0.2">
      <c r="A139" s="148">
        <f>Sales_Entry!A139</f>
        <v>66921</v>
      </c>
      <c r="B139" s="149" t="str">
        <f>Sales_Entry!C139</f>
        <v>SUBHA MAYA STORE</v>
      </c>
      <c r="C139" s="149" t="s">
        <v>984</v>
      </c>
      <c r="D139" s="149" t="str">
        <f>Sales_Entry!B139</f>
        <v>BILL-6115</v>
      </c>
      <c r="E139" s="149" t="str">
        <f>Sales_Entry!D139</f>
        <v>Ghee</v>
      </c>
      <c r="F139" s="150">
        <f>N(Sales_Entry!I139)</f>
        <v>11000</v>
      </c>
      <c r="G139" s="150">
        <v>0</v>
      </c>
      <c r="H139" s="150">
        <f t="shared" si="2"/>
        <v>11000</v>
      </c>
      <c r="I139" s="149"/>
      <c r="J139" t="str">
        <f>IF($B139="","",IF(AND($B139=Party_Statement!$B$5,$A139&gt;=Party_Statement!$B$6,$A139&lt;=Party_Statement!$D$6),SUMPRODUCT(($B$3:$B139=Party_Statement!$B$5)*($A$3:$A139&gt;=Party_Statement!$B$6)*($A$3:$A139&lt;=Party_Statement!$D$6)),""))</f>
        <v/>
      </c>
    </row>
    <row r="140" spans="1:10" x14ac:dyDescent="0.2">
      <c r="A140" s="148">
        <f>Sales_Entry!A140</f>
        <v>66921</v>
      </c>
      <c r="B140" s="149" t="str">
        <f>Sales_Entry!C140</f>
        <v>CHHATRABHUMI</v>
      </c>
      <c r="C140" s="149" t="s">
        <v>984</v>
      </c>
      <c r="D140" s="149" t="str">
        <f>Sales_Entry!B140</f>
        <v>BILL-6116</v>
      </c>
      <c r="E140" s="149" t="str">
        <f>Sales_Entry!D140</f>
        <v>Mix Milk</v>
      </c>
      <c r="F140" s="150">
        <f>N(Sales_Entry!I140)</f>
        <v>860</v>
      </c>
      <c r="G140" s="150">
        <v>0</v>
      </c>
      <c r="H140" s="150">
        <f t="shared" si="2"/>
        <v>860</v>
      </c>
      <c r="I140" s="149"/>
      <c r="J140" t="str">
        <f>IF($B140="","",IF(AND($B140=Party_Statement!$B$5,$A140&gt;=Party_Statement!$B$6,$A140&lt;=Party_Statement!$D$6),SUMPRODUCT(($B$3:$B140=Party_Statement!$B$5)*($A$3:$A140&gt;=Party_Statement!$B$6)*($A$3:$A140&lt;=Party_Statement!$D$6)),""))</f>
        <v/>
      </c>
    </row>
    <row r="141" spans="1:10" x14ac:dyDescent="0.2">
      <c r="A141" s="148">
        <f>Sales_Entry!A141</f>
        <v>66921</v>
      </c>
      <c r="B141" s="149" t="str">
        <f>Sales_Entry!C141</f>
        <v>BIKRAM DHUNGANA</v>
      </c>
      <c r="C141" s="149" t="s">
        <v>984</v>
      </c>
      <c r="D141" s="149" t="str">
        <f>Sales_Entry!B141</f>
        <v>BILL-6117</v>
      </c>
      <c r="E141" s="149" t="str">
        <f>Sales_Entry!D141</f>
        <v>Ghee</v>
      </c>
      <c r="F141" s="150">
        <f>N(Sales_Entry!I141)</f>
        <v>2200</v>
      </c>
      <c r="G141" s="150">
        <v>0</v>
      </c>
      <c r="H141" s="150">
        <f t="shared" si="2"/>
        <v>2200</v>
      </c>
      <c r="I141" s="149"/>
      <c r="J141" t="str">
        <f>IF($B141="","",IF(AND($B141=Party_Statement!$B$5,$A141&gt;=Party_Statement!$B$6,$A141&lt;=Party_Statement!$D$6),SUMPRODUCT(($B$3:$B141=Party_Statement!$B$5)*($A$3:$A141&gt;=Party_Statement!$B$6)*($A$3:$A141&lt;=Party_Statement!$D$6)),""))</f>
        <v/>
      </c>
    </row>
    <row r="142" spans="1:10" x14ac:dyDescent="0.2">
      <c r="A142" s="148">
        <f>Sales_Entry!A142</f>
        <v>66921</v>
      </c>
      <c r="B142" s="149" t="str">
        <f>Sales_Entry!C142</f>
        <v>NEUPANE KIRANA</v>
      </c>
      <c r="C142" s="149" t="s">
        <v>984</v>
      </c>
      <c r="D142" s="149" t="str">
        <f>Sales_Entry!B142</f>
        <v>BILL-6118</v>
      </c>
      <c r="E142" s="149" t="str">
        <f>Sales_Entry!D142</f>
        <v>Mix Milk</v>
      </c>
      <c r="F142" s="150">
        <f>N(Sales_Entry!I142)</f>
        <v>180</v>
      </c>
      <c r="G142" s="150">
        <v>0</v>
      </c>
      <c r="H142" s="150">
        <f t="shared" si="2"/>
        <v>180</v>
      </c>
      <c r="I142" s="149"/>
      <c r="J142" t="str">
        <f>IF($B142="","",IF(AND($B142=Party_Statement!$B$5,$A142&gt;=Party_Statement!$B$6,$A142&lt;=Party_Statement!$D$6),SUMPRODUCT(($B$3:$B142=Party_Statement!$B$5)*($A$3:$A142&gt;=Party_Statement!$B$6)*($A$3:$A142&lt;=Party_Statement!$D$6)),""))</f>
        <v/>
      </c>
    </row>
    <row r="143" spans="1:10" x14ac:dyDescent="0.2">
      <c r="A143" s="148">
        <f>Sales_Entry!A143</f>
        <v>66922</v>
      </c>
      <c r="B143" s="149" t="str">
        <f>Sales_Entry!C143</f>
        <v>SRIJANA DAIRY (DEVI NAGAR)</v>
      </c>
      <c r="C143" s="149" t="s">
        <v>984</v>
      </c>
      <c r="D143" s="149" t="str">
        <f>Sales_Entry!B143</f>
        <v>BILL-6119</v>
      </c>
      <c r="E143" s="149" t="str">
        <f>Sales_Entry!D143</f>
        <v>Mix Milk</v>
      </c>
      <c r="F143" s="150">
        <f>N(Sales_Entry!I143)</f>
        <v>5100</v>
      </c>
      <c r="G143" s="150">
        <v>0</v>
      </c>
      <c r="H143" s="150">
        <f t="shared" si="2"/>
        <v>5100</v>
      </c>
      <c r="I143" s="149"/>
      <c r="J143" t="str">
        <f>IF($B143="","",IF(AND($B143=Party_Statement!$B$5,$A143&gt;=Party_Statement!$B$6,$A143&lt;=Party_Statement!$D$6),SUMPRODUCT(($B$3:$B143=Party_Statement!$B$5)*($A$3:$A143&gt;=Party_Statement!$B$6)*($A$3:$A143&lt;=Party_Statement!$D$6)),""))</f>
        <v/>
      </c>
    </row>
    <row r="144" spans="1:10" x14ac:dyDescent="0.2">
      <c r="A144" s="148">
        <f>Sales_Entry!A144</f>
        <v>66922</v>
      </c>
      <c r="B144" s="149" t="str">
        <f>Sales_Entry!C144</f>
        <v>SRIJANA DAIRY (DEVI NAGAR)</v>
      </c>
      <c r="C144" s="149" t="s">
        <v>984</v>
      </c>
      <c r="D144" s="149" t="str">
        <f>Sales_Entry!B144</f>
        <v>BILL-6119</v>
      </c>
      <c r="E144" s="149" t="str">
        <f>Sales_Entry!D144</f>
        <v>Mix Milk</v>
      </c>
      <c r="F144" s="150">
        <f>N(Sales_Entry!I144)</f>
        <v>80</v>
      </c>
      <c r="G144" s="150">
        <v>0</v>
      </c>
      <c r="H144" s="150">
        <f t="shared" si="2"/>
        <v>5180</v>
      </c>
      <c r="I144" s="149"/>
      <c r="J144" t="str">
        <f>IF($B144="","",IF(AND($B144=Party_Statement!$B$5,$A144&gt;=Party_Statement!$B$6,$A144&lt;=Party_Statement!$D$6),SUMPRODUCT(($B$3:$B144=Party_Statement!$B$5)*($A$3:$A144&gt;=Party_Statement!$B$6)*($A$3:$A144&lt;=Party_Statement!$D$6)),""))</f>
        <v/>
      </c>
    </row>
    <row r="145" spans="1:10" x14ac:dyDescent="0.2">
      <c r="A145" s="148">
        <f>Sales_Entry!A145</f>
        <v>66922</v>
      </c>
      <c r="B145" s="149" t="str">
        <f>Sales_Entry!C145</f>
        <v xml:space="preserve">SOBHA BHATTARAI </v>
      </c>
      <c r="C145" s="149" t="s">
        <v>984</v>
      </c>
      <c r="D145" s="149" t="str">
        <f>Sales_Entry!B145</f>
        <v>BILL-6120</v>
      </c>
      <c r="E145" s="149" t="str">
        <f>Sales_Entry!D145</f>
        <v>Mix Milk</v>
      </c>
      <c r="F145" s="150">
        <f>N(Sales_Entry!I145)</f>
        <v>3400</v>
      </c>
      <c r="G145" s="150">
        <v>0</v>
      </c>
      <c r="H145" s="150">
        <f t="shared" si="2"/>
        <v>3400</v>
      </c>
      <c r="I145" s="149"/>
      <c r="J145" t="str">
        <f>IF($B145="","",IF(AND($B145=Party_Statement!$B$5,$A145&gt;=Party_Statement!$B$6,$A145&lt;=Party_Statement!$D$6),SUMPRODUCT(($B$3:$B145=Party_Statement!$B$5)*($A$3:$A145&gt;=Party_Statement!$B$6)*($A$3:$A145&lt;=Party_Statement!$D$6)),""))</f>
        <v/>
      </c>
    </row>
    <row r="146" spans="1:10" x14ac:dyDescent="0.2">
      <c r="A146" s="148">
        <f>Sales_Entry!A146</f>
        <v>66922</v>
      </c>
      <c r="B146" s="149" t="str">
        <f>Sales_Entry!C146</f>
        <v xml:space="preserve">AAMOSH KIRANA </v>
      </c>
      <c r="C146" s="149" t="s">
        <v>984</v>
      </c>
      <c r="D146" s="149" t="str">
        <f>Sales_Entry!B146</f>
        <v>BILL-6121</v>
      </c>
      <c r="E146" s="149" t="str">
        <f>Sales_Entry!D146</f>
        <v>Mix Milk</v>
      </c>
      <c r="F146" s="150">
        <f>N(Sales_Entry!I146)</f>
        <v>3440</v>
      </c>
      <c r="G146" s="150">
        <v>0</v>
      </c>
      <c r="H146" s="150">
        <f t="shared" si="2"/>
        <v>3440</v>
      </c>
      <c r="I146" s="149"/>
      <c r="J146" t="str">
        <f>IF($B146="","",IF(AND($B146=Party_Statement!$B$5,$A146&gt;=Party_Statement!$B$6,$A146&lt;=Party_Statement!$D$6),SUMPRODUCT(($B$3:$B146=Party_Statement!$B$5)*($A$3:$A146&gt;=Party_Statement!$B$6)*($A$3:$A146&lt;=Party_Statement!$D$6)),""))</f>
        <v/>
      </c>
    </row>
    <row r="147" spans="1:10" x14ac:dyDescent="0.2">
      <c r="A147" s="148">
        <f>Sales_Entry!A147</f>
        <v>66922</v>
      </c>
      <c r="B147" s="149" t="str">
        <f>Sales_Entry!C147</f>
        <v xml:space="preserve">AAMOSH KIRANA </v>
      </c>
      <c r="C147" s="149" t="s">
        <v>984</v>
      </c>
      <c r="D147" s="149" t="str">
        <f>Sales_Entry!B147</f>
        <v>BILL-6121</v>
      </c>
      <c r="E147" s="149" t="str">
        <f>Sales_Entry!D147</f>
        <v>Mix Milk</v>
      </c>
      <c r="F147" s="150">
        <f>N(Sales_Entry!I147)</f>
        <v>4250</v>
      </c>
      <c r="G147" s="150">
        <v>0</v>
      </c>
      <c r="H147" s="150">
        <f t="shared" si="2"/>
        <v>7690</v>
      </c>
      <c r="I147" s="149"/>
      <c r="J147" t="str">
        <f>IF($B147="","",IF(AND($B147=Party_Statement!$B$5,$A147&gt;=Party_Statement!$B$6,$A147&lt;=Party_Statement!$D$6),SUMPRODUCT(($B$3:$B147=Party_Statement!$B$5)*($A$3:$A147&gt;=Party_Statement!$B$6)*($A$3:$A147&lt;=Party_Statement!$D$6)),""))</f>
        <v/>
      </c>
    </row>
    <row r="148" spans="1:10" x14ac:dyDescent="0.2">
      <c r="A148" s="148">
        <f>Sales_Entry!A148</f>
        <v>66922</v>
      </c>
      <c r="B148" s="149" t="str">
        <f>Sales_Entry!C148</f>
        <v xml:space="preserve">AAMOSH KIRANA </v>
      </c>
      <c r="C148" s="149" t="s">
        <v>984</v>
      </c>
      <c r="D148" s="149" t="str">
        <f>Sales_Entry!B148</f>
        <v>BILL-6121</v>
      </c>
      <c r="E148" s="149" t="str">
        <f>Sales_Entry!D148</f>
        <v>Cow Milk</v>
      </c>
      <c r="F148" s="150">
        <f>N(Sales_Entry!I148)</f>
        <v>160</v>
      </c>
      <c r="G148" s="150">
        <v>0</v>
      </c>
      <c r="H148" s="150">
        <f t="shared" si="2"/>
        <v>7850</v>
      </c>
      <c r="I148" s="149"/>
      <c r="J148" t="str">
        <f>IF($B148="","",IF(AND($B148=Party_Statement!$B$5,$A148&gt;=Party_Statement!$B$6,$A148&lt;=Party_Statement!$D$6),SUMPRODUCT(($B$3:$B148=Party_Statement!$B$5)*($A$3:$A148&gt;=Party_Statement!$B$6)*($A$3:$A148&lt;=Party_Statement!$D$6)),""))</f>
        <v/>
      </c>
    </row>
    <row r="149" spans="1:10" x14ac:dyDescent="0.2">
      <c r="A149" s="148">
        <f>Sales_Entry!A149</f>
        <v>66922</v>
      </c>
      <c r="B149" s="149" t="str">
        <f>Sales_Entry!C149</f>
        <v>SHARMA DAI</v>
      </c>
      <c r="C149" s="149" t="s">
        <v>984</v>
      </c>
      <c r="D149" s="149" t="str">
        <f>Sales_Entry!B149</f>
        <v>BILL-6122</v>
      </c>
      <c r="E149" s="149" t="str">
        <f>Sales_Entry!D149</f>
        <v>Mix Milk</v>
      </c>
      <c r="F149" s="150">
        <f>N(Sales_Entry!I149)</f>
        <v>2352</v>
      </c>
      <c r="G149" s="150">
        <v>0</v>
      </c>
      <c r="H149" s="150">
        <f t="shared" si="2"/>
        <v>2352</v>
      </c>
      <c r="I149" s="149"/>
      <c r="J149" t="str">
        <f>IF($B149="","",IF(AND($B149=Party_Statement!$B$5,$A149&gt;=Party_Statement!$B$6,$A149&lt;=Party_Statement!$D$6),SUMPRODUCT(($B$3:$B149=Party_Statement!$B$5)*($A$3:$A149&gt;=Party_Statement!$B$6)*($A$3:$A149&lt;=Party_Statement!$D$6)),""))</f>
        <v/>
      </c>
    </row>
    <row r="150" spans="1:10" x14ac:dyDescent="0.2">
      <c r="A150" s="148">
        <f>Sales_Entry!A150</f>
        <v>66922</v>
      </c>
      <c r="B150" s="149" t="str">
        <f>Sales_Entry!C150</f>
        <v xml:space="preserve">DEURALI KIRANA </v>
      </c>
      <c r="C150" s="149" t="s">
        <v>984</v>
      </c>
      <c r="D150" s="149" t="str">
        <f>Sales_Entry!B150</f>
        <v>BILL-6123</v>
      </c>
      <c r="E150" s="149" t="str">
        <f>Sales_Entry!D150</f>
        <v>Mix Milk</v>
      </c>
      <c r="F150" s="150">
        <f>N(Sales_Entry!I150)</f>
        <v>425</v>
      </c>
      <c r="G150" s="150">
        <v>0</v>
      </c>
      <c r="H150" s="150">
        <f t="shared" si="2"/>
        <v>425</v>
      </c>
      <c r="I150" s="149"/>
      <c r="J150" t="str">
        <f>IF($B150="","",IF(AND($B150=Party_Statement!$B$5,$A150&gt;=Party_Statement!$B$6,$A150&lt;=Party_Statement!$D$6),SUMPRODUCT(($B$3:$B150=Party_Statement!$B$5)*($A$3:$A150&gt;=Party_Statement!$B$6)*($A$3:$A150&lt;=Party_Statement!$D$6)),""))</f>
        <v/>
      </c>
    </row>
    <row r="151" spans="1:10" x14ac:dyDescent="0.2">
      <c r="A151" s="148">
        <f>Sales_Entry!A151</f>
        <v>66922</v>
      </c>
      <c r="B151" s="149" t="str">
        <f>Sales_Entry!C151</f>
        <v>CHHATRABHUMI</v>
      </c>
      <c r="C151" s="149" t="s">
        <v>984</v>
      </c>
      <c r="D151" s="149" t="str">
        <f>Sales_Entry!B151</f>
        <v>BILL-6124</v>
      </c>
      <c r="E151" s="149" t="str">
        <f>Sales_Entry!D151</f>
        <v>Mix Milk</v>
      </c>
      <c r="F151" s="150">
        <f>N(Sales_Entry!I151)</f>
        <v>2580</v>
      </c>
      <c r="G151" s="150">
        <v>0</v>
      </c>
      <c r="H151" s="150">
        <f t="shared" si="2"/>
        <v>2580</v>
      </c>
      <c r="I151" s="149"/>
      <c r="J151" t="str">
        <f>IF($B151="","",IF(AND($B151=Party_Statement!$B$5,$A151&gt;=Party_Statement!$B$6,$A151&lt;=Party_Statement!$D$6),SUMPRODUCT(($B$3:$B151=Party_Statement!$B$5)*($A$3:$A151&gt;=Party_Statement!$B$6)*($A$3:$A151&lt;=Party_Statement!$D$6)),""))</f>
        <v/>
      </c>
    </row>
    <row r="152" spans="1:10" x14ac:dyDescent="0.2">
      <c r="A152" s="148">
        <f>Sales_Entry!A152</f>
        <v>66922</v>
      </c>
      <c r="B152" s="149" t="str">
        <f>Sales_Entry!C152</f>
        <v>KRISHNA KHAREL</v>
      </c>
      <c r="C152" s="149" t="s">
        <v>984</v>
      </c>
      <c r="D152" s="149" t="str">
        <f>Sales_Entry!B152</f>
        <v>BILL-6125</v>
      </c>
      <c r="E152" s="149" t="str">
        <f>Sales_Entry!D152</f>
        <v>Mix Milk</v>
      </c>
      <c r="F152" s="150">
        <f>N(Sales_Entry!I152)</f>
        <v>344</v>
      </c>
      <c r="G152" s="150">
        <v>0</v>
      </c>
      <c r="H152" s="150">
        <f t="shared" si="2"/>
        <v>344</v>
      </c>
      <c r="I152" s="149"/>
      <c r="J152" t="str">
        <f>IF($B152="","",IF(AND($B152=Party_Statement!$B$5,$A152&gt;=Party_Statement!$B$6,$A152&lt;=Party_Statement!$D$6),SUMPRODUCT(($B$3:$B152=Party_Statement!$B$5)*($A$3:$A152&gt;=Party_Statement!$B$6)*($A$3:$A152&lt;=Party_Statement!$D$6)),""))</f>
        <v/>
      </c>
    </row>
    <row r="153" spans="1:10" x14ac:dyDescent="0.2">
      <c r="A153" s="148">
        <f>Sales_Entry!A153</f>
        <v>66922</v>
      </c>
      <c r="B153" s="149" t="str">
        <f>Sales_Entry!C153</f>
        <v xml:space="preserve">SAMIKSHYA </v>
      </c>
      <c r="C153" s="149" t="s">
        <v>984</v>
      </c>
      <c r="D153" s="149" t="str">
        <f>Sales_Entry!B153</f>
        <v>BILL-6126</v>
      </c>
      <c r="E153" s="149" t="str">
        <f>Sales_Entry!D153</f>
        <v>Mix Milk</v>
      </c>
      <c r="F153" s="150">
        <f>N(Sales_Entry!I153)</f>
        <v>850</v>
      </c>
      <c r="G153" s="150">
        <v>0</v>
      </c>
      <c r="H153" s="150">
        <f t="shared" si="2"/>
        <v>850</v>
      </c>
      <c r="I153" s="149"/>
      <c r="J153" t="str">
        <f>IF($B153="","",IF(AND($B153=Party_Statement!$B$5,$A153&gt;=Party_Statement!$B$6,$A153&lt;=Party_Statement!$D$6),SUMPRODUCT(($B$3:$B153=Party_Statement!$B$5)*($A$3:$A153&gt;=Party_Statement!$B$6)*($A$3:$A153&lt;=Party_Statement!$D$6)),""))</f>
        <v/>
      </c>
    </row>
    <row r="154" spans="1:10" x14ac:dyDescent="0.2">
      <c r="A154" s="148">
        <f>Sales_Entry!A154</f>
        <v>66922</v>
      </c>
      <c r="B154" s="149" t="str">
        <f>Sales_Entry!C154</f>
        <v>MANAKAMANA DAIRY</v>
      </c>
      <c r="C154" s="149" t="s">
        <v>984</v>
      </c>
      <c r="D154" s="149" t="str">
        <f>Sales_Entry!B154</f>
        <v>BILL-6127</v>
      </c>
      <c r="E154" s="149" t="str">
        <f>Sales_Entry!D154</f>
        <v>Mix Milk</v>
      </c>
      <c r="F154" s="150">
        <f>N(Sales_Entry!I154)</f>
        <v>850</v>
      </c>
      <c r="G154" s="150">
        <v>0</v>
      </c>
      <c r="H154" s="150">
        <f t="shared" si="2"/>
        <v>850</v>
      </c>
      <c r="I154" s="149"/>
      <c r="J154" t="str">
        <f>IF($B154="","",IF(AND($B154=Party_Statement!$B$5,$A154&gt;=Party_Statement!$B$6,$A154&lt;=Party_Statement!$D$6),SUMPRODUCT(($B$3:$B154=Party_Statement!$B$5)*($A$3:$A154&gt;=Party_Statement!$B$6)*($A$3:$A154&lt;=Party_Statement!$D$6)),""))</f>
        <v/>
      </c>
    </row>
    <row r="155" spans="1:10" x14ac:dyDescent="0.2">
      <c r="A155" s="148">
        <f>Sales_Entry!A155</f>
        <v>66922</v>
      </c>
      <c r="B155" s="149" t="str">
        <f>Sales_Entry!C155</f>
        <v xml:space="preserve">KRITIKA KIRANA </v>
      </c>
      <c r="C155" s="149" t="s">
        <v>984</v>
      </c>
      <c r="D155" s="149" t="str">
        <f>Sales_Entry!B155</f>
        <v>BILL-6128</v>
      </c>
      <c r="E155" s="149" t="str">
        <f>Sales_Entry!D155</f>
        <v>Mix Milk</v>
      </c>
      <c r="F155" s="150">
        <f>N(Sales_Entry!I155)</f>
        <v>1720</v>
      </c>
      <c r="G155" s="150">
        <v>0</v>
      </c>
      <c r="H155" s="150">
        <f t="shared" si="2"/>
        <v>1720</v>
      </c>
      <c r="I155" s="149"/>
      <c r="J155" t="str">
        <f>IF($B155="","",IF(AND($B155=Party_Statement!$B$5,$A155&gt;=Party_Statement!$B$6,$A155&lt;=Party_Statement!$D$6),SUMPRODUCT(($B$3:$B155=Party_Statement!$B$5)*($A$3:$A155&gt;=Party_Statement!$B$6)*($A$3:$A155&lt;=Party_Statement!$D$6)),""))</f>
        <v/>
      </c>
    </row>
    <row r="156" spans="1:10" x14ac:dyDescent="0.2">
      <c r="A156" s="148">
        <f>Sales_Entry!A156</f>
        <v>66922</v>
      </c>
      <c r="B156" s="149" t="str">
        <f>Sales_Entry!C156</f>
        <v xml:space="preserve">AAYUSH AAYUSHMA </v>
      </c>
      <c r="C156" s="149" t="s">
        <v>984</v>
      </c>
      <c r="D156" s="149" t="str">
        <f>Sales_Entry!B156</f>
        <v>BILL-6129</v>
      </c>
      <c r="E156" s="149" t="str">
        <f>Sales_Entry!D156</f>
        <v>Mix Milk</v>
      </c>
      <c r="F156" s="150">
        <f>N(Sales_Entry!I156)</f>
        <v>255</v>
      </c>
      <c r="G156" s="150">
        <v>0</v>
      </c>
      <c r="H156" s="150">
        <f t="shared" si="2"/>
        <v>255</v>
      </c>
      <c r="I156" s="149"/>
      <c r="J156" t="str">
        <f>IF($B156="","",IF(AND($B156=Party_Statement!$B$5,$A156&gt;=Party_Statement!$B$6,$A156&lt;=Party_Statement!$D$6),SUMPRODUCT(($B$3:$B156=Party_Statement!$B$5)*($A$3:$A156&gt;=Party_Statement!$B$6)*($A$3:$A156&lt;=Party_Statement!$D$6)),""))</f>
        <v/>
      </c>
    </row>
    <row r="157" spans="1:10" x14ac:dyDescent="0.2">
      <c r="A157" s="148">
        <f>Sales_Entry!A157</f>
        <v>66922</v>
      </c>
      <c r="B157" s="149" t="str">
        <f>Sales_Entry!C157</f>
        <v xml:space="preserve">YUBARAJ AND SAMRAT </v>
      </c>
      <c r="C157" s="149" t="s">
        <v>984</v>
      </c>
      <c r="D157" s="149" t="str">
        <f>Sales_Entry!B157</f>
        <v>BILL-6130</v>
      </c>
      <c r="E157" s="149" t="str">
        <f>Sales_Entry!D157</f>
        <v>Mix Milk</v>
      </c>
      <c r="F157" s="150">
        <f>N(Sales_Entry!I157)</f>
        <v>510</v>
      </c>
      <c r="G157" s="150">
        <v>0</v>
      </c>
      <c r="H157" s="150">
        <f t="shared" si="2"/>
        <v>510</v>
      </c>
      <c r="I157" s="149"/>
      <c r="J157" t="str">
        <f>IF($B157="","",IF(AND($B157=Party_Statement!$B$5,$A157&gt;=Party_Statement!$B$6,$A157&lt;=Party_Statement!$D$6),SUMPRODUCT(($B$3:$B157=Party_Statement!$B$5)*($A$3:$A157&gt;=Party_Statement!$B$6)*($A$3:$A157&lt;=Party_Statement!$D$6)),""))</f>
        <v/>
      </c>
    </row>
    <row r="158" spans="1:10" x14ac:dyDescent="0.2">
      <c r="A158" s="148">
        <f>Sales_Entry!A158</f>
        <v>66922</v>
      </c>
      <c r="B158" s="149" t="str">
        <f>Sales_Entry!C158</f>
        <v>PALPALI</v>
      </c>
      <c r="C158" s="149" t="s">
        <v>984</v>
      </c>
      <c r="D158" s="149" t="str">
        <f>Sales_Entry!B158</f>
        <v>BILL-6131</v>
      </c>
      <c r="E158" s="149" t="str">
        <f>Sales_Entry!D158</f>
        <v>Mix Milk</v>
      </c>
      <c r="F158" s="150">
        <f>N(Sales_Entry!I158)</f>
        <v>1700</v>
      </c>
      <c r="G158" s="150">
        <v>0</v>
      </c>
      <c r="H158" s="150">
        <f t="shared" si="2"/>
        <v>1700</v>
      </c>
      <c r="I158" s="149"/>
      <c r="J158" t="str">
        <f>IF($B158="","",IF(AND($B158=Party_Statement!$B$5,$A158&gt;=Party_Statement!$B$6,$A158&lt;=Party_Statement!$D$6),SUMPRODUCT(($B$3:$B158=Party_Statement!$B$5)*($A$3:$A158&gt;=Party_Statement!$B$6)*($A$3:$A158&lt;=Party_Statement!$D$6)),""))</f>
        <v/>
      </c>
    </row>
    <row r="159" spans="1:10" x14ac:dyDescent="0.2">
      <c r="A159" s="148">
        <f>Sales_Entry!A159</f>
        <v>66922</v>
      </c>
      <c r="B159" s="149" t="str">
        <f>Sales_Entry!C159</f>
        <v xml:space="preserve">GIRI KIRANA </v>
      </c>
      <c r="C159" s="149" t="s">
        <v>984</v>
      </c>
      <c r="D159" s="149" t="str">
        <f>Sales_Entry!B159</f>
        <v>BILL-6132</v>
      </c>
      <c r="E159" s="149" t="str">
        <f>Sales_Entry!D159</f>
        <v>Mix Milk</v>
      </c>
      <c r="F159" s="150">
        <f>N(Sales_Entry!I159)</f>
        <v>1275</v>
      </c>
      <c r="G159" s="150">
        <v>0</v>
      </c>
      <c r="H159" s="150">
        <f t="shared" si="2"/>
        <v>1275</v>
      </c>
      <c r="I159" s="149"/>
      <c r="J159" t="str">
        <f>IF($B159="","",IF(AND($B159=Party_Statement!$B$5,$A159&gt;=Party_Statement!$B$6,$A159&lt;=Party_Statement!$D$6),SUMPRODUCT(($B$3:$B159=Party_Statement!$B$5)*($A$3:$A159&gt;=Party_Statement!$B$6)*($A$3:$A159&lt;=Party_Statement!$D$6)),""))</f>
        <v/>
      </c>
    </row>
    <row r="160" spans="1:10" x14ac:dyDescent="0.2">
      <c r="A160" s="148">
        <f>Sales_Entry!A160</f>
        <v>66922</v>
      </c>
      <c r="B160" s="149" t="str">
        <f>Sales_Entry!C160</f>
        <v>ORGANIC TARKALI</v>
      </c>
      <c r="C160" s="149" t="s">
        <v>984</v>
      </c>
      <c r="D160" s="149" t="str">
        <f>Sales_Entry!B160</f>
        <v>BILL-6133</v>
      </c>
      <c r="E160" s="149" t="str">
        <f>Sales_Entry!D160</f>
        <v>Mix Milk</v>
      </c>
      <c r="F160" s="150">
        <f>N(Sales_Entry!I160)</f>
        <v>1900</v>
      </c>
      <c r="G160" s="150">
        <v>0</v>
      </c>
      <c r="H160" s="150">
        <f t="shared" si="2"/>
        <v>1900</v>
      </c>
      <c r="I160" s="149"/>
      <c r="J160" t="str">
        <f>IF($B160="","",IF(AND($B160=Party_Statement!$B$5,$A160&gt;=Party_Statement!$B$6,$A160&lt;=Party_Statement!$D$6),SUMPRODUCT(($B$3:$B160=Party_Statement!$B$5)*($A$3:$A160&gt;=Party_Statement!$B$6)*($A$3:$A160&lt;=Party_Statement!$D$6)),""))</f>
        <v/>
      </c>
    </row>
    <row r="161" spans="1:10" x14ac:dyDescent="0.2">
      <c r="A161" s="148">
        <f>Sales_Entry!A161</f>
        <v>66922</v>
      </c>
      <c r="B161" s="149" t="str">
        <f>Sales_Entry!C161</f>
        <v>GANGA NEUPANE</v>
      </c>
      <c r="C161" s="149" t="s">
        <v>984</v>
      </c>
      <c r="D161" s="149" t="str">
        <f>Sales_Entry!B161</f>
        <v>BILL-6134</v>
      </c>
      <c r="E161" s="149" t="str">
        <f>Sales_Entry!D161</f>
        <v>Mix Milk</v>
      </c>
      <c r="F161" s="150">
        <f>N(Sales_Entry!I161)</f>
        <v>680</v>
      </c>
      <c r="G161" s="150">
        <v>0</v>
      </c>
      <c r="H161" s="150">
        <f t="shared" si="2"/>
        <v>680</v>
      </c>
      <c r="I161" s="149"/>
      <c r="J161" t="str">
        <f>IF($B161="","",IF(AND($B161=Party_Statement!$B$5,$A161&gt;=Party_Statement!$B$6,$A161&lt;=Party_Statement!$D$6),SUMPRODUCT(($B$3:$B161=Party_Statement!$B$5)*($A$3:$A161&gt;=Party_Statement!$B$6)*($A$3:$A161&lt;=Party_Statement!$D$6)),""))</f>
        <v/>
      </c>
    </row>
    <row r="162" spans="1:10" x14ac:dyDescent="0.2">
      <c r="A162" s="148">
        <f>Sales_Entry!A162</f>
        <v>66922</v>
      </c>
      <c r="B162" s="149" t="str">
        <f>Sales_Entry!C162</f>
        <v>LOCAL</v>
      </c>
      <c r="C162" s="149" t="s">
        <v>984</v>
      </c>
      <c r="D162" s="149" t="str">
        <f>Sales_Entry!B162</f>
        <v>BILL-6135</v>
      </c>
      <c r="E162" s="149" t="str">
        <f>Sales_Entry!D162</f>
        <v>Mix Milk</v>
      </c>
      <c r="F162" s="150">
        <f>N(Sales_Entry!I162)</f>
        <v>430.02</v>
      </c>
      <c r="G162" s="150">
        <v>0</v>
      </c>
      <c r="H162" s="150">
        <f t="shared" si="2"/>
        <v>430.02</v>
      </c>
      <c r="I162" s="149"/>
      <c r="J162" t="str">
        <f>IF($B162="","",IF(AND($B162=Party_Statement!$B$5,$A162&gt;=Party_Statement!$B$6,$A162&lt;=Party_Statement!$D$6),SUMPRODUCT(($B$3:$B162=Party_Statement!$B$5)*($A$3:$A162&gt;=Party_Statement!$B$6)*($A$3:$A162&lt;=Party_Statement!$D$6)),""))</f>
        <v/>
      </c>
    </row>
    <row r="163" spans="1:10" x14ac:dyDescent="0.2">
      <c r="A163" s="148">
        <f>Sales_Entry!A163</f>
        <v>66922</v>
      </c>
      <c r="B163" s="149" t="str">
        <f>Sales_Entry!C163</f>
        <v>BHUSAL JANARAL</v>
      </c>
      <c r="C163" s="149" t="s">
        <v>984</v>
      </c>
      <c r="D163" s="149" t="str">
        <f>Sales_Entry!B163</f>
        <v>BILL-6136</v>
      </c>
      <c r="E163" s="149" t="str">
        <f>Sales_Entry!D163</f>
        <v>Mix Milk</v>
      </c>
      <c r="F163" s="150">
        <f>N(Sales_Entry!I163)</f>
        <v>860</v>
      </c>
      <c r="G163" s="150">
        <v>0</v>
      </c>
      <c r="H163" s="150">
        <f t="shared" si="2"/>
        <v>860</v>
      </c>
      <c r="I163" s="149"/>
      <c r="J163" t="str">
        <f>IF($B163="","",IF(AND($B163=Party_Statement!$B$5,$A163&gt;=Party_Statement!$B$6,$A163&lt;=Party_Statement!$D$6),SUMPRODUCT(($B$3:$B163=Party_Statement!$B$5)*($A$3:$A163&gt;=Party_Statement!$B$6)*($A$3:$A163&lt;=Party_Statement!$D$6)),""))</f>
        <v/>
      </c>
    </row>
    <row r="164" spans="1:10" x14ac:dyDescent="0.2">
      <c r="A164" s="148">
        <f>Sales_Entry!A164</f>
        <v>66922</v>
      </c>
      <c r="B164" s="149" t="str">
        <f>Sales_Entry!C164</f>
        <v>NEUPANE KIRANA</v>
      </c>
      <c r="C164" s="149" t="s">
        <v>984</v>
      </c>
      <c r="D164" s="149" t="str">
        <f>Sales_Entry!B164</f>
        <v>BILL-6137</v>
      </c>
      <c r="E164" s="149" t="str">
        <f>Sales_Entry!D164</f>
        <v>Mix Milk</v>
      </c>
      <c r="F164" s="150">
        <f>N(Sales_Entry!I164)</f>
        <v>180</v>
      </c>
      <c r="G164" s="150">
        <v>0</v>
      </c>
      <c r="H164" s="150">
        <f t="shared" si="2"/>
        <v>180</v>
      </c>
      <c r="I164" s="149"/>
      <c r="J164" t="str">
        <f>IF($B164="","",IF(AND($B164=Party_Statement!$B$5,$A164&gt;=Party_Statement!$B$6,$A164&lt;=Party_Statement!$D$6),SUMPRODUCT(($B$3:$B164=Party_Statement!$B$5)*($A$3:$A164&gt;=Party_Statement!$B$6)*($A$3:$A164&lt;=Party_Statement!$D$6)),""))</f>
        <v/>
      </c>
    </row>
    <row r="165" spans="1:10" x14ac:dyDescent="0.2">
      <c r="A165" s="148">
        <f>Sales_Entry!A165</f>
        <v>66923</v>
      </c>
      <c r="B165" s="149" t="str">
        <f>Sales_Entry!C165</f>
        <v>SRIJANA DAIRY (DEVI NAGAR)</v>
      </c>
      <c r="C165" s="149" t="s">
        <v>984</v>
      </c>
      <c r="D165" s="149" t="str">
        <f>Sales_Entry!B165</f>
        <v>BILL-6138</v>
      </c>
      <c r="E165" s="149" t="str">
        <f>Sales_Entry!D165</f>
        <v>Mix Milk</v>
      </c>
      <c r="F165" s="150">
        <f>N(Sales_Entry!I165)</f>
        <v>5100</v>
      </c>
      <c r="G165" s="150">
        <v>0</v>
      </c>
      <c r="H165" s="150">
        <f t="shared" si="2"/>
        <v>5100</v>
      </c>
      <c r="I165" s="149"/>
      <c r="J165" t="str">
        <f>IF($B165="","",IF(AND($B165=Party_Statement!$B$5,$A165&gt;=Party_Statement!$B$6,$A165&lt;=Party_Statement!$D$6),SUMPRODUCT(($B$3:$B165=Party_Statement!$B$5)*($A$3:$A165&gt;=Party_Statement!$B$6)*($A$3:$A165&lt;=Party_Statement!$D$6)),""))</f>
        <v/>
      </c>
    </row>
    <row r="166" spans="1:10" x14ac:dyDescent="0.2">
      <c r="A166" s="148">
        <f>Sales_Entry!A166</f>
        <v>66923</v>
      </c>
      <c r="B166" s="149" t="str">
        <f>Sales_Entry!C166</f>
        <v>SRIJANA DAIRY (DEVI NAGAR)</v>
      </c>
      <c r="C166" s="149" t="s">
        <v>984</v>
      </c>
      <c r="D166" s="149" t="str">
        <f>Sales_Entry!B166</f>
        <v>BILL-6138</v>
      </c>
      <c r="E166" s="149" t="str">
        <f>Sales_Entry!D166</f>
        <v>Cow Milk</v>
      </c>
      <c r="F166" s="150">
        <f>N(Sales_Entry!I166)</f>
        <v>80</v>
      </c>
      <c r="G166" s="150">
        <v>0</v>
      </c>
      <c r="H166" s="150">
        <f t="shared" si="2"/>
        <v>5180</v>
      </c>
      <c r="I166" s="149"/>
      <c r="J166" t="str">
        <f>IF($B166="","",IF(AND($B166=Party_Statement!$B$5,$A166&gt;=Party_Statement!$B$6,$A166&lt;=Party_Statement!$D$6),SUMPRODUCT(($B$3:$B166=Party_Statement!$B$5)*($A$3:$A166&gt;=Party_Statement!$B$6)*($A$3:$A166&lt;=Party_Statement!$D$6)),""))</f>
        <v/>
      </c>
    </row>
    <row r="167" spans="1:10" x14ac:dyDescent="0.2">
      <c r="A167" s="148">
        <f>Sales_Entry!A167</f>
        <v>66923</v>
      </c>
      <c r="B167" s="149" t="str">
        <f>Sales_Entry!C167</f>
        <v xml:space="preserve">SOBHA BHATTARAI </v>
      </c>
      <c r="C167" s="149" t="s">
        <v>984</v>
      </c>
      <c r="D167" s="149" t="str">
        <f>Sales_Entry!B167</f>
        <v>BILL-6139</v>
      </c>
      <c r="E167" s="149" t="str">
        <f>Sales_Entry!D167</f>
        <v>Mix Milk</v>
      </c>
      <c r="F167" s="150">
        <f>N(Sales_Entry!I167)</f>
        <v>2550</v>
      </c>
      <c r="G167" s="150">
        <v>0</v>
      </c>
      <c r="H167" s="150">
        <f t="shared" si="2"/>
        <v>2550</v>
      </c>
      <c r="I167" s="149"/>
      <c r="J167" t="str">
        <f>IF($B167="","",IF(AND($B167=Party_Statement!$B$5,$A167&gt;=Party_Statement!$B$6,$A167&lt;=Party_Statement!$D$6),SUMPRODUCT(($B$3:$B167=Party_Statement!$B$5)*($A$3:$A167&gt;=Party_Statement!$B$6)*($A$3:$A167&lt;=Party_Statement!$D$6)),""))</f>
        <v/>
      </c>
    </row>
    <row r="168" spans="1:10" x14ac:dyDescent="0.2">
      <c r="A168" s="148">
        <f>Sales_Entry!A168</f>
        <v>66923</v>
      </c>
      <c r="B168" s="149" t="str">
        <f>Sales_Entry!C168</f>
        <v>MANAKAMANA DAIRY</v>
      </c>
      <c r="C168" s="149" t="s">
        <v>984</v>
      </c>
      <c r="D168" s="149" t="str">
        <f>Sales_Entry!B168</f>
        <v>BILL-6140</v>
      </c>
      <c r="E168" s="149" t="str">
        <f>Sales_Entry!D168</f>
        <v>Mix Milk</v>
      </c>
      <c r="F168" s="150">
        <f>N(Sales_Entry!I168)</f>
        <v>1700</v>
      </c>
      <c r="G168" s="150">
        <v>0</v>
      </c>
      <c r="H168" s="150">
        <f t="shared" si="2"/>
        <v>1700</v>
      </c>
      <c r="I168" s="149"/>
      <c r="J168" t="str">
        <f>IF($B168="","",IF(AND($B168=Party_Statement!$B$5,$A168&gt;=Party_Statement!$B$6,$A168&lt;=Party_Statement!$D$6),SUMPRODUCT(($B$3:$B168=Party_Statement!$B$5)*($A$3:$A168&gt;=Party_Statement!$B$6)*($A$3:$A168&lt;=Party_Statement!$D$6)),""))</f>
        <v/>
      </c>
    </row>
    <row r="169" spans="1:10" x14ac:dyDescent="0.2">
      <c r="A169" s="148">
        <f>Sales_Entry!A169</f>
        <v>66923</v>
      </c>
      <c r="B169" s="149" t="str">
        <f>Sales_Entry!C169</f>
        <v xml:space="preserve">YUBARAJ AND SAMRAT </v>
      </c>
      <c r="C169" s="149" t="s">
        <v>984</v>
      </c>
      <c r="D169" s="149" t="str">
        <f>Sales_Entry!B169</f>
        <v>BILL-6141</v>
      </c>
      <c r="E169" s="149" t="str">
        <f>Sales_Entry!D169</f>
        <v>Mix Milk</v>
      </c>
      <c r="F169" s="150">
        <f>N(Sales_Entry!I169)</f>
        <v>1275</v>
      </c>
      <c r="G169" s="150">
        <v>0</v>
      </c>
      <c r="H169" s="150">
        <f t="shared" si="2"/>
        <v>1275</v>
      </c>
      <c r="I169" s="149"/>
      <c r="J169" t="str">
        <f>IF($B169="","",IF(AND($B169=Party_Statement!$B$5,$A169&gt;=Party_Statement!$B$6,$A169&lt;=Party_Statement!$D$6),SUMPRODUCT(($B$3:$B169=Party_Statement!$B$5)*($A$3:$A169&gt;=Party_Statement!$B$6)*($A$3:$A169&lt;=Party_Statement!$D$6)),""))</f>
        <v/>
      </c>
    </row>
    <row r="170" spans="1:10" x14ac:dyDescent="0.2">
      <c r="A170" s="148">
        <f>Sales_Entry!A170</f>
        <v>66923</v>
      </c>
      <c r="B170" s="149" t="str">
        <f>Sales_Entry!C170</f>
        <v xml:space="preserve">SAMIKSHYA </v>
      </c>
      <c r="C170" s="149" t="s">
        <v>984</v>
      </c>
      <c r="D170" s="149" t="str">
        <f>Sales_Entry!B170</f>
        <v>BILL-6142</v>
      </c>
      <c r="E170" s="149" t="str">
        <f>Sales_Entry!D170</f>
        <v>Mix Milk</v>
      </c>
      <c r="F170" s="150">
        <f>N(Sales_Entry!I170)</f>
        <v>425</v>
      </c>
      <c r="G170" s="150">
        <v>0</v>
      </c>
      <c r="H170" s="150">
        <f t="shared" si="2"/>
        <v>425</v>
      </c>
      <c r="I170" s="149"/>
      <c r="J170" t="str">
        <f>IF($B170="","",IF(AND($B170=Party_Statement!$B$5,$A170&gt;=Party_Statement!$B$6,$A170&lt;=Party_Statement!$D$6),SUMPRODUCT(($B$3:$B170=Party_Statement!$B$5)*($A$3:$A170&gt;=Party_Statement!$B$6)*($A$3:$A170&lt;=Party_Statement!$D$6)),""))</f>
        <v/>
      </c>
    </row>
    <row r="171" spans="1:10" x14ac:dyDescent="0.2">
      <c r="A171" s="148">
        <f>Sales_Entry!A171</f>
        <v>66923</v>
      </c>
      <c r="B171" s="149" t="str">
        <f>Sales_Entry!C171</f>
        <v>KRISHNA KHAREL</v>
      </c>
      <c r="C171" s="149" t="s">
        <v>984</v>
      </c>
      <c r="D171" s="149" t="str">
        <f>Sales_Entry!B171</f>
        <v>BILL-6143</v>
      </c>
      <c r="E171" s="149" t="str">
        <f>Sales_Entry!D171</f>
        <v>Mix Milk</v>
      </c>
      <c r="F171" s="150">
        <f>N(Sales_Entry!I171)</f>
        <v>344</v>
      </c>
      <c r="G171" s="150">
        <v>0</v>
      </c>
      <c r="H171" s="150">
        <f t="shared" si="2"/>
        <v>344</v>
      </c>
      <c r="I171" s="149"/>
      <c r="J171" t="str">
        <f>IF($B171="","",IF(AND($B171=Party_Statement!$B$5,$A171&gt;=Party_Statement!$B$6,$A171&lt;=Party_Statement!$D$6),SUMPRODUCT(($B$3:$B171=Party_Statement!$B$5)*($A$3:$A171&gt;=Party_Statement!$B$6)*($A$3:$A171&lt;=Party_Statement!$D$6)),""))</f>
        <v/>
      </c>
    </row>
    <row r="172" spans="1:10" x14ac:dyDescent="0.2">
      <c r="A172" s="148">
        <f>Sales_Entry!A172</f>
        <v>66923</v>
      </c>
      <c r="B172" s="149" t="str">
        <f>Sales_Entry!C172</f>
        <v>CHHATRABHUMI</v>
      </c>
      <c r="C172" s="149" t="s">
        <v>984</v>
      </c>
      <c r="D172" s="149" t="str">
        <f>Sales_Entry!B172</f>
        <v>BILL-6144</v>
      </c>
      <c r="E172" s="149" t="str">
        <f>Sales_Entry!D172</f>
        <v>Mix Milk</v>
      </c>
      <c r="F172" s="150">
        <f>N(Sales_Entry!I172)</f>
        <v>2150</v>
      </c>
      <c r="G172" s="150">
        <v>0</v>
      </c>
      <c r="H172" s="150">
        <f t="shared" si="2"/>
        <v>2150</v>
      </c>
      <c r="I172" s="149"/>
      <c r="J172" t="str">
        <f>IF($B172="","",IF(AND($B172=Party_Statement!$B$5,$A172&gt;=Party_Statement!$B$6,$A172&lt;=Party_Statement!$D$6),SUMPRODUCT(($B$3:$B172=Party_Statement!$B$5)*($A$3:$A172&gt;=Party_Statement!$B$6)*($A$3:$A172&lt;=Party_Statement!$D$6)),""))</f>
        <v/>
      </c>
    </row>
    <row r="173" spans="1:10" x14ac:dyDescent="0.2">
      <c r="A173" s="148">
        <f>Sales_Entry!A173</f>
        <v>66923</v>
      </c>
      <c r="B173" s="149" t="str">
        <f>Sales_Entry!C173</f>
        <v>PALPALI</v>
      </c>
      <c r="C173" s="149" t="s">
        <v>984</v>
      </c>
      <c r="D173" s="149" t="str">
        <f>Sales_Entry!B173</f>
        <v>BILL-6145</v>
      </c>
      <c r="E173" s="149" t="str">
        <f>Sales_Entry!D173</f>
        <v>Mix Milk</v>
      </c>
      <c r="F173" s="150">
        <f>N(Sales_Entry!I173)</f>
        <v>2550</v>
      </c>
      <c r="G173" s="150">
        <v>0</v>
      </c>
      <c r="H173" s="150">
        <f t="shared" si="2"/>
        <v>2550</v>
      </c>
      <c r="I173" s="149"/>
      <c r="J173" t="str">
        <f>IF($B173="","",IF(AND($B173=Party_Statement!$B$5,$A173&gt;=Party_Statement!$B$6,$A173&lt;=Party_Statement!$D$6),SUMPRODUCT(($B$3:$B173=Party_Statement!$B$5)*($A$3:$A173&gt;=Party_Statement!$B$6)*($A$3:$A173&lt;=Party_Statement!$D$6)),""))</f>
        <v/>
      </c>
    </row>
    <row r="174" spans="1:10" x14ac:dyDescent="0.2">
      <c r="A174" s="148">
        <f>Sales_Entry!A174</f>
        <v>66923</v>
      </c>
      <c r="B174" s="149" t="str">
        <f>Sales_Entry!C174</f>
        <v xml:space="preserve">GIRI KIRANA </v>
      </c>
      <c r="C174" s="149" t="s">
        <v>984</v>
      </c>
      <c r="D174" s="149" t="str">
        <f>Sales_Entry!B174</f>
        <v>BILL-6146</v>
      </c>
      <c r="E174" s="149" t="str">
        <f>Sales_Entry!D174</f>
        <v>Mix Milk</v>
      </c>
      <c r="F174" s="150">
        <f>N(Sales_Entry!I174)</f>
        <v>1275</v>
      </c>
      <c r="G174" s="150">
        <v>0</v>
      </c>
      <c r="H174" s="150">
        <f t="shared" si="2"/>
        <v>1275</v>
      </c>
      <c r="I174" s="149"/>
      <c r="J174" t="str">
        <f>IF($B174="","",IF(AND($B174=Party_Statement!$B$5,$A174&gt;=Party_Statement!$B$6,$A174&lt;=Party_Statement!$D$6),SUMPRODUCT(($B$3:$B174=Party_Statement!$B$5)*($A$3:$A174&gt;=Party_Statement!$B$6)*($A$3:$A174&lt;=Party_Statement!$D$6)),""))</f>
        <v/>
      </c>
    </row>
    <row r="175" spans="1:10" x14ac:dyDescent="0.2">
      <c r="A175" s="148">
        <f>Sales_Entry!A175</f>
        <v>66923</v>
      </c>
      <c r="B175" s="149" t="str">
        <f>Sales_Entry!C175</f>
        <v>KULCHANDRA GYAWALI</v>
      </c>
      <c r="C175" s="149" t="s">
        <v>984</v>
      </c>
      <c r="D175" s="149" t="str">
        <f>Sales_Entry!B175</f>
        <v>BILL-6147</v>
      </c>
      <c r="E175" s="149" t="str">
        <f>Sales_Entry!D175</f>
        <v>NAUNI</v>
      </c>
      <c r="F175" s="150">
        <f>N(Sales_Entry!I175)</f>
        <v>800</v>
      </c>
      <c r="G175" s="150">
        <v>0</v>
      </c>
      <c r="H175" s="150">
        <f t="shared" si="2"/>
        <v>800</v>
      </c>
      <c r="I175" s="149"/>
      <c r="J175" t="str">
        <f>IF($B175="","",IF(AND($B175=Party_Statement!$B$5,$A175&gt;=Party_Statement!$B$6,$A175&lt;=Party_Statement!$D$6),SUMPRODUCT(($B$3:$B175=Party_Statement!$B$5)*($A$3:$A175&gt;=Party_Statement!$B$6)*($A$3:$A175&lt;=Party_Statement!$D$6)),""))</f>
        <v/>
      </c>
    </row>
    <row r="176" spans="1:10" x14ac:dyDescent="0.2">
      <c r="A176" s="148">
        <f>Sales_Entry!A176</f>
        <v>66923</v>
      </c>
      <c r="B176" s="149" t="str">
        <f>Sales_Entry!C176</f>
        <v xml:space="preserve">AAMOSH KIRANA </v>
      </c>
      <c r="C176" s="149" t="s">
        <v>984</v>
      </c>
      <c r="D176" s="149" t="str">
        <f>Sales_Entry!B176</f>
        <v>BILL-6148</v>
      </c>
      <c r="E176" s="149" t="str">
        <f>Sales_Entry!D176</f>
        <v>Mix Milk</v>
      </c>
      <c r="F176" s="150">
        <f>N(Sales_Entry!I176)</f>
        <v>3440</v>
      </c>
      <c r="G176" s="150">
        <v>0</v>
      </c>
      <c r="H176" s="150">
        <f t="shared" si="2"/>
        <v>3440</v>
      </c>
      <c r="I176" s="149"/>
      <c r="J176" t="str">
        <f>IF($B176="","",IF(AND($B176=Party_Statement!$B$5,$A176&gt;=Party_Statement!$B$6,$A176&lt;=Party_Statement!$D$6),SUMPRODUCT(($B$3:$B176=Party_Statement!$B$5)*($A$3:$A176&gt;=Party_Statement!$B$6)*($A$3:$A176&lt;=Party_Statement!$D$6)),""))</f>
        <v/>
      </c>
    </row>
    <row r="177" spans="1:10" x14ac:dyDescent="0.2">
      <c r="A177" s="148">
        <f>Sales_Entry!A177</f>
        <v>66923</v>
      </c>
      <c r="B177" s="149" t="str">
        <f>Sales_Entry!C177</f>
        <v xml:space="preserve">AAMOSH KIRANA </v>
      </c>
      <c r="C177" s="149" t="s">
        <v>984</v>
      </c>
      <c r="D177" s="149" t="str">
        <f>Sales_Entry!B177</f>
        <v>BILL-6148</v>
      </c>
      <c r="E177" s="149" t="str">
        <f>Sales_Entry!D177</f>
        <v>Mix Milk</v>
      </c>
      <c r="F177" s="150">
        <f>N(Sales_Entry!I177)</f>
        <v>4250</v>
      </c>
      <c r="G177" s="150">
        <v>0</v>
      </c>
      <c r="H177" s="150">
        <f t="shared" si="2"/>
        <v>7690</v>
      </c>
      <c r="I177" s="149"/>
      <c r="J177" t="str">
        <f>IF($B177="","",IF(AND($B177=Party_Statement!$B$5,$A177&gt;=Party_Statement!$B$6,$A177&lt;=Party_Statement!$D$6),SUMPRODUCT(($B$3:$B177=Party_Statement!$B$5)*($A$3:$A177&gt;=Party_Statement!$B$6)*($A$3:$A177&lt;=Party_Statement!$D$6)),""))</f>
        <v/>
      </c>
    </row>
    <row r="178" spans="1:10" x14ac:dyDescent="0.2">
      <c r="A178" s="148">
        <f>Sales_Entry!A178</f>
        <v>66923</v>
      </c>
      <c r="B178" s="149" t="str">
        <f>Sales_Entry!C178</f>
        <v xml:space="preserve">AAMOSH KIRANA </v>
      </c>
      <c r="C178" s="149" t="s">
        <v>984</v>
      </c>
      <c r="D178" s="149" t="str">
        <f>Sales_Entry!B178</f>
        <v>BILL-6148</v>
      </c>
      <c r="E178" s="149" t="str">
        <f>Sales_Entry!D178</f>
        <v>Cow Milk</v>
      </c>
      <c r="F178" s="150">
        <f>N(Sales_Entry!I178)</f>
        <v>80</v>
      </c>
      <c r="G178" s="150">
        <v>0</v>
      </c>
      <c r="H178" s="150">
        <f t="shared" si="2"/>
        <v>7770</v>
      </c>
      <c r="I178" s="149"/>
      <c r="J178" t="str">
        <f>IF($B178="","",IF(AND($B178=Party_Statement!$B$5,$A178&gt;=Party_Statement!$B$6,$A178&lt;=Party_Statement!$D$6),SUMPRODUCT(($B$3:$B178=Party_Statement!$B$5)*($A$3:$A178&gt;=Party_Statement!$B$6)*($A$3:$A178&lt;=Party_Statement!$D$6)),""))</f>
        <v/>
      </c>
    </row>
    <row r="179" spans="1:10" x14ac:dyDescent="0.2">
      <c r="A179" s="148">
        <f>Sales_Entry!A179</f>
        <v>66923</v>
      </c>
      <c r="B179" s="149" t="str">
        <f>Sales_Entry!C179</f>
        <v xml:space="preserve">KRITIKA KIRANA </v>
      </c>
      <c r="C179" s="149" t="s">
        <v>984</v>
      </c>
      <c r="D179" s="149" t="str">
        <f>Sales_Entry!B179</f>
        <v>BILL-6149</v>
      </c>
      <c r="E179" s="149" t="str">
        <f>Sales_Entry!D179</f>
        <v>Mix Milk</v>
      </c>
      <c r="F179" s="150">
        <f>N(Sales_Entry!I179)</f>
        <v>1290</v>
      </c>
      <c r="G179" s="150">
        <v>0</v>
      </c>
      <c r="H179" s="150">
        <f t="shared" si="2"/>
        <v>1290</v>
      </c>
      <c r="I179" s="149"/>
      <c r="J179" t="str">
        <f>IF($B179="","",IF(AND($B179=Party_Statement!$B$5,$A179&gt;=Party_Statement!$B$6,$A179&lt;=Party_Statement!$D$6),SUMPRODUCT(($B$3:$B179=Party_Statement!$B$5)*($A$3:$A179&gt;=Party_Statement!$B$6)*($A$3:$A179&lt;=Party_Statement!$D$6)),""))</f>
        <v/>
      </c>
    </row>
    <row r="180" spans="1:10" x14ac:dyDescent="0.2">
      <c r="A180" s="148">
        <f>Sales_Entry!A180</f>
        <v>66923</v>
      </c>
      <c r="B180" s="149" t="str">
        <f>Sales_Entry!C180</f>
        <v xml:space="preserve">KRITIKA KIRANA </v>
      </c>
      <c r="C180" s="149" t="s">
        <v>984</v>
      </c>
      <c r="D180" s="149" t="str">
        <f>Sales_Entry!B180</f>
        <v>BILL-6149</v>
      </c>
      <c r="E180" s="149" t="str">
        <f>Sales_Entry!D180</f>
        <v>NAUNI</v>
      </c>
      <c r="F180" s="150">
        <f>N(Sales_Entry!I180)</f>
        <v>1937.5</v>
      </c>
      <c r="G180" s="150">
        <v>0</v>
      </c>
      <c r="H180" s="150">
        <f t="shared" si="2"/>
        <v>3227.5</v>
      </c>
      <c r="I180" s="149"/>
      <c r="J180" t="str">
        <f>IF($B180="","",IF(AND($B180=Party_Statement!$B$5,$A180&gt;=Party_Statement!$B$6,$A180&lt;=Party_Statement!$D$6),SUMPRODUCT(($B$3:$B180=Party_Statement!$B$5)*($A$3:$A180&gt;=Party_Statement!$B$6)*($A$3:$A180&lt;=Party_Statement!$D$6)),""))</f>
        <v/>
      </c>
    </row>
    <row r="181" spans="1:10" x14ac:dyDescent="0.2">
      <c r="A181" s="148">
        <f>Sales_Entry!A181</f>
        <v>66923</v>
      </c>
      <c r="B181" s="149" t="str">
        <f>Sales_Entry!C181</f>
        <v>ORGANIC TARKALI</v>
      </c>
      <c r="C181" s="149" t="s">
        <v>984</v>
      </c>
      <c r="D181" s="149" t="str">
        <f>Sales_Entry!B181</f>
        <v>BILL-6150</v>
      </c>
      <c r="E181" s="149" t="str">
        <f>Sales_Entry!D181</f>
        <v>Mix Milk</v>
      </c>
      <c r="F181" s="150">
        <f>N(Sales_Entry!I181)</f>
        <v>2375</v>
      </c>
      <c r="G181" s="150">
        <v>0</v>
      </c>
      <c r="H181" s="150">
        <f t="shared" si="2"/>
        <v>2375</v>
      </c>
      <c r="I181" s="149"/>
      <c r="J181" t="str">
        <f>IF($B181="","",IF(AND($B181=Party_Statement!$B$5,$A181&gt;=Party_Statement!$B$6,$A181&lt;=Party_Statement!$D$6),SUMPRODUCT(($B$3:$B181=Party_Statement!$B$5)*($A$3:$A181&gt;=Party_Statement!$B$6)*($A$3:$A181&lt;=Party_Statement!$D$6)),""))</f>
        <v/>
      </c>
    </row>
    <row r="182" spans="1:10" x14ac:dyDescent="0.2">
      <c r="A182" s="148">
        <f>Sales_Entry!A182</f>
        <v>66923</v>
      </c>
      <c r="B182" s="149" t="str">
        <f>Sales_Entry!C182</f>
        <v>SHARMA DAI</v>
      </c>
      <c r="C182" s="149" t="s">
        <v>984</v>
      </c>
      <c r="D182" s="149" t="str">
        <f>Sales_Entry!B182</f>
        <v>BILL-6151</v>
      </c>
      <c r="E182" s="149" t="str">
        <f>Sales_Entry!D182</f>
        <v>Mix Milk</v>
      </c>
      <c r="F182" s="150">
        <f>N(Sales_Entry!I182)</f>
        <v>2100</v>
      </c>
      <c r="G182" s="150">
        <v>0</v>
      </c>
      <c r="H182" s="150">
        <f t="shared" si="2"/>
        <v>2100</v>
      </c>
      <c r="I182" s="149"/>
      <c r="J182" t="str">
        <f>IF($B182="","",IF(AND($B182=Party_Statement!$B$5,$A182&gt;=Party_Statement!$B$6,$A182&lt;=Party_Statement!$D$6),SUMPRODUCT(($B$3:$B182=Party_Statement!$B$5)*($A$3:$A182&gt;=Party_Statement!$B$6)*($A$3:$A182&lt;=Party_Statement!$D$6)),""))</f>
        <v/>
      </c>
    </row>
    <row r="183" spans="1:10" x14ac:dyDescent="0.2">
      <c r="A183" s="148">
        <f>Sales_Entry!A183</f>
        <v>66923</v>
      </c>
      <c r="B183" s="149" t="str">
        <f>Sales_Entry!C183</f>
        <v>GANGA NEUPANE</v>
      </c>
      <c r="C183" s="149" t="s">
        <v>984</v>
      </c>
      <c r="D183" s="149" t="str">
        <f>Sales_Entry!B183</f>
        <v>BILL-6152</v>
      </c>
      <c r="E183" s="149" t="str">
        <f>Sales_Entry!D183</f>
        <v>Mix Milk</v>
      </c>
      <c r="F183" s="150">
        <f>N(Sales_Entry!I183)</f>
        <v>680</v>
      </c>
      <c r="G183" s="150">
        <v>0</v>
      </c>
      <c r="H183" s="150">
        <f t="shared" si="2"/>
        <v>680</v>
      </c>
      <c r="I183" s="149"/>
      <c r="J183" t="str">
        <f>IF($B183="","",IF(AND($B183=Party_Statement!$B$5,$A183&gt;=Party_Statement!$B$6,$A183&lt;=Party_Statement!$D$6),SUMPRODUCT(($B$3:$B183=Party_Statement!$B$5)*($A$3:$A183&gt;=Party_Statement!$B$6)*($A$3:$A183&lt;=Party_Statement!$D$6)),""))</f>
        <v/>
      </c>
    </row>
    <row r="184" spans="1:10" x14ac:dyDescent="0.2">
      <c r="A184" s="148">
        <f>Sales_Entry!A184</f>
        <v>66923</v>
      </c>
      <c r="B184" s="149" t="str">
        <f>Sales_Entry!C184</f>
        <v xml:space="preserve">DEURALI KIRANA </v>
      </c>
      <c r="C184" s="149" t="s">
        <v>984</v>
      </c>
      <c r="D184" s="149" t="str">
        <f>Sales_Entry!B184</f>
        <v>BILL-6153</v>
      </c>
      <c r="E184" s="149" t="str">
        <f>Sales_Entry!D184</f>
        <v>Mix Milk</v>
      </c>
      <c r="F184" s="150">
        <f>N(Sales_Entry!I184)</f>
        <v>425</v>
      </c>
      <c r="G184" s="150">
        <v>0</v>
      </c>
      <c r="H184" s="150">
        <f t="shared" si="2"/>
        <v>425</v>
      </c>
      <c r="I184" s="149"/>
      <c r="J184" t="str">
        <f>IF($B184="","",IF(AND($B184=Party_Statement!$B$5,$A184&gt;=Party_Statement!$B$6,$A184&lt;=Party_Statement!$D$6),SUMPRODUCT(($B$3:$B184=Party_Statement!$B$5)*($A$3:$A184&gt;=Party_Statement!$B$6)*($A$3:$A184&lt;=Party_Statement!$D$6)),""))</f>
        <v/>
      </c>
    </row>
    <row r="185" spans="1:10" x14ac:dyDescent="0.2">
      <c r="A185" s="148">
        <f>Sales_Entry!A185</f>
        <v>66923</v>
      </c>
      <c r="B185" s="149" t="str">
        <f>Sales_Entry!C185</f>
        <v>NEUPANE KIRANA</v>
      </c>
      <c r="C185" s="149" t="s">
        <v>984</v>
      </c>
      <c r="D185" s="149" t="str">
        <f>Sales_Entry!B185</f>
        <v>BILL-6154</v>
      </c>
      <c r="E185" s="149" t="str">
        <f>Sales_Entry!D185</f>
        <v>Mix Milk</v>
      </c>
      <c r="F185" s="150">
        <f>N(Sales_Entry!I185)</f>
        <v>180</v>
      </c>
      <c r="G185" s="150">
        <v>0</v>
      </c>
      <c r="H185" s="150">
        <f t="shared" si="2"/>
        <v>180</v>
      </c>
      <c r="I185" s="149"/>
      <c r="J185" t="str">
        <f>IF($B185="","",IF(AND($B185=Party_Statement!$B$5,$A185&gt;=Party_Statement!$B$6,$A185&lt;=Party_Statement!$D$6),SUMPRODUCT(($B$3:$B185=Party_Statement!$B$5)*($A$3:$A185&gt;=Party_Statement!$B$6)*($A$3:$A185&lt;=Party_Statement!$D$6)),""))</f>
        <v/>
      </c>
    </row>
    <row r="186" spans="1:10" x14ac:dyDescent="0.2">
      <c r="A186" s="148">
        <f>Sales_Entry!A186</f>
        <v>66923</v>
      </c>
      <c r="B186" s="149" t="str">
        <f>Sales_Entry!C186</f>
        <v>LOCAL</v>
      </c>
      <c r="C186" s="149" t="s">
        <v>984</v>
      </c>
      <c r="D186" s="149" t="str">
        <f>Sales_Entry!B186</f>
        <v>BILL-6155</v>
      </c>
      <c r="E186" s="149" t="str">
        <f>Sales_Entry!D186</f>
        <v>Mix Milk</v>
      </c>
      <c r="F186" s="150">
        <f>N(Sales_Entry!I186)</f>
        <v>370</v>
      </c>
      <c r="G186" s="150">
        <v>0</v>
      </c>
      <c r="H186" s="150">
        <f t="shared" si="2"/>
        <v>370</v>
      </c>
      <c r="I186" s="149"/>
      <c r="J186" t="str">
        <f>IF($B186="","",IF(AND($B186=Party_Statement!$B$5,$A186&gt;=Party_Statement!$B$6,$A186&lt;=Party_Statement!$D$6),SUMPRODUCT(($B$3:$B186=Party_Statement!$B$5)*($A$3:$A186&gt;=Party_Statement!$B$6)*($A$3:$A186&lt;=Party_Statement!$D$6)),""))</f>
        <v/>
      </c>
    </row>
    <row r="187" spans="1:10" x14ac:dyDescent="0.2">
      <c r="A187" s="148">
        <f>Sales_Entry!A187</f>
        <v>66924</v>
      </c>
      <c r="B187" s="149" t="str">
        <f>Sales_Entry!C187</f>
        <v>SRIJANA DAIRY (DEVI NAGAR)</v>
      </c>
      <c r="C187" s="149" t="s">
        <v>984</v>
      </c>
      <c r="D187" s="149" t="str">
        <f>Sales_Entry!B187</f>
        <v>BILL-6156</v>
      </c>
      <c r="E187" s="149" t="str">
        <f>Sales_Entry!D187</f>
        <v>Mix Milk</v>
      </c>
      <c r="F187" s="150">
        <f>N(Sales_Entry!I187)</f>
        <v>5100</v>
      </c>
      <c r="G187" s="150">
        <v>0</v>
      </c>
      <c r="H187" s="150">
        <f t="shared" si="2"/>
        <v>5100</v>
      </c>
      <c r="I187" s="149"/>
      <c r="J187" t="str">
        <f>IF($B187="","",IF(AND($B187=Party_Statement!$B$5,$A187&gt;=Party_Statement!$B$6,$A187&lt;=Party_Statement!$D$6),SUMPRODUCT(($B$3:$B187=Party_Statement!$B$5)*($A$3:$A187&gt;=Party_Statement!$B$6)*($A$3:$A187&lt;=Party_Statement!$D$6)),""))</f>
        <v/>
      </c>
    </row>
    <row r="188" spans="1:10" x14ac:dyDescent="0.2">
      <c r="A188" s="148">
        <f>Sales_Entry!A188</f>
        <v>66924</v>
      </c>
      <c r="B188" s="149" t="str">
        <f>Sales_Entry!C188</f>
        <v>SRIJANA DAIRY (DEVI NAGAR)</v>
      </c>
      <c r="C188" s="149" t="s">
        <v>984</v>
      </c>
      <c r="D188" s="149" t="str">
        <f>Sales_Entry!B188</f>
        <v>BILL-6156</v>
      </c>
      <c r="E188" s="149" t="str">
        <f>Sales_Entry!D188</f>
        <v>Cow Milk</v>
      </c>
      <c r="F188" s="150">
        <f>N(Sales_Entry!I188)</f>
        <v>80</v>
      </c>
      <c r="G188" s="150">
        <v>0</v>
      </c>
      <c r="H188" s="150">
        <f t="shared" si="2"/>
        <v>5180</v>
      </c>
      <c r="I188" s="149"/>
      <c r="J188" t="str">
        <f>IF($B188="","",IF(AND($B188=Party_Statement!$B$5,$A188&gt;=Party_Statement!$B$6,$A188&lt;=Party_Statement!$D$6),SUMPRODUCT(($B$3:$B188=Party_Statement!$B$5)*($A$3:$A188&gt;=Party_Statement!$B$6)*($A$3:$A188&lt;=Party_Statement!$D$6)),""))</f>
        <v/>
      </c>
    </row>
    <row r="189" spans="1:10" x14ac:dyDescent="0.2">
      <c r="A189" s="148">
        <f>Sales_Entry!A189</f>
        <v>66924</v>
      </c>
      <c r="B189" s="149" t="str">
        <f>Sales_Entry!C189</f>
        <v xml:space="preserve">SOBHA BHATTARAI </v>
      </c>
      <c r="C189" s="149" t="s">
        <v>984</v>
      </c>
      <c r="D189" s="149" t="str">
        <f>Sales_Entry!B189</f>
        <v>BILL-6157</v>
      </c>
      <c r="E189" s="149" t="str">
        <f>Sales_Entry!D189</f>
        <v>Mix Milk</v>
      </c>
      <c r="F189" s="150">
        <f>N(Sales_Entry!I189)</f>
        <v>1275</v>
      </c>
      <c r="G189" s="150">
        <v>0</v>
      </c>
      <c r="H189" s="150">
        <f t="shared" si="2"/>
        <v>1275</v>
      </c>
      <c r="I189" s="149"/>
      <c r="J189" t="str">
        <f>IF($B189="","",IF(AND($B189=Party_Statement!$B$5,$A189&gt;=Party_Statement!$B$6,$A189&lt;=Party_Statement!$D$6),SUMPRODUCT(($B$3:$B189=Party_Statement!$B$5)*($A$3:$A189&gt;=Party_Statement!$B$6)*($A$3:$A189&lt;=Party_Statement!$D$6)),""))</f>
        <v/>
      </c>
    </row>
    <row r="190" spans="1:10" x14ac:dyDescent="0.2">
      <c r="A190" s="148">
        <f>Sales_Entry!A190</f>
        <v>66924</v>
      </c>
      <c r="B190" s="149" t="str">
        <f>Sales_Entry!C190</f>
        <v>NEHA MISTHAN</v>
      </c>
      <c r="C190" s="149" t="s">
        <v>984</v>
      </c>
      <c r="D190" s="149" t="str">
        <f>Sales_Entry!B190</f>
        <v>BILL-6158</v>
      </c>
      <c r="E190" s="149" t="str">
        <f>Sales_Entry!D190</f>
        <v>Mix Milk</v>
      </c>
      <c r="F190" s="150">
        <f>N(Sales_Entry!I190)</f>
        <v>3400</v>
      </c>
      <c r="G190" s="150">
        <v>0</v>
      </c>
      <c r="H190" s="150">
        <f t="shared" si="2"/>
        <v>3400</v>
      </c>
      <c r="I190" s="149"/>
      <c r="J190" t="str">
        <f>IF($B190="","",IF(AND($B190=Party_Statement!$B$5,$A190&gt;=Party_Statement!$B$6,$A190&lt;=Party_Statement!$D$6),SUMPRODUCT(($B$3:$B190=Party_Statement!$B$5)*($A$3:$A190&gt;=Party_Statement!$B$6)*($A$3:$A190&lt;=Party_Statement!$D$6)),""))</f>
        <v/>
      </c>
    </row>
    <row r="191" spans="1:10" x14ac:dyDescent="0.2">
      <c r="A191" s="148">
        <f>Sales_Entry!A191</f>
        <v>66924</v>
      </c>
      <c r="B191" s="149" t="str">
        <f>Sales_Entry!C191</f>
        <v xml:space="preserve">SAMIKSHYA </v>
      </c>
      <c r="C191" s="149" t="s">
        <v>984</v>
      </c>
      <c r="D191" s="149" t="str">
        <f>Sales_Entry!B191</f>
        <v>BILL-6159</v>
      </c>
      <c r="E191" s="149" t="str">
        <f>Sales_Entry!D191</f>
        <v>Mix Milk</v>
      </c>
      <c r="F191" s="150">
        <f>N(Sales_Entry!I191)</f>
        <v>680</v>
      </c>
      <c r="G191" s="150">
        <v>0</v>
      </c>
      <c r="H191" s="150">
        <f t="shared" si="2"/>
        <v>680</v>
      </c>
      <c r="I191" s="149"/>
      <c r="J191" t="str">
        <f>IF($B191="","",IF(AND($B191=Party_Statement!$B$5,$A191&gt;=Party_Statement!$B$6,$A191&lt;=Party_Statement!$D$6),SUMPRODUCT(($B$3:$B191=Party_Statement!$B$5)*($A$3:$A191&gt;=Party_Statement!$B$6)*($A$3:$A191&lt;=Party_Statement!$D$6)),""))</f>
        <v/>
      </c>
    </row>
    <row r="192" spans="1:10" x14ac:dyDescent="0.2">
      <c r="A192" s="148">
        <f>Sales_Entry!A192</f>
        <v>66924</v>
      </c>
      <c r="B192" s="149" t="str">
        <f>Sales_Entry!C192</f>
        <v>KRISHNA KHAREL</v>
      </c>
      <c r="C192" s="149" t="s">
        <v>984</v>
      </c>
      <c r="D192" s="149" t="str">
        <f>Sales_Entry!B192</f>
        <v>BILL-6160</v>
      </c>
      <c r="E192" s="149" t="str">
        <f>Sales_Entry!D192</f>
        <v>Mix Milk</v>
      </c>
      <c r="F192" s="150">
        <f>N(Sales_Entry!I192)</f>
        <v>344</v>
      </c>
      <c r="G192" s="150">
        <v>0</v>
      </c>
      <c r="H192" s="150">
        <f t="shared" si="2"/>
        <v>344</v>
      </c>
      <c r="I192" s="149"/>
      <c r="J192" t="str">
        <f>IF($B192="","",IF(AND($B192=Party_Statement!$B$5,$A192&gt;=Party_Statement!$B$6,$A192&lt;=Party_Statement!$D$6),SUMPRODUCT(($B$3:$B192=Party_Statement!$B$5)*($A$3:$A192&gt;=Party_Statement!$B$6)*($A$3:$A192&lt;=Party_Statement!$D$6)),""))</f>
        <v/>
      </c>
    </row>
    <row r="193" spans="1:10" x14ac:dyDescent="0.2">
      <c r="A193" s="148">
        <f>Sales_Entry!A193</f>
        <v>66924</v>
      </c>
      <c r="B193" s="149" t="str">
        <f>Sales_Entry!C193</f>
        <v>CHHATRABHUMI</v>
      </c>
      <c r="C193" s="149" t="s">
        <v>984</v>
      </c>
      <c r="D193" s="149" t="str">
        <f>Sales_Entry!B193</f>
        <v>BILL-6161</v>
      </c>
      <c r="E193" s="149" t="str">
        <f>Sales_Entry!D193</f>
        <v>Mix Milk</v>
      </c>
      <c r="F193" s="150">
        <f>N(Sales_Entry!I193)</f>
        <v>2580</v>
      </c>
      <c r="G193" s="150">
        <v>0</v>
      </c>
      <c r="H193" s="150">
        <f t="shared" si="2"/>
        <v>2580</v>
      </c>
      <c r="I193" s="149"/>
      <c r="J193" t="str">
        <f>IF($B193="","",IF(AND($B193=Party_Statement!$B$5,$A193&gt;=Party_Statement!$B$6,$A193&lt;=Party_Statement!$D$6),SUMPRODUCT(($B$3:$B193=Party_Statement!$B$5)*($A$3:$A193&gt;=Party_Statement!$B$6)*($A$3:$A193&lt;=Party_Statement!$D$6)),""))</f>
        <v/>
      </c>
    </row>
    <row r="194" spans="1:10" x14ac:dyDescent="0.2">
      <c r="A194" s="148">
        <f>Sales_Entry!A194</f>
        <v>66924</v>
      </c>
      <c r="B194" s="149" t="str">
        <f>Sales_Entry!C194</f>
        <v>MANAKAMANA DAIRY</v>
      </c>
      <c r="C194" s="149" t="s">
        <v>984</v>
      </c>
      <c r="D194" s="149" t="str">
        <f>Sales_Entry!B194</f>
        <v>BILL-6162</v>
      </c>
      <c r="E194" s="149" t="str">
        <f>Sales_Entry!D194</f>
        <v>Mix Milk</v>
      </c>
      <c r="F194" s="150">
        <f>N(Sales_Entry!I194)</f>
        <v>850</v>
      </c>
      <c r="G194" s="150">
        <v>0</v>
      </c>
      <c r="H194" s="150">
        <f t="shared" si="2"/>
        <v>850</v>
      </c>
      <c r="I194" s="149"/>
      <c r="J194" t="str">
        <f>IF($B194="","",IF(AND($B194=Party_Statement!$B$5,$A194&gt;=Party_Statement!$B$6,$A194&lt;=Party_Statement!$D$6),SUMPRODUCT(($B$3:$B194=Party_Statement!$B$5)*($A$3:$A194&gt;=Party_Statement!$B$6)*($A$3:$A194&lt;=Party_Statement!$D$6)),""))</f>
        <v/>
      </c>
    </row>
    <row r="195" spans="1:10" x14ac:dyDescent="0.2">
      <c r="A195" s="148">
        <f>Sales_Entry!A195</f>
        <v>66924</v>
      </c>
      <c r="B195" s="149" t="str">
        <f>Sales_Entry!C195</f>
        <v xml:space="preserve">DEURALI KIRANA </v>
      </c>
      <c r="C195" s="149" t="s">
        <v>984</v>
      </c>
      <c r="D195" s="149" t="str">
        <f>Sales_Entry!B195</f>
        <v>BILL-6163</v>
      </c>
      <c r="E195" s="149" t="str">
        <f>Sales_Entry!D195</f>
        <v>Mix Milk</v>
      </c>
      <c r="F195" s="150">
        <f>N(Sales_Entry!I195)</f>
        <v>425</v>
      </c>
      <c r="G195" s="150">
        <v>0</v>
      </c>
      <c r="H195" s="150">
        <f t="shared" si="2"/>
        <v>425</v>
      </c>
      <c r="I195" s="149"/>
      <c r="J195" t="str">
        <f>IF($B195="","",IF(AND($B195=Party_Statement!$B$5,$A195&gt;=Party_Statement!$B$6,$A195&lt;=Party_Statement!$D$6),SUMPRODUCT(($B$3:$B195=Party_Statement!$B$5)*($A$3:$A195&gt;=Party_Statement!$B$6)*($A$3:$A195&lt;=Party_Statement!$D$6)),""))</f>
        <v/>
      </c>
    </row>
    <row r="196" spans="1:10" x14ac:dyDescent="0.2">
      <c r="A196" s="148">
        <f>Sales_Entry!A196</f>
        <v>66924</v>
      </c>
      <c r="B196" s="149" t="str">
        <f>Sales_Entry!C196</f>
        <v xml:space="preserve">AAMOSH KIRANA </v>
      </c>
      <c r="C196" s="149" t="s">
        <v>984</v>
      </c>
      <c r="D196" s="149" t="str">
        <f>Sales_Entry!B196</f>
        <v>BILL-6164</v>
      </c>
      <c r="E196" s="149" t="str">
        <f>Sales_Entry!D196</f>
        <v>Mix Milk</v>
      </c>
      <c r="F196" s="150">
        <f>N(Sales_Entry!I196)</f>
        <v>3440</v>
      </c>
      <c r="G196" s="150">
        <v>0</v>
      </c>
      <c r="H196" s="150">
        <f t="shared" ref="H196:H259" si="3">IF($B196="","",IF($B196=$B195,$H195+$F196-$G196,$F196-$G196))</f>
        <v>3440</v>
      </c>
      <c r="I196" s="149"/>
      <c r="J196" t="str">
        <f>IF($B196="","",IF(AND($B196=Party_Statement!$B$5,$A196&gt;=Party_Statement!$B$6,$A196&lt;=Party_Statement!$D$6),SUMPRODUCT(($B$3:$B196=Party_Statement!$B$5)*($A$3:$A196&gt;=Party_Statement!$B$6)*($A$3:$A196&lt;=Party_Statement!$D$6)),""))</f>
        <v/>
      </c>
    </row>
    <row r="197" spans="1:10" x14ac:dyDescent="0.2">
      <c r="A197" s="148">
        <f>Sales_Entry!A197</f>
        <v>66924</v>
      </c>
      <c r="B197" s="149" t="str">
        <f>Sales_Entry!C197</f>
        <v xml:space="preserve">AAMOSH KIRANA </v>
      </c>
      <c r="C197" s="149" t="s">
        <v>984</v>
      </c>
      <c r="D197" s="149" t="str">
        <f>Sales_Entry!B197</f>
        <v>BILL-6164</v>
      </c>
      <c r="E197" s="149" t="str">
        <f>Sales_Entry!D197</f>
        <v>Mix Milk</v>
      </c>
      <c r="F197" s="150">
        <f>N(Sales_Entry!I197)</f>
        <v>4250</v>
      </c>
      <c r="G197" s="150">
        <v>0</v>
      </c>
      <c r="H197" s="150">
        <f t="shared" si="3"/>
        <v>7690</v>
      </c>
      <c r="I197" s="149"/>
      <c r="J197" t="str">
        <f>IF($B197="","",IF(AND($B197=Party_Statement!$B$5,$A197&gt;=Party_Statement!$B$6,$A197&lt;=Party_Statement!$D$6),SUMPRODUCT(($B$3:$B197=Party_Statement!$B$5)*($A$3:$A197&gt;=Party_Statement!$B$6)*($A$3:$A197&lt;=Party_Statement!$D$6)),""))</f>
        <v/>
      </c>
    </row>
    <row r="198" spans="1:10" x14ac:dyDescent="0.2">
      <c r="A198" s="148">
        <f>Sales_Entry!A198</f>
        <v>66924</v>
      </c>
      <c r="B198" s="149" t="str">
        <f>Sales_Entry!C198</f>
        <v xml:space="preserve">AAMOSH KIRANA </v>
      </c>
      <c r="C198" s="149" t="s">
        <v>984</v>
      </c>
      <c r="D198" s="149" t="str">
        <f>Sales_Entry!B198</f>
        <v>BILL-6164</v>
      </c>
      <c r="E198" s="149" t="str">
        <f>Sales_Entry!D198</f>
        <v>Cow Milk</v>
      </c>
      <c r="F198" s="150">
        <f>N(Sales_Entry!I198)</f>
        <v>80</v>
      </c>
      <c r="G198" s="150">
        <v>0</v>
      </c>
      <c r="H198" s="150">
        <f t="shared" si="3"/>
        <v>7770</v>
      </c>
      <c r="I198" s="149"/>
      <c r="J198" t="str">
        <f>IF($B198="","",IF(AND($B198=Party_Statement!$B$5,$A198&gt;=Party_Statement!$B$6,$A198&lt;=Party_Statement!$D$6),SUMPRODUCT(($B$3:$B198=Party_Statement!$B$5)*($A$3:$A198&gt;=Party_Statement!$B$6)*($A$3:$A198&lt;=Party_Statement!$D$6)),""))</f>
        <v/>
      </c>
    </row>
    <row r="199" spans="1:10" x14ac:dyDescent="0.2">
      <c r="A199" s="148">
        <f>Sales_Entry!A199</f>
        <v>66924</v>
      </c>
      <c r="B199" s="149" t="str">
        <f>Sales_Entry!C199</f>
        <v xml:space="preserve">AAMOSH KIRANA </v>
      </c>
      <c r="C199" s="149" t="s">
        <v>984</v>
      </c>
      <c r="D199" s="149" t="str">
        <f>Sales_Entry!B199</f>
        <v>BILL-6164</v>
      </c>
      <c r="E199" s="149" t="str">
        <f>Sales_Entry!D199</f>
        <v>Ghee</v>
      </c>
      <c r="F199" s="150">
        <f>N(Sales_Entry!I199)</f>
        <v>2200</v>
      </c>
      <c r="G199" s="150">
        <v>0</v>
      </c>
      <c r="H199" s="150">
        <f t="shared" si="3"/>
        <v>9970</v>
      </c>
      <c r="I199" s="149"/>
      <c r="J199" t="str">
        <f>IF($B199="","",IF(AND($B199=Party_Statement!$B$5,$A199&gt;=Party_Statement!$B$6,$A199&lt;=Party_Statement!$D$6),SUMPRODUCT(($B$3:$B199=Party_Statement!$B$5)*($A$3:$A199&gt;=Party_Statement!$B$6)*($A$3:$A199&lt;=Party_Statement!$D$6)),""))</f>
        <v/>
      </c>
    </row>
    <row r="200" spans="1:10" x14ac:dyDescent="0.2">
      <c r="A200" s="148">
        <f>Sales_Entry!A200</f>
        <v>66924</v>
      </c>
      <c r="B200" s="149" t="str">
        <f>Sales_Entry!C200</f>
        <v xml:space="preserve">YUBARAJ AND SAMRAT </v>
      </c>
      <c r="C200" s="149" t="s">
        <v>984</v>
      </c>
      <c r="D200" s="149" t="str">
        <f>Sales_Entry!B200</f>
        <v>BILL-6165</v>
      </c>
      <c r="E200" s="149" t="str">
        <f>Sales_Entry!D200</f>
        <v>Mix Milk</v>
      </c>
      <c r="F200" s="150">
        <f>N(Sales_Entry!I200)</f>
        <v>1020</v>
      </c>
      <c r="G200" s="150">
        <v>0</v>
      </c>
      <c r="H200" s="150">
        <f t="shared" si="3"/>
        <v>1020</v>
      </c>
      <c r="I200" s="149"/>
      <c r="J200" t="str">
        <f>IF($B200="","",IF(AND($B200=Party_Statement!$B$5,$A200&gt;=Party_Statement!$B$6,$A200&lt;=Party_Statement!$D$6),SUMPRODUCT(($B$3:$B200=Party_Statement!$B$5)*($A$3:$A200&gt;=Party_Statement!$B$6)*($A$3:$A200&lt;=Party_Statement!$D$6)),""))</f>
        <v/>
      </c>
    </row>
    <row r="201" spans="1:10" x14ac:dyDescent="0.2">
      <c r="A201" s="148">
        <f>Sales_Entry!A201</f>
        <v>66924</v>
      </c>
      <c r="B201" s="149" t="str">
        <f>Sales_Entry!C201</f>
        <v xml:space="preserve">AAYUSH AAYUSHMA </v>
      </c>
      <c r="C201" s="149" t="s">
        <v>984</v>
      </c>
      <c r="D201" s="149" t="str">
        <f>Sales_Entry!B201</f>
        <v>BILL-6166</v>
      </c>
      <c r="E201" s="149" t="str">
        <f>Sales_Entry!D201</f>
        <v>Mix Milk</v>
      </c>
      <c r="F201" s="150">
        <f>N(Sales_Entry!I201)</f>
        <v>425</v>
      </c>
      <c r="G201" s="150">
        <v>0</v>
      </c>
      <c r="H201" s="150">
        <f t="shared" si="3"/>
        <v>425</v>
      </c>
      <c r="I201" s="149"/>
      <c r="J201" t="str">
        <f>IF($B201="","",IF(AND($B201=Party_Statement!$B$5,$A201&gt;=Party_Statement!$B$6,$A201&lt;=Party_Statement!$D$6),SUMPRODUCT(($B$3:$B201=Party_Statement!$B$5)*($A$3:$A201&gt;=Party_Statement!$B$6)*($A$3:$A201&lt;=Party_Statement!$D$6)),""))</f>
        <v/>
      </c>
    </row>
    <row r="202" spans="1:10" x14ac:dyDescent="0.2">
      <c r="A202" s="148">
        <f>Sales_Entry!A202</f>
        <v>66924</v>
      </c>
      <c r="B202" s="149" t="str">
        <f>Sales_Entry!C202</f>
        <v>PALPALI</v>
      </c>
      <c r="C202" s="149" t="s">
        <v>984</v>
      </c>
      <c r="D202" s="149" t="str">
        <f>Sales_Entry!B202</f>
        <v>BILL-6167</v>
      </c>
      <c r="E202" s="149" t="str">
        <f>Sales_Entry!D202</f>
        <v>Mix Milk</v>
      </c>
      <c r="F202" s="150">
        <f>N(Sales_Entry!I202)</f>
        <v>1700</v>
      </c>
      <c r="G202" s="150">
        <v>0</v>
      </c>
      <c r="H202" s="150">
        <f t="shared" si="3"/>
        <v>1700</v>
      </c>
      <c r="I202" s="149"/>
      <c r="J202" t="str">
        <f>IF($B202="","",IF(AND($B202=Party_Statement!$B$5,$A202&gt;=Party_Statement!$B$6,$A202&lt;=Party_Statement!$D$6),SUMPRODUCT(($B$3:$B202=Party_Statement!$B$5)*($A$3:$A202&gt;=Party_Statement!$B$6)*($A$3:$A202&lt;=Party_Statement!$D$6)),""))</f>
        <v/>
      </c>
    </row>
    <row r="203" spans="1:10" x14ac:dyDescent="0.2">
      <c r="A203" s="148">
        <f>Sales_Entry!A203</f>
        <v>66924</v>
      </c>
      <c r="B203" s="149" t="str">
        <f>Sales_Entry!C203</f>
        <v xml:space="preserve">GIRI KIRANA </v>
      </c>
      <c r="C203" s="149" t="s">
        <v>984</v>
      </c>
      <c r="D203" s="149" t="str">
        <f>Sales_Entry!B203</f>
        <v>BILL-6168</v>
      </c>
      <c r="E203" s="149" t="str">
        <f>Sales_Entry!D203</f>
        <v>Mix Milk</v>
      </c>
      <c r="F203" s="150">
        <f>N(Sales_Entry!I203)</f>
        <v>1275</v>
      </c>
      <c r="G203" s="150">
        <v>0</v>
      </c>
      <c r="H203" s="150">
        <f t="shared" si="3"/>
        <v>1275</v>
      </c>
      <c r="I203" s="149"/>
      <c r="J203" t="str">
        <f>IF($B203="","",IF(AND($B203=Party_Statement!$B$5,$A203&gt;=Party_Statement!$B$6,$A203&lt;=Party_Statement!$D$6),SUMPRODUCT(($B$3:$B203=Party_Statement!$B$5)*($A$3:$A203&gt;=Party_Statement!$B$6)*($A$3:$A203&lt;=Party_Statement!$D$6)),""))</f>
        <v/>
      </c>
    </row>
    <row r="204" spans="1:10" x14ac:dyDescent="0.2">
      <c r="A204" s="148">
        <f>Sales_Entry!A204</f>
        <v>66924</v>
      </c>
      <c r="B204" s="149" t="str">
        <f>Sales_Entry!C204</f>
        <v>MEGHRAJ (MITERI)</v>
      </c>
      <c r="C204" s="149" t="s">
        <v>984</v>
      </c>
      <c r="D204" s="149" t="str">
        <f>Sales_Entry!B204</f>
        <v>BILL-6169</v>
      </c>
      <c r="E204" s="149" t="str">
        <f>Sales_Entry!D204</f>
        <v>GHEE</v>
      </c>
      <c r="F204" s="150">
        <f>N(Sales_Entry!I204)</f>
        <v>2200</v>
      </c>
      <c r="G204" s="150">
        <v>0</v>
      </c>
      <c r="H204" s="150">
        <f t="shared" si="3"/>
        <v>2200</v>
      </c>
      <c r="I204" s="149"/>
      <c r="J204" t="str">
        <f>IF($B204="","",IF(AND($B204=Party_Statement!$B$5,$A204&gt;=Party_Statement!$B$6,$A204&lt;=Party_Statement!$D$6),SUMPRODUCT(($B$3:$B204=Party_Statement!$B$5)*($A$3:$A204&gt;=Party_Statement!$B$6)*($A$3:$A204&lt;=Party_Statement!$D$6)),""))</f>
        <v/>
      </c>
    </row>
    <row r="205" spans="1:10" x14ac:dyDescent="0.2">
      <c r="A205" s="148">
        <f>Sales_Entry!A205</f>
        <v>66924</v>
      </c>
      <c r="B205" s="149" t="str">
        <f>Sales_Entry!C205</f>
        <v xml:space="preserve">KRITIKA KIRANA </v>
      </c>
      <c r="C205" s="149" t="s">
        <v>984</v>
      </c>
      <c r="D205" s="149" t="str">
        <f>Sales_Entry!B205</f>
        <v>BILL-6170</v>
      </c>
      <c r="E205" s="149" t="str">
        <f>Sales_Entry!D205</f>
        <v>Mix Milk</v>
      </c>
      <c r="F205" s="150">
        <f>N(Sales_Entry!I205)</f>
        <v>1290</v>
      </c>
      <c r="G205" s="150">
        <v>0</v>
      </c>
      <c r="H205" s="150">
        <f t="shared" si="3"/>
        <v>1290</v>
      </c>
      <c r="I205" s="149"/>
      <c r="J205" t="str">
        <f>IF($B205="","",IF(AND($B205=Party_Statement!$B$5,$A205&gt;=Party_Statement!$B$6,$A205&lt;=Party_Statement!$D$6),SUMPRODUCT(($B$3:$B205=Party_Statement!$B$5)*($A$3:$A205&gt;=Party_Statement!$B$6)*($A$3:$A205&lt;=Party_Statement!$D$6)),""))</f>
        <v/>
      </c>
    </row>
    <row r="206" spans="1:10" x14ac:dyDescent="0.2">
      <c r="A206" s="148">
        <f>Sales_Entry!A206</f>
        <v>66924</v>
      </c>
      <c r="B206" s="149" t="str">
        <f>Sales_Entry!C206</f>
        <v>KALIKA CANTEEN A</v>
      </c>
      <c r="C206" s="149" t="s">
        <v>984</v>
      </c>
      <c r="D206" s="149" t="str">
        <f>Sales_Entry!B206</f>
        <v>BILL-6171</v>
      </c>
      <c r="E206" s="149" t="str">
        <f>Sales_Entry!D206</f>
        <v>Mix Milk</v>
      </c>
      <c r="F206" s="150">
        <f>N(Sales_Entry!I206)</f>
        <v>2975</v>
      </c>
      <c r="G206" s="150">
        <v>0</v>
      </c>
      <c r="H206" s="150">
        <f t="shared" si="3"/>
        <v>2975</v>
      </c>
      <c r="I206" s="149"/>
      <c r="J206" t="str">
        <f>IF($B206="","",IF(AND($B206=Party_Statement!$B$5,$A206&gt;=Party_Statement!$B$6,$A206&lt;=Party_Statement!$D$6),SUMPRODUCT(($B$3:$B206=Party_Statement!$B$5)*($A$3:$A206&gt;=Party_Statement!$B$6)*($A$3:$A206&lt;=Party_Statement!$D$6)),""))</f>
        <v/>
      </c>
    </row>
    <row r="207" spans="1:10" x14ac:dyDescent="0.2">
      <c r="A207" s="148">
        <f>Sales_Entry!A207</f>
        <v>66924</v>
      </c>
      <c r="B207" s="149" t="str">
        <f>Sales_Entry!C207</f>
        <v>KALIKA CANTEEN A1</v>
      </c>
      <c r="C207" s="149" t="s">
        <v>984</v>
      </c>
      <c r="D207" s="149" t="str">
        <f>Sales_Entry!B207</f>
        <v>BILL-6172</v>
      </c>
      <c r="E207" s="149" t="str">
        <f>Sales_Entry!D207</f>
        <v>Mix Milk</v>
      </c>
      <c r="F207" s="150">
        <f>N(Sales_Entry!I207)</f>
        <v>2550</v>
      </c>
      <c r="G207" s="150">
        <v>0</v>
      </c>
      <c r="H207" s="150">
        <f t="shared" si="3"/>
        <v>2550</v>
      </c>
      <c r="I207" s="149"/>
      <c r="J207" t="str">
        <f>IF($B207="","",IF(AND($B207=Party_Statement!$B$5,$A207&gt;=Party_Statement!$B$6,$A207&lt;=Party_Statement!$D$6),SUMPRODUCT(($B$3:$B207=Party_Statement!$B$5)*($A$3:$A207&gt;=Party_Statement!$B$6)*($A$3:$A207&lt;=Party_Statement!$D$6)),""))</f>
        <v/>
      </c>
    </row>
    <row r="208" spans="1:10" x14ac:dyDescent="0.2">
      <c r="A208" s="148">
        <f>Sales_Entry!A208</f>
        <v>66924</v>
      </c>
      <c r="B208" s="149" t="str">
        <f>Sales_Entry!C208</f>
        <v>THE DARBAR</v>
      </c>
      <c r="C208" s="149" t="s">
        <v>984</v>
      </c>
      <c r="D208" s="149" t="str">
        <f>Sales_Entry!B208</f>
        <v>BILL-6173</v>
      </c>
      <c r="E208" s="149" t="str">
        <f>Sales_Entry!D208</f>
        <v>Mix Milk</v>
      </c>
      <c r="F208" s="150">
        <f>N(Sales_Entry!I208)</f>
        <v>4500</v>
      </c>
      <c r="G208" s="150">
        <v>0</v>
      </c>
      <c r="H208" s="150">
        <f t="shared" si="3"/>
        <v>4500</v>
      </c>
      <c r="I208" s="149"/>
      <c r="J208" t="str">
        <f>IF($B208="","",IF(AND($B208=Party_Statement!$B$5,$A208&gt;=Party_Statement!$B$6,$A208&lt;=Party_Statement!$D$6),SUMPRODUCT(($B$3:$B208=Party_Statement!$B$5)*($A$3:$A208&gt;=Party_Statement!$B$6)*($A$3:$A208&lt;=Party_Statement!$D$6)),""))</f>
        <v/>
      </c>
    </row>
    <row r="209" spans="1:10" x14ac:dyDescent="0.2">
      <c r="A209" s="148">
        <f>Sales_Entry!A209</f>
        <v>66924</v>
      </c>
      <c r="B209" s="149" t="str">
        <f>Sales_Entry!C209</f>
        <v>THE DARBAR</v>
      </c>
      <c r="C209" s="149" t="s">
        <v>984</v>
      </c>
      <c r="D209" s="149" t="str">
        <f>Sales_Entry!B209</f>
        <v>BILL-6173</v>
      </c>
      <c r="E209" s="149" t="str">
        <f>Sales_Entry!D209</f>
        <v>Ghee</v>
      </c>
      <c r="F209" s="150">
        <f>N(Sales_Entry!I209)</f>
        <v>2300</v>
      </c>
      <c r="G209" s="150">
        <v>0</v>
      </c>
      <c r="H209" s="150">
        <f t="shared" si="3"/>
        <v>6800</v>
      </c>
      <c r="I209" s="149"/>
      <c r="J209" t="str">
        <f>IF($B209="","",IF(AND($B209=Party_Statement!$B$5,$A209&gt;=Party_Statement!$B$6,$A209&lt;=Party_Statement!$D$6),SUMPRODUCT(($B$3:$B209=Party_Statement!$B$5)*($A$3:$A209&gt;=Party_Statement!$B$6)*($A$3:$A209&lt;=Party_Statement!$D$6)),""))</f>
        <v/>
      </c>
    </row>
    <row r="210" spans="1:10" x14ac:dyDescent="0.2">
      <c r="A210" s="148">
        <f>Sales_Entry!A210</f>
        <v>66924</v>
      </c>
      <c r="B210" s="149" t="str">
        <f>Sales_Entry!C210</f>
        <v>THE DARBAR</v>
      </c>
      <c r="C210" s="149" t="s">
        <v>984</v>
      </c>
      <c r="D210" s="149" t="str">
        <f>Sales_Entry!B210</f>
        <v>BILL-6173</v>
      </c>
      <c r="E210" s="149" t="str">
        <f>Sales_Entry!D210</f>
        <v>PANEER</v>
      </c>
      <c r="F210" s="150">
        <f>N(Sales_Entry!I210)</f>
        <v>6400</v>
      </c>
      <c r="G210" s="150">
        <v>0</v>
      </c>
      <c r="H210" s="150">
        <f t="shared" si="3"/>
        <v>13200</v>
      </c>
      <c r="I210" s="149"/>
      <c r="J210" t="str">
        <f>IF($B210="","",IF(AND($B210=Party_Statement!$B$5,$A210&gt;=Party_Statement!$B$6,$A210&lt;=Party_Statement!$D$6),SUMPRODUCT(($B$3:$B210=Party_Statement!$B$5)*($A$3:$A210&gt;=Party_Statement!$B$6)*($A$3:$A210&lt;=Party_Statement!$D$6)),""))</f>
        <v/>
      </c>
    </row>
    <row r="211" spans="1:10" x14ac:dyDescent="0.2">
      <c r="A211" s="148">
        <f>Sales_Entry!A211</f>
        <v>66924</v>
      </c>
      <c r="B211" s="149" t="str">
        <f>Sales_Entry!C211</f>
        <v>ORGANIC TARKALI</v>
      </c>
      <c r="C211" s="149" t="s">
        <v>984</v>
      </c>
      <c r="D211" s="149" t="str">
        <f>Sales_Entry!B211</f>
        <v>BILL-6174</v>
      </c>
      <c r="E211" s="149" t="str">
        <f>Sales_Entry!D211</f>
        <v>Mix Milk</v>
      </c>
      <c r="F211" s="150">
        <f>N(Sales_Entry!I211)</f>
        <v>2850</v>
      </c>
      <c r="G211" s="150">
        <v>0</v>
      </c>
      <c r="H211" s="150">
        <f t="shared" si="3"/>
        <v>2850</v>
      </c>
      <c r="I211" s="149"/>
      <c r="J211" t="str">
        <f>IF($B211="","",IF(AND($B211=Party_Statement!$B$5,$A211&gt;=Party_Statement!$B$6,$A211&lt;=Party_Statement!$D$6),SUMPRODUCT(($B$3:$B211=Party_Statement!$B$5)*($A$3:$A211&gt;=Party_Statement!$B$6)*($A$3:$A211&lt;=Party_Statement!$D$6)),""))</f>
        <v/>
      </c>
    </row>
    <row r="212" spans="1:10" x14ac:dyDescent="0.2">
      <c r="A212" s="148">
        <f>Sales_Entry!A212</f>
        <v>66924</v>
      </c>
      <c r="B212" s="149" t="str">
        <f>Sales_Entry!C212</f>
        <v>SHARMA DAI</v>
      </c>
      <c r="C212" s="149" t="s">
        <v>984</v>
      </c>
      <c r="D212" s="149" t="str">
        <f>Sales_Entry!B212</f>
        <v>BILL-6175</v>
      </c>
      <c r="E212" s="149" t="str">
        <f>Sales_Entry!D212</f>
        <v>Mix Milk</v>
      </c>
      <c r="F212" s="150">
        <f>N(Sales_Entry!I212)</f>
        <v>2100</v>
      </c>
      <c r="G212" s="150">
        <v>0</v>
      </c>
      <c r="H212" s="150">
        <f t="shared" si="3"/>
        <v>2100</v>
      </c>
      <c r="I212" s="149"/>
      <c r="J212" t="str">
        <f>IF($B212="","",IF(AND($B212=Party_Statement!$B$5,$A212&gt;=Party_Statement!$B$6,$A212&lt;=Party_Statement!$D$6),SUMPRODUCT(($B$3:$B212=Party_Statement!$B$5)*($A$3:$A212&gt;=Party_Statement!$B$6)*($A$3:$A212&lt;=Party_Statement!$D$6)),""))</f>
        <v/>
      </c>
    </row>
    <row r="213" spans="1:10" x14ac:dyDescent="0.2">
      <c r="A213" s="148">
        <f>Sales_Entry!A213</f>
        <v>66924</v>
      </c>
      <c r="B213" s="149" t="str">
        <f>Sales_Entry!C213</f>
        <v>GANGA NEUPANE</v>
      </c>
      <c r="C213" s="149" t="s">
        <v>984</v>
      </c>
      <c r="D213" s="149" t="str">
        <f>Sales_Entry!B213</f>
        <v>BILL-6176</v>
      </c>
      <c r="E213" s="149" t="str">
        <f>Sales_Entry!D213</f>
        <v>Mix Milk</v>
      </c>
      <c r="F213" s="150">
        <f>N(Sales_Entry!I213)</f>
        <v>680</v>
      </c>
      <c r="G213" s="150">
        <v>0</v>
      </c>
      <c r="H213" s="150">
        <f t="shared" si="3"/>
        <v>680</v>
      </c>
      <c r="I213" s="149"/>
      <c r="J213" t="str">
        <f>IF($B213="","",IF(AND($B213=Party_Statement!$B$5,$A213&gt;=Party_Statement!$B$6,$A213&lt;=Party_Statement!$D$6),SUMPRODUCT(($B$3:$B213=Party_Statement!$B$5)*($A$3:$A213&gt;=Party_Statement!$B$6)*($A$3:$A213&lt;=Party_Statement!$D$6)),""))</f>
        <v/>
      </c>
    </row>
    <row r="214" spans="1:10" x14ac:dyDescent="0.2">
      <c r="A214" s="148">
        <f>Sales_Entry!A214</f>
        <v>66924</v>
      </c>
      <c r="B214" s="149" t="str">
        <f>Sales_Entry!C214</f>
        <v>BHUSAL JANARAL</v>
      </c>
      <c r="C214" s="149" t="s">
        <v>984</v>
      </c>
      <c r="D214" s="149" t="str">
        <f>Sales_Entry!B214</f>
        <v>BILL-6177</v>
      </c>
      <c r="E214" s="149" t="str">
        <f>Sales_Entry!D214</f>
        <v>Mix Milk</v>
      </c>
      <c r="F214" s="150">
        <f>N(Sales_Entry!I214)</f>
        <v>860</v>
      </c>
      <c r="G214" s="150">
        <v>0</v>
      </c>
      <c r="H214" s="150">
        <f t="shared" si="3"/>
        <v>860</v>
      </c>
      <c r="I214" s="149"/>
      <c r="J214" t="str">
        <f>IF($B214="","",IF(AND($B214=Party_Statement!$B$5,$A214&gt;=Party_Statement!$B$6,$A214&lt;=Party_Statement!$D$6),SUMPRODUCT(($B$3:$B214=Party_Statement!$B$5)*($A$3:$A214&gt;=Party_Statement!$B$6)*($A$3:$A214&lt;=Party_Statement!$D$6)),""))</f>
        <v/>
      </c>
    </row>
    <row r="215" spans="1:10" x14ac:dyDescent="0.2">
      <c r="A215" s="148">
        <f>Sales_Entry!A215</f>
        <v>66924</v>
      </c>
      <c r="B215" s="149" t="str">
        <f>Sales_Entry!C215</f>
        <v>LOCAL</v>
      </c>
      <c r="C215" s="149" t="s">
        <v>984</v>
      </c>
      <c r="D215" s="149" t="str">
        <f>Sales_Entry!B215</f>
        <v>BILL-6178</v>
      </c>
      <c r="E215" s="149" t="str">
        <f>Sales_Entry!D215</f>
        <v>Mix Milk</v>
      </c>
      <c r="F215" s="150">
        <f>N(Sales_Entry!I215)</f>
        <v>510.01500000000004</v>
      </c>
      <c r="G215" s="150">
        <v>0</v>
      </c>
      <c r="H215" s="150">
        <f t="shared" si="3"/>
        <v>510.01500000000004</v>
      </c>
      <c r="I215" s="149"/>
      <c r="J215" t="str">
        <f>IF($B215="","",IF(AND($B215=Party_Statement!$B$5,$A215&gt;=Party_Statement!$B$6,$A215&lt;=Party_Statement!$D$6),SUMPRODUCT(($B$3:$B215=Party_Statement!$B$5)*($A$3:$A215&gt;=Party_Statement!$B$6)*($A$3:$A215&lt;=Party_Statement!$D$6)),""))</f>
        <v/>
      </c>
    </row>
    <row r="216" spans="1:10" x14ac:dyDescent="0.2">
      <c r="A216" s="148">
        <f>Sales_Entry!A216</f>
        <v>66924</v>
      </c>
      <c r="B216" s="149" t="str">
        <f>Sales_Entry!C216</f>
        <v>NEUPANE KIRANA</v>
      </c>
      <c r="C216" s="149" t="s">
        <v>984</v>
      </c>
      <c r="D216" s="149" t="str">
        <f>Sales_Entry!B216</f>
        <v>BILL-6179</v>
      </c>
      <c r="E216" s="149" t="str">
        <f>Sales_Entry!D216</f>
        <v>Mix Milk</v>
      </c>
      <c r="F216" s="150">
        <f>N(Sales_Entry!I216)</f>
        <v>180</v>
      </c>
      <c r="G216" s="150">
        <v>0</v>
      </c>
      <c r="H216" s="150">
        <f t="shared" si="3"/>
        <v>180</v>
      </c>
      <c r="I216" s="149"/>
      <c r="J216" t="str">
        <f>IF($B216="","",IF(AND($B216=Party_Statement!$B$5,$A216&gt;=Party_Statement!$B$6,$A216&lt;=Party_Statement!$D$6),SUMPRODUCT(($B$3:$B216=Party_Statement!$B$5)*($A$3:$A216&gt;=Party_Statement!$B$6)*($A$3:$A216&lt;=Party_Statement!$D$6)),""))</f>
        <v/>
      </c>
    </row>
    <row r="217" spans="1:10" x14ac:dyDescent="0.2">
      <c r="A217" s="148">
        <f>Sales_Entry!A217</f>
        <v>66925</v>
      </c>
      <c r="B217" s="149" t="str">
        <f>Sales_Entry!C217</f>
        <v>SRIJANA DAIRY (DEVI NAGAR)</v>
      </c>
      <c r="C217" s="149" t="s">
        <v>984</v>
      </c>
      <c r="D217" s="149" t="str">
        <f>Sales_Entry!B217</f>
        <v>BILL-6180</v>
      </c>
      <c r="E217" s="149" t="str">
        <f>Sales_Entry!D217</f>
        <v>Mix Milk</v>
      </c>
      <c r="F217" s="150">
        <f>N(Sales_Entry!I217)</f>
        <v>5100</v>
      </c>
      <c r="G217" s="150">
        <v>0</v>
      </c>
      <c r="H217" s="150">
        <f t="shared" si="3"/>
        <v>5100</v>
      </c>
      <c r="I217" s="149"/>
      <c r="J217" t="str">
        <f>IF($B217="","",IF(AND($B217=Party_Statement!$B$5,$A217&gt;=Party_Statement!$B$6,$A217&lt;=Party_Statement!$D$6),SUMPRODUCT(($B$3:$B217=Party_Statement!$B$5)*($A$3:$A217&gt;=Party_Statement!$B$6)*($A$3:$A217&lt;=Party_Statement!$D$6)),""))</f>
        <v/>
      </c>
    </row>
    <row r="218" spans="1:10" x14ac:dyDescent="0.2">
      <c r="A218" s="148">
        <f>Sales_Entry!A218</f>
        <v>66925</v>
      </c>
      <c r="B218" s="149" t="str">
        <f>Sales_Entry!C218</f>
        <v>SRIJANA DAIRY (DEVI NAGAR)</v>
      </c>
      <c r="C218" s="149" t="s">
        <v>984</v>
      </c>
      <c r="D218" s="149" t="str">
        <f>Sales_Entry!B218</f>
        <v>BILL-6180</v>
      </c>
      <c r="E218" s="149" t="str">
        <f>Sales_Entry!D218</f>
        <v>Cow Milk</v>
      </c>
      <c r="F218" s="150">
        <f>N(Sales_Entry!I218)</f>
        <v>80</v>
      </c>
      <c r="G218" s="150">
        <v>0</v>
      </c>
      <c r="H218" s="150">
        <f t="shared" si="3"/>
        <v>5180</v>
      </c>
      <c r="I218" s="149"/>
      <c r="J218" t="str">
        <f>IF($B218="","",IF(AND($B218=Party_Statement!$B$5,$A218&gt;=Party_Statement!$B$6,$A218&lt;=Party_Statement!$D$6),SUMPRODUCT(($B$3:$B218=Party_Statement!$B$5)*($A$3:$A218&gt;=Party_Statement!$B$6)*($A$3:$A218&lt;=Party_Statement!$D$6)),""))</f>
        <v/>
      </c>
    </row>
    <row r="219" spans="1:10" x14ac:dyDescent="0.2">
      <c r="A219" s="148">
        <f>Sales_Entry!A219</f>
        <v>66925</v>
      </c>
      <c r="B219" s="149" t="str">
        <f>Sales_Entry!C219</f>
        <v xml:space="preserve">SOBHA BHATTARAI </v>
      </c>
      <c r="C219" s="149" t="s">
        <v>984</v>
      </c>
      <c r="D219" s="149" t="str">
        <f>Sales_Entry!B219</f>
        <v>BILL-6181</v>
      </c>
      <c r="E219" s="149" t="str">
        <f>Sales_Entry!D219</f>
        <v>Mix Milk</v>
      </c>
      <c r="F219" s="150">
        <f>N(Sales_Entry!I219)</f>
        <v>2550</v>
      </c>
      <c r="G219" s="150">
        <v>0</v>
      </c>
      <c r="H219" s="150">
        <f t="shared" si="3"/>
        <v>2550</v>
      </c>
      <c r="I219" s="149"/>
      <c r="J219" t="str">
        <f>IF($B219="","",IF(AND($B219=Party_Statement!$B$5,$A219&gt;=Party_Statement!$B$6,$A219&lt;=Party_Statement!$D$6),SUMPRODUCT(($B$3:$B219=Party_Statement!$B$5)*($A$3:$A219&gt;=Party_Statement!$B$6)*($A$3:$A219&lt;=Party_Statement!$D$6)),""))</f>
        <v/>
      </c>
    </row>
    <row r="220" spans="1:10" x14ac:dyDescent="0.2">
      <c r="A220" s="148">
        <f>Sales_Entry!A220</f>
        <v>66925</v>
      </c>
      <c r="B220" s="149" t="str">
        <f>Sales_Entry!C220</f>
        <v>MANAKAMANA DAIRY</v>
      </c>
      <c r="C220" s="149" t="s">
        <v>984</v>
      </c>
      <c r="D220" s="149" t="str">
        <f>Sales_Entry!B220</f>
        <v>BILL-6182</v>
      </c>
      <c r="E220" s="149" t="str">
        <f>Sales_Entry!D220</f>
        <v>Mix Milk</v>
      </c>
      <c r="F220" s="150">
        <f>N(Sales_Entry!I220)</f>
        <v>850</v>
      </c>
      <c r="G220" s="150">
        <v>0</v>
      </c>
      <c r="H220" s="150">
        <f t="shared" si="3"/>
        <v>850</v>
      </c>
      <c r="I220" s="149"/>
      <c r="J220" t="str">
        <f>IF($B220="","",IF(AND($B220=Party_Statement!$B$5,$A220&gt;=Party_Statement!$B$6,$A220&lt;=Party_Statement!$D$6),SUMPRODUCT(($B$3:$B220=Party_Statement!$B$5)*($A$3:$A220&gt;=Party_Statement!$B$6)*($A$3:$A220&lt;=Party_Statement!$D$6)),""))</f>
        <v/>
      </c>
    </row>
    <row r="221" spans="1:10" x14ac:dyDescent="0.2">
      <c r="A221" s="148">
        <f>Sales_Entry!A221</f>
        <v>66925</v>
      </c>
      <c r="B221" s="149" t="str">
        <f>Sales_Entry!C221</f>
        <v xml:space="preserve">SAMIKSHYA </v>
      </c>
      <c r="C221" s="149" t="s">
        <v>984</v>
      </c>
      <c r="D221" s="149" t="str">
        <f>Sales_Entry!B221</f>
        <v>BILL-6183</v>
      </c>
      <c r="E221" s="149" t="str">
        <f>Sales_Entry!D221</f>
        <v>Mix Milk</v>
      </c>
      <c r="F221" s="150">
        <f>N(Sales_Entry!I221)</f>
        <v>680</v>
      </c>
      <c r="G221" s="150">
        <v>0</v>
      </c>
      <c r="H221" s="150">
        <f t="shared" si="3"/>
        <v>680</v>
      </c>
      <c r="I221" s="149"/>
      <c r="J221" t="str">
        <f>IF($B221="","",IF(AND($B221=Party_Statement!$B$5,$A221&gt;=Party_Statement!$B$6,$A221&lt;=Party_Statement!$D$6),SUMPRODUCT(($B$3:$B221=Party_Statement!$B$5)*($A$3:$A221&gt;=Party_Statement!$B$6)*($A$3:$A221&lt;=Party_Statement!$D$6)),""))</f>
        <v/>
      </c>
    </row>
    <row r="222" spans="1:10" x14ac:dyDescent="0.2">
      <c r="A222" s="148">
        <f>Sales_Entry!A222</f>
        <v>66925</v>
      </c>
      <c r="B222" s="149" t="str">
        <f>Sales_Entry!C222</f>
        <v>KRISHNA KHAREL</v>
      </c>
      <c r="C222" s="149" t="s">
        <v>984</v>
      </c>
      <c r="D222" s="149" t="str">
        <f>Sales_Entry!B222</f>
        <v>BILL-6184</v>
      </c>
      <c r="E222" s="149" t="str">
        <f>Sales_Entry!D222</f>
        <v>Mix Milk</v>
      </c>
      <c r="F222" s="150">
        <f>N(Sales_Entry!I222)</f>
        <v>344</v>
      </c>
      <c r="G222" s="150">
        <v>0</v>
      </c>
      <c r="H222" s="150">
        <f t="shared" si="3"/>
        <v>344</v>
      </c>
      <c r="I222" s="149"/>
      <c r="J222" t="str">
        <f>IF($B222="","",IF(AND($B222=Party_Statement!$B$5,$A222&gt;=Party_Statement!$B$6,$A222&lt;=Party_Statement!$D$6),SUMPRODUCT(($B$3:$B222=Party_Statement!$B$5)*($A$3:$A222&gt;=Party_Statement!$B$6)*($A$3:$A222&lt;=Party_Statement!$D$6)),""))</f>
        <v/>
      </c>
    </row>
    <row r="223" spans="1:10" x14ac:dyDescent="0.2">
      <c r="A223" s="148">
        <f>Sales_Entry!A223</f>
        <v>66925</v>
      </c>
      <c r="B223" s="149" t="str">
        <f>Sales_Entry!C223</f>
        <v>KRISHNA KHAREL</v>
      </c>
      <c r="C223" s="149" t="s">
        <v>984</v>
      </c>
      <c r="D223" s="149" t="str">
        <f>Sales_Entry!B223</f>
        <v>BILL-6184</v>
      </c>
      <c r="E223" s="149" t="str">
        <f>Sales_Entry!D223</f>
        <v>NAUNI</v>
      </c>
      <c r="F223" s="150">
        <f>N(Sales_Entry!I223)</f>
        <v>2400</v>
      </c>
      <c r="G223" s="150">
        <v>0</v>
      </c>
      <c r="H223" s="150">
        <f t="shared" si="3"/>
        <v>2744</v>
      </c>
      <c r="I223" s="149"/>
      <c r="J223" t="str">
        <f>IF($B223="","",IF(AND($B223=Party_Statement!$B$5,$A223&gt;=Party_Statement!$B$6,$A223&lt;=Party_Statement!$D$6),SUMPRODUCT(($B$3:$B223=Party_Statement!$B$5)*($A$3:$A223&gt;=Party_Statement!$B$6)*($A$3:$A223&lt;=Party_Statement!$D$6)),""))</f>
        <v/>
      </c>
    </row>
    <row r="224" spans="1:10" x14ac:dyDescent="0.2">
      <c r="A224" s="148">
        <f>Sales_Entry!A224</f>
        <v>66925</v>
      </c>
      <c r="B224" s="149" t="str">
        <f>Sales_Entry!C224</f>
        <v>CHHATRABHUMI</v>
      </c>
      <c r="C224" s="149" t="s">
        <v>984</v>
      </c>
      <c r="D224" s="149" t="str">
        <f>Sales_Entry!B224</f>
        <v>BILL-6185</v>
      </c>
      <c r="E224" s="149" t="str">
        <f>Sales_Entry!D224</f>
        <v>Mix Milk</v>
      </c>
      <c r="F224" s="150">
        <f>N(Sales_Entry!I224)</f>
        <v>2580</v>
      </c>
      <c r="G224" s="150">
        <v>0</v>
      </c>
      <c r="H224" s="150">
        <f t="shared" si="3"/>
        <v>2580</v>
      </c>
      <c r="I224" s="149"/>
      <c r="J224" t="str">
        <f>IF($B224="","",IF(AND($B224=Party_Statement!$B$5,$A224&gt;=Party_Statement!$B$6,$A224&lt;=Party_Statement!$D$6),SUMPRODUCT(($B$3:$B224=Party_Statement!$B$5)*($A$3:$A224&gt;=Party_Statement!$B$6)*($A$3:$A224&lt;=Party_Statement!$D$6)),""))</f>
        <v/>
      </c>
    </row>
    <row r="225" spans="1:10" x14ac:dyDescent="0.2">
      <c r="A225" s="148">
        <f>Sales_Entry!A225</f>
        <v>66925</v>
      </c>
      <c r="B225" s="149" t="str">
        <f>Sales_Entry!C225</f>
        <v>PALPALI</v>
      </c>
      <c r="C225" s="149" t="s">
        <v>984</v>
      </c>
      <c r="D225" s="149" t="str">
        <f>Sales_Entry!B225</f>
        <v>BILL-6186</v>
      </c>
      <c r="E225" s="149" t="str">
        <f>Sales_Entry!D225</f>
        <v>Mix Milk</v>
      </c>
      <c r="F225" s="150">
        <f>N(Sales_Entry!I225)</f>
        <v>1700</v>
      </c>
      <c r="G225" s="150">
        <v>0</v>
      </c>
      <c r="H225" s="150">
        <f t="shared" si="3"/>
        <v>1700</v>
      </c>
      <c r="I225" s="149"/>
      <c r="J225" t="str">
        <f>IF($B225="","",IF(AND($B225=Party_Statement!$B$5,$A225&gt;=Party_Statement!$B$6,$A225&lt;=Party_Statement!$D$6),SUMPRODUCT(($B$3:$B225=Party_Statement!$B$5)*($A$3:$A225&gt;=Party_Statement!$B$6)*($A$3:$A225&lt;=Party_Statement!$D$6)),""))</f>
        <v/>
      </c>
    </row>
    <row r="226" spans="1:10" x14ac:dyDescent="0.2">
      <c r="A226" s="148">
        <f>Sales_Entry!A226</f>
        <v>66925</v>
      </c>
      <c r="B226" s="149" t="str">
        <f>Sales_Entry!C226</f>
        <v xml:space="preserve">AAMOSH KIRANA </v>
      </c>
      <c r="C226" s="149" t="s">
        <v>984</v>
      </c>
      <c r="D226" s="149" t="str">
        <f>Sales_Entry!B226</f>
        <v>BILL-6187</v>
      </c>
      <c r="E226" s="149" t="str">
        <f>Sales_Entry!D226</f>
        <v>Mix Milk</v>
      </c>
      <c r="F226" s="150">
        <f>N(Sales_Entry!I226)</f>
        <v>3440</v>
      </c>
      <c r="G226" s="150">
        <v>0</v>
      </c>
      <c r="H226" s="150">
        <f t="shared" si="3"/>
        <v>3440</v>
      </c>
      <c r="I226" s="149"/>
      <c r="J226" t="str">
        <f>IF($B226="","",IF(AND($B226=Party_Statement!$B$5,$A226&gt;=Party_Statement!$B$6,$A226&lt;=Party_Statement!$D$6),SUMPRODUCT(($B$3:$B226=Party_Statement!$B$5)*($A$3:$A226&gt;=Party_Statement!$B$6)*($A$3:$A226&lt;=Party_Statement!$D$6)),""))</f>
        <v/>
      </c>
    </row>
    <row r="227" spans="1:10" x14ac:dyDescent="0.2">
      <c r="A227" s="148">
        <f>Sales_Entry!A227</f>
        <v>66925</v>
      </c>
      <c r="B227" s="149" t="str">
        <f>Sales_Entry!C227</f>
        <v xml:space="preserve">AAMOSH KIRANA </v>
      </c>
      <c r="C227" s="149" t="s">
        <v>984</v>
      </c>
      <c r="D227" s="149" t="str">
        <f>Sales_Entry!B227</f>
        <v>BILL-6187</v>
      </c>
      <c r="E227" s="149" t="str">
        <f>Sales_Entry!D227</f>
        <v>Mix Milk</v>
      </c>
      <c r="F227" s="150">
        <f>N(Sales_Entry!I227)</f>
        <v>3825</v>
      </c>
      <c r="G227" s="150">
        <v>0</v>
      </c>
      <c r="H227" s="150">
        <f t="shared" si="3"/>
        <v>7265</v>
      </c>
      <c r="I227" s="149"/>
      <c r="J227" t="str">
        <f>IF($B227="","",IF(AND($B227=Party_Statement!$B$5,$A227&gt;=Party_Statement!$B$6,$A227&lt;=Party_Statement!$D$6),SUMPRODUCT(($B$3:$B227=Party_Statement!$B$5)*($A$3:$A227&gt;=Party_Statement!$B$6)*($A$3:$A227&lt;=Party_Statement!$D$6)),""))</f>
        <v/>
      </c>
    </row>
    <row r="228" spans="1:10" x14ac:dyDescent="0.2">
      <c r="A228" s="148">
        <f>Sales_Entry!A228</f>
        <v>66925</v>
      </c>
      <c r="B228" s="149" t="str">
        <f>Sales_Entry!C228</f>
        <v xml:space="preserve">AAMOSH KIRANA </v>
      </c>
      <c r="C228" s="149" t="s">
        <v>984</v>
      </c>
      <c r="D228" s="149" t="str">
        <f>Sales_Entry!B228</f>
        <v>BILL-6187</v>
      </c>
      <c r="E228" s="149" t="str">
        <f>Sales_Entry!D228</f>
        <v>Cow Milk</v>
      </c>
      <c r="F228" s="150">
        <f>N(Sales_Entry!I228)</f>
        <v>80</v>
      </c>
      <c r="G228" s="150">
        <v>0</v>
      </c>
      <c r="H228" s="150">
        <f t="shared" si="3"/>
        <v>7345</v>
      </c>
      <c r="I228" s="149"/>
      <c r="J228" t="str">
        <f>IF($B228="","",IF(AND($B228=Party_Statement!$B$5,$A228&gt;=Party_Statement!$B$6,$A228&lt;=Party_Statement!$D$6),SUMPRODUCT(($B$3:$B228=Party_Statement!$B$5)*($A$3:$A228&gt;=Party_Statement!$B$6)*($A$3:$A228&lt;=Party_Statement!$D$6)),""))</f>
        <v/>
      </c>
    </row>
    <row r="229" spans="1:10" x14ac:dyDescent="0.2">
      <c r="A229" s="148">
        <f>Sales_Entry!A229</f>
        <v>66925</v>
      </c>
      <c r="B229" s="149" t="str">
        <f>Sales_Entry!C229</f>
        <v xml:space="preserve">DEURALI KIRANA </v>
      </c>
      <c r="C229" s="149" t="s">
        <v>984</v>
      </c>
      <c r="D229" s="149" t="str">
        <f>Sales_Entry!B229</f>
        <v>BILL-6188</v>
      </c>
      <c r="E229" s="149" t="str">
        <f>Sales_Entry!D229</f>
        <v>Mix Milk</v>
      </c>
      <c r="F229" s="150">
        <f>N(Sales_Entry!I229)</f>
        <v>425</v>
      </c>
      <c r="G229" s="150">
        <v>0</v>
      </c>
      <c r="H229" s="150">
        <f t="shared" si="3"/>
        <v>425</v>
      </c>
      <c r="I229" s="149"/>
      <c r="J229" t="str">
        <f>IF($B229="","",IF(AND($B229=Party_Statement!$B$5,$A229&gt;=Party_Statement!$B$6,$A229&lt;=Party_Statement!$D$6),SUMPRODUCT(($B$3:$B229=Party_Statement!$B$5)*($A$3:$A229&gt;=Party_Statement!$B$6)*($A$3:$A229&lt;=Party_Statement!$D$6)),""))</f>
        <v/>
      </c>
    </row>
    <row r="230" spans="1:10" x14ac:dyDescent="0.2">
      <c r="A230" s="148">
        <f>Sales_Entry!A230</f>
        <v>66925</v>
      </c>
      <c r="B230" s="149" t="str">
        <f>Sales_Entry!C230</f>
        <v xml:space="preserve">GIRI KIRANA </v>
      </c>
      <c r="C230" s="149" t="s">
        <v>984</v>
      </c>
      <c r="D230" s="149" t="str">
        <f>Sales_Entry!B230</f>
        <v>BILL-6189</v>
      </c>
      <c r="E230" s="149" t="str">
        <f>Sales_Entry!D230</f>
        <v>Mix Milk</v>
      </c>
      <c r="F230" s="150">
        <f>N(Sales_Entry!I230)</f>
        <v>1275</v>
      </c>
      <c r="G230" s="150">
        <v>0</v>
      </c>
      <c r="H230" s="150">
        <f t="shared" si="3"/>
        <v>1275</v>
      </c>
      <c r="I230" s="149"/>
      <c r="J230" t="str">
        <f>IF($B230="","",IF(AND($B230=Party_Statement!$B$5,$A230&gt;=Party_Statement!$B$6,$A230&lt;=Party_Statement!$D$6),SUMPRODUCT(($B$3:$B230=Party_Statement!$B$5)*($A$3:$A230&gt;=Party_Statement!$B$6)*($A$3:$A230&lt;=Party_Statement!$D$6)),""))</f>
        <v/>
      </c>
    </row>
    <row r="231" spans="1:10" x14ac:dyDescent="0.2">
      <c r="A231" s="148">
        <f>Sales_Entry!A231</f>
        <v>66925</v>
      </c>
      <c r="B231" s="149" t="str">
        <f>Sales_Entry!C231</f>
        <v xml:space="preserve">YUBARAJ AND SAMRAT </v>
      </c>
      <c r="C231" s="149" t="s">
        <v>984</v>
      </c>
      <c r="D231" s="149" t="str">
        <f>Sales_Entry!B231</f>
        <v>BILL-6190</v>
      </c>
      <c r="E231" s="149" t="str">
        <f>Sales_Entry!D231</f>
        <v>Mix Milk</v>
      </c>
      <c r="F231" s="150">
        <f>N(Sales_Entry!I231)</f>
        <v>1020</v>
      </c>
      <c r="G231" s="150">
        <v>0</v>
      </c>
      <c r="H231" s="150">
        <f t="shared" si="3"/>
        <v>1020</v>
      </c>
      <c r="I231" s="149"/>
      <c r="J231" t="str">
        <f>IF($B231="","",IF(AND($B231=Party_Statement!$B$5,$A231&gt;=Party_Statement!$B$6,$A231&lt;=Party_Statement!$D$6),SUMPRODUCT(($B$3:$B231=Party_Statement!$B$5)*($A$3:$A231&gt;=Party_Statement!$B$6)*($A$3:$A231&lt;=Party_Statement!$D$6)),""))</f>
        <v/>
      </c>
    </row>
    <row r="232" spans="1:10" x14ac:dyDescent="0.2">
      <c r="A232" s="148">
        <f>Sales_Entry!A232</f>
        <v>66925</v>
      </c>
      <c r="B232" s="149" t="str">
        <f>Sales_Entry!C232</f>
        <v xml:space="preserve">AAYUSH AAYUSHMA </v>
      </c>
      <c r="C232" s="149" t="s">
        <v>984</v>
      </c>
      <c r="D232" s="149" t="str">
        <f>Sales_Entry!B232</f>
        <v>BILL-6191</v>
      </c>
      <c r="E232" s="149" t="str">
        <f>Sales_Entry!D232</f>
        <v>Mix Milk</v>
      </c>
      <c r="F232" s="150">
        <f>N(Sales_Entry!I232)</f>
        <v>680</v>
      </c>
      <c r="G232" s="150">
        <v>0</v>
      </c>
      <c r="H232" s="150">
        <f t="shared" si="3"/>
        <v>680</v>
      </c>
      <c r="I232" s="149"/>
      <c r="J232" t="str">
        <f>IF($B232="","",IF(AND($B232=Party_Statement!$B$5,$A232&gt;=Party_Statement!$B$6,$A232&lt;=Party_Statement!$D$6),SUMPRODUCT(($B$3:$B232=Party_Statement!$B$5)*($A$3:$A232&gt;=Party_Statement!$B$6)*($A$3:$A232&lt;=Party_Statement!$D$6)),""))</f>
        <v/>
      </c>
    </row>
    <row r="233" spans="1:10" x14ac:dyDescent="0.2">
      <c r="A233" s="148">
        <f>Sales_Entry!A233</f>
        <v>66925</v>
      </c>
      <c r="B233" s="149" t="str">
        <f>Sales_Entry!C233</f>
        <v>INDRA BK</v>
      </c>
      <c r="C233" s="149" t="s">
        <v>984</v>
      </c>
      <c r="D233" s="149" t="str">
        <f>Sales_Entry!B233</f>
        <v>BILL-6192</v>
      </c>
      <c r="E233" s="149" t="str">
        <f>Sales_Entry!D233</f>
        <v>Mix Milk</v>
      </c>
      <c r="F233" s="150">
        <f>N(Sales_Entry!I233)</f>
        <v>170</v>
      </c>
      <c r="G233" s="150">
        <v>0</v>
      </c>
      <c r="H233" s="150">
        <f t="shared" si="3"/>
        <v>170</v>
      </c>
      <c r="I233" s="149"/>
      <c r="J233" t="str">
        <f>IF($B233="","",IF(AND($B233=Party_Statement!$B$5,$A233&gt;=Party_Statement!$B$6,$A233&lt;=Party_Statement!$D$6),SUMPRODUCT(($B$3:$B233=Party_Statement!$B$5)*($A$3:$A233&gt;=Party_Statement!$B$6)*($A$3:$A233&lt;=Party_Statement!$D$6)),""))</f>
        <v/>
      </c>
    </row>
    <row r="234" spans="1:10" x14ac:dyDescent="0.2">
      <c r="A234" s="148">
        <f>Sales_Entry!A234</f>
        <v>66925</v>
      </c>
      <c r="B234" s="149" t="str">
        <f>Sales_Entry!C234</f>
        <v>INDRA BK</v>
      </c>
      <c r="C234" s="149" t="s">
        <v>984</v>
      </c>
      <c r="D234" s="149" t="str">
        <f>Sales_Entry!B234</f>
        <v>BILL-6192</v>
      </c>
      <c r="E234" s="149" t="str">
        <f>Sales_Entry!D234</f>
        <v>Ghee</v>
      </c>
      <c r="F234" s="150">
        <f>N(Sales_Entry!I234)</f>
        <v>1100</v>
      </c>
      <c r="G234" s="150">
        <v>0</v>
      </c>
      <c r="H234" s="150">
        <f t="shared" si="3"/>
        <v>1270</v>
      </c>
      <c r="I234" s="149"/>
      <c r="J234" t="str">
        <f>IF($B234="","",IF(AND($B234=Party_Statement!$B$5,$A234&gt;=Party_Statement!$B$6,$A234&lt;=Party_Statement!$D$6),SUMPRODUCT(($B$3:$B234=Party_Statement!$B$5)*($A$3:$A234&gt;=Party_Statement!$B$6)*($A$3:$A234&lt;=Party_Statement!$D$6)),""))</f>
        <v/>
      </c>
    </row>
    <row r="235" spans="1:10" x14ac:dyDescent="0.2">
      <c r="A235" s="148">
        <f>Sales_Entry!A235</f>
        <v>66925</v>
      </c>
      <c r="B235" s="149" t="str">
        <f>Sales_Entry!C235</f>
        <v xml:space="preserve">KRITIKA KIRANA </v>
      </c>
      <c r="C235" s="149" t="s">
        <v>984</v>
      </c>
      <c r="D235" s="149" t="str">
        <f>Sales_Entry!B235</f>
        <v>BILL-6193</v>
      </c>
      <c r="E235" s="149" t="str">
        <f>Sales_Entry!D235</f>
        <v>Mix Milk</v>
      </c>
      <c r="F235" s="150">
        <f>N(Sales_Entry!I235)</f>
        <v>1290</v>
      </c>
      <c r="G235" s="150">
        <v>0</v>
      </c>
      <c r="H235" s="150">
        <f t="shared" si="3"/>
        <v>1290</v>
      </c>
      <c r="I235" s="149"/>
      <c r="J235" t="str">
        <f>IF($B235="","",IF(AND($B235=Party_Statement!$B$5,$A235&gt;=Party_Statement!$B$6,$A235&lt;=Party_Statement!$D$6),SUMPRODUCT(($B$3:$B235=Party_Statement!$B$5)*($A$3:$A235&gt;=Party_Statement!$B$6)*($A$3:$A235&lt;=Party_Statement!$D$6)),""))</f>
        <v/>
      </c>
    </row>
    <row r="236" spans="1:10" x14ac:dyDescent="0.2">
      <c r="A236" s="148">
        <f>Sales_Entry!A236</f>
        <v>66925</v>
      </c>
      <c r="B236" s="149" t="str">
        <f>Sales_Entry!C236</f>
        <v>ORGANIC TARKALI</v>
      </c>
      <c r="C236" s="149" t="s">
        <v>984</v>
      </c>
      <c r="D236" s="149" t="str">
        <f>Sales_Entry!B236</f>
        <v>BILL-6194</v>
      </c>
      <c r="E236" s="149" t="str">
        <f>Sales_Entry!D236</f>
        <v>Mix Milk</v>
      </c>
      <c r="F236" s="150">
        <f>N(Sales_Entry!I236)</f>
        <v>1900</v>
      </c>
      <c r="G236" s="150">
        <v>0</v>
      </c>
      <c r="H236" s="150">
        <f t="shared" si="3"/>
        <v>1900</v>
      </c>
      <c r="I236" s="149"/>
      <c r="J236" t="str">
        <f>IF($B236="","",IF(AND($B236=Party_Statement!$B$5,$A236&gt;=Party_Statement!$B$6,$A236&lt;=Party_Statement!$D$6),SUMPRODUCT(($B$3:$B236=Party_Statement!$B$5)*($A$3:$A236&gt;=Party_Statement!$B$6)*($A$3:$A236&lt;=Party_Statement!$D$6)),""))</f>
        <v/>
      </c>
    </row>
    <row r="237" spans="1:10" x14ac:dyDescent="0.2">
      <c r="A237" s="148">
        <f>Sales_Entry!A237</f>
        <v>66925</v>
      </c>
      <c r="B237" s="149" t="str">
        <f>Sales_Entry!C237</f>
        <v>ORGANIC TARKALI</v>
      </c>
      <c r="C237" s="149" t="s">
        <v>984</v>
      </c>
      <c r="D237" s="149" t="str">
        <f>Sales_Entry!B237</f>
        <v>BILL-6194</v>
      </c>
      <c r="E237" s="149" t="str">
        <f>Sales_Entry!D237</f>
        <v>Mix Milk</v>
      </c>
      <c r="F237" s="150">
        <f>N(Sales_Entry!I237)</f>
        <v>1020</v>
      </c>
      <c r="G237" s="150">
        <v>0</v>
      </c>
      <c r="H237" s="150">
        <f t="shared" si="3"/>
        <v>2920</v>
      </c>
      <c r="I237" s="149"/>
      <c r="J237" t="str">
        <f>IF($B237="","",IF(AND($B237=Party_Statement!$B$5,$A237&gt;=Party_Statement!$B$6,$A237&lt;=Party_Statement!$D$6),SUMPRODUCT(($B$3:$B237=Party_Statement!$B$5)*($A$3:$A237&gt;=Party_Statement!$B$6)*($A$3:$A237&lt;=Party_Statement!$D$6)),""))</f>
        <v/>
      </c>
    </row>
    <row r="238" spans="1:10" x14ac:dyDescent="0.2">
      <c r="A238" s="148">
        <f>Sales_Entry!A238</f>
        <v>66925</v>
      </c>
      <c r="B238" s="149" t="str">
        <f>Sales_Entry!C238</f>
        <v>ORGANIC TARKALI</v>
      </c>
      <c r="C238" s="149" t="s">
        <v>984</v>
      </c>
      <c r="D238" s="149" t="str">
        <f>Sales_Entry!B238</f>
        <v>BILL-6194</v>
      </c>
      <c r="E238" s="149" t="str">
        <f>Sales_Entry!D238</f>
        <v>Ghee</v>
      </c>
      <c r="F238" s="150">
        <f>N(Sales_Entry!I238)</f>
        <v>1100</v>
      </c>
      <c r="G238" s="150">
        <v>0</v>
      </c>
      <c r="H238" s="150">
        <f t="shared" si="3"/>
        <v>4020</v>
      </c>
      <c r="I238" s="149"/>
      <c r="J238" t="str">
        <f>IF($B238="","",IF(AND($B238=Party_Statement!$B$5,$A238&gt;=Party_Statement!$B$6,$A238&lt;=Party_Statement!$D$6),SUMPRODUCT(($B$3:$B238=Party_Statement!$B$5)*($A$3:$A238&gt;=Party_Statement!$B$6)*($A$3:$A238&lt;=Party_Statement!$D$6)),""))</f>
        <v/>
      </c>
    </row>
    <row r="239" spans="1:10" x14ac:dyDescent="0.2">
      <c r="A239" s="148">
        <f>Sales_Entry!A239</f>
        <v>66925</v>
      </c>
      <c r="B239" s="149" t="str">
        <f>Sales_Entry!C239</f>
        <v>SHARMA DAI</v>
      </c>
      <c r="C239" s="149" t="s">
        <v>984</v>
      </c>
      <c r="D239" s="149" t="str">
        <f>Sales_Entry!B239</f>
        <v>BILL-6195</v>
      </c>
      <c r="E239" s="149" t="str">
        <f>Sales_Entry!D239</f>
        <v>Mix Milk</v>
      </c>
      <c r="F239" s="150">
        <f>N(Sales_Entry!I239)</f>
        <v>2100</v>
      </c>
      <c r="G239" s="150">
        <v>0</v>
      </c>
      <c r="H239" s="150">
        <f t="shared" si="3"/>
        <v>2100</v>
      </c>
      <c r="I239" s="149"/>
      <c r="J239" t="str">
        <f>IF($B239="","",IF(AND($B239=Party_Statement!$B$5,$A239&gt;=Party_Statement!$B$6,$A239&lt;=Party_Statement!$D$6),SUMPRODUCT(($B$3:$B239=Party_Statement!$B$5)*($A$3:$A239&gt;=Party_Statement!$B$6)*($A$3:$A239&lt;=Party_Statement!$D$6)),""))</f>
        <v/>
      </c>
    </row>
    <row r="240" spans="1:10" x14ac:dyDescent="0.2">
      <c r="A240" s="148">
        <f>Sales_Entry!A240</f>
        <v>66925</v>
      </c>
      <c r="B240" s="149" t="str">
        <f>Sales_Entry!C240</f>
        <v>GANGA NEUPANE</v>
      </c>
      <c r="C240" s="149" t="s">
        <v>984</v>
      </c>
      <c r="D240" s="149" t="str">
        <f>Sales_Entry!B240</f>
        <v>BILL-6196</v>
      </c>
      <c r="E240" s="149" t="str">
        <f>Sales_Entry!D240</f>
        <v>Mix Milk</v>
      </c>
      <c r="F240" s="150">
        <f>N(Sales_Entry!I240)</f>
        <v>680</v>
      </c>
      <c r="G240" s="150">
        <v>0</v>
      </c>
      <c r="H240" s="150">
        <f t="shared" si="3"/>
        <v>680</v>
      </c>
      <c r="I240" s="149"/>
      <c r="J240" t="str">
        <f>IF($B240="","",IF(AND($B240=Party_Statement!$B$5,$A240&gt;=Party_Statement!$B$6,$A240&lt;=Party_Statement!$D$6),SUMPRODUCT(($B$3:$B240=Party_Statement!$B$5)*($A$3:$A240&gt;=Party_Statement!$B$6)*($A$3:$A240&lt;=Party_Statement!$D$6)),""))</f>
        <v/>
      </c>
    </row>
    <row r="241" spans="1:10" x14ac:dyDescent="0.2">
      <c r="A241" s="148">
        <f>Sales_Entry!A241</f>
        <v>66925</v>
      </c>
      <c r="B241" s="149" t="str">
        <f>Sales_Entry!C241</f>
        <v>LOCAL</v>
      </c>
      <c r="C241" s="149" t="s">
        <v>984</v>
      </c>
      <c r="D241" s="149" t="str">
        <f>Sales_Entry!B241</f>
        <v>BILL-6201</v>
      </c>
      <c r="E241" s="149" t="str">
        <f>Sales_Entry!D241</f>
        <v>Mix Milk</v>
      </c>
      <c r="F241" s="150">
        <f>N(Sales_Entry!I241)</f>
        <v>250</v>
      </c>
      <c r="G241" s="150">
        <v>0</v>
      </c>
      <c r="H241" s="150">
        <f t="shared" si="3"/>
        <v>250</v>
      </c>
      <c r="I241" s="149"/>
      <c r="J241" t="str">
        <f>IF($B241="","",IF(AND($B241=Party_Statement!$B$5,$A241&gt;=Party_Statement!$B$6,$A241&lt;=Party_Statement!$D$6),SUMPRODUCT(($B$3:$B241=Party_Statement!$B$5)*($A$3:$A241&gt;=Party_Statement!$B$6)*($A$3:$A241&lt;=Party_Statement!$D$6)),""))</f>
        <v/>
      </c>
    </row>
    <row r="242" spans="1:10" x14ac:dyDescent="0.2">
      <c r="A242" s="148">
        <f>Sales_Entry!A242</f>
        <v>66925</v>
      </c>
      <c r="B242" s="149" t="str">
        <f>Sales_Entry!C242</f>
        <v>NEUPANE KIRANA</v>
      </c>
      <c r="C242" s="149" t="s">
        <v>984</v>
      </c>
      <c r="D242" s="149" t="str">
        <f>Sales_Entry!B242</f>
        <v>BILL-6202</v>
      </c>
      <c r="E242" s="149" t="str">
        <f>Sales_Entry!D242</f>
        <v>Mix Milk</v>
      </c>
      <c r="F242" s="150">
        <f>N(Sales_Entry!I242)</f>
        <v>180</v>
      </c>
      <c r="G242" s="150">
        <v>0</v>
      </c>
      <c r="H242" s="150">
        <f t="shared" si="3"/>
        <v>180</v>
      </c>
      <c r="I242" s="149"/>
      <c r="J242" t="str">
        <f>IF($B242="","",IF(AND($B242=Party_Statement!$B$5,$A242&gt;=Party_Statement!$B$6,$A242&lt;=Party_Statement!$D$6),SUMPRODUCT(($B$3:$B242=Party_Statement!$B$5)*($A$3:$A242&gt;=Party_Statement!$B$6)*($A$3:$A242&lt;=Party_Statement!$D$6)),""))</f>
        <v/>
      </c>
    </row>
    <row r="243" spans="1:10" x14ac:dyDescent="0.2">
      <c r="A243" s="148">
        <f>Sales_Entry!A243</f>
        <v>66926</v>
      </c>
      <c r="B243" s="149" t="str">
        <f>Sales_Entry!C243</f>
        <v>ORGANIC TARKALI</v>
      </c>
      <c r="C243" s="149" t="s">
        <v>984</v>
      </c>
      <c r="D243" s="149" t="str">
        <f>Sales_Entry!B243</f>
        <v>BILL-6197</v>
      </c>
      <c r="E243" s="149" t="str">
        <f>Sales_Entry!D243</f>
        <v>Mix Milk</v>
      </c>
      <c r="F243" s="150">
        <f>N(Sales_Entry!I243)</f>
        <v>1900</v>
      </c>
      <c r="G243" s="150">
        <v>0</v>
      </c>
      <c r="H243" s="150">
        <f t="shared" si="3"/>
        <v>1900</v>
      </c>
      <c r="I243" s="149"/>
      <c r="J243" t="str">
        <f>IF($B243="","",IF(AND($B243=Party_Statement!$B$5,$A243&gt;=Party_Statement!$B$6,$A243&lt;=Party_Statement!$D$6),SUMPRODUCT(($B$3:$B243=Party_Statement!$B$5)*($A$3:$A243&gt;=Party_Statement!$B$6)*($A$3:$A243&lt;=Party_Statement!$D$6)),""))</f>
        <v/>
      </c>
    </row>
    <row r="244" spans="1:10" x14ac:dyDescent="0.2">
      <c r="A244" s="148">
        <f>Sales_Entry!A244</f>
        <v>66926</v>
      </c>
      <c r="B244" s="149" t="str">
        <f>Sales_Entry!C244</f>
        <v>SHARMA DAI</v>
      </c>
      <c r="C244" s="149" t="s">
        <v>984</v>
      </c>
      <c r="D244" s="149" t="str">
        <f>Sales_Entry!B244</f>
        <v>BILL-6198</v>
      </c>
      <c r="E244" s="149" t="str">
        <f>Sales_Entry!D244</f>
        <v>Mix Milk</v>
      </c>
      <c r="F244" s="150">
        <f>N(Sales_Entry!I244)</f>
        <v>2352</v>
      </c>
      <c r="G244" s="150">
        <v>0</v>
      </c>
      <c r="H244" s="150">
        <f t="shared" si="3"/>
        <v>2352</v>
      </c>
      <c r="I244" s="149"/>
      <c r="J244" t="str">
        <f>IF($B244="","",IF(AND($B244=Party_Statement!$B$5,$A244&gt;=Party_Statement!$B$6,$A244&lt;=Party_Statement!$D$6),SUMPRODUCT(($B$3:$B244=Party_Statement!$B$5)*($A$3:$A244&gt;=Party_Statement!$B$6)*($A$3:$A244&lt;=Party_Statement!$D$6)),""))</f>
        <v/>
      </c>
    </row>
    <row r="245" spans="1:10" x14ac:dyDescent="0.2">
      <c r="A245" s="148">
        <f>Sales_Entry!A245</f>
        <v>66926</v>
      </c>
      <c r="B245" s="149" t="str">
        <f>Sales_Entry!C245</f>
        <v>GANGA NEUPANE</v>
      </c>
      <c r="C245" s="149" t="s">
        <v>984</v>
      </c>
      <c r="D245" s="149" t="str">
        <f>Sales_Entry!B245</f>
        <v>BILL-6199</v>
      </c>
      <c r="E245" s="149" t="str">
        <f>Sales_Entry!D245</f>
        <v>Mix Milk</v>
      </c>
      <c r="F245" s="150">
        <f>N(Sales_Entry!I245)</f>
        <v>680</v>
      </c>
      <c r="G245" s="150">
        <v>0</v>
      </c>
      <c r="H245" s="150">
        <f t="shared" si="3"/>
        <v>680</v>
      </c>
      <c r="I245" s="149"/>
      <c r="J245" t="str">
        <f>IF($B245="","",IF(AND($B245=Party_Statement!$B$5,$A245&gt;=Party_Statement!$B$6,$A245&lt;=Party_Statement!$D$6),SUMPRODUCT(($B$3:$B245=Party_Statement!$B$5)*($A$3:$A245&gt;=Party_Statement!$B$6)*($A$3:$A245&lt;=Party_Statement!$D$6)),""))</f>
        <v/>
      </c>
    </row>
    <row r="246" spans="1:10" x14ac:dyDescent="0.2">
      <c r="A246" s="148">
        <f>Sales_Entry!A246</f>
        <v>66926</v>
      </c>
      <c r="B246" s="149" t="str">
        <f>Sales_Entry!C246</f>
        <v>LOCAL</v>
      </c>
      <c r="C246" s="149" t="s">
        <v>984</v>
      </c>
      <c r="D246" s="149" t="str">
        <f>Sales_Entry!B246</f>
        <v>BILL-6200</v>
      </c>
      <c r="E246" s="149" t="str">
        <f>Sales_Entry!D246</f>
        <v>NAUNI</v>
      </c>
      <c r="F246" s="150">
        <f>N(Sales_Entry!I246)</f>
        <v>3200</v>
      </c>
      <c r="G246" s="150">
        <v>0</v>
      </c>
      <c r="H246" s="150">
        <f t="shared" si="3"/>
        <v>3200</v>
      </c>
      <c r="I246" s="149"/>
      <c r="J246" t="str">
        <f>IF($B246="","",IF(AND($B246=Party_Statement!$B$5,$A246&gt;=Party_Statement!$B$6,$A246&lt;=Party_Statement!$D$6),SUMPRODUCT(($B$3:$B246=Party_Statement!$B$5)*($A$3:$A246&gt;=Party_Statement!$B$6)*($A$3:$A246&lt;=Party_Statement!$D$6)),""))</f>
        <v/>
      </c>
    </row>
    <row r="247" spans="1:10" x14ac:dyDescent="0.2">
      <c r="A247" s="148">
        <f>Sales_Entry!A247</f>
        <v>66926</v>
      </c>
      <c r="B247" s="149" t="str">
        <f>Sales_Entry!C247</f>
        <v>LOCAL</v>
      </c>
      <c r="C247" s="149" t="s">
        <v>984</v>
      </c>
      <c r="D247" s="149" t="str">
        <f>Sales_Entry!B247</f>
        <v>BILL-6200</v>
      </c>
      <c r="E247" s="149" t="str">
        <f>Sales_Entry!D247</f>
        <v>Mix Milk</v>
      </c>
      <c r="F247" s="150">
        <f>N(Sales_Entry!I247)</f>
        <v>455.00250000000005</v>
      </c>
      <c r="G247" s="150">
        <v>0</v>
      </c>
      <c r="H247" s="150">
        <f t="shared" si="3"/>
        <v>3655.0025000000001</v>
      </c>
      <c r="I247" s="149"/>
      <c r="J247" t="str">
        <f>IF($B247="","",IF(AND($B247=Party_Statement!$B$5,$A247&gt;=Party_Statement!$B$6,$A247&lt;=Party_Statement!$D$6),SUMPRODUCT(($B$3:$B247=Party_Statement!$B$5)*($A$3:$A247&gt;=Party_Statement!$B$6)*($A$3:$A247&lt;=Party_Statement!$D$6)),""))</f>
        <v/>
      </c>
    </row>
    <row r="248" spans="1:10" x14ac:dyDescent="0.2">
      <c r="A248" s="148">
        <f>Sales_Entry!A248</f>
        <v>66926</v>
      </c>
      <c r="B248" s="149" t="str">
        <f>Sales_Entry!C248</f>
        <v>SRIJANA DAIRY (DEVI NAGAR)</v>
      </c>
      <c r="C248" s="149" t="s">
        <v>984</v>
      </c>
      <c r="D248" s="149" t="str">
        <f>Sales_Entry!B248</f>
        <v>BILL-6203</v>
      </c>
      <c r="E248" s="149" t="str">
        <f>Sales_Entry!D248</f>
        <v>Mix Milk</v>
      </c>
      <c r="F248" s="150">
        <f>N(Sales_Entry!I248)</f>
        <v>5100</v>
      </c>
      <c r="G248" s="150">
        <v>0</v>
      </c>
      <c r="H248" s="150">
        <f t="shared" si="3"/>
        <v>5100</v>
      </c>
      <c r="I248" s="149"/>
      <c r="J248" t="str">
        <f>IF($B248="","",IF(AND($B248=Party_Statement!$B$5,$A248&gt;=Party_Statement!$B$6,$A248&lt;=Party_Statement!$D$6),SUMPRODUCT(($B$3:$B248=Party_Statement!$B$5)*($A$3:$A248&gt;=Party_Statement!$B$6)*($A$3:$A248&lt;=Party_Statement!$D$6)),""))</f>
        <v/>
      </c>
    </row>
    <row r="249" spans="1:10" x14ac:dyDescent="0.2">
      <c r="A249" s="148">
        <f>Sales_Entry!A249</f>
        <v>66926</v>
      </c>
      <c r="B249" s="149" t="str">
        <f>Sales_Entry!C249</f>
        <v>SRIJANA DAIRY (DEVI NAGAR)</v>
      </c>
      <c r="C249" s="149" t="s">
        <v>984</v>
      </c>
      <c r="D249" s="149" t="str">
        <f>Sales_Entry!B249</f>
        <v>BILL-6203</v>
      </c>
      <c r="E249" s="149" t="str">
        <f>Sales_Entry!D249</f>
        <v>Cow Milk</v>
      </c>
      <c r="F249" s="150">
        <f>N(Sales_Entry!I249)</f>
        <v>80</v>
      </c>
      <c r="G249" s="150">
        <v>0</v>
      </c>
      <c r="H249" s="150">
        <f t="shared" si="3"/>
        <v>5180</v>
      </c>
      <c r="I249" s="149"/>
      <c r="J249" t="str">
        <f>IF($B249="","",IF(AND($B249=Party_Statement!$B$5,$A249&gt;=Party_Statement!$B$6,$A249&lt;=Party_Statement!$D$6),SUMPRODUCT(($B$3:$B249=Party_Statement!$B$5)*($A$3:$A249&gt;=Party_Statement!$B$6)*($A$3:$A249&lt;=Party_Statement!$D$6)),""))</f>
        <v/>
      </c>
    </row>
    <row r="250" spans="1:10" x14ac:dyDescent="0.2">
      <c r="A250" s="148">
        <f>Sales_Entry!A250</f>
        <v>66926</v>
      </c>
      <c r="B250" s="149" t="str">
        <f>Sales_Entry!C250</f>
        <v xml:space="preserve">SOBHA BHATTARAI </v>
      </c>
      <c r="C250" s="149" t="s">
        <v>984</v>
      </c>
      <c r="D250" s="149" t="str">
        <f>Sales_Entry!B250</f>
        <v>BILL-6204</v>
      </c>
      <c r="E250" s="149" t="str">
        <f>Sales_Entry!D250</f>
        <v>Mix Milk</v>
      </c>
      <c r="F250" s="150">
        <f>N(Sales_Entry!I250)</f>
        <v>2550</v>
      </c>
      <c r="G250" s="150">
        <v>0</v>
      </c>
      <c r="H250" s="150">
        <f t="shared" si="3"/>
        <v>2550</v>
      </c>
      <c r="I250" s="149"/>
      <c r="J250" t="str">
        <f>IF($B250="","",IF(AND($B250=Party_Statement!$B$5,$A250&gt;=Party_Statement!$B$6,$A250&lt;=Party_Statement!$D$6),SUMPRODUCT(($B$3:$B250=Party_Statement!$B$5)*($A$3:$A250&gt;=Party_Statement!$B$6)*($A$3:$A250&lt;=Party_Statement!$D$6)),""))</f>
        <v/>
      </c>
    </row>
    <row r="251" spans="1:10" x14ac:dyDescent="0.2">
      <c r="A251" s="148">
        <f>Sales_Entry!A251</f>
        <v>66926</v>
      </c>
      <c r="B251" s="149" t="str">
        <f>Sales_Entry!C251</f>
        <v>PALPALI</v>
      </c>
      <c r="C251" s="149" t="s">
        <v>984</v>
      </c>
      <c r="D251" s="149" t="str">
        <f>Sales_Entry!B251</f>
        <v>BILL-6205</v>
      </c>
      <c r="E251" s="149" t="str">
        <f>Sales_Entry!D251</f>
        <v>Mix Milk</v>
      </c>
      <c r="F251" s="150">
        <f>N(Sales_Entry!I251)</f>
        <v>1700</v>
      </c>
      <c r="G251" s="150">
        <v>0</v>
      </c>
      <c r="H251" s="150">
        <f t="shared" si="3"/>
        <v>1700</v>
      </c>
      <c r="I251" s="149"/>
      <c r="J251" t="str">
        <f>IF($B251="","",IF(AND($B251=Party_Statement!$B$5,$A251&gt;=Party_Statement!$B$6,$A251&lt;=Party_Statement!$D$6),SUMPRODUCT(($B$3:$B251=Party_Statement!$B$5)*($A$3:$A251&gt;=Party_Statement!$B$6)*($A$3:$A251&lt;=Party_Statement!$D$6)),""))</f>
        <v/>
      </c>
    </row>
    <row r="252" spans="1:10" x14ac:dyDescent="0.2">
      <c r="A252" s="148">
        <f>Sales_Entry!A252</f>
        <v>66926</v>
      </c>
      <c r="B252" s="149" t="str">
        <f>Sales_Entry!C252</f>
        <v xml:space="preserve">AAMOSH KIRANA </v>
      </c>
      <c r="C252" s="149" t="s">
        <v>984</v>
      </c>
      <c r="D252" s="149" t="str">
        <f>Sales_Entry!B252</f>
        <v>BILL-6206</v>
      </c>
      <c r="E252" s="149" t="str">
        <f>Sales_Entry!D252</f>
        <v>Mix Milk</v>
      </c>
      <c r="F252" s="150">
        <f>N(Sales_Entry!I252)</f>
        <v>3440</v>
      </c>
      <c r="G252" s="150">
        <v>0</v>
      </c>
      <c r="H252" s="150">
        <f t="shared" si="3"/>
        <v>3440</v>
      </c>
      <c r="I252" s="149"/>
      <c r="J252" t="str">
        <f>IF($B252="","",IF(AND($B252=Party_Statement!$B$5,$A252&gt;=Party_Statement!$B$6,$A252&lt;=Party_Statement!$D$6),SUMPRODUCT(($B$3:$B252=Party_Statement!$B$5)*($A$3:$A252&gt;=Party_Statement!$B$6)*($A$3:$A252&lt;=Party_Statement!$D$6)),""))</f>
        <v/>
      </c>
    </row>
    <row r="253" spans="1:10" x14ac:dyDescent="0.2">
      <c r="A253" s="148">
        <f>Sales_Entry!A253</f>
        <v>66926</v>
      </c>
      <c r="B253" s="149" t="str">
        <f>Sales_Entry!C253</f>
        <v xml:space="preserve">AAMOSH KIRANA </v>
      </c>
      <c r="C253" s="149" t="s">
        <v>984</v>
      </c>
      <c r="D253" s="149" t="str">
        <f>Sales_Entry!B253</f>
        <v>BILL-6206</v>
      </c>
      <c r="E253" s="149" t="str">
        <f>Sales_Entry!D253</f>
        <v>Mix Milk</v>
      </c>
      <c r="F253" s="150">
        <f>N(Sales_Entry!I253)</f>
        <v>3400</v>
      </c>
      <c r="G253" s="150">
        <v>0</v>
      </c>
      <c r="H253" s="150">
        <f t="shared" si="3"/>
        <v>6840</v>
      </c>
      <c r="I253" s="149"/>
      <c r="J253" t="str">
        <f>IF($B253="","",IF(AND($B253=Party_Statement!$B$5,$A253&gt;=Party_Statement!$B$6,$A253&lt;=Party_Statement!$D$6),SUMPRODUCT(($B$3:$B253=Party_Statement!$B$5)*($A$3:$A253&gt;=Party_Statement!$B$6)*($A$3:$A253&lt;=Party_Statement!$D$6)),""))</f>
        <v/>
      </c>
    </row>
    <row r="254" spans="1:10" x14ac:dyDescent="0.2">
      <c r="A254" s="148">
        <f>Sales_Entry!A254</f>
        <v>66926</v>
      </c>
      <c r="B254" s="149" t="str">
        <f>Sales_Entry!C254</f>
        <v xml:space="preserve">AAMOSH KIRANA </v>
      </c>
      <c r="C254" s="149" t="s">
        <v>984</v>
      </c>
      <c r="D254" s="149" t="str">
        <f>Sales_Entry!B254</f>
        <v>BILL-6206</v>
      </c>
      <c r="E254" s="149" t="str">
        <f>Sales_Entry!D254</f>
        <v>Cow Milk</v>
      </c>
      <c r="F254" s="150">
        <f>N(Sales_Entry!I254)</f>
        <v>80</v>
      </c>
      <c r="G254" s="150">
        <v>0</v>
      </c>
      <c r="H254" s="150">
        <f t="shared" si="3"/>
        <v>6920</v>
      </c>
      <c r="I254" s="149"/>
      <c r="J254" t="str">
        <f>IF($B254="","",IF(AND($B254=Party_Statement!$B$5,$A254&gt;=Party_Statement!$B$6,$A254&lt;=Party_Statement!$D$6),SUMPRODUCT(($B$3:$B254=Party_Statement!$B$5)*($A$3:$A254&gt;=Party_Statement!$B$6)*($A$3:$A254&lt;=Party_Statement!$D$6)),""))</f>
        <v/>
      </c>
    </row>
    <row r="255" spans="1:10" x14ac:dyDescent="0.2">
      <c r="A255" s="148">
        <f>Sales_Entry!A255</f>
        <v>66926</v>
      </c>
      <c r="B255" s="149" t="str">
        <f>Sales_Entry!C255</f>
        <v xml:space="preserve">DEURALI KIRANA </v>
      </c>
      <c r="C255" s="149" t="s">
        <v>984</v>
      </c>
      <c r="D255" s="149" t="str">
        <f>Sales_Entry!B255</f>
        <v>BILL-6207</v>
      </c>
      <c r="E255" s="149" t="str">
        <f>Sales_Entry!D255</f>
        <v>Mix Milk</v>
      </c>
      <c r="F255" s="150">
        <f>N(Sales_Entry!I255)</f>
        <v>425</v>
      </c>
      <c r="G255" s="150">
        <v>0</v>
      </c>
      <c r="H255" s="150">
        <f t="shared" si="3"/>
        <v>425</v>
      </c>
      <c r="I255" s="149"/>
      <c r="J255" t="str">
        <f>IF($B255="","",IF(AND($B255=Party_Statement!$B$5,$A255&gt;=Party_Statement!$B$6,$A255&lt;=Party_Statement!$D$6),SUMPRODUCT(($B$3:$B255=Party_Statement!$B$5)*($A$3:$A255&gt;=Party_Statement!$B$6)*($A$3:$A255&lt;=Party_Statement!$D$6)),""))</f>
        <v/>
      </c>
    </row>
    <row r="256" spans="1:10" x14ac:dyDescent="0.2">
      <c r="A256" s="148">
        <f>Sales_Entry!A256</f>
        <v>66926</v>
      </c>
      <c r="B256" s="149" t="str">
        <f>Sales_Entry!C256</f>
        <v xml:space="preserve">GIRI KIRANA </v>
      </c>
      <c r="C256" s="149" t="s">
        <v>984</v>
      </c>
      <c r="D256" s="149" t="str">
        <f>Sales_Entry!B256</f>
        <v>BILL-6208</v>
      </c>
      <c r="E256" s="149" t="str">
        <f>Sales_Entry!D256</f>
        <v>Mix Milk</v>
      </c>
      <c r="F256" s="150">
        <f>N(Sales_Entry!I256)</f>
        <v>1275</v>
      </c>
      <c r="G256" s="150">
        <v>0</v>
      </c>
      <c r="H256" s="150">
        <f t="shared" si="3"/>
        <v>1275</v>
      </c>
      <c r="I256" s="149"/>
      <c r="J256" t="str">
        <f>IF($B256="","",IF(AND($B256=Party_Statement!$B$5,$A256&gt;=Party_Statement!$B$6,$A256&lt;=Party_Statement!$D$6),SUMPRODUCT(($B$3:$B256=Party_Statement!$B$5)*($A$3:$A256&gt;=Party_Statement!$B$6)*($A$3:$A256&lt;=Party_Statement!$D$6)),""))</f>
        <v/>
      </c>
    </row>
    <row r="257" spans="1:10" x14ac:dyDescent="0.2">
      <c r="A257" s="148">
        <f>Sales_Entry!A257</f>
        <v>66926</v>
      </c>
      <c r="B257" s="149" t="str">
        <f>Sales_Entry!C257</f>
        <v>CHHATRABHUMI</v>
      </c>
      <c r="C257" s="149" t="s">
        <v>984</v>
      </c>
      <c r="D257" s="149" t="str">
        <f>Sales_Entry!B257</f>
        <v>BILL-6209</v>
      </c>
      <c r="E257" s="149" t="str">
        <f>Sales_Entry!D257</f>
        <v>Mix Milk</v>
      </c>
      <c r="F257" s="150">
        <f>N(Sales_Entry!I257)</f>
        <v>2150</v>
      </c>
      <c r="G257" s="150">
        <v>0</v>
      </c>
      <c r="H257" s="150">
        <f t="shared" si="3"/>
        <v>2150</v>
      </c>
      <c r="I257" s="149"/>
      <c r="J257" t="str">
        <f>IF($B257="","",IF(AND($B257=Party_Statement!$B$5,$A257&gt;=Party_Statement!$B$6,$A257&lt;=Party_Statement!$D$6),SUMPRODUCT(($B$3:$B257=Party_Statement!$B$5)*($A$3:$A257&gt;=Party_Statement!$B$6)*($A$3:$A257&lt;=Party_Statement!$D$6)),""))</f>
        <v/>
      </c>
    </row>
    <row r="258" spans="1:10" x14ac:dyDescent="0.2">
      <c r="A258" s="148">
        <f>Sales_Entry!A258</f>
        <v>66926</v>
      </c>
      <c r="B258" s="149" t="str">
        <f>Sales_Entry!C258</f>
        <v>KRISHNA KHAREL</v>
      </c>
      <c r="C258" s="149" t="s">
        <v>984</v>
      </c>
      <c r="D258" s="149" t="str">
        <f>Sales_Entry!B258</f>
        <v>BILL-6210</v>
      </c>
      <c r="E258" s="149" t="str">
        <f>Sales_Entry!D258</f>
        <v>Mix Milk</v>
      </c>
      <c r="F258" s="150">
        <f>N(Sales_Entry!I258)</f>
        <v>344</v>
      </c>
      <c r="G258" s="150">
        <v>0</v>
      </c>
      <c r="H258" s="150">
        <f t="shared" si="3"/>
        <v>344</v>
      </c>
      <c r="I258" s="149"/>
      <c r="J258" t="str">
        <f>IF($B258="","",IF(AND($B258=Party_Statement!$B$5,$A258&gt;=Party_Statement!$B$6,$A258&lt;=Party_Statement!$D$6),SUMPRODUCT(($B$3:$B258=Party_Statement!$B$5)*($A$3:$A258&gt;=Party_Statement!$B$6)*($A$3:$A258&lt;=Party_Statement!$D$6)),""))</f>
        <v/>
      </c>
    </row>
    <row r="259" spans="1:10" x14ac:dyDescent="0.2">
      <c r="A259" s="148">
        <f>Sales_Entry!A259</f>
        <v>66926</v>
      </c>
      <c r="B259" s="149" t="str">
        <f>Sales_Entry!C259</f>
        <v xml:space="preserve">SAMIKSHYA </v>
      </c>
      <c r="C259" s="149" t="s">
        <v>984</v>
      </c>
      <c r="D259" s="149" t="str">
        <f>Sales_Entry!B259</f>
        <v>BILL-6211</v>
      </c>
      <c r="E259" s="149" t="str">
        <f>Sales_Entry!D259</f>
        <v>Mix Milk</v>
      </c>
      <c r="F259" s="150">
        <f>N(Sales_Entry!I259)</f>
        <v>680</v>
      </c>
      <c r="G259" s="150">
        <v>0</v>
      </c>
      <c r="H259" s="150">
        <f t="shared" si="3"/>
        <v>680</v>
      </c>
      <c r="I259" s="149"/>
      <c r="J259" t="str">
        <f>IF($B259="","",IF(AND($B259=Party_Statement!$B$5,$A259&gt;=Party_Statement!$B$6,$A259&lt;=Party_Statement!$D$6),SUMPRODUCT(($B$3:$B259=Party_Statement!$B$5)*($A$3:$A259&gt;=Party_Statement!$B$6)*($A$3:$A259&lt;=Party_Statement!$D$6)),""))</f>
        <v/>
      </c>
    </row>
    <row r="260" spans="1:10" x14ac:dyDescent="0.2">
      <c r="A260" s="148">
        <f>Sales_Entry!A260</f>
        <v>66926</v>
      </c>
      <c r="B260" s="149" t="str">
        <f>Sales_Entry!C260</f>
        <v xml:space="preserve">AAYUSH AAYUSHMA </v>
      </c>
      <c r="C260" s="149" t="s">
        <v>984</v>
      </c>
      <c r="D260" s="149" t="str">
        <f>Sales_Entry!B260</f>
        <v>BILL-6212</v>
      </c>
      <c r="E260" s="149" t="str">
        <f>Sales_Entry!D260</f>
        <v>Mix Milk</v>
      </c>
      <c r="F260" s="150">
        <f>N(Sales_Entry!I260)</f>
        <v>425</v>
      </c>
      <c r="G260" s="150">
        <v>0</v>
      </c>
      <c r="H260" s="150">
        <f t="shared" ref="H260:H323" si="4">IF($B260="","",IF($B260=$B259,$H259+$F260-$G260,$F260-$G260))</f>
        <v>425</v>
      </c>
      <c r="I260" s="149"/>
      <c r="J260" t="str">
        <f>IF($B260="","",IF(AND($B260=Party_Statement!$B$5,$A260&gt;=Party_Statement!$B$6,$A260&lt;=Party_Statement!$D$6),SUMPRODUCT(($B$3:$B260=Party_Statement!$B$5)*($A$3:$A260&gt;=Party_Statement!$B$6)*($A$3:$A260&lt;=Party_Statement!$D$6)),""))</f>
        <v/>
      </c>
    </row>
    <row r="261" spans="1:10" x14ac:dyDescent="0.2">
      <c r="A261" s="148">
        <f>Sales_Entry!A261</f>
        <v>66926</v>
      </c>
      <c r="B261" s="149" t="str">
        <f>Sales_Entry!C261</f>
        <v xml:space="preserve">YUBARAJ AND SAMRAT </v>
      </c>
      <c r="C261" s="149" t="s">
        <v>984</v>
      </c>
      <c r="D261" s="149" t="str">
        <f>Sales_Entry!B261</f>
        <v>BILL-6213</v>
      </c>
      <c r="E261" s="149" t="str">
        <f>Sales_Entry!D261</f>
        <v>Mix Milk</v>
      </c>
      <c r="F261" s="150">
        <f>N(Sales_Entry!I261)</f>
        <v>1445</v>
      </c>
      <c r="G261" s="150">
        <v>0</v>
      </c>
      <c r="H261" s="150">
        <f t="shared" si="4"/>
        <v>1445</v>
      </c>
      <c r="I261" s="149"/>
      <c r="J261" t="str">
        <f>IF($B261="","",IF(AND($B261=Party_Statement!$B$5,$A261&gt;=Party_Statement!$B$6,$A261&lt;=Party_Statement!$D$6),SUMPRODUCT(($B$3:$B261=Party_Statement!$B$5)*($A$3:$A261&gt;=Party_Statement!$B$6)*($A$3:$A261&lt;=Party_Statement!$D$6)),""))</f>
        <v/>
      </c>
    </row>
    <row r="262" spans="1:10" x14ac:dyDescent="0.2">
      <c r="A262" s="148">
        <f>Sales_Entry!A262</f>
        <v>66926</v>
      </c>
      <c r="B262" s="149" t="str">
        <f>Sales_Entry!C262</f>
        <v>MANAKAMANA DAIRY</v>
      </c>
      <c r="C262" s="149" t="s">
        <v>984</v>
      </c>
      <c r="D262" s="149" t="str">
        <f>Sales_Entry!B262</f>
        <v>BILL-6214</v>
      </c>
      <c r="E262" s="149" t="str">
        <f>Sales_Entry!D262</f>
        <v>Mix Milk</v>
      </c>
      <c r="F262" s="150">
        <f>N(Sales_Entry!I262)</f>
        <v>850</v>
      </c>
      <c r="G262" s="150">
        <v>0</v>
      </c>
      <c r="H262" s="150">
        <f t="shared" si="4"/>
        <v>850</v>
      </c>
      <c r="I262" s="149"/>
      <c r="J262" t="str">
        <f>IF($B262="","",IF(AND($B262=Party_Statement!$B$5,$A262&gt;=Party_Statement!$B$6,$A262&lt;=Party_Statement!$D$6),SUMPRODUCT(($B$3:$B262=Party_Statement!$B$5)*($A$3:$A262&gt;=Party_Statement!$B$6)*($A$3:$A262&lt;=Party_Statement!$D$6)),""))</f>
        <v/>
      </c>
    </row>
    <row r="263" spans="1:10" x14ac:dyDescent="0.2">
      <c r="A263" s="148">
        <f>Sales_Entry!A263</f>
        <v>66926</v>
      </c>
      <c r="B263" s="149" t="str">
        <f>Sales_Entry!C263</f>
        <v xml:space="preserve">KRITIKA KIRANA </v>
      </c>
      <c r="C263" s="149" t="s">
        <v>984</v>
      </c>
      <c r="D263" s="149" t="str">
        <f>Sales_Entry!B263</f>
        <v>BILL-6215</v>
      </c>
      <c r="E263" s="149" t="str">
        <f>Sales_Entry!D263</f>
        <v>Mix Milk</v>
      </c>
      <c r="F263" s="150">
        <f>N(Sales_Entry!I263)</f>
        <v>1275</v>
      </c>
      <c r="G263" s="150">
        <v>0</v>
      </c>
      <c r="H263" s="150">
        <f t="shared" si="4"/>
        <v>1275</v>
      </c>
      <c r="I263" s="149"/>
      <c r="J263" t="str">
        <f>IF($B263="","",IF(AND($B263=Party_Statement!$B$5,$A263&gt;=Party_Statement!$B$6,$A263&lt;=Party_Statement!$D$6),SUMPRODUCT(($B$3:$B263=Party_Statement!$B$5)*($A$3:$A263&gt;=Party_Statement!$B$6)*($A$3:$A263&lt;=Party_Statement!$D$6)),""))</f>
        <v/>
      </c>
    </row>
    <row r="264" spans="1:10" x14ac:dyDescent="0.2">
      <c r="A264" s="148">
        <f>Sales_Entry!A264</f>
        <v>66926</v>
      </c>
      <c r="B264" s="149" t="str">
        <f>Sales_Entry!C264</f>
        <v>BHUSAL JANARAL</v>
      </c>
      <c r="C264" s="149" t="s">
        <v>984</v>
      </c>
      <c r="D264" s="149" t="str">
        <f>Sales_Entry!B264</f>
        <v>BILL-6216</v>
      </c>
      <c r="E264" s="149" t="str">
        <f>Sales_Entry!D264</f>
        <v>Mix Milk</v>
      </c>
      <c r="F264" s="150">
        <f>N(Sales_Entry!I264)</f>
        <v>430</v>
      </c>
      <c r="G264" s="150">
        <v>0</v>
      </c>
      <c r="H264" s="150">
        <f t="shared" si="4"/>
        <v>430</v>
      </c>
      <c r="I264" s="149"/>
      <c r="J264" t="str">
        <f>IF($B264="","",IF(AND($B264=Party_Statement!$B$5,$A264&gt;=Party_Statement!$B$6,$A264&lt;=Party_Statement!$D$6),SUMPRODUCT(($B$3:$B264=Party_Statement!$B$5)*($A$3:$A264&gt;=Party_Statement!$B$6)*($A$3:$A264&lt;=Party_Statement!$D$6)),""))</f>
        <v/>
      </c>
    </row>
    <row r="265" spans="1:10" x14ac:dyDescent="0.2">
      <c r="A265" s="148">
        <f>Sales_Entry!A265</f>
        <v>66927</v>
      </c>
      <c r="B265" s="149" t="str">
        <f>Sales_Entry!C265</f>
        <v>SRIJANA DAIRY (DEVI NAGAR)</v>
      </c>
      <c r="C265" s="149" t="s">
        <v>984</v>
      </c>
      <c r="D265" s="149" t="str">
        <f>Sales_Entry!B265</f>
        <v>BILL-6217</v>
      </c>
      <c r="E265" s="149" t="str">
        <f>Sales_Entry!D265</f>
        <v>Mix Milk</v>
      </c>
      <c r="F265" s="150">
        <f>N(Sales_Entry!I265)</f>
        <v>5100</v>
      </c>
      <c r="G265" s="150">
        <v>0</v>
      </c>
      <c r="H265" s="150">
        <f t="shared" si="4"/>
        <v>5100</v>
      </c>
      <c r="I265" s="149"/>
      <c r="J265" t="str">
        <f>IF($B265="","",IF(AND($B265=Party_Statement!$B$5,$A265&gt;=Party_Statement!$B$6,$A265&lt;=Party_Statement!$D$6),SUMPRODUCT(($B$3:$B265=Party_Statement!$B$5)*($A$3:$A265&gt;=Party_Statement!$B$6)*($A$3:$A265&lt;=Party_Statement!$D$6)),""))</f>
        <v/>
      </c>
    </row>
    <row r="266" spans="1:10" x14ac:dyDescent="0.2">
      <c r="A266" s="148">
        <f>Sales_Entry!A266</f>
        <v>66927</v>
      </c>
      <c r="B266" s="149" t="str">
        <f>Sales_Entry!C266</f>
        <v xml:space="preserve">SOBHA BHATTARAI </v>
      </c>
      <c r="C266" s="149" t="s">
        <v>984</v>
      </c>
      <c r="D266" s="149" t="str">
        <f>Sales_Entry!B266</f>
        <v>BILL-6218</v>
      </c>
      <c r="E266" s="149" t="str">
        <f>Sales_Entry!D266</f>
        <v>Mix Milk</v>
      </c>
      <c r="F266" s="150">
        <f>N(Sales_Entry!I266)</f>
        <v>2975</v>
      </c>
      <c r="G266" s="150">
        <v>0</v>
      </c>
      <c r="H266" s="150">
        <f t="shared" si="4"/>
        <v>2975</v>
      </c>
      <c r="I266" s="149"/>
      <c r="J266" t="str">
        <f>IF($B266="","",IF(AND($B266=Party_Statement!$B$5,$A266&gt;=Party_Statement!$B$6,$A266&lt;=Party_Statement!$D$6),SUMPRODUCT(($B$3:$B266=Party_Statement!$B$5)*($A$3:$A266&gt;=Party_Statement!$B$6)*($A$3:$A266&lt;=Party_Statement!$D$6)),""))</f>
        <v/>
      </c>
    </row>
    <row r="267" spans="1:10" x14ac:dyDescent="0.2">
      <c r="A267" s="148">
        <f>Sales_Entry!A267</f>
        <v>66927</v>
      </c>
      <c r="B267" s="149" t="str">
        <f>Sales_Entry!C267</f>
        <v>PALPALI</v>
      </c>
      <c r="C267" s="149" t="s">
        <v>984</v>
      </c>
      <c r="D267" s="149" t="str">
        <f>Sales_Entry!B267</f>
        <v>BILL-6219</v>
      </c>
      <c r="E267" s="149" t="str">
        <f>Sales_Entry!D267</f>
        <v>Mix Milk</v>
      </c>
      <c r="F267" s="150">
        <f>N(Sales_Entry!I267)</f>
        <v>1700</v>
      </c>
      <c r="G267" s="150">
        <v>0</v>
      </c>
      <c r="H267" s="150">
        <f t="shared" si="4"/>
        <v>1700</v>
      </c>
      <c r="I267" s="149"/>
      <c r="J267" t="str">
        <f>IF($B267="","",IF(AND($B267=Party_Statement!$B$5,$A267&gt;=Party_Statement!$B$6,$A267&lt;=Party_Statement!$D$6),SUMPRODUCT(($B$3:$B267=Party_Statement!$B$5)*($A$3:$A267&gt;=Party_Statement!$B$6)*($A$3:$A267&lt;=Party_Statement!$D$6)),""))</f>
        <v/>
      </c>
    </row>
    <row r="268" spans="1:10" x14ac:dyDescent="0.2">
      <c r="A268" s="148">
        <f>Sales_Entry!A268</f>
        <v>66927</v>
      </c>
      <c r="B268" s="149" t="str">
        <f>Sales_Entry!C268</f>
        <v xml:space="preserve">AAMOSH KIRANA </v>
      </c>
      <c r="C268" s="149" t="s">
        <v>984</v>
      </c>
      <c r="D268" s="149" t="str">
        <f>Sales_Entry!B268</f>
        <v>BILL-6220</v>
      </c>
      <c r="E268" s="149" t="str">
        <f>Sales_Entry!D268</f>
        <v>Mix Milk</v>
      </c>
      <c r="F268" s="150">
        <f>N(Sales_Entry!I268)</f>
        <v>3440</v>
      </c>
      <c r="G268" s="150">
        <v>0</v>
      </c>
      <c r="H268" s="150">
        <f t="shared" si="4"/>
        <v>3440</v>
      </c>
      <c r="I268" s="149"/>
      <c r="J268" t="str">
        <f>IF($B268="","",IF(AND($B268=Party_Statement!$B$5,$A268&gt;=Party_Statement!$B$6,$A268&lt;=Party_Statement!$D$6),SUMPRODUCT(($B$3:$B268=Party_Statement!$B$5)*($A$3:$A268&gt;=Party_Statement!$B$6)*($A$3:$A268&lt;=Party_Statement!$D$6)),""))</f>
        <v/>
      </c>
    </row>
    <row r="269" spans="1:10" x14ac:dyDescent="0.2">
      <c r="A269" s="148">
        <f>Sales_Entry!A269</f>
        <v>66927</v>
      </c>
      <c r="B269" s="149" t="str">
        <f>Sales_Entry!C269</f>
        <v xml:space="preserve">AAMOSH KIRANA </v>
      </c>
      <c r="C269" s="149" t="s">
        <v>984</v>
      </c>
      <c r="D269" s="149" t="str">
        <f>Sales_Entry!B269</f>
        <v>BILL-6220</v>
      </c>
      <c r="E269" s="149" t="str">
        <f>Sales_Entry!D269</f>
        <v>Mix Milk</v>
      </c>
      <c r="F269" s="150">
        <f>N(Sales_Entry!I269)</f>
        <v>4250</v>
      </c>
      <c r="G269" s="150">
        <v>0</v>
      </c>
      <c r="H269" s="150">
        <f t="shared" si="4"/>
        <v>7690</v>
      </c>
      <c r="I269" s="149"/>
      <c r="J269" t="str">
        <f>IF($B269="","",IF(AND($B269=Party_Statement!$B$5,$A269&gt;=Party_Statement!$B$6,$A269&lt;=Party_Statement!$D$6),SUMPRODUCT(($B$3:$B269=Party_Statement!$B$5)*($A$3:$A269&gt;=Party_Statement!$B$6)*($A$3:$A269&lt;=Party_Statement!$D$6)),""))</f>
        <v/>
      </c>
    </row>
    <row r="270" spans="1:10" x14ac:dyDescent="0.2">
      <c r="A270" s="148">
        <f>Sales_Entry!A270</f>
        <v>66927</v>
      </c>
      <c r="B270" s="149" t="str">
        <f>Sales_Entry!C270</f>
        <v xml:space="preserve">DEURALI KIRANA </v>
      </c>
      <c r="C270" s="149" t="s">
        <v>984</v>
      </c>
      <c r="D270" s="149" t="str">
        <f>Sales_Entry!B270</f>
        <v>BILL-6221</v>
      </c>
      <c r="E270" s="149" t="str">
        <f>Sales_Entry!D270</f>
        <v>Mix Milk</v>
      </c>
      <c r="F270" s="150">
        <f>N(Sales_Entry!I270)</f>
        <v>425</v>
      </c>
      <c r="G270" s="150">
        <v>0</v>
      </c>
      <c r="H270" s="150">
        <f t="shared" si="4"/>
        <v>425</v>
      </c>
      <c r="I270" s="149"/>
      <c r="J270" t="str">
        <f>IF($B270="","",IF(AND($B270=Party_Statement!$B$5,$A270&gt;=Party_Statement!$B$6,$A270&lt;=Party_Statement!$D$6),SUMPRODUCT(($B$3:$B270=Party_Statement!$B$5)*($A$3:$A270&gt;=Party_Statement!$B$6)*($A$3:$A270&lt;=Party_Statement!$D$6)),""))</f>
        <v/>
      </c>
    </row>
    <row r="271" spans="1:10" x14ac:dyDescent="0.2">
      <c r="A271" s="148">
        <f>Sales_Entry!A271</f>
        <v>66927</v>
      </c>
      <c r="B271" s="149" t="str">
        <f>Sales_Entry!C271</f>
        <v xml:space="preserve">GIRI KIRANA </v>
      </c>
      <c r="C271" s="149" t="s">
        <v>984</v>
      </c>
      <c r="D271" s="149" t="str">
        <f>Sales_Entry!B271</f>
        <v>BILL-6222</v>
      </c>
      <c r="E271" s="149" t="str">
        <f>Sales_Entry!D271</f>
        <v>Mix Milk</v>
      </c>
      <c r="F271" s="150">
        <f>N(Sales_Entry!I271)</f>
        <v>1275</v>
      </c>
      <c r="G271" s="150">
        <v>0</v>
      </c>
      <c r="H271" s="150">
        <f t="shared" si="4"/>
        <v>1275</v>
      </c>
      <c r="I271" s="149"/>
      <c r="J271" t="str">
        <f>IF($B271="","",IF(AND($B271=Party_Statement!$B$5,$A271&gt;=Party_Statement!$B$6,$A271&lt;=Party_Statement!$D$6),SUMPRODUCT(($B$3:$B271=Party_Statement!$B$5)*($A$3:$A271&gt;=Party_Statement!$B$6)*($A$3:$A271&lt;=Party_Statement!$D$6)),""))</f>
        <v/>
      </c>
    </row>
    <row r="272" spans="1:10" x14ac:dyDescent="0.2">
      <c r="A272" s="148">
        <f>Sales_Entry!A272</f>
        <v>66927</v>
      </c>
      <c r="B272" s="149" t="str">
        <f>Sales_Entry!C272</f>
        <v>CHHATRABHUMI</v>
      </c>
      <c r="C272" s="149" t="s">
        <v>984</v>
      </c>
      <c r="D272" s="149" t="str">
        <f>Sales_Entry!B272</f>
        <v>BILL-6223</v>
      </c>
      <c r="E272" s="149" t="str">
        <f>Sales_Entry!D272</f>
        <v>Mix Milk</v>
      </c>
      <c r="F272" s="150">
        <f>N(Sales_Entry!I272)</f>
        <v>1720</v>
      </c>
      <c r="G272" s="150">
        <v>0</v>
      </c>
      <c r="H272" s="150">
        <f t="shared" si="4"/>
        <v>1720</v>
      </c>
      <c r="I272" s="149"/>
      <c r="J272" t="str">
        <f>IF($B272="","",IF(AND($B272=Party_Statement!$B$5,$A272&gt;=Party_Statement!$B$6,$A272&lt;=Party_Statement!$D$6),SUMPRODUCT(($B$3:$B272=Party_Statement!$B$5)*($A$3:$A272&gt;=Party_Statement!$B$6)*($A$3:$A272&lt;=Party_Statement!$D$6)),""))</f>
        <v/>
      </c>
    </row>
    <row r="273" spans="1:10" x14ac:dyDescent="0.2">
      <c r="A273" s="148">
        <f>Sales_Entry!A273</f>
        <v>66927</v>
      </c>
      <c r="B273" s="149" t="str">
        <f>Sales_Entry!C273</f>
        <v>KRISHNA KHAREL</v>
      </c>
      <c r="C273" s="149" t="s">
        <v>984</v>
      </c>
      <c r="D273" s="149" t="str">
        <f>Sales_Entry!B273</f>
        <v>BILL-6224</v>
      </c>
      <c r="E273" s="149" t="str">
        <f>Sales_Entry!D273</f>
        <v>Mix Milk</v>
      </c>
      <c r="F273" s="150">
        <f>N(Sales_Entry!I273)</f>
        <v>344</v>
      </c>
      <c r="G273" s="150">
        <v>0</v>
      </c>
      <c r="H273" s="150">
        <f t="shared" si="4"/>
        <v>344</v>
      </c>
      <c r="I273" s="149"/>
      <c r="J273" t="str">
        <f>IF($B273="","",IF(AND($B273=Party_Statement!$B$5,$A273&gt;=Party_Statement!$B$6,$A273&lt;=Party_Statement!$D$6),SUMPRODUCT(($B$3:$B273=Party_Statement!$B$5)*($A$3:$A273&gt;=Party_Statement!$B$6)*($A$3:$A273&lt;=Party_Statement!$D$6)),""))</f>
        <v/>
      </c>
    </row>
    <row r="274" spans="1:10" x14ac:dyDescent="0.2">
      <c r="A274" s="148">
        <f>Sales_Entry!A274</f>
        <v>66927</v>
      </c>
      <c r="B274" s="149" t="str">
        <f>Sales_Entry!C274</f>
        <v xml:space="preserve">SAMIKSHYA </v>
      </c>
      <c r="C274" s="149" t="s">
        <v>984</v>
      </c>
      <c r="D274" s="149" t="str">
        <f>Sales_Entry!B274</f>
        <v>BILL-6225</v>
      </c>
      <c r="E274" s="149" t="str">
        <f>Sales_Entry!D274</f>
        <v>Mix Milk</v>
      </c>
      <c r="F274" s="150">
        <f>N(Sales_Entry!I274)</f>
        <v>680</v>
      </c>
      <c r="G274" s="150">
        <v>0</v>
      </c>
      <c r="H274" s="150">
        <f t="shared" si="4"/>
        <v>680</v>
      </c>
      <c r="I274" s="149"/>
      <c r="J274" t="str">
        <f>IF($B274="","",IF(AND($B274=Party_Statement!$B$5,$A274&gt;=Party_Statement!$B$6,$A274&lt;=Party_Statement!$D$6),SUMPRODUCT(($B$3:$B274=Party_Statement!$B$5)*($A$3:$A274&gt;=Party_Statement!$B$6)*($A$3:$A274&lt;=Party_Statement!$D$6)),""))</f>
        <v/>
      </c>
    </row>
    <row r="275" spans="1:10" x14ac:dyDescent="0.2">
      <c r="A275" s="148">
        <f>Sales_Entry!A275</f>
        <v>66927</v>
      </c>
      <c r="B275" s="149" t="str">
        <f>Sales_Entry!C275</f>
        <v>MANAKAMANA DAIRY</v>
      </c>
      <c r="C275" s="149" t="s">
        <v>984</v>
      </c>
      <c r="D275" s="149" t="str">
        <f>Sales_Entry!B275</f>
        <v>BILL-6226</v>
      </c>
      <c r="E275" s="149" t="str">
        <f>Sales_Entry!D275</f>
        <v>Mix Milk</v>
      </c>
      <c r="F275" s="150">
        <f>N(Sales_Entry!I275)</f>
        <v>850</v>
      </c>
      <c r="G275" s="150">
        <v>0</v>
      </c>
      <c r="H275" s="150">
        <f t="shared" si="4"/>
        <v>850</v>
      </c>
      <c r="I275" s="149"/>
      <c r="J275" t="str">
        <f>IF($B275="","",IF(AND($B275=Party_Statement!$B$5,$A275&gt;=Party_Statement!$B$6,$A275&lt;=Party_Statement!$D$6),SUMPRODUCT(($B$3:$B275=Party_Statement!$B$5)*($A$3:$A275&gt;=Party_Statement!$B$6)*($A$3:$A275&lt;=Party_Statement!$D$6)),""))</f>
        <v/>
      </c>
    </row>
    <row r="276" spans="1:10" x14ac:dyDescent="0.2">
      <c r="A276" s="148">
        <f>Sales_Entry!A276</f>
        <v>66927</v>
      </c>
      <c r="B276" s="149" t="str">
        <f>Sales_Entry!C276</f>
        <v xml:space="preserve">YUBARAJ AND SAMRAT </v>
      </c>
      <c r="C276" s="149" t="s">
        <v>984</v>
      </c>
      <c r="D276" s="149" t="str">
        <f>Sales_Entry!B276</f>
        <v>BILL-6227</v>
      </c>
      <c r="E276" s="149" t="str">
        <f>Sales_Entry!D276</f>
        <v>Mix Milk</v>
      </c>
      <c r="F276" s="150">
        <f>N(Sales_Entry!I276)</f>
        <v>1275</v>
      </c>
      <c r="G276" s="150">
        <v>0</v>
      </c>
      <c r="H276" s="150">
        <f t="shared" si="4"/>
        <v>1275</v>
      </c>
      <c r="I276" s="149"/>
      <c r="J276" t="str">
        <f>IF($B276="","",IF(AND($B276=Party_Statement!$B$5,$A276&gt;=Party_Statement!$B$6,$A276&lt;=Party_Statement!$D$6),SUMPRODUCT(($B$3:$B276=Party_Statement!$B$5)*($A$3:$A276&gt;=Party_Statement!$B$6)*($A$3:$A276&lt;=Party_Statement!$D$6)),""))</f>
        <v/>
      </c>
    </row>
    <row r="277" spans="1:10" x14ac:dyDescent="0.2">
      <c r="A277" s="148">
        <f>Sales_Entry!A277</f>
        <v>66927</v>
      </c>
      <c r="B277" s="149" t="str">
        <f>Sales_Entry!C277</f>
        <v xml:space="preserve">AAYUSH AAYUSHMA </v>
      </c>
      <c r="C277" s="149" t="s">
        <v>984</v>
      </c>
      <c r="D277" s="149" t="str">
        <f>Sales_Entry!B277</f>
        <v>BILL-6228</v>
      </c>
      <c r="E277" s="149" t="str">
        <f>Sales_Entry!D277</f>
        <v>Mix Milk</v>
      </c>
      <c r="F277" s="150">
        <f>N(Sales_Entry!I277)</f>
        <v>425</v>
      </c>
      <c r="G277" s="150">
        <v>0</v>
      </c>
      <c r="H277" s="150">
        <f t="shared" si="4"/>
        <v>425</v>
      </c>
      <c r="I277" s="149"/>
      <c r="J277" t="str">
        <f>IF($B277="","",IF(AND($B277=Party_Statement!$B$5,$A277&gt;=Party_Statement!$B$6,$A277&lt;=Party_Statement!$D$6),SUMPRODUCT(($B$3:$B277=Party_Statement!$B$5)*($A$3:$A277&gt;=Party_Statement!$B$6)*($A$3:$A277&lt;=Party_Statement!$D$6)),""))</f>
        <v/>
      </c>
    </row>
    <row r="278" spans="1:10" x14ac:dyDescent="0.2">
      <c r="A278" s="148">
        <f>Sales_Entry!A278</f>
        <v>66927</v>
      </c>
      <c r="B278" s="149" t="str">
        <f>Sales_Entry!C278</f>
        <v xml:space="preserve">KRITIKA KIRANA </v>
      </c>
      <c r="C278" s="149" t="s">
        <v>984</v>
      </c>
      <c r="D278" s="149" t="str">
        <f>Sales_Entry!B278</f>
        <v>BILL-6229</v>
      </c>
      <c r="E278" s="149" t="str">
        <f>Sales_Entry!D278</f>
        <v>Mix Milk</v>
      </c>
      <c r="F278" s="150">
        <f>N(Sales_Entry!I278)</f>
        <v>860</v>
      </c>
      <c r="G278" s="150">
        <v>0</v>
      </c>
      <c r="H278" s="150">
        <f t="shared" si="4"/>
        <v>860</v>
      </c>
      <c r="I278" s="149"/>
      <c r="J278" t="str">
        <f>IF($B278="","",IF(AND($B278=Party_Statement!$B$5,$A278&gt;=Party_Statement!$B$6,$A278&lt;=Party_Statement!$D$6),SUMPRODUCT(($B$3:$B278=Party_Statement!$B$5)*($A$3:$A278&gt;=Party_Statement!$B$6)*($A$3:$A278&lt;=Party_Statement!$D$6)),""))</f>
        <v/>
      </c>
    </row>
    <row r="279" spans="1:10" x14ac:dyDescent="0.2">
      <c r="A279" s="148">
        <f>Sales_Entry!A279</f>
        <v>66927</v>
      </c>
      <c r="B279" s="149" t="str">
        <f>Sales_Entry!C279</f>
        <v>ORGANIC TARKALI</v>
      </c>
      <c r="C279" s="149" t="s">
        <v>984</v>
      </c>
      <c r="D279" s="149" t="str">
        <f>Sales_Entry!B279</f>
        <v>BILL-6230</v>
      </c>
      <c r="E279" s="149" t="str">
        <f>Sales_Entry!D279</f>
        <v>Mix Milk</v>
      </c>
      <c r="F279" s="150">
        <f>N(Sales_Entry!I279)</f>
        <v>2850</v>
      </c>
      <c r="G279" s="150">
        <v>0</v>
      </c>
      <c r="H279" s="150">
        <f t="shared" si="4"/>
        <v>2850</v>
      </c>
      <c r="I279" s="149"/>
      <c r="J279" t="str">
        <f>IF($B279="","",IF(AND($B279=Party_Statement!$B$5,$A279&gt;=Party_Statement!$B$6,$A279&lt;=Party_Statement!$D$6),SUMPRODUCT(($B$3:$B279=Party_Statement!$B$5)*($A$3:$A279&gt;=Party_Statement!$B$6)*($A$3:$A279&lt;=Party_Statement!$D$6)),""))</f>
        <v/>
      </c>
    </row>
    <row r="280" spans="1:10" x14ac:dyDescent="0.2">
      <c r="A280" s="148">
        <f>Sales_Entry!A280</f>
        <v>66927</v>
      </c>
      <c r="B280" s="149" t="str">
        <f>Sales_Entry!C280</f>
        <v>NEUPANE KIRANA</v>
      </c>
      <c r="C280" s="149" t="s">
        <v>984</v>
      </c>
      <c r="D280" s="149" t="str">
        <f>Sales_Entry!B280</f>
        <v>BILL-6231</v>
      </c>
      <c r="E280" s="149" t="str">
        <f>Sales_Entry!D280</f>
        <v>Mix Milk</v>
      </c>
      <c r="F280" s="150">
        <f>N(Sales_Entry!I280)</f>
        <v>360</v>
      </c>
      <c r="G280" s="150">
        <v>0</v>
      </c>
      <c r="H280" s="150">
        <f t="shared" si="4"/>
        <v>360</v>
      </c>
      <c r="I280" s="149"/>
      <c r="J280" t="str">
        <f>IF($B280="","",IF(AND($B280=Party_Statement!$B$5,$A280&gt;=Party_Statement!$B$6,$A280&lt;=Party_Statement!$D$6),SUMPRODUCT(($B$3:$B280=Party_Statement!$B$5)*($A$3:$A280&gt;=Party_Statement!$B$6)*($A$3:$A280&lt;=Party_Statement!$D$6)),""))</f>
        <v/>
      </c>
    </row>
    <row r="281" spans="1:10" x14ac:dyDescent="0.2">
      <c r="A281" s="148">
        <f>Sales_Entry!A281</f>
        <v>66927</v>
      </c>
      <c r="B281" s="149" t="str">
        <f>Sales_Entry!C281</f>
        <v>LOCAL</v>
      </c>
      <c r="C281" s="149" t="s">
        <v>984</v>
      </c>
      <c r="D281" s="149" t="str">
        <f>Sales_Entry!B281</f>
        <v>BILL-6232</v>
      </c>
      <c r="E281" s="149" t="str">
        <f>Sales_Entry!D281</f>
        <v>Mix Milk</v>
      </c>
      <c r="F281" s="150">
        <f>N(Sales_Entry!I281)</f>
        <v>505.01</v>
      </c>
      <c r="G281" s="150">
        <v>0</v>
      </c>
      <c r="H281" s="150">
        <f t="shared" si="4"/>
        <v>505.01</v>
      </c>
      <c r="I281" s="149"/>
      <c r="J281" t="str">
        <f>IF($B281="","",IF(AND($B281=Party_Statement!$B$5,$A281&gt;=Party_Statement!$B$6,$A281&lt;=Party_Statement!$D$6),SUMPRODUCT(($B$3:$B281=Party_Statement!$B$5)*($A$3:$A281&gt;=Party_Statement!$B$6)*($A$3:$A281&lt;=Party_Statement!$D$6)),""))</f>
        <v/>
      </c>
    </row>
    <row r="282" spans="1:10" x14ac:dyDescent="0.2">
      <c r="A282" s="148">
        <f>Sales_Entry!A282</f>
        <v>66927</v>
      </c>
      <c r="B282" s="149" t="str">
        <f>Sales_Entry!C282</f>
        <v>GANGA NEUPANE</v>
      </c>
      <c r="C282" s="149" t="s">
        <v>984</v>
      </c>
      <c r="D282" s="149" t="str">
        <f>Sales_Entry!B282</f>
        <v>BILL-6360</v>
      </c>
      <c r="E282" s="149" t="str">
        <f>Sales_Entry!D282</f>
        <v>Mix Milk</v>
      </c>
      <c r="F282" s="150">
        <f>N(Sales_Entry!I282)</f>
        <v>680</v>
      </c>
      <c r="G282" s="150">
        <v>0</v>
      </c>
      <c r="H282" s="150">
        <f t="shared" si="4"/>
        <v>680</v>
      </c>
      <c r="I282" s="149"/>
      <c r="J282" t="str">
        <f>IF($B282="","",IF(AND($B282=Party_Statement!$B$5,$A282&gt;=Party_Statement!$B$6,$A282&lt;=Party_Statement!$D$6),SUMPRODUCT(($B$3:$B282=Party_Statement!$B$5)*($A$3:$A282&gt;=Party_Statement!$B$6)*($A$3:$A282&lt;=Party_Statement!$D$6)),""))</f>
        <v/>
      </c>
    </row>
    <row r="283" spans="1:10" x14ac:dyDescent="0.2">
      <c r="A283" s="148">
        <f>Sales_Entry!A283</f>
        <v>66927</v>
      </c>
      <c r="B283" s="149" t="str">
        <f>Sales_Entry!C283</f>
        <v>GANGA NEUPANE</v>
      </c>
      <c r="C283" s="149" t="s">
        <v>984</v>
      </c>
      <c r="D283" s="149" t="str">
        <f>Sales_Entry!B283</f>
        <v>BILL-6360</v>
      </c>
      <c r="E283" s="149" t="str">
        <f>Sales_Entry!D283</f>
        <v>Mix Milk</v>
      </c>
      <c r="F283" s="150">
        <f>N(Sales_Entry!I283)</f>
        <v>680</v>
      </c>
      <c r="G283" s="150">
        <v>0</v>
      </c>
      <c r="H283" s="150">
        <f t="shared" si="4"/>
        <v>1360</v>
      </c>
      <c r="I283" s="149"/>
      <c r="J283" t="str">
        <f>IF($B283="","",IF(AND($B283=Party_Statement!$B$5,$A283&gt;=Party_Statement!$B$6,$A283&lt;=Party_Statement!$D$6),SUMPRODUCT(($B$3:$B283=Party_Statement!$B$5)*($A$3:$A283&gt;=Party_Statement!$B$6)*($A$3:$A283&lt;=Party_Statement!$D$6)),""))</f>
        <v/>
      </c>
    </row>
    <row r="284" spans="1:10" x14ac:dyDescent="0.2">
      <c r="A284" s="148">
        <f>Sales_Entry!A284</f>
        <v>66928</v>
      </c>
      <c r="B284" s="149" t="str">
        <f>Sales_Entry!C284</f>
        <v xml:space="preserve">KRITIKA KIRANA </v>
      </c>
      <c r="C284" s="149" t="s">
        <v>984</v>
      </c>
      <c r="D284" s="149" t="str">
        <f>Sales_Entry!B284</f>
        <v>BILL-6233</v>
      </c>
      <c r="E284" s="149" t="str">
        <f>Sales_Entry!D284</f>
        <v>Mix Milk</v>
      </c>
      <c r="F284" s="150">
        <f>N(Sales_Entry!I284)</f>
        <v>1290</v>
      </c>
      <c r="G284" s="150">
        <v>0</v>
      </c>
      <c r="H284" s="150">
        <f t="shared" si="4"/>
        <v>1290</v>
      </c>
      <c r="I284" s="149"/>
      <c r="J284" t="str">
        <f>IF($B284="","",IF(AND($B284=Party_Statement!$B$5,$A284&gt;=Party_Statement!$B$6,$A284&lt;=Party_Statement!$D$6),SUMPRODUCT(($B$3:$B284=Party_Statement!$B$5)*($A$3:$A284&gt;=Party_Statement!$B$6)*($A$3:$A284&lt;=Party_Statement!$D$6)),""))</f>
        <v/>
      </c>
    </row>
    <row r="285" spans="1:10" x14ac:dyDescent="0.2">
      <c r="A285" s="148">
        <f>Sales_Entry!A285</f>
        <v>66928</v>
      </c>
      <c r="B285" s="149" t="str">
        <f>Sales_Entry!C285</f>
        <v xml:space="preserve">SOBHA BHATTARAI </v>
      </c>
      <c r="C285" s="149" t="s">
        <v>984</v>
      </c>
      <c r="D285" s="149" t="str">
        <f>Sales_Entry!B285</f>
        <v>BILL-6234</v>
      </c>
      <c r="E285" s="149" t="str">
        <f>Sales_Entry!D285</f>
        <v>Mix Milk</v>
      </c>
      <c r="F285" s="150">
        <f>N(Sales_Entry!I285)</f>
        <v>2975</v>
      </c>
      <c r="G285" s="150">
        <v>0</v>
      </c>
      <c r="H285" s="150">
        <f t="shared" si="4"/>
        <v>2975</v>
      </c>
      <c r="I285" s="149"/>
      <c r="J285" t="str">
        <f>IF($B285="","",IF(AND($B285=Party_Statement!$B$5,$A285&gt;=Party_Statement!$B$6,$A285&lt;=Party_Statement!$D$6),SUMPRODUCT(($B$3:$B285=Party_Statement!$B$5)*($A$3:$A285&gt;=Party_Statement!$B$6)*($A$3:$A285&lt;=Party_Statement!$D$6)),""))</f>
        <v/>
      </c>
    </row>
    <row r="286" spans="1:10" x14ac:dyDescent="0.2">
      <c r="A286" s="148">
        <f>Sales_Entry!A286</f>
        <v>66928</v>
      </c>
      <c r="B286" s="149" t="str">
        <f>Sales_Entry!C286</f>
        <v>MANAKAMANA DAIRY</v>
      </c>
      <c r="C286" s="149" t="s">
        <v>984</v>
      </c>
      <c r="D286" s="149" t="str">
        <f>Sales_Entry!B286</f>
        <v>BILL-6235</v>
      </c>
      <c r="E286" s="149" t="str">
        <f>Sales_Entry!D286</f>
        <v>Mix Milk</v>
      </c>
      <c r="F286" s="150">
        <f>N(Sales_Entry!I286)</f>
        <v>850</v>
      </c>
      <c r="G286" s="150">
        <v>0</v>
      </c>
      <c r="H286" s="150">
        <f t="shared" si="4"/>
        <v>850</v>
      </c>
      <c r="I286" s="149"/>
      <c r="J286" t="str">
        <f>IF($B286="","",IF(AND($B286=Party_Statement!$B$5,$A286&gt;=Party_Statement!$B$6,$A286&lt;=Party_Statement!$D$6),SUMPRODUCT(($B$3:$B286=Party_Statement!$B$5)*($A$3:$A286&gt;=Party_Statement!$B$6)*($A$3:$A286&lt;=Party_Statement!$D$6)),""))</f>
        <v/>
      </c>
    </row>
    <row r="287" spans="1:10" x14ac:dyDescent="0.2">
      <c r="A287" s="148">
        <f>Sales_Entry!A287</f>
        <v>66928</v>
      </c>
      <c r="B287" s="149" t="str">
        <f>Sales_Entry!C287</f>
        <v xml:space="preserve">SAMIKSHYA </v>
      </c>
      <c r="C287" s="149" t="s">
        <v>984</v>
      </c>
      <c r="D287" s="149" t="str">
        <f>Sales_Entry!B287</f>
        <v>BILL-6236</v>
      </c>
      <c r="E287" s="149" t="str">
        <f>Sales_Entry!D287</f>
        <v>Mix Milk</v>
      </c>
      <c r="F287" s="150">
        <f>N(Sales_Entry!I287)</f>
        <v>680</v>
      </c>
      <c r="G287" s="150">
        <v>0</v>
      </c>
      <c r="H287" s="150">
        <f t="shared" si="4"/>
        <v>680</v>
      </c>
      <c r="I287" s="149"/>
      <c r="J287" t="str">
        <f>IF($B287="","",IF(AND($B287=Party_Statement!$B$5,$A287&gt;=Party_Statement!$B$6,$A287&lt;=Party_Statement!$D$6),SUMPRODUCT(($B$3:$B287=Party_Statement!$B$5)*($A$3:$A287&gt;=Party_Statement!$B$6)*($A$3:$A287&lt;=Party_Statement!$D$6)),""))</f>
        <v/>
      </c>
    </row>
    <row r="288" spans="1:10" x14ac:dyDescent="0.2">
      <c r="A288" s="148">
        <f>Sales_Entry!A288</f>
        <v>66928</v>
      </c>
      <c r="B288" s="149" t="str">
        <f>Sales_Entry!C288</f>
        <v>CHHATRABHUMI</v>
      </c>
      <c r="C288" s="149" t="s">
        <v>984</v>
      </c>
      <c r="D288" s="149" t="str">
        <f>Sales_Entry!B288</f>
        <v>BILL-6237</v>
      </c>
      <c r="E288" s="149" t="str">
        <f>Sales_Entry!D288</f>
        <v>Mix Milk</v>
      </c>
      <c r="F288" s="150">
        <f>N(Sales_Entry!I288)</f>
        <v>2580</v>
      </c>
      <c r="G288" s="150">
        <v>0</v>
      </c>
      <c r="H288" s="150">
        <f t="shared" si="4"/>
        <v>2580</v>
      </c>
      <c r="I288" s="149"/>
      <c r="J288" t="str">
        <f>IF($B288="","",IF(AND($B288=Party_Statement!$B$5,$A288&gt;=Party_Statement!$B$6,$A288&lt;=Party_Statement!$D$6),SUMPRODUCT(($B$3:$B288=Party_Statement!$B$5)*($A$3:$A288&gt;=Party_Statement!$B$6)*($A$3:$A288&lt;=Party_Statement!$D$6)),""))</f>
        <v/>
      </c>
    </row>
    <row r="289" spans="1:10" x14ac:dyDescent="0.2">
      <c r="A289" s="148">
        <f>Sales_Entry!A289</f>
        <v>66928</v>
      </c>
      <c r="B289" s="149" t="str">
        <f>Sales_Entry!C289</f>
        <v>KRISHNA KHAREL</v>
      </c>
      <c r="C289" s="149" t="s">
        <v>984</v>
      </c>
      <c r="D289" s="149" t="str">
        <f>Sales_Entry!B289</f>
        <v>BILL-6238</v>
      </c>
      <c r="E289" s="149" t="str">
        <f>Sales_Entry!D289</f>
        <v>Mix Milk</v>
      </c>
      <c r="F289" s="150">
        <f>N(Sales_Entry!I289)</f>
        <v>344</v>
      </c>
      <c r="G289" s="150">
        <v>0</v>
      </c>
      <c r="H289" s="150">
        <f t="shared" si="4"/>
        <v>344</v>
      </c>
      <c r="I289" s="149"/>
      <c r="J289" t="str">
        <f>IF($B289="","",IF(AND($B289=Party_Statement!$B$5,$A289&gt;=Party_Statement!$B$6,$A289&lt;=Party_Statement!$D$6),SUMPRODUCT(($B$3:$B289=Party_Statement!$B$5)*($A$3:$A289&gt;=Party_Statement!$B$6)*($A$3:$A289&lt;=Party_Statement!$D$6)),""))</f>
        <v/>
      </c>
    </row>
    <row r="290" spans="1:10" x14ac:dyDescent="0.2">
      <c r="A290" s="148">
        <f>Sales_Entry!A290</f>
        <v>66928</v>
      </c>
      <c r="B290" s="149" t="str">
        <f>Sales_Entry!C290</f>
        <v>ORGANIC TARKALI</v>
      </c>
      <c r="C290" s="149" t="s">
        <v>984</v>
      </c>
      <c r="D290" s="149" t="str">
        <f>Sales_Entry!B290</f>
        <v>BILL-6239</v>
      </c>
      <c r="E290" s="149" t="str">
        <f>Sales_Entry!D290</f>
        <v>Mix Milk</v>
      </c>
      <c r="F290" s="150">
        <f>N(Sales_Entry!I290)</f>
        <v>2375</v>
      </c>
      <c r="G290" s="150">
        <v>0</v>
      </c>
      <c r="H290" s="150">
        <f t="shared" si="4"/>
        <v>2375</v>
      </c>
      <c r="I290" s="149"/>
      <c r="J290" t="str">
        <f>IF($B290="","",IF(AND($B290=Party_Statement!$B$5,$A290&gt;=Party_Statement!$B$6,$A290&lt;=Party_Statement!$D$6),SUMPRODUCT(($B$3:$B290=Party_Statement!$B$5)*($A$3:$A290&gt;=Party_Statement!$B$6)*($A$3:$A290&lt;=Party_Statement!$D$6)),""))</f>
        <v/>
      </c>
    </row>
    <row r="291" spans="1:10" x14ac:dyDescent="0.2">
      <c r="A291" s="148">
        <f>Sales_Entry!A291</f>
        <v>66928</v>
      </c>
      <c r="B291" s="149" t="str">
        <f>Sales_Entry!C291</f>
        <v>ORGANIC TARKALI</v>
      </c>
      <c r="C291" s="149" t="s">
        <v>984</v>
      </c>
      <c r="D291" s="149" t="str">
        <f>Sales_Entry!B291</f>
        <v>BILL-6239</v>
      </c>
      <c r="E291" s="149" t="str">
        <f>Sales_Entry!D291</f>
        <v>Mix Milk</v>
      </c>
      <c r="F291" s="150">
        <f>N(Sales_Entry!I291)</f>
        <v>1020</v>
      </c>
      <c r="G291" s="150">
        <v>0</v>
      </c>
      <c r="H291" s="150">
        <f t="shared" si="4"/>
        <v>3395</v>
      </c>
      <c r="I291" s="149"/>
      <c r="J291" t="str">
        <f>IF($B291="","",IF(AND($B291=Party_Statement!$B$5,$A291&gt;=Party_Statement!$B$6,$A291&lt;=Party_Statement!$D$6),SUMPRODUCT(($B$3:$B291=Party_Statement!$B$5)*($A$3:$A291&gt;=Party_Statement!$B$6)*($A$3:$A291&lt;=Party_Statement!$D$6)),""))</f>
        <v/>
      </c>
    </row>
    <row r="292" spans="1:10" x14ac:dyDescent="0.2">
      <c r="A292" s="148">
        <f>Sales_Entry!A292</f>
        <v>66928</v>
      </c>
      <c r="B292" s="149" t="str">
        <f>Sales_Entry!C292</f>
        <v>PALPALI</v>
      </c>
      <c r="C292" s="149" t="s">
        <v>984</v>
      </c>
      <c r="D292" s="149" t="str">
        <f>Sales_Entry!B292</f>
        <v>BILL-6240</v>
      </c>
      <c r="E292" s="149" t="str">
        <f>Sales_Entry!D292</f>
        <v>Mix Milk</v>
      </c>
      <c r="F292" s="150">
        <f>N(Sales_Entry!I292)</f>
        <v>2975</v>
      </c>
      <c r="G292" s="150">
        <v>0</v>
      </c>
      <c r="H292" s="150">
        <f t="shared" si="4"/>
        <v>2975</v>
      </c>
      <c r="I292" s="149"/>
      <c r="J292" t="str">
        <f>IF($B292="","",IF(AND($B292=Party_Statement!$B$5,$A292&gt;=Party_Statement!$B$6,$A292&lt;=Party_Statement!$D$6),SUMPRODUCT(($B$3:$B292=Party_Statement!$B$5)*($A$3:$A292&gt;=Party_Statement!$B$6)*($A$3:$A292&lt;=Party_Statement!$D$6)),""))</f>
        <v/>
      </c>
    </row>
    <row r="293" spans="1:10" x14ac:dyDescent="0.2">
      <c r="A293" s="148">
        <f>Sales_Entry!A293</f>
        <v>66928</v>
      </c>
      <c r="B293" s="149" t="str">
        <f>Sales_Entry!C293</f>
        <v xml:space="preserve">GIRI KIRANA </v>
      </c>
      <c r="C293" s="149" t="s">
        <v>984</v>
      </c>
      <c r="D293" s="149" t="str">
        <f>Sales_Entry!B293</f>
        <v>BILL-6241</v>
      </c>
      <c r="E293" s="149" t="str">
        <f>Sales_Entry!D293</f>
        <v>Mix Milk</v>
      </c>
      <c r="F293" s="150">
        <f>N(Sales_Entry!I293)</f>
        <v>1275</v>
      </c>
      <c r="G293" s="150">
        <v>0</v>
      </c>
      <c r="H293" s="150">
        <f t="shared" si="4"/>
        <v>1275</v>
      </c>
      <c r="I293" s="149"/>
      <c r="J293" t="str">
        <f>IF($B293="","",IF(AND($B293=Party_Statement!$B$5,$A293&gt;=Party_Statement!$B$6,$A293&lt;=Party_Statement!$D$6),SUMPRODUCT(($B$3:$B293=Party_Statement!$B$5)*($A$3:$A293&gt;=Party_Statement!$B$6)*($A$3:$A293&lt;=Party_Statement!$D$6)),""))</f>
        <v/>
      </c>
    </row>
    <row r="294" spans="1:10" x14ac:dyDescent="0.2">
      <c r="A294" s="148">
        <f>Sales_Entry!A294</f>
        <v>66928</v>
      </c>
      <c r="B294" s="149" t="str">
        <f>Sales_Entry!C294</f>
        <v xml:space="preserve">DEURALI KIRANA </v>
      </c>
      <c r="C294" s="149" t="s">
        <v>984</v>
      </c>
      <c r="D294" s="149" t="str">
        <f>Sales_Entry!B294</f>
        <v>BILL-6242</v>
      </c>
      <c r="E294" s="149" t="str">
        <f>Sales_Entry!D294</f>
        <v>Mix Milk</v>
      </c>
      <c r="F294" s="150">
        <f>N(Sales_Entry!I294)</f>
        <v>680</v>
      </c>
      <c r="G294" s="150">
        <v>0</v>
      </c>
      <c r="H294" s="150">
        <f t="shared" si="4"/>
        <v>680</v>
      </c>
      <c r="I294" s="149"/>
      <c r="J294" t="str">
        <f>IF($B294="","",IF(AND($B294=Party_Statement!$B$5,$A294&gt;=Party_Statement!$B$6,$A294&lt;=Party_Statement!$D$6),SUMPRODUCT(($B$3:$B294=Party_Statement!$B$5)*($A$3:$A294&gt;=Party_Statement!$B$6)*($A$3:$A294&lt;=Party_Statement!$D$6)),""))</f>
        <v/>
      </c>
    </row>
    <row r="295" spans="1:10" x14ac:dyDescent="0.2">
      <c r="A295" s="148">
        <f>Sales_Entry!A295</f>
        <v>66928</v>
      </c>
      <c r="B295" s="149" t="str">
        <f>Sales_Entry!C295</f>
        <v xml:space="preserve">AAMOSH KIRANA </v>
      </c>
      <c r="C295" s="149" t="s">
        <v>984</v>
      </c>
      <c r="D295" s="149" t="str">
        <f>Sales_Entry!B295</f>
        <v>BILL-6243</v>
      </c>
      <c r="E295" s="149" t="str">
        <f>Sales_Entry!D295</f>
        <v>Mix Milk</v>
      </c>
      <c r="F295" s="150">
        <f>N(Sales_Entry!I295)</f>
        <v>3440</v>
      </c>
      <c r="G295" s="150">
        <v>0</v>
      </c>
      <c r="H295" s="150">
        <f t="shared" si="4"/>
        <v>3440</v>
      </c>
      <c r="I295" s="149"/>
      <c r="J295" t="str">
        <f>IF($B295="","",IF(AND($B295=Party_Statement!$B$5,$A295&gt;=Party_Statement!$B$6,$A295&lt;=Party_Statement!$D$6),SUMPRODUCT(($B$3:$B295=Party_Statement!$B$5)*($A$3:$A295&gt;=Party_Statement!$B$6)*($A$3:$A295&lt;=Party_Statement!$D$6)),""))</f>
        <v/>
      </c>
    </row>
    <row r="296" spans="1:10" x14ac:dyDescent="0.2">
      <c r="A296" s="148">
        <f>Sales_Entry!A296</f>
        <v>66928</v>
      </c>
      <c r="B296" s="149" t="str">
        <f>Sales_Entry!C296</f>
        <v xml:space="preserve">AAMOSH KIRANA </v>
      </c>
      <c r="C296" s="149" t="s">
        <v>984</v>
      </c>
      <c r="D296" s="149" t="str">
        <f>Sales_Entry!B296</f>
        <v>BILL-6243</v>
      </c>
      <c r="E296" s="149" t="str">
        <f>Sales_Entry!D296</f>
        <v>Mix Milk</v>
      </c>
      <c r="F296" s="150">
        <f>N(Sales_Entry!I296)</f>
        <v>4250</v>
      </c>
      <c r="G296" s="150">
        <v>0</v>
      </c>
      <c r="H296" s="150">
        <f t="shared" si="4"/>
        <v>7690</v>
      </c>
      <c r="I296" s="149"/>
      <c r="J296" t="str">
        <f>IF($B296="","",IF(AND($B296=Party_Statement!$B$5,$A296&gt;=Party_Statement!$B$6,$A296&lt;=Party_Statement!$D$6),SUMPRODUCT(($B$3:$B296=Party_Statement!$B$5)*($A$3:$A296&gt;=Party_Statement!$B$6)*($A$3:$A296&lt;=Party_Statement!$D$6)),""))</f>
        <v/>
      </c>
    </row>
    <row r="297" spans="1:10" x14ac:dyDescent="0.2">
      <c r="A297" s="148">
        <f>Sales_Entry!A297</f>
        <v>66928</v>
      </c>
      <c r="B297" s="149" t="str">
        <f>Sales_Entry!C297</f>
        <v xml:space="preserve">AAMOSH KIRANA </v>
      </c>
      <c r="C297" s="149" t="s">
        <v>984</v>
      </c>
      <c r="D297" s="149" t="str">
        <f>Sales_Entry!B297</f>
        <v>BILL-6243</v>
      </c>
      <c r="E297" s="149" t="str">
        <f>Sales_Entry!D297</f>
        <v>Cow Milk</v>
      </c>
      <c r="F297" s="150">
        <f>N(Sales_Entry!I297)</f>
        <v>80</v>
      </c>
      <c r="G297" s="150">
        <v>0</v>
      </c>
      <c r="H297" s="150">
        <f t="shared" si="4"/>
        <v>7770</v>
      </c>
      <c r="I297" s="149"/>
      <c r="J297" t="str">
        <f>IF($B297="","",IF(AND($B297=Party_Statement!$B$5,$A297&gt;=Party_Statement!$B$6,$A297&lt;=Party_Statement!$D$6),SUMPRODUCT(($B$3:$B297=Party_Statement!$B$5)*($A$3:$A297&gt;=Party_Statement!$B$6)*($A$3:$A297&lt;=Party_Statement!$D$6)),""))</f>
        <v/>
      </c>
    </row>
    <row r="298" spans="1:10" x14ac:dyDescent="0.2">
      <c r="A298" s="148">
        <f>Sales_Entry!A298</f>
        <v>66928</v>
      </c>
      <c r="B298" s="149" t="str">
        <f>Sales_Entry!C298</f>
        <v>SHARMA DAI</v>
      </c>
      <c r="C298" s="149" t="s">
        <v>984</v>
      </c>
      <c r="D298" s="149" t="str">
        <f>Sales_Entry!B298</f>
        <v>BILL-6244</v>
      </c>
      <c r="E298" s="149" t="str">
        <f>Sales_Entry!D298</f>
        <v>Mix Milk</v>
      </c>
      <c r="F298" s="150">
        <f>N(Sales_Entry!I298)</f>
        <v>1680</v>
      </c>
      <c r="G298" s="150">
        <v>0</v>
      </c>
      <c r="H298" s="150">
        <f t="shared" si="4"/>
        <v>1680</v>
      </c>
      <c r="I298" s="149"/>
      <c r="J298" t="str">
        <f>IF($B298="","",IF(AND($B298=Party_Statement!$B$5,$A298&gt;=Party_Statement!$B$6,$A298&lt;=Party_Statement!$D$6),SUMPRODUCT(($B$3:$B298=Party_Statement!$B$5)*($A$3:$A298&gt;=Party_Statement!$B$6)*($A$3:$A298&lt;=Party_Statement!$D$6)),""))</f>
        <v/>
      </c>
    </row>
    <row r="299" spans="1:10" x14ac:dyDescent="0.2">
      <c r="A299" s="148">
        <f>Sales_Entry!A299</f>
        <v>66928</v>
      </c>
      <c r="B299" s="149" t="str">
        <f>Sales_Entry!C299</f>
        <v>GANGA NEUPANE</v>
      </c>
      <c r="C299" s="149" t="s">
        <v>984</v>
      </c>
      <c r="D299" s="149" t="str">
        <f>Sales_Entry!B299</f>
        <v>BILL-6245</v>
      </c>
      <c r="E299" s="149" t="str">
        <f>Sales_Entry!D299</f>
        <v>Mix Milk</v>
      </c>
      <c r="F299" s="150">
        <f>N(Sales_Entry!I299)</f>
        <v>680</v>
      </c>
      <c r="G299" s="150">
        <v>0</v>
      </c>
      <c r="H299" s="150">
        <f t="shared" si="4"/>
        <v>680</v>
      </c>
      <c r="I299" s="149"/>
      <c r="J299" t="str">
        <f>IF($B299="","",IF(AND($B299=Party_Statement!$B$5,$A299&gt;=Party_Statement!$B$6,$A299&lt;=Party_Statement!$D$6),SUMPRODUCT(($B$3:$B299=Party_Statement!$B$5)*($A$3:$A299&gt;=Party_Statement!$B$6)*($A$3:$A299&lt;=Party_Statement!$D$6)),""))</f>
        <v/>
      </c>
    </row>
    <row r="300" spans="1:10" x14ac:dyDescent="0.2">
      <c r="A300" s="148">
        <f>Sales_Entry!A300</f>
        <v>66928</v>
      </c>
      <c r="B300" s="149" t="str">
        <f>Sales_Entry!C300</f>
        <v>LOCAL</v>
      </c>
      <c r="C300" s="149" t="s">
        <v>984</v>
      </c>
      <c r="D300" s="149" t="str">
        <f>Sales_Entry!B300</f>
        <v>BILL-6246</v>
      </c>
      <c r="E300" s="149" t="str">
        <f>Sales_Entry!D300</f>
        <v>Mix Milk</v>
      </c>
      <c r="F300" s="150">
        <f>N(Sales_Entry!I300)</f>
        <v>350</v>
      </c>
      <c r="G300" s="150">
        <v>0</v>
      </c>
      <c r="H300" s="150">
        <f t="shared" si="4"/>
        <v>350</v>
      </c>
      <c r="I300" s="149"/>
      <c r="J300" t="str">
        <f>IF($B300="","",IF(AND($B300=Party_Statement!$B$5,$A300&gt;=Party_Statement!$B$6,$A300&lt;=Party_Statement!$D$6),SUMPRODUCT(($B$3:$B300=Party_Statement!$B$5)*($A$3:$A300&gt;=Party_Statement!$B$6)*($A$3:$A300&lt;=Party_Statement!$D$6)),""))</f>
        <v/>
      </c>
    </row>
    <row r="301" spans="1:10" x14ac:dyDescent="0.2">
      <c r="A301" s="148">
        <f>Sales_Entry!A301</f>
        <v>66929</v>
      </c>
      <c r="B301" s="149" t="str">
        <f>Sales_Entry!C301</f>
        <v>PARSHURAM THARU</v>
      </c>
      <c r="C301" s="149" t="s">
        <v>984</v>
      </c>
      <c r="D301" s="149" t="str">
        <f>Sales_Entry!B301</f>
        <v>BILL-6247</v>
      </c>
      <c r="E301" s="149" t="str">
        <f>Sales_Entry!D301</f>
        <v>DANA</v>
      </c>
      <c r="F301" s="150">
        <f>N(Sales_Entry!I301)</f>
        <v>1680</v>
      </c>
      <c r="G301" s="150">
        <v>0</v>
      </c>
      <c r="H301" s="150">
        <f t="shared" si="4"/>
        <v>1680</v>
      </c>
      <c r="I301" s="149"/>
      <c r="J301" t="str">
        <f>IF($B301="","",IF(AND($B301=Party_Statement!$B$5,$A301&gt;=Party_Statement!$B$6,$A301&lt;=Party_Statement!$D$6),SUMPRODUCT(($B$3:$B301=Party_Statement!$B$5)*($A$3:$A301&gt;=Party_Statement!$B$6)*($A$3:$A301&lt;=Party_Statement!$D$6)),""))</f>
        <v/>
      </c>
    </row>
    <row r="302" spans="1:10" x14ac:dyDescent="0.2">
      <c r="A302" s="148">
        <f>Sales_Entry!A302</f>
        <v>66929</v>
      </c>
      <c r="B302" s="149" t="str">
        <f>Sales_Entry!C302</f>
        <v>NEUPANE KIRANA</v>
      </c>
      <c r="C302" s="149" t="s">
        <v>984</v>
      </c>
      <c r="D302" s="149" t="str">
        <f>Sales_Entry!B302</f>
        <v>BILL-6248</v>
      </c>
      <c r="E302" s="149" t="str">
        <f>Sales_Entry!D302</f>
        <v>Mix Milk</v>
      </c>
      <c r="F302" s="150">
        <f>N(Sales_Entry!I302)</f>
        <v>360</v>
      </c>
      <c r="G302" s="150">
        <v>0</v>
      </c>
      <c r="H302" s="150">
        <f t="shared" si="4"/>
        <v>360</v>
      </c>
      <c r="I302" s="149"/>
      <c r="J302" t="str">
        <f>IF($B302="","",IF(AND($B302=Party_Statement!$B$5,$A302&gt;=Party_Statement!$B$6,$A302&lt;=Party_Statement!$D$6),SUMPRODUCT(($B$3:$B302=Party_Statement!$B$5)*($A$3:$A302&gt;=Party_Statement!$B$6)*($A$3:$A302&lt;=Party_Statement!$D$6)),""))</f>
        <v/>
      </c>
    </row>
    <row r="303" spans="1:10" x14ac:dyDescent="0.2">
      <c r="A303" s="148">
        <f>Sales_Entry!A303</f>
        <v>66929</v>
      </c>
      <c r="B303" s="149" t="str">
        <f>Sales_Entry!C303</f>
        <v>GANGA NEUPANE</v>
      </c>
      <c r="C303" s="149" t="s">
        <v>984</v>
      </c>
      <c r="D303" s="149" t="str">
        <f>Sales_Entry!B303</f>
        <v>BILL-6249</v>
      </c>
      <c r="E303" s="149" t="str">
        <f>Sales_Entry!D303</f>
        <v>Mix Milk</v>
      </c>
      <c r="F303" s="150">
        <f>N(Sales_Entry!I303)</f>
        <v>510</v>
      </c>
      <c r="G303" s="150">
        <v>0</v>
      </c>
      <c r="H303" s="150">
        <f t="shared" si="4"/>
        <v>510</v>
      </c>
      <c r="I303" s="149"/>
      <c r="J303" t="str">
        <f>IF($B303="","",IF(AND($B303=Party_Statement!$B$5,$A303&gt;=Party_Statement!$B$6,$A303&lt;=Party_Statement!$D$6),SUMPRODUCT(($B$3:$B303=Party_Statement!$B$5)*($A$3:$A303&gt;=Party_Statement!$B$6)*($A$3:$A303&lt;=Party_Statement!$D$6)),""))</f>
        <v/>
      </c>
    </row>
    <row r="304" spans="1:10" x14ac:dyDescent="0.2">
      <c r="A304" s="148">
        <f>Sales_Entry!A304</f>
        <v>66929</v>
      </c>
      <c r="B304" s="149" t="str">
        <f>Sales_Entry!C304</f>
        <v>LOCAL</v>
      </c>
      <c r="C304" s="149" t="s">
        <v>984</v>
      </c>
      <c r="D304" s="149" t="str">
        <f>Sales_Entry!B304</f>
        <v>BILL-6250</v>
      </c>
      <c r="E304" s="149" t="str">
        <f>Sales_Entry!D304</f>
        <v>Mix Milk</v>
      </c>
      <c r="F304" s="150">
        <f>N(Sales_Entry!I304)</f>
        <v>715.01499999999999</v>
      </c>
      <c r="G304" s="150">
        <v>0</v>
      </c>
      <c r="H304" s="150">
        <f t="shared" si="4"/>
        <v>715.01499999999999</v>
      </c>
      <c r="I304" s="149"/>
      <c r="J304" t="str">
        <f>IF($B304="","",IF(AND($B304=Party_Statement!$B$5,$A304&gt;=Party_Statement!$B$6,$A304&lt;=Party_Statement!$D$6),SUMPRODUCT(($B$3:$B304=Party_Statement!$B$5)*($A$3:$A304&gt;=Party_Statement!$B$6)*($A$3:$A304&lt;=Party_Statement!$D$6)),""))</f>
        <v/>
      </c>
    </row>
    <row r="305" spans="1:10" x14ac:dyDescent="0.2">
      <c r="A305" s="148">
        <f>Sales_Entry!A305</f>
        <v>66929</v>
      </c>
      <c r="B305" s="149" t="str">
        <f>Sales_Entry!C305</f>
        <v>SRIJANA DAIRY (DEVI NAGAR)</v>
      </c>
      <c r="C305" s="149" t="s">
        <v>984</v>
      </c>
      <c r="D305" s="149" t="str">
        <f>Sales_Entry!B305</f>
        <v>BILL-6251</v>
      </c>
      <c r="E305" s="149" t="str">
        <f>Sales_Entry!D305</f>
        <v>Mix Milk</v>
      </c>
      <c r="F305" s="150">
        <f>N(Sales_Entry!I305)</f>
        <v>5100</v>
      </c>
      <c r="G305" s="150">
        <v>0</v>
      </c>
      <c r="H305" s="150">
        <f t="shared" si="4"/>
        <v>5100</v>
      </c>
      <c r="I305" s="149"/>
      <c r="J305" t="str">
        <f>IF($B305="","",IF(AND($B305=Party_Statement!$B$5,$A305&gt;=Party_Statement!$B$6,$A305&lt;=Party_Statement!$D$6),SUMPRODUCT(($B$3:$B305=Party_Statement!$B$5)*($A$3:$A305&gt;=Party_Statement!$B$6)*($A$3:$A305&lt;=Party_Statement!$D$6)),""))</f>
        <v/>
      </c>
    </row>
    <row r="306" spans="1:10" x14ac:dyDescent="0.2">
      <c r="A306" s="148">
        <f>Sales_Entry!A306</f>
        <v>66929</v>
      </c>
      <c r="B306" s="149" t="str">
        <f>Sales_Entry!C306</f>
        <v>SRIJANA DAIRY (DEVI NAGAR)</v>
      </c>
      <c r="C306" s="149" t="s">
        <v>984</v>
      </c>
      <c r="D306" s="149" t="str">
        <f>Sales_Entry!B306</f>
        <v>BILL-6251</v>
      </c>
      <c r="E306" s="149" t="str">
        <f>Sales_Entry!D306</f>
        <v>Cow Milk</v>
      </c>
      <c r="F306" s="150">
        <f>N(Sales_Entry!I306)</f>
        <v>80</v>
      </c>
      <c r="G306" s="150">
        <v>0</v>
      </c>
      <c r="H306" s="150">
        <f t="shared" si="4"/>
        <v>5180</v>
      </c>
      <c r="I306" s="149"/>
      <c r="J306" t="str">
        <f>IF($B306="","",IF(AND($B306=Party_Statement!$B$5,$A306&gt;=Party_Statement!$B$6,$A306&lt;=Party_Statement!$D$6),SUMPRODUCT(($B$3:$B306=Party_Statement!$B$5)*($A$3:$A306&gt;=Party_Statement!$B$6)*($A$3:$A306&lt;=Party_Statement!$D$6)),""))</f>
        <v/>
      </c>
    </row>
    <row r="307" spans="1:10" x14ac:dyDescent="0.2">
      <c r="A307" s="148">
        <f>Sales_Entry!A307</f>
        <v>66929</v>
      </c>
      <c r="B307" s="149" t="str">
        <f>Sales_Entry!C307</f>
        <v xml:space="preserve">SOBHA BHATTARAI </v>
      </c>
      <c r="C307" s="149" t="s">
        <v>984</v>
      </c>
      <c r="D307" s="149" t="str">
        <f>Sales_Entry!B307</f>
        <v>BILL-6252</v>
      </c>
      <c r="E307" s="149" t="str">
        <f>Sales_Entry!D307</f>
        <v>Mix Milk</v>
      </c>
      <c r="F307" s="150">
        <f>N(Sales_Entry!I307)</f>
        <v>2550</v>
      </c>
      <c r="G307" s="150">
        <v>0</v>
      </c>
      <c r="H307" s="150">
        <f t="shared" si="4"/>
        <v>2550</v>
      </c>
      <c r="I307" s="149"/>
      <c r="J307" t="str">
        <f>IF($B307="","",IF(AND($B307=Party_Statement!$B$5,$A307&gt;=Party_Statement!$B$6,$A307&lt;=Party_Statement!$D$6),SUMPRODUCT(($B$3:$B307=Party_Statement!$B$5)*($A$3:$A307&gt;=Party_Statement!$B$6)*($A$3:$A307&lt;=Party_Statement!$D$6)),""))</f>
        <v/>
      </c>
    </row>
    <row r="308" spans="1:10" x14ac:dyDescent="0.2">
      <c r="A308" s="148">
        <f>Sales_Entry!A308</f>
        <v>66929</v>
      </c>
      <c r="B308" s="149" t="str">
        <f>Sales_Entry!C308</f>
        <v xml:space="preserve">YUBARAJ AND SAMRAT </v>
      </c>
      <c r="C308" s="149" t="s">
        <v>984</v>
      </c>
      <c r="D308" s="149" t="str">
        <f>Sales_Entry!B308</f>
        <v>BILL-6253</v>
      </c>
      <c r="E308" s="149" t="str">
        <f>Sales_Entry!D308</f>
        <v>Mix Milk</v>
      </c>
      <c r="F308" s="150">
        <f>N(Sales_Entry!I308)</f>
        <v>1020</v>
      </c>
      <c r="G308" s="150">
        <v>0</v>
      </c>
      <c r="H308" s="150">
        <f t="shared" si="4"/>
        <v>1020</v>
      </c>
      <c r="I308" s="149"/>
      <c r="J308" t="str">
        <f>IF($B308="","",IF(AND($B308=Party_Statement!$B$5,$A308&gt;=Party_Statement!$B$6,$A308&lt;=Party_Statement!$D$6),SUMPRODUCT(($B$3:$B308=Party_Statement!$B$5)*($A$3:$A308&gt;=Party_Statement!$B$6)*($A$3:$A308&lt;=Party_Statement!$D$6)),""))</f>
        <v/>
      </c>
    </row>
    <row r="309" spans="1:10" x14ac:dyDescent="0.2">
      <c r="A309" s="148">
        <f>Sales_Entry!A309</f>
        <v>66929</v>
      </c>
      <c r="B309" s="149" t="str">
        <f>Sales_Entry!C309</f>
        <v xml:space="preserve">SAMIKSHYA </v>
      </c>
      <c r="C309" s="149" t="s">
        <v>984</v>
      </c>
      <c r="D309" s="149" t="str">
        <f>Sales_Entry!B309</f>
        <v>BILL-6254</v>
      </c>
      <c r="E309" s="149" t="str">
        <f>Sales_Entry!D309</f>
        <v>Mix Milk</v>
      </c>
      <c r="F309" s="150">
        <f>N(Sales_Entry!I309)</f>
        <v>680</v>
      </c>
      <c r="G309" s="150">
        <v>0</v>
      </c>
      <c r="H309" s="150">
        <f t="shared" si="4"/>
        <v>680</v>
      </c>
      <c r="I309" s="149"/>
      <c r="J309" t="str">
        <f>IF($B309="","",IF(AND($B309=Party_Statement!$B$5,$A309&gt;=Party_Statement!$B$6,$A309&lt;=Party_Statement!$D$6),SUMPRODUCT(($B$3:$B309=Party_Statement!$B$5)*($A$3:$A309&gt;=Party_Statement!$B$6)*($A$3:$A309&lt;=Party_Statement!$D$6)),""))</f>
        <v/>
      </c>
    </row>
    <row r="310" spans="1:10" x14ac:dyDescent="0.2">
      <c r="A310" s="148">
        <f>Sales_Entry!A310</f>
        <v>66929</v>
      </c>
      <c r="B310" s="149" t="str">
        <f>Sales_Entry!C310</f>
        <v>KRISHNA KHAREL</v>
      </c>
      <c r="C310" s="149" t="s">
        <v>984</v>
      </c>
      <c r="D310" s="149" t="str">
        <f>Sales_Entry!B310</f>
        <v>BILL-6255</v>
      </c>
      <c r="E310" s="149" t="str">
        <f>Sales_Entry!D310</f>
        <v>Mix Milk</v>
      </c>
      <c r="F310" s="150">
        <f>N(Sales_Entry!I310)</f>
        <v>344</v>
      </c>
      <c r="G310" s="150">
        <v>0</v>
      </c>
      <c r="H310" s="150">
        <f t="shared" si="4"/>
        <v>344</v>
      </c>
      <c r="I310" s="149"/>
      <c r="J310" t="str">
        <f>IF($B310="","",IF(AND($B310=Party_Statement!$B$5,$A310&gt;=Party_Statement!$B$6,$A310&lt;=Party_Statement!$D$6),SUMPRODUCT(($B$3:$B310=Party_Statement!$B$5)*($A$3:$A310&gt;=Party_Statement!$B$6)*($A$3:$A310&lt;=Party_Statement!$D$6)),""))</f>
        <v/>
      </c>
    </row>
    <row r="311" spans="1:10" x14ac:dyDescent="0.2">
      <c r="A311" s="148">
        <f>Sales_Entry!A311</f>
        <v>66929</v>
      </c>
      <c r="B311" s="149" t="str">
        <f>Sales_Entry!C311</f>
        <v>CHHATRABHUMI</v>
      </c>
      <c r="C311" s="149" t="s">
        <v>984</v>
      </c>
      <c r="D311" s="149" t="str">
        <f>Sales_Entry!B311</f>
        <v>BILL-6256</v>
      </c>
      <c r="E311" s="149" t="str">
        <f>Sales_Entry!D311</f>
        <v>Mix Milk</v>
      </c>
      <c r="F311" s="150">
        <f>N(Sales_Entry!I311)</f>
        <v>2580</v>
      </c>
      <c r="G311" s="150">
        <v>0</v>
      </c>
      <c r="H311" s="150">
        <f t="shared" si="4"/>
        <v>2580</v>
      </c>
      <c r="I311" s="149"/>
      <c r="J311" t="str">
        <f>IF($B311="","",IF(AND($B311=Party_Statement!$B$5,$A311&gt;=Party_Statement!$B$6,$A311&lt;=Party_Statement!$D$6),SUMPRODUCT(($B$3:$B311=Party_Statement!$B$5)*($A$3:$A311&gt;=Party_Statement!$B$6)*($A$3:$A311&lt;=Party_Statement!$D$6)),""))</f>
        <v/>
      </c>
    </row>
    <row r="312" spans="1:10" x14ac:dyDescent="0.2">
      <c r="A312" s="148">
        <f>Sales_Entry!A312</f>
        <v>66929</v>
      </c>
      <c r="B312" s="149" t="str">
        <f>Sales_Entry!C312</f>
        <v>PALPALI</v>
      </c>
      <c r="C312" s="149" t="s">
        <v>984</v>
      </c>
      <c r="D312" s="149" t="str">
        <f>Sales_Entry!B312</f>
        <v>BILL-6257</v>
      </c>
      <c r="E312" s="149" t="str">
        <f>Sales_Entry!D312</f>
        <v>Mix Milk</v>
      </c>
      <c r="F312" s="150">
        <f>N(Sales_Entry!I312)</f>
        <v>1700</v>
      </c>
      <c r="G312" s="150">
        <v>0</v>
      </c>
      <c r="H312" s="150">
        <f t="shared" si="4"/>
        <v>1700</v>
      </c>
      <c r="I312" s="149"/>
      <c r="J312" t="str">
        <f>IF($B312="","",IF(AND($B312=Party_Statement!$B$5,$A312&gt;=Party_Statement!$B$6,$A312&lt;=Party_Statement!$D$6),SUMPRODUCT(($B$3:$B312=Party_Statement!$B$5)*($A$3:$A312&gt;=Party_Statement!$B$6)*($A$3:$A312&lt;=Party_Statement!$D$6)),""))</f>
        <v/>
      </c>
    </row>
    <row r="313" spans="1:10" x14ac:dyDescent="0.2">
      <c r="A313" s="148">
        <f>Sales_Entry!A313</f>
        <v>66929</v>
      </c>
      <c r="B313" s="149" t="str">
        <f>Sales_Entry!C313</f>
        <v xml:space="preserve">GIRI KIRANA </v>
      </c>
      <c r="C313" s="149" t="s">
        <v>984</v>
      </c>
      <c r="D313" s="149" t="str">
        <f>Sales_Entry!B313</f>
        <v>BILL-6258</v>
      </c>
      <c r="E313" s="149" t="str">
        <f>Sales_Entry!D313</f>
        <v>Mix Milk</v>
      </c>
      <c r="F313" s="150">
        <f>N(Sales_Entry!I313)</f>
        <v>2550</v>
      </c>
      <c r="G313" s="150">
        <v>0</v>
      </c>
      <c r="H313" s="150">
        <f t="shared" si="4"/>
        <v>2550</v>
      </c>
      <c r="I313" s="149"/>
      <c r="J313" t="str">
        <f>IF($B313="","",IF(AND($B313=Party_Statement!$B$5,$A313&gt;=Party_Statement!$B$6,$A313&lt;=Party_Statement!$D$6),SUMPRODUCT(($B$3:$B313=Party_Statement!$B$5)*($A$3:$A313&gt;=Party_Statement!$B$6)*($A$3:$A313&lt;=Party_Statement!$D$6)),""))</f>
        <v/>
      </c>
    </row>
    <row r="314" spans="1:10" x14ac:dyDescent="0.2">
      <c r="A314" s="148">
        <f>Sales_Entry!A314</f>
        <v>66929</v>
      </c>
      <c r="B314" s="149" t="str">
        <f>Sales_Entry!C314</f>
        <v xml:space="preserve">DEURALI KIRANA </v>
      </c>
      <c r="C314" s="149" t="s">
        <v>984</v>
      </c>
      <c r="D314" s="149" t="str">
        <f>Sales_Entry!B314</f>
        <v>BILL-6259</v>
      </c>
      <c r="E314" s="149" t="str">
        <f>Sales_Entry!D314</f>
        <v>Mix Milk</v>
      </c>
      <c r="F314" s="150">
        <f>N(Sales_Entry!I314)</f>
        <v>680</v>
      </c>
      <c r="G314" s="150">
        <v>0</v>
      </c>
      <c r="H314" s="150">
        <f t="shared" si="4"/>
        <v>680</v>
      </c>
      <c r="I314" s="149"/>
      <c r="J314" t="str">
        <f>IF($B314="","",IF(AND($B314=Party_Statement!$B$5,$A314&gt;=Party_Statement!$B$6,$A314&lt;=Party_Statement!$D$6),SUMPRODUCT(($B$3:$B314=Party_Statement!$B$5)*($A$3:$A314&gt;=Party_Statement!$B$6)*($A$3:$A314&lt;=Party_Statement!$D$6)),""))</f>
        <v/>
      </c>
    </row>
    <row r="315" spans="1:10" x14ac:dyDescent="0.2">
      <c r="A315" s="148">
        <f>Sales_Entry!A315</f>
        <v>66929</v>
      </c>
      <c r="B315" s="149" t="str">
        <f>Sales_Entry!C315</f>
        <v>SHARMA DAI</v>
      </c>
      <c r="C315" s="149" t="s">
        <v>984</v>
      </c>
      <c r="D315" s="149" t="str">
        <f>Sales_Entry!B315</f>
        <v>BILL-6260</v>
      </c>
      <c r="E315" s="149" t="str">
        <f>Sales_Entry!D315</f>
        <v>Mix Milk</v>
      </c>
      <c r="F315" s="150">
        <f>N(Sales_Entry!I315)</f>
        <v>2184</v>
      </c>
      <c r="G315" s="150">
        <v>0</v>
      </c>
      <c r="H315" s="150">
        <f t="shared" si="4"/>
        <v>2184</v>
      </c>
      <c r="I315" s="149"/>
      <c r="J315" t="str">
        <f>IF($B315="","",IF(AND($B315=Party_Statement!$B$5,$A315&gt;=Party_Statement!$B$6,$A315&lt;=Party_Statement!$D$6),SUMPRODUCT(($B$3:$B315=Party_Statement!$B$5)*($A$3:$A315&gt;=Party_Statement!$B$6)*($A$3:$A315&lt;=Party_Statement!$D$6)),""))</f>
        <v/>
      </c>
    </row>
    <row r="316" spans="1:10" x14ac:dyDescent="0.2">
      <c r="A316" s="148">
        <f>Sales_Entry!A316</f>
        <v>66929</v>
      </c>
      <c r="B316" s="149" t="str">
        <f>Sales_Entry!C316</f>
        <v xml:space="preserve">AAMOSH KIRANA </v>
      </c>
      <c r="C316" s="149" t="s">
        <v>984</v>
      </c>
      <c r="D316" s="149" t="str">
        <f>Sales_Entry!B316</f>
        <v>BILL-6261</v>
      </c>
      <c r="E316" s="149" t="str">
        <f>Sales_Entry!D316</f>
        <v>Mix Milk</v>
      </c>
      <c r="F316" s="150">
        <f>N(Sales_Entry!I316)</f>
        <v>3440</v>
      </c>
      <c r="G316" s="150">
        <v>0</v>
      </c>
      <c r="H316" s="150">
        <f t="shared" si="4"/>
        <v>3440</v>
      </c>
      <c r="I316" s="149"/>
      <c r="J316" t="str">
        <f>IF($B316="","",IF(AND($B316=Party_Statement!$B$5,$A316&gt;=Party_Statement!$B$6,$A316&lt;=Party_Statement!$D$6),SUMPRODUCT(($B$3:$B316=Party_Statement!$B$5)*($A$3:$A316&gt;=Party_Statement!$B$6)*($A$3:$A316&lt;=Party_Statement!$D$6)),""))</f>
        <v/>
      </c>
    </row>
    <row r="317" spans="1:10" x14ac:dyDescent="0.2">
      <c r="A317" s="148">
        <f>Sales_Entry!A317</f>
        <v>66929</v>
      </c>
      <c r="B317" s="149" t="str">
        <f>Sales_Entry!C317</f>
        <v xml:space="preserve">AAMOSH KIRANA </v>
      </c>
      <c r="C317" s="149" t="s">
        <v>984</v>
      </c>
      <c r="D317" s="149" t="str">
        <f>Sales_Entry!B317</f>
        <v>BILL-6261</v>
      </c>
      <c r="E317" s="149" t="str">
        <f>Sales_Entry!D317</f>
        <v>Mix Milk</v>
      </c>
      <c r="F317" s="150">
        <f>N(Sales_Entry!I317)</f>
        <v>5950</v>
      </c>
      <c r="G317" s="150">
        <v>0</v>
      </c>
      <c r="H317" s="150">
        <f t="shared" si="4"/>
        <v>9390</v>
      </c>
      <c r="I317" s="149"/>
      <c r="J317" t="str">
        <f>IF($B317="","",IF(AND($B317=Party_Statement!$B$5,$A317&gt;=Party_Statement!$B$6,$A317&lt;=Party_Statement!$D$6),SUMPRODUCT(($B$3:$B317=Party_Statement!$B$5)*($A$3:$A317&gt;=Party_Statement!$B$6)*($A$3:$A317&lt;=Party_Statement!$D$6)),""))</f>
        <v/>
      </c>
    </row>
    <row r="318" spans="1:10" x14ac:dyDescent="0.2">
      <c r="A318" s="148">
        <f>Sales_Entry!A318</f>
        <v>66929</v>
      </c>
      <c r="B318" s="149" t="str">
        <f>Sales_Entry!C318</f>
        <v xml:space="preserve">AAMOSH KIRANA </v>
      </c>
      <c r="C318" s="149" t="s">
        <v>984</v>
      </c>
      <c r="D318" s="149" t="str">
        <f>Sales_Entry!B318</f>
        <v>BILL-6261</v>
      </c>
      <c r="E318" s="149" t="str">
        <f>Sales_Entry!D318</f>
        <v>Cow Milk</v>
      </c>
      <c r="F318" s="150">
        <f>N(Sales_Entry!I318)</f>
        <v>80</v>
      </c>
      <c r="G318" s="150">
        <v>0</v>
      </c>
      <c r="H318" s="150">
        <f t="shared" si="4"/>
        <v>9470</v>
      </c>
      <c r="I318" s="149"/>
      <c r="J318" t="str">
        <f>IF($B318="","",IF(AND($B318=Party_Statement!$B$5,$A318&gt;=Party_Statement!$B$6,$A318&lt;=Party_Statement!$D$6),SUMPRODUCT(($B$3:$B318=Party_Statement!$B$5)*($A$3:$A318&gt;=Party_Statement!$B$6)*($A$3:$A318&lt;=Party_Statement!$D$6)),""))</f>
        <v/>
      </c>
    </row>
    <row r="319" spans="1:10" x14ac:dyDescent="0.2">
      <c r="A319" s="148">
        <f>Sales_Entry!A319</f>
        <v>66929</v>
      </c>
      <c r="B319" s="149" t="str">
        <f>Sales_Entry!C319</f>
        <v xml:space="preserve">KRITIKA KIRANA </v>
      </c>
      <c r="C319" s="149" t="s">
        <v>984</v>
      </c>
      <c r="D319" s="149" t="str">
        <f>Sales_Entry!B319</f>
        <v>BILL-6262</v>
      </c>
      <c r="E319" s="149" t="str">
        <f>Sales_Entry!D319</f>
        <v>Mix Milk</v>
      </c>
      <c r="F319" s="150">
        <f>N(Sales_Entry!I319)</f>
        <v>1290</v>
      </c>
      <c r="G319" s="150">
        <v>0</v>
      </c>
      <c r="H319" s="150">
        <f t="shared" si="4"/>
        <v>1290</v>
      </c>
      <c r="I319" s="149"/>
      <c r="J319" t="str">
        <f>IF($B319="","",IF(AND($B319=Party_Statement!$B$5,$A319&gt;=Party_Statement!$B$6,$A319&lt;=Party_Statement!$D$6),SUMPRODUCT(($B$3:$B319=Party_Statement!$B$5)*($A$3:$A319&gt;=Party_Statement!$B$6)*($A$3:$A319&lt;=Party_Statement!$D$6)),""))</f>
        <v/>
      </c>
    </row>
    <row r="320" spans="1:10" x14ac:dyDescent="0.2">
      <c r="A320" s="148">
        <f>Sales_Entry!A320</f>
        <v>66929</v>
      </c>
      <c r="B320" s="149" t="str">
        <f>Sales_Entry!C320</f>
        <v>ORGANIC TARKALI</v>
      </c>
      <c r="C320" s="149" t="s">
        <v>984</v>
      </c>
      <c r="D320" s="149" t="str">
        <f>Sales_Entry!B320</f>
        <v>BILL-6263</v>
      </c>
      <c r="E320" s="149" t="str">
        <f>Sales_Entry!D320</f>
        <v>Mix Milk</v>
      </c>
      <c r="F320" s="150">
        <f>N(Sales_Entry!I320)</f>
        <v>1900</v>
      </c>
      <c r="G320" s="150">
        <v>0</v>
      </c>
      <c r="H320" s="150">
        <f t="shared" si="4"/>
        <v>1900</v>
      </c>
      <c r="I320" s="149"/>
      <c r="J320" t="str">
        <f>IF($B320="","",IF(AND($B320=Party_Statement!$B$5,$A320&gt;=Party_Statement!$B$6,$A320&lt;=Party_Statement!$D$6),SUMPRODUCT(($B$3:$B320=Party_Statement!$B$5)*($A$3:$A320&gt;=Party_Statement!$B$6)*($A$3:$A320&lt;=Party_Statement!$D$6)),""))</f>
        <v/>
      </c>
    </row>
    <row r="321" spans="1:10" x14ac:dyDescent="0.2">
      <c r="A321" s="148">
        <f>Sales_Entry!A321</f>
        <v>66929</v>
      </c>
      <c r="B321" s="149" t="str">
        <f>Sales_Entry!C321</f>
        <v>ORGANIC TARKALI</v>
      </c>
      <c r="C321" s="149" t="s">
        <v>984</v>
      </c>
      <c r="D321" s="149" t="str">
        <f>Sales_Entry!B321</f>
        <v>BILL-6263</v>
      </c>
      <c r="E321" s="149" t="str">
        <f>Sales_Entry!D321</f>
        <v>Mix Milk</v>
      </c>
      <c r="F321" s="150">
        <f>N(Sales_Entry!I321)</f>
        <v>1020</v>
      </c>
      <c r="G321" s="150">
        <v>0</v>
      </c>
      <c r="H321" s="150">
        <f t="shared" si="4"/>
        <v>2920</v>
      </c>
      <c r="I321" s="149"/>
      <c r="J321" t="str">
        <f>IF($B321="","",IF(AND($B321=Party_Statement!$B$5,$A321&gt;=Party_Statement!$B$6,$A321&lt;=Party_Statement!$D$6),SUMPRODUCT(($B$3:$B321=Party_Statement!$B$5)*($A$3:$A321&gt;=Party_Statement!$B$6)*($A$3:$A321&lt;=Party_Statement!$D$6)),""))</f>
        <v/>
      </c>
    </row>
    <row r="322" spans="1:10" x14ac:dyDescent="0.2">
      <c r="A322" s="148">
        <f>Sales_Entry!A322</f>
        <v>66930</v>
      </c>
      <c r="B322" s="149" t="str">
        <f>Sales_Entry!C322</f>
        <v>SRIJANA DAIRY (DEVI NAGAR)</v>
      </c>
      <c r="C322" s="149" t="s">
        <v>984</v>
      </c>
      <c r="D322" s="149" t="str">
        <f>Sales_Entry!B322</f>
        <v>BILL-6264</v>
      </c>
      <c r="E322" s="149" t="str">
        <f>Sales_Entry!D322</f>
        <v>Mix Milk</v>
      </c>
      <c r="F322" s="150">
        <f>N(Sales_Entry!I322)</f>
        <v>5100</v>
      </c>
      <c r="G322" s="150">
        <v>0</v>
      </c>
      <c r="H322" s="150">
        <f t="shared" si="4"/>
        <v>5100</v>
      </c>
      <c r="I322" s="149"/>
      <c r="J322" t="str">
        <f>IF($B322="","",IF(AND($B322=Party_Statement!$B$5,$A322&gt;=Party_Statement!$B$6,$A322&lt;=Party_Statement!$D$6),SUMPRODUCT(($B$3:$B322=Party_Statement!$B$5)*($A$3:$A322&gt;=Party_Statement!$B$6)*($A$3:$A322&lt;=Party_Statement!$D$6)),""))</f>
        <v/>
      </c>
    </row>
    <row r="323" spans="1:10" x14ac:dyDescent="0.2">
      <c r="A323" s="148">
        <f>Sales_Entry!A323</f>
        <v>66930</v>
      </c>
      <c r="B323" s="149" t="str">
        <f>Sales_Entry!C323</f>
        <v>SRIJANA DAIRY (DEVI NAGAR)</v>
      </c>
      <c r="C323" s="149" t="s">
        <v>984</v>
      </c>
      <c r="D323" s="149" t="str">
        <f>Sales_Entry!B323</f>
        <v>BILL-6264</v>
      </c>
      <c r="E323" s="149" t="str">
        <f>Sales_Entry!D323</f>
        <v>Cow Milk</v>
      </c>
      <c r="F323" s="150">
        <f>N(Sales_Entry!I323)</f>
        <v>80</v>
      </c>
      <c r="G323" s="150">
        <v>0</v>
      </c>
      <c r="H323" s="150">
        <f t="shared" si="4"/>
        <v>5180</v>
      </c>
      <c r="I323" s="149"/>
      <c r="J323" t="str">
        <f>IF($B323="","",IF(AND($B323=Party_Statement!$B$5,$A323&gt;=Party_Statement!$B$6,$A323&lt;=Party_Statement!$D$6),SUMPRODUCT(($B$3:$B323=Party_Statement!$B$5)*($A$3:$A323&gt;=Party_Statement!$B$6)*($A$3:$A323&lt;=Party_Statement!$D$6)),""))</f>
        <v/>
      </c>
    </row>
    <row r="324" spans="1:10" x14ac:dyDescent="0.2">
      <c r="A324" s="148">
        <f>Sales_Entry!A324</f>
        <v>66930</v>
      </c>
      <c r="B324" s="149" t="str">
        <f>Sales_Entry!C324</f>
        <v xml:space="preserve">SOBHA BHATTARAI </v>
      </c>
      <c r="C324" s="149" t="s">
        <v>984</v>
      </c>
      <c r="D324" s="149" t="str">
        <f>Sales_Entry!B324</f>
        <v>BILL-6265</v>
      </c>
      <c r="E324" s="149" t="str">
        <f>Sales_Entry!D324</f>
        <v>Mix Milk</v>
      </c>
      <c r="F324" s="150">
        <f>N(Sales_Entry!I324)</f>
        <v>2975</v>
      </c>
      <c r="G324" s="150">
        <v>0</v>
      </c>
      <c r="H324" s="150">
        <f t="shared" ref="H324:H387" si="5">IF($B324="","",IF($B324=$B323,$H323+$F324-$G324,$F324-$G324))</f>
        <v>2975</v>
      </c>
      <c r="I324" s="149"/>
      <c r="J324" t="str">
        <f>IF($B324="","",IF(AND($B324=Party_Statement!$B$5,$A324&gt;=Party_Statement!$B$6,$A324&lt;=Party_Statement!$D$6),SUMPRODUCT(($B$3:$B324=Party_Statement!$B$5)*($A$3:$A324&gt;=Party_Statement!$B$6)*($A$3:$A324&lt;=Party_Statement!$D$6)),""))</f>
        <v/>
      </c>
    </row>
    <row r="325" spans="1:10" x14ac:dyDescent="0.2">
      <c r="A325" s="148">
        <f>Sales_Entry!A325</f>
        <v>66930</v>
      </c>
      <c r="B325" s="149" t="str">
        <f>Sales_Entry!C325</f>
        <v>PALPALI</v>
      </c>
      <c r="C325" s="149" t="s">
        <v>984</v>
      </c>
      <c r="D325" s="149" t="str">
        <f>Sales_Entry!B325</f>
        <v>BILL-6266</v>
      </c>
      <c r="E325" s="149" t="str">
        <f>Sales_Entry!D325</f>
        <v>Mix Milk</v>
      </c>
      <c r="F325" s="150">
        <f>N(Sales_Entry!I325)</f>
        <v>1700</v>
      </c>
      <c r="G325" s="150">
        <v>0</v>
      </c>
      <c r="H325" s="150">
        <f t="shared" si="5"/>
        <v>1700</v>
      </c>
      <c r="I325" s="149"/>
      <c r="J325" t="str">
        <f>IF($B325="","",IF(AND($B325=Party_Statement!$B$5,$A325&gt;=Party_Statement!$B$6,$A325&lt;=Party_Statement!$D$6),SUMPRODUCT(($B$3:$B325=Party_Statement!$B$5)*($A$3:$A325&gt;=Party_Statement!$B$6)*($A$3:$A325&lt;=Party_Statement!$D$6)),""))</f>
        <v/>
      </c>
    </row>
    <row r="326" spans="1:10" x14ac:dyDescent="0.2">
      <c r="A326" s="148">
        <f>Sales_Entry!A326</f>
        <v>66930</v>
      </c>
      <c r="B326" s="149" t="str">
        <f>Sales_Entry!C326</f>
        <v xml:space="preserve">AAMOSH KIRANA </v>
      </c>
      <c r="C326" s="149" t="s">
        <v>984</v>
      </c>
      <c r="D326" s="149" t="str">
        <f>Sales_Entry!B326</f>
        <v>BILL-6267</v>
      </c>
      <c r="E326" s="149" t="str">
        <f>Sales_Entry!D326</f>
        <v>Mix Milk</v>
      </c>
      <c r="F326" s="150">
        <f>N(Sales_Entry!I326)</f>
        <v>4300</v>
      </c>
      <c r="G326" s="150">
        <v>0</v>
      </c>
      <c r="H326" s="150">
        <f t="shared" si="5"/>
        <v>4300</v>
      </c>
      <c r="I326" s="149"/>
      <c r="J326" t="str">
        <f>IF($B326="","",IF(AND($B326=Party_Statement!$B$5,$A326&gt;=Party_Statement!$B$6,$A326&lt;=Party_Statement!$D$6),SUMPRODUCT(($B$3:$B326=Party_Statement!$B$5)*($A$3:$A326&gt;=Party_Statement!$B$6)*($A$3:$A326&lt;=Party_Statement!$D$6)),""))</f>
        <v/>
      </c>
    </row>
    <row r="327" spans="1:10" x14ac:dyDescent="0.2">
      <c r="A327" s="148">
        <f>Sales_Entry!A327</f>
        <v>66930</v>
      </c>
      <c r="B327" s="149" t="str">
        <f>Sales_Entry!C327</f>
        <v xml:space="preserve">AAMOSH KIRANA </v>
      </c>
      <c r="C327" s="149" t="s">
        <v>984</v>
      </c>
      <c r="D327" s="149" t="str">
        <f>Sales_Entry!B327</f>
        <v>BILL-6267</v>
      </c>
      <c r="E327" s="149" t="str">
        <f>Sales_Entry!D327</f>
        <v>Mix Milk</v>
      </c>
      <c r="F327" s="150">
        <f>N(Sales_Entry!I327)</f>
        <v>3400</v>
      </c>
      <c r="G327" s="150">
        <v>0</v>
      </c>
      <c r="H327" s="150">
        <f t="shared" si="5"/>
        <v>7700</v>
      </c>
      <c r="I327" s="149"/>
      <c r="J327" t="str">
        <f>IF($B327="","",IF(AND($B327=Party_Statement!$B$5,$A327&gt;=Party_Statement!$B$6,$A327&lt;=Party_Statement!$D$6),SUMPRODUCT(($B$3:$B327=Party_Statement!$B$5)*($A$3:$A327&gt;=Party_Statement!$B$6)*($A$3:$A327&lt;=Party_Statement!$D$6)),""))</f>
        <v/>
      </c>
    </row>
    <row r="328" spans="1:10" x14ac:dyDescent="0.2">
      <c r="A328" s="148">
        <f>Sales_Entry!A328</f>
        <v>66930</v>
      </c>
      <c r="B328" s="149" t="str">
        <f>Sales_Entry!C328</f>
        <v xml:space="preserve">AAMOSH KIRANA </v>
      </c>
      <c r="C328" s="149" t="s">
        <v>984</v>
      </c>
      <c r="D328" s="149" t="str">
        <f>Sales_Entry!B328</f>
        <v>BILL-6267</v>
      </c>
      <c r="E328" s="149" t="str">
        <f>Sales_Entry!D328</f>
        <v>Cow Milk</v>
      </c>
      <c r="F328" s="150">
        <f>N(Sales_Entry!I328)</f>
        <v>80</v>
      </c>
      <c r="G328" s="150">
        <v>0</v>
      </c>
      <c r="H328" s="150">
        <f t="shared" si="5"/>
        <v>7780</v>
      </c>
      <c r="I328" s="149"/>
      <c r="J328" t="str">
        <f>IF($B328="","",IF(AND($B328=Party_Statement!$B$5,$A328&gt;=Party_Statement!$B$6,$A328&lt;=Party_Statement!$D$6),SUMPRODUCT(($B$3:$B328=Party_Statement!$B$5)*($A$3:$A328&gt;=Party_Statement!$B$6)*($A$3:$A328&lt;=Party_Statement!$D$6)),""))</f>
        <v/>
      </c>
    </row>
    <row r="329" spans="1:10" x14ac:dyDescent="0.2">
      <c r="A329" s="148">
        <f>Sales_Entry!A329</f>
        <v>66930</v>
      </c>
      <c r="B329" s="149" t="str">
        <f>Sales_Entry!C329</f>
        <v xml:space="preserve">GIRI KIRANA </v>
      </c>
      <c r="C329" s="149" t="s">
        <v>984</v>
      </c>
      <c r="D329" s="149" t="str">
        <f>Sales_Entry!B329</f>
        <v>BILL-6268</v>
      </c>
      <c r="E329" s="149" t="str">
        <f>Sales_Entry!D329</f>
        <v>Mix Milk</v>
      </c>
      <c r="F329" s="150">
        <f>N(Sales_Entry!I329)</f>
        <v>1275</v>
      </c>
      <c r="G329" s="150">
        <v>0</v>
      </c>
      <c r="H329" s="150">
        <f t="shared" si="5"/>
        <v>1275</v>
      </c>
      <c r="I329" s="149"/>
      <c r="J329" t="str">
        <f>IF($B329="","",IF(AND($B329=Party_Statement!$B$5,$A329&gt;=Party_Statement!$B$6,$A329&lt;=Party_Statement!$D$6),SUMPRODUCT(($B$3:$B329=Party_Statement!$B$5)*($A$3:$A329&gt;=Party_Statement!$B$6)*($A$3:$A329&lt;=Party_Statement!$D$6)),""))</f>
        <v/>
      </c>
    </row>
    <row r="330" spans="1:10" x14ac:dyDescent="0.2">
      <c r="A330" s="148">
        <f>Sales_Entry!A330</f>
        <v>66930</v>
      </c>
      <c r="B330" s="149" t="str">
        <f>Sales_Entry!C330</f>
        <v>CHHATRABHUMI</v>
      </c>
      <c r="C330" s="149" t="s">
        <v>984</v>
      </c>
      <c r="D330" s="149" t="str">
        <f>Sales_Entry!B330</f>
        <v>BILL-6269</v>
      </c>
      <c r="E330" s="149" t="str">
        <f>Sales_Entry!D330</f>
        <v>Mix Milk</v>
      </c>
      <c r="F330" s="150">
        <f>N(Sales_Entry!I330)</f>
        <v>1720</v>
      </c>
      <c r="G330" s="150">
        <v>0</v>
      </c>
      <c r="H330" s="150">
        <f t="shared" si="5"/>
        <v>1720</v>
      </c>
      <c r="I330" s="149"/>
      <c r="J330" t="str">
        <f>IF($B330="","",IF(AND($B330=Party_Statement!$B$5,$A330&gt;=Party_Statement!$B$6,$A330&lt;=Party_Statement!$D$6),SUMPRODUCT(($B$3:$B330=Party_Statement!$B$5)*($A$3:$A330&gt;=Party_Statement!$B$6)*($A$3:$A330&lt;=Party_Statement!$D$6)),""))</f>
        <v/>
      </c>
    </row>
    <row r="331" spans="1:10" x14ac:dyDescent="0.2">
      <c r="A331" s="148">
        <f>Sales_Entry!A331</f>
        <v>66930</v>
      </c>
      <c r="B331" s="149" t="str">
        <f>Sales_Entry!C331</f>
        <v>KRISHNA KHAREL</v>
      </c>
      <c r="C331" s="149" t="s">
        <v>984</v>
      </c>
      <c r="D331" s="149" t="str">
        <f>Sales_Entry!B331</f>
        <v>BILL-6270</v>
      </c>
      <c r="E331" s="149" t="str">
        <f>Sales_Entry!D331</f>
        <v>Mix Milk</v>
      </c>
      <c r="F331" s="150">
        <f>N(Sales_Entry!I331)</f>
        <v>344</v>
      </c>
      <c r="G331" s="150">
        <v>0</v>
      </c>
      <c r="H331" s="150">
        <f t="shared" si="5"/>
        <v>344</v>
      </c>
      <c r="I331" s="149"/>
      <c r="J331" t="str">
        <f>IF($B331="","",IF(AND($B331=Party_Statement!$B$5,$A331&gt;=Party_Statement!$B$6,$A331&lt;=Party_Statement!$D$6),SUMPRODUCT(($B$3:$B331=Party_Statement!$B$5)*($A$3:$A331&gt;=Party_Statement!$B$6)*($A$3:$A331&lt;=Party_Statement!$D$6)),""))</f>
        <v/>
      </c>
    </row>
    <row r="332" spans="1:10" x14ac:dyDescent="0.2">
      <c r="A332" s="148">
        <f>Sales_Entry!A332</f>
        <v>66930</v>
      </c>
      <c r="B332" s="149" t="str">
        <f>Sales_Entry!C332</f>
        <v xml:space="preserve">DEURALI KIRANA </v>
      </c>
      <c r="C332" s="149" t="s">
        <v>984</v>
      </c>
      <c r="D332" s="149" t="str">
        <f>Sales_Entry!B332</f>
        <v>BILL-6271</v>
      </c>
      <c r="E332" s="149" t="str">
        <f>Sales_Entry!D332</f>
        <v>Mix Milk</v>
      </c>
      <c r="F332" s="150">
        <f>N(Sales_Entry!I332)</f>
        <v>425</v>
      </c>
      <c r="G332" s="150">
        <v>0</v>
      </c>
      <c r="H332" s="150">
        <f t="shared" si="5"/>
        <v>425</v>
      </c>
      <c r="I332" s="149"/>
      <c r="J332" t="str">
        <f>IF($B332="","",IF(AND($B332=Party_Statement!$B$5,$A332&gt;=Party_Statement!$B$6,$A332&lt;=Party_Statement!$D$6),SUMPRODUCT(($B$3:$B332=Party_Statement!$B$5)*($A$3:$A332&gt;=Party_Statement!$B$6)*($A$3:$A332&lt;=Party_Statement!$D$6)),""))</f>
        <v/>
      </c>
    </row>
    <row r="333" spans="1:10" x14ac:dyDescent="0.2">
      <c r="A333" s="148">
        <f>Sales_Entry!A333</f>
        <v>66930</v>
      </c>
      <c r="B333" s="149" t="str">
        <f>Sales_Entry!C333</f>
        <v xml:space="preserve">SAMIKSHYA </v>
      </c>
      <c r="C333" s="149" t="s">
        <v>984</v>
      </c>
      <c r="D333" s="149" t="str">
        <f>Sales_Entry!B333</f>
        <v>BILL-6272</v>
      </c>
      <c r="E333" s="149" t="str">
        <f>Sales_Entry!D333</f>
        <v>Mix Milk</v>
      </c>
      <c r="F333" s="150">
        <f>N(Sales_Entry!I333)</f>
        <v>680</v>
      </c>
      <c r="G333" s="150">
        <v>0</v>
      </c>
      <c r="H333" s="150">
        <f t="shared" si="5"/>
        <v>680</v>
      </c>
      <c r="I333" s="149"/>
      <c r="J333" t="str">
        <f>IF($B333="","",IF(AND($B333=Party_Statement!$B$5,$A333&gt;=Party_Statement!$B$6,$A333&lt;=Party_Statement!$D$6),SUMPRODUCT(($B$3:$B333=Party_Statement!$B$5)*($A$3:$A333&gt;=Party_Statement!$B$6)*($A$3:$A333&lt;=Party_Statement!$D$6)),""))</f>
        <v/>
      </c>
    </row>
    <row r="334" spans="1:10" x14ac:dyDescent="0.2">
      <c r="A334" s="148">
        <f>Sales_Entry!A334</f>
        <v>66930</v>
      </c>
      <c r="B334" s="149" t="str">
        <f>Sales_Entry!C334</f>
        <v xml:space="preserve">YUBARAJ AND SAMRAT </v>
      </c>
      <c r="C334" s="149" t="s">
        <v>984</v>
      </c>
      <c r="D334" s="149" t="str">
        <f>Sales_Entry!B334</f>
        <v>BILL-6273</v>
      </c>
      <c r="E334" s="149" t="str">
        <f>Sales_Entry!D334</f>
        <v>Mix Milk</v>
      </c>
      <c r="F334" s="150">
        <f>N(Sales_Entry!I334)</f>
        <v>1275</v>
      </c>
      <c r="G334" s="150">
        <v>0</v>
      </c>
      <c r="H334" s="150">
        <f t="shared" si="5"/>
        <v>1275</v>
      </c>
      <c r="I334" s="149"/>
      <c r="J334" t="str">
        <f>IF($B334="","",IF(AND($B334=Party_Statement!$B$5,$A334&gt;=Party_Statement!$B$6,$A334&lt;=Party_Statement!$D$6),SUMPRODUCT(($B$3:$B334=Party_Statement!$B$5)*($A$3:$A334&gt;=Party_Statement!$B$6)*($A$3:$A334&lt;=Party_Statement!$D$6)),""))</f>
        <v/>
      </c>
    </row>
    <row r="335" spans="1:10" x14ac:dyDescent="0.2">
      <c r="A335" s="148">
        <f>Sales_Entry!A335</f>
        <v>66930</v>
      </c>
      <c r="B335" s="149" t="str">
        <f>Sales_Entry!C335</f>
        <v>MANAKAMANA DAIRY</v>
      </c>
      <c r="C335" s="149" t="s">
        <v>984</v>
      </c>
      <c r="D335" s="149" t="str">
        <f>Sales_Entry!B335</f>
        <v>BILL-6274</v>
      </c>
      <c r="E335" s="149" t="str">
        <f>Sales_Entry!D335</f>
        <v>Mix Milk</v>
      </c>
      <c r="F335" s="150">
        <f>N(Sales_Entry!I335)</f>
        <v>850</v>
      </c>
      <c r="G335" s="150">
        <v>0</v>
      </c>
      <c r="H335" s="150">
        <f t="shared" si="5"/>
        <v>850</v>
      </c>
      <c r="I335" s="149"/>
      <c r="J335" t="str">
        <f>IF($B335="","",IF(AND($B335=Party_Statement!$B$5,$A335&gt;=Party_Statement!$B$6,$A335&lt;=Party_Statement!$D$6),SUMPRODUCT(($B$3:$B335=Party_Statement!$B$5)*($A$3:$A335&gt;=Party_Statement!$B$6)*($A$3:$A335&lt;=Party_Statement!$D$6)),""))</f>
        <v/>
      </c>
    </row>
    <row r="336" spans="1:10" x14ac:dyDescent="0.2">
      <c r="A336" s="148">
        <f>Sales_Entry!A336</f>
        <v>66930</v>
      </c>
      <c r="B336" s="149" t="str">
        <f>Sales_Entry!C336</f>
        <v>ORGANIC TARKALI</v>
      </c>
      <c r="C336" s="149" t="s">
        <v>984</v>
      </c>
      <c r="D336" s="149" t="str">
        <f>Sales_Entry!B336</f>
        <v>BILL-6275</v>
      </c>
      <c r="E336" s="149" t="str">
        <f>Sales_Entry!D336</f>
        <v>Mix Milk</v>
      </c>
      <c r="F336" s="150">
        <f>N(Sales_Entry!I336)</f>
        <v>2375</v>
      </c>
      <c r="G336" s="150">
        <v>0</v>
      </c>
      <c r="H336" s="150">
        <f t="shared" si="5"/>
        <v>2375</v>
      </c>
      <c r="I336" s="149"/>
      <c r="J336" t="str">
        <f>IF($B336="","",IF(AND($B336=Party_Statement!$B$5,$A336&gt;=Party_Statement!$B$6,$A336&lt;=Party_Statement!$D$6),SUMPRODUCT(($B$3:$B336=Party_Statement!$B$5)*($A$3:$A336&gt;=Party_Statement!$B$6)*($A$3:$A336&lt;=Party_Statement!$D$6)),""))</f>
        <v/>
      </c>
    </row>
    <row r="337" spans="1:10" x14ac:dyDescent="0.2">
      <c r="A337" s="148">
        <f>Sales_Entry!A337</f>
        <v>66930</v>
      </c>
      <c r="B337" s="149" t="str">
        <f>Sales_Entry!C337</f>
        <v xml:space="preserve">KRITIKA KIRANA </v>
      </c>
      <c r="C337" s="149" t="s">
        <v>984</v>
      </c>
      <c r="D337" s="149" t="str">
        <f>Sales_Entry!B337</f>
        <v>BILL-6276</v>
      </c>
      <c r="E337" s="149" t="str">
        <f>Sales_Entry!D337</f>
        <v>Mix Milk</v>
      </c>
      <c r="F337" s="150">
        <f>N(Sales_Entry!I337)</f>
        <v>860</v>
      </c>
      <c r="G337" s="150">
        <v>0</v>
      </c>
      <c r="H337" s="150">
        <f t="shared" si="5"/>
        <v>860</v>
      </c>
      <c r="I337" s="149"/>
      <c r="J337" t="str">
        <f>IF($B337="","",IF(AND($B337=Party_Statement!$B$5,$A337&gt;=Party_Statement!$B$6,$A337&lt;=Party_Statement!$D$6),SUMPRODUCT(($B$3:$B337=Party_Statement!$B$5)*($A$3:$A337&gt;=Party_Statement!$B$6)*($A$3:$A337&lt;=Party_Statement!$D$6)),""))</f>
        <v/>
      </c>
    </row>
    <row r="338" spans="1:10" x14ac:dyDescent="0.2">
      <c r="A338" s="148">
        <f>Sales_Entry!A338</f>
        <v>66930</v>
      </c>
      <c r="B338" s="149" t="str">
        <f>Sales_Entry!C338</f>
        <v xml:space="preserve">KRITIKA KIRANA </v>
      </c>
      <c r="C338" s="149" t="s">
        <v>984</v>
      </c>
      <c r="D338" s="149" t="str">
        <f>Sales_Entry!B338</f>
        <v>BILL-6276</v>
      </c>
      <c r="E338" s="149" t="str">
        <f>Sales_Entry!D338</f>
        <v>NAUNI</v>
      </c>
      <c r="F338" s="150">
        <f>N(Sales_Entry!I338)</f>
        <v>1600</v>
      </c>
      <c r="G338" s="150">
        <v>0</v>
      </c>
      <c r="H338" s="150">
        <f t="shared" si="5"/>
        <v>2460</v>
      </c>
      <c r="I338" s="149"/>
      <c r="J338" t="str">
        <f>IF($B338="","",IF(AND($B338=Party_Statement!$B$5,$A338&gt;=Party_Statement!$B$6,$A338&lt;=Party_Statement!$D$6),SUMPRODUCT(($B$3:$B338=Party_Statement!$B$5)*($A$3:$A338&gt;=Party_Statement!$B$6)*($A$3:$A338&lt;=Party_Statement!$D$6)),""))</f>
        <v/>
      </c>
    </row>
    <row r="339" spans="1:10" x14ac:dyDescent="0.2">
      <c r="A339" s="148">
        <f>Sales_Entry!A339</f>
        <v>66930</v>
      </c>
      <c r="B339" s="149" t="str">
        <f>Sales_Entry!C339</f>
        <v>SHARMA DAI</v>
      </c>
      <c r="C339" s="149" t="s">
        <v>984</v>
      </c>
      <c r="D339" s="149" t="str">
        <f>Sales_Entry!B339</f>
        <v>BILL-6277</v>
      </c>
      <c r="E339" s="149" t="str">
        <f>Sales_Entry!D339</f>
        <v>Mix Milk</v>
      </c>
      <c r="F339" s="150">
        <f>N(Sales_Entry!I339)</f>
        <v>2100</v>
      </c>
      <c r="G339" s="150">
        <v>0</v>
      </c>
      <c r="H339" s="150">
        <f t="shared" si="5"/>
        <v>2100</v>
      </c>
      <c r="I339" s="149"/>
      <c r="J339" t="str">
        <f>IF($B339="","",IF(AND($B339=Party_Statement!$B$5,$A339&gt;=Party_Statement!$B$6,$A339&lt;=Party_Statement!$D$6),SUMPRODUCT(($B$3:$B339=Party_Statement!$B$5)*($A$3:$A339&gt;=Party_Statement!$B$6)*($A$3:$A339&lt;=Party_Statement!$D$6)),""))</f>
        <v/>
      </c>
    </row>
    <row r="340" spans="1:10" x14ac:dyDescent="0.2">
      <c r="A340" s="148">
        <f>Sales_Entry!A340</f>
        <v>66930</v>
      </c>
      <c r="B340" s="149" t="str">
        <f>Sales_Entry!C340</f>
        <v>GANGA NEUPANE</v>
      </c>
      <c r="C340" s="149" t="s">
        <v>984</v>
      </c>
      <c r="D340" s="149" t="str">
        <f>Sales_Entry!B340</f>
        <v>BILL-6278</v>
      </c>
      <c r="E340" s="149" t="str">
        <f>Sales_Entry!D340</f>
        <v>Mix Milk</v>
      </c>
      <c r="F340" s="150">
        <f>N(Sales_Entry!I340)</f>
        <v>595</v>
      </c>
      <c r="G340" s="150">
        <v>0</v>
      </c>
      <c r="H340" s="150">
        <f t="shared" si="5"/>
        <v>595</v>
      </c>
      <c r="I340" s="149"/>
      <c r="J340" t="str">
        <f>IF($B340="","",IF(AND($B340=Party_Statement!$B$5,$A340&gt;=Party_Statement!$B$6,$A340&lt;=Party_Statement!$D$6),SUMPRODUCT(($B$3:$B340=Party_Statement!$B$5)*($A$3:$A340&gt;=Party_Statement!$B$6)*($A$3:$A340&lt;=Party_Statement!$D$6)),""))</f>
        <v/>
      </c>
    </row>
    <row r="341" spans="1:10" x14ac:dyDescent="0.2">
      <c r="A341" s="148">
        <f>Sales_Entry!A341</f>
        <v>66930</v>
      </c>
      <c r="B341" s="149" t="str">
        <f>Sales_Entry!C341</f>
        <v>LOCAL</v>
      </c>
      <c r="C341" s="149" t="s">
        <v>984</v>
      </c>
      <c r="D341" s="149" t="str">
        <f>Sales_Entry!B341</f>
        <v>BILL-6279</v>
      </c>
      <c r="E341" s="149" t="str">
        <f>Sales_Entry!D341</f>
        <v>Mix Milk</v>
      </c>
      <c r="F341" s="150">
        <f>N(Sales_Entry!I341)</f>
        <v>525</v>
      </c>
      <c r="G341" s="150">
        <v>0</v>
      </c>
      <c r="H341" s="150">
        <f t="shared" si="5"/>
        <v>525</v>
      </c>
      <c r="I341" s="149"/>
      <c r="J341" t="str">
        <f>IF($B341="","",IF(AND($B341=Party_Statement!$B$5,$A341&gt;=Party_Statement!$B$6,$A341&lt;=Party_Statement!$D$6),SUMPRODUCT(($B$3:$B341=Party_Statement!$B$5)*($A$3:$A341&gt;=Party_Statement!$B$6)*($A$3:$A341&lt;=Party_Statement!$D$6)),""))</f>
        <v/>
      </c>
    </row>
    <row r="342" spans="1:10" x14ac:dyDescent="0.2">
      <c r="A342" s="148">
        <f>Sales_Entry!A342</f>
        <v>66931</v>
      </c>
      <c r="B342" s="149" t="str">
        <f>Sales_Entry!C342</f>
        <v>SRIJANA DAIRY (DEVI NAGAR)</v>
      </c>
      <c r="C342" s="149" t="s">
        <v>984</v>
      </c>
      <c r="D342" s="149" t="str">
        <f>Sales_Entry!B342</f>
        <v>BILL-6280</v>
      </c>
      <c r="E342" s="149" t="str">
        <f>Sales_Entry!D342</f>
        <v>Mix Milk</v>
      </c>
      <c r="F342" s="150">
        <f>N(Sales_Entry!I342)</f>
        <v>5100</v>
      </c>
      <c r="G342" s="150">
        <v>0</v>
      </c>
      <c r="H342" s="150">
        <f t="shared" si="5"/>
        <v>5100</v>
      </c>
      <c r="I342" s="149"/>
      <c r="J342" t="str">
        <f>IF($B342="","",IF(AND($B342=Party_Statement!$B$5,$A342&gt;=Party_Statement!$B$6,$A342&lt;=Party_Statement!$D$6),SUMPRODUCT(($B$3:$B342=Party_Statement!$B$5)*($A$3:$A342&gt;=Party_Statement!$B$6)*($A$3:$A342&lt;=Party_Statement!$D$6)),""))</f>
        <v/>
      </c>
    </row>
    <row r="343" spans="1:10" x14ac:dyDescent="0.2">
      <c r="A343" s="148">
        <f>Sales_Entry!A343</f>
        <v>66931</v>
      </c>
      <c r="B343" s="149" t="str">
        <f>Sales_Entry!C343</f>
        <v>SRIJANA DAIRY (DEVI NAGAR)</v>
      </c>
      <c r="C343" s="149" t="s">
        <v>984</v>
      </c>
      <c r="D343" s="149" t="str">
        <f>Sales_Entry!B343</f>
        <v>BILL-6280</v>
      </c>
      <c r="E343" s="149" t="str">
        <f>Sales_Entry!D343</f>
        <v>Cow Milk</v>
      </c>
      <c r="F343" s="150">
        <f>N(Sales_Entry!I343)</f>
        <v>80</v>
      </c>
      <c r="G343" s="150">
        <v>0</v>
      </c>
      <c r="H343" s="150">
        <f t="shared" si="5"/>
        <v>5180</v>
      </c>
      <c r="I343" s="149"/>
      <c r="J343" t="str">
        <f>IF($B343="","",IF(AND($B343=Party_Statement!$B$5,$A343&gt;=Party_Statement!$B$6,$A343&lt;=Party_Statement!$D$6),SUMPRODUCT(($B$3:$B343=Party_Statement!$B$5)*($A$3:$A343&gt;=Party_Statement!$B$6)*($A$3:$A343&lt;=Party_Statement!$D$6)),""))</f>
        <v/>
      </c>
    </row>
    <row r="344" spans="1:10" x14ac:dyDescent="0.2">
      <c r="A344" s="148">
        <f>Sales_Entry!A344</f>
        <v>66931</v>
      </c>
      <c r="B344" s="149" t="str">
        <f>Sales_Entry!C344</f>
        <v xml:space="preserve">SOBHA BHATTARAI </v>
      </c>
      <c r="C344" s="149" t="s">
        <v>984</v>
      </c>
      <c r="D344" s="149" t="str">
        <f>Sales_Entry!B344</f>
        <v>BILL-6281</v>
      </c>
      <c r="E344" s="149" t="str">
        <f>Sales_Entry!D344</f>
        <v>Mix Milk</v>
      </c>
      <c r="F344" s="150">
        <f>N(Sales_Entry!I344)</f>
        <v>2975</v>
      </c>
      <c r="G344" s="150">
        <v>0</v>
      </c>
      <c r="H344" s="150">
        <f t="shared" si="5"/>
        <v>2975</v>
      </c>
      <c r="I344" s="149"/>
      <c r="J344" t="str">
        <f>IF($B344="","",IF(AND($B344=Party_Statement!$B$5,$A344&gt;=Party_Statement!$B$6,$A344&lt;=Party_Statement!$D$6),SUMPRODUCT(($B$3:$B344=Party_Statement!$B$5)*($A$3:$A344&gt;=Party_Statement!$B$6)*($A$3:$A344&lt;=Party_Statement!$D$6)),""))</f>
        <v/>
      </c>
    </row>
    <row r="345" spans="1:10" x14ac:dyDescent="0.2">
      <c r="A345" s="148">
        <f>Sales_Entry!A345</f>
        <v>66931</v>
      </c>
      <c r="B345" s="149" t="str">
        <f>Sales_Entry!C345</f>
        <v>MANAKAMANA DAIRY</v>
      </c>
      <c r="C345" s="149" t="s">
        <v>984</v>
      </c>
      <c r="D345" s="149" t="str">
        <f>Sales_Entry!B345</f>
        <v>BILL-6282</v>
      </c>
      <c r="E345" s="149" t="str">
        <f>Sales_Entry!D345</f>
        <v>Mix Milk</v>
      </c>
      <c r="F345" s="150">
        <f>N(Sales_Entry!I345)</f>
        <v>850</v>
      </c>
      <c r="G345" s="150">
        <v>0</v>
      </c>
      <c r="H345" s="150">
        <f t="shared" si="5"/>
        <v>850</v>
      </c>
      <c r="I345" s="149"/>
      <c r="J345" t="str">
        <f>IF($B345="","",IF(AND($B345=Party_Statement!$B$5,$A345&gt;=Party_Statement!$B$6,$A345&lt;=Party_Statement!$D$6),SUMPRODUCT(($B$3:$B345=Party_Statement!$B$5)*($A$3:$A345&gt;=Party_Statement!$B$6)*($A$3:$A345&lt;=Party_Statement!$D$6)),""))</f>
        <v/>
      </c>
    </row>
    <row r="346" spans="1:10" x14ac:dyDescent="0.2">
      <c r="A346" s="148">
        <f>Sales_Entry!A346</f>
        <v>66931</v>
      </c>
      <c r="B346" s="149" t="str">
        <f>Sales_Entry!C346</f>
        <v xml:space="preserve">SAMIKSHYA </v>
      </c>
      <c r="C346" s="149" t="s">
        <v>984</v>
      </c>
      <c r="D346" s="149" t="str">
        <f>Sales_Entry!B346</f>
        <v>BILL-6283</v>
      </c>
      <c r="E346" s="149" t="str">
        <f>Sales_Entry!D346</f>
        <v>Mix Milk</v>
      </c>
      <c r="F346" s="150">
        <f>N(Sales_Entry!I346)</f>
        <v>680</v>
      </c>
      <c r="G346" s="150">
        <v>0</v>
      </c>
      <c r="H346" s="150">
        <f t="shared" si="5"/>
        <v>680</v>
      </c>
      <c r="I346" s="149"/>
      <c r="J346" t="str">
        <f>IF($B346="","",IF(AND($B346=Party_Statement!$B$5,$A346&gt;=Party_Statement!$B$6,$A346&lt;=Party_Statement!$D$6),SUMPRODUCT(($B$3:$B346=Party_Statement!$B$5)*($A$3:$A346&gt;=Party_Statement!$B$6)*($A$3:$A346&lt;=Party_Statement!$D$6)),""))</f>
        <v/>
      </c>
    </row>
    <row r="347" spans="1:10" x14ac:dyDescent="0.2">
      <c r="A347" s="148">
        <f>Sales_Entry!A347</f>
        <v>66931</v>
      </c>
      <c r="B347" s="149" t="str">
        <f>Sales_Entry!C347</f>
        <v>KRISHNA KHAREL</v>
      </c>
      <c r="C347" s="149" t="s">
        <v>984</v>
      </c>
      <c r="D347" s="149" t="str">
        <f>Sales_Entry!B347</f>
        <v>BILL-6284</v>
      </c>
      <c r="E347" s="149" t="str">
        <f>Sales_Entry!D347</f>
        <v>Mix Milk</v>
      </c>
      <c r="F347" s="150">
        <f>N(Sales_Entry!I347)</f>
        <v>387</v>
      </c>
      <c r="G347" s="150">
        <v>0</v>
      </c>
      <c r="H347" s="150">
        <f t="shared" si="5"/>
        <v>387</v>
      </c>
      <c r="I347" s="149"/>
      <c r="J347" t="str">
        <f>IF($B347="","",IF(AND($B347=Party_Statement!$B$5,$A347&gt;=Party_Statement!$B$6,$A347&lt;=Party_Statement!$D$6),SUMPRODUCT(($B$3:$B347=Party_Statement!$B$5)*($A$3:$A347&gt;=Party_Statement!$B$6)*($A$3:$A347&lt;=Party_Statement!$D$6)),""))</f>
        <v/>
      </c>
    </row>
    <row r="348" spans="1:10" x14ac:dyDescent="0.2">
      <c r="A348" s="148">
        <f>Sales_Entry!A348</f>
        <v>66931</v>
      </c>
      <c r="B348" s="149" t="str">
        <f>Sales_Entry!C348</f>
        <v>CHHATRABHUMI</v>
      </c>
      <c r="C348" s="149" t="s">
        <v>984</v>
      </c>
      <c r="D348" s="149" t="str">
        <f>Sales_Entry!B348</f>
        <v>BILL-6285</v>
      </c>
      <c r="E348" s="149" t="str">
        <f>Sales_Entry!D348</f>
        <v>Mix Milk</v>
      </c>
      <c r="F348" s="150">
        <f>N(Sales_Entry!I348)</f>
        <v>2150</v>
      </c>
      <c r="G348" s="150">
        <v>0</v>
      </c>
      <c r="H348" s="150">
        <f t="shared" si="5"/>
        <v>2150</v>
      </c>
      <c r="I348" s="149"/>
      <c r="J348" t="str">
        <f>IF($B348="","",IF(AND($B348=Party_Statement!$B$5,$A348&gt;=Party_Statement!$B$6,$A348&lt;=Party_Statement!$D$6),SUMPRODUCT(($B$3:$B348=Party_Statement!$B$5)*($A$3:$A348&gt;=Party_Statement!$B$6)*($A$3:$A348&lt;=Party_Statement!$D$6)),""))</f>
        <v/>
      </c>
    </row>
    <row r="349" spans="1:10" x14ac:dyDescent="0.2">
      <c r="A349" s="148">
        <f>Sales_Entry!A349</f>
        <v>66931</v>
      </c>
      <c r="B349" s="149" t="str">
        <f>Sales_Entry!C349</f>
        <v>PALPALI</v>
      </c>
      <c r="C349" s="149" t="s">
        <v>984</v>
      </c>
      <c r="D349" s="149" t="str">
        <f>Sales_Entry!B349</f>
        <v>BILL-6286</v>
      </c>
      <c r="E349" s="149" t="str">
        <f>Sales_Entry!D349</f>
        <v>Mix Milk</v>
      </c>
      <c r="F349" s="150">
        <f>N(Sales_Entry!I349)</f>
        <v>1700</v>
      </c>
      <c r="G349" s="150">
        <v>0</v>
      </c>
      <c r="H349" s="150">
        <f t="shared" si="5"/>
        <v>1700</v>
      </c>
      <c r="I349" s="149"/>
      <c r="J349" t="str">
        <f>IF($B349="","",IF(AND($B349=Party_Statement!$B$5,$A349&gt;=Party_Statement!$B$6,$A349&lt;=Party_Statement!$D$6),SUMPRODUCT(($B$3:$B349=Party_Statement!$B$5)*($A$3:$A349&gt;=Party_Statement!$B$6)*($A$3:$A349&lt;=Party_Statement!$D$6)),""))</f>
        <v/>
      </c>
    </row>
    <row r="350" spans="1:10" x14ac:dyDescent="0.2">
      <c r="A350" s="148">
        <f>Sales_Entry!A350</f>
        <v>66931</v>
      </c>
      <c r="B350" s="149" t="str">
        <f>Sales_Entry!C350</f>
        <v xml:space="preserve">AAMOSH KIRANA </v>
      </c>
      <c r="C350" s="149" t="s">
        <v>984</v>
      </c>
      <c r="D350" s="149" t="str">
        <f>Sales_Entry!B350</f>
        <v>BILL-6287</v>
      </c>
      <c r="E350" s="149" t="str">
        <f>Sales_Entry!D350</f>
        <v>Mix Milk</v>
      </c>
      <c r="F350" s="150">
        <f>N(Sales_Entry!I350)</f>
        <v>3440</v>
      </c>
      <c r="G350" s="150">
        <v>0</v>
      </c>
      <c r="H350" s="150">
        <f t="shared" si="5"/>
        <v>3440</v>
      </c>
      <c r="I350" s="149"/>
      <c r="J350" t="str">
        <f>IF($B350="","",IF(AND($B350=Party_Statement!$B$5,$A350&gt;=Party_Statement!$B$6,$A350&lt;=Party_Statement!$D$6),SUMPRODUCT(($B$3:$B350=Party_Statement!$B$5)*($A$3:$A350&gt;=Party_Statement!$B$6)*($A$3:$A350&lt;=Party_Statement!$D$6)),""))</f>
        <v/>
      </c>
    </row>
    <row r="351" spans="1:10" x14ac:dyDescent="0.2">
      <c r="A351" s="148">
        <f>Sales_Entry!A351</f>
        <v>66931</v>
      </c>
      <c r="B351" s="149" t="str">
        <f>Sales_Entry!C351</f>
        <v xml:space="preserve">AAMOSH KIRANA </v>
      </c>
      <c r="C351" s="149" t="s">
        <v>984</v>
      </c>
      <c r="D351" s="149" t="str">
        <f>Sales_Entry!B351</f>
        <v>BILL-6287</v>
      </c>
      <c r="E351" s="149" t="str">
        <f>Sales_Entry!D351</f>
        <v>Mix Milk</v>
      </c>
      <c r="F351" s="150">
        <f>N(Sales_Entry!I351)</f>
        <v>3825</v>
      </c>
      <c r="G351" s="150">
        <v>0</v>
      </c>
      <c r="H351" s="150">
        <f t="shared" si="5"/>
        <v>7265</v>
      </c>
      <c r="I351" s="149"/>
      <c r="J351" t="str">
        <f>IF($B351="","",IF(AND($B351=Party_Statement!$B$5,$A351&gt;=Party_Statement!$B$6,$A351&lt;=Party_Statement!$D$6),SUMPRODUCT(($B$3:$B351=Party_Statement!$B$5)*($A$3:$A351&gt;=Party_Statement!$B$6)*($A$3:$A351&lt;=Party_Statement!$D$6)),""))</f>
        <v/>
      </c>
    </row>
    <row r="352" spans="1:10" x14ac:dyDescent="0.2">
      <c r="A352" s="148">
        <f>Sales_Entry!A352</f>
        <v>66931</v>
      </c>
      <c r="B352" s="149" t="str">
        <f>Sales_Entry!C352</f>
        <v xml:space="preserve">AAMOSH KIRANA </v>
      </c>
      <c r="C352" s="149" t="s">
        <v>984</v>
      </c>
      <c r="D352" s="149" t="str">
        <f>Sales_Entry!B352</f>
        <v>BILL-6287</v>
      </c>
      <c r="E352" s="149" t="str">
        <f>Sales_Entry!D352</f>
        <v>Cow Milk</v>
      </c>
      <c r="F352" s="150">
        <f>N(Sales_Entry!I352)</f>
        <v>80</v>
      </c>
      <c r="G352" s="150">
        <v>0</v>
      </c>
      <c r="H352" s="150">
        <f t="shared" si="5"/>
        <v>7345</v>
      </c>
      <c r="I352" s="149"/>
      <c r="J352" t="str">
        <f>IF($B352="","",IF(AND($B352=Party_Statement!$B$5,$A352&gt;=Party_Statement!$B$6,$A352&lt;=Party_Statement!$D$6),SUMPRODUCT(($B$3:$B352=Party_Statement!$B$5)*($A$3:$A352&gt;=Party_Statement!$B$6)*($A$3:$A352&lt;=Party_Statement!$D$6)),""))</f>
        <v/>
      </c>
    </row>
    <row r="353" spans="1:10" x14ac:dyDescent="0.2">
      <c r="A353" s="148">
        <f>Sales_Entry!A353</f>
        <v>66931</v>
      </c>
      <c r="B353" s="149" t="str">
        <f>Sales_Entry!C353</f>
        <v xml:space="preserve">DEURALI KIRANA </v>
      </c>
      <c r="C353" s="149" t="s">
        <v>984</v>
      </c>
      <c r="D353" s="149" t="str">
        <f>Sales_Entry!B353</f>
        <v>BILL-6288</v>
      </c>
      <c r="E353" s="149" t="str">
        <f>Sales_Entry!D353</f>
        <v>Mix Milk</v>
      </c>
      <c r="F353" s="150">
        <f>N(Sales_Entry!I353)</f>
        <v>425</v>
      </c>
      <c r="G353" s="150">
        <v>0</v>
      </c>
      <c r="H353" s="150">
        <f t="shared" si="5"/>
        <v>425</v>
      </c>
      <c r="I353" s="149"/>
      <c r="J353" t="str">
        <f>IF($B353="","",IF(AND($B353=Party_Statement!$B$5,$A353&gt;=Party_Statement!$B$6,$A353&lt;=Party_Statement!$D$6),SUMPRODUCT(($B$3:$B353=Party_Statement!$B$5)*($A$3:$A353&gt;=Party_Statement!$B$6)*($A$3:$A353&lt;=Party_Statement!$D$6)),""))</f>
        <v/>
      </c>
    </row>
    <row r="354" spans="1:10" x14ac:dyDescent="0.2">
      <c r="A354" s="148">
        <f>Sales_Entry!A354</f>
        <v>66931</v>
      </c>
      <c r="B354" s="149" t="str">
        <f>Sales_Entry!C354</f>
        <v xml:space="preserve">GIRI KIRANA </v>
      </c>
      <c r="C354" s="149" t="s">
        <v>984</v>
      </c>
      <c r="D354" s="149" t="str">
        <f>Sales_Entry!B354</f>
        <v>BILL-6289</v>
      </c>
      <c r="E354" s="149" t="str">
        <f>Sales_Entry!D354</f>
        <v>Mix Milk</v>
      </c>
      <c r="F354" s="150">
        <f>N(Sales_Entry!I354)</f>
        <v>1275</v>
      </c>
      <c r="G354" s="150">
        <v>0</v>
      </c>
      <c r="H354" s="150">
        <f t="shared" si="5"/>
        <v>1275</v>
      </c>
      <c r="I354" s="149"/>
      <c r="J354" t="str">
        <f>IF($B354="","",IF(AND($B354=Party_Statement!$B$5,$A354&gt;=Party_Statement!$B$6,$A354&lt;=Party_Statement!$D$6),SUMPRODUCT(($B$3:$B354=Party_Statement!$B$5)*($A$3:$A354&gt;=Party_Statement!$B$6)*($A$3:$A354&lt;=Party_Statement!$D$6)),""))</f>
        <v/>
      </c>
    </row>
    <row r="355" spans="1:10" x14ac:dyDescent="0.2">
      <c r="A355" s="148">
        <f>Sales_Entry!A355</f>
        <v>66931</v>
      </c>
      <c r="B355" s="149" t="str">
        <f>Sales_Entry!C355</f>
        <v xml:space="preserve">YUBARAJ AND SAMRAT </v>
      </c>
      <c r="C355" s="149" t="s">
        <v>984</v>
      </c>
      <c r="D355" s="149" t="str">
        <f>Sales_Entry!B355</f>
        <v>BILL-6290</v>
      </c>
      <c r="E355" s="149" t="str">
        <f>Sales_Entry!D355</f>
        <v>Mix Milk</v>
      </c>
      <c r="F355" s="150">
        <f>N(Sales_Entry!I355)</f>
        <v>1275</v>
      </c>
      <c r="G355" s="150">
        <v>0</v>
      </c>
      <c r="H355" s="150">
        <f t="shared" si="5"/>
        <v>1275</v>
      </c>
      <c r="I355" s="149"/>
      <c r="J355" t="str">
        <f>IF($B355="","",IF(AND($B355=Party_Statement!$B$5,$A355&gt;=Party_Statement!$B$6,$A355&lt;=Party_Statement!$D$6),SUMPRODUCT(($B$3:$B355=Party_Statement!$B$5)*($A$3:$A355&gt;=Party_Statement!$B$6)*($A$3:$A355&lt;=Party_Statement!$D$6)),""))</f>
        <v/>
      </c>
    </row>
    <row r="356" spans="1:10" x14ac:dyDescent="0.2">
      <c r="A356" s="148">
        <f>Sales_Entry!A356</f>
        <v>66931</v>
      </c>
      <c r="B356" s="149" t="str">
        <f>Sales_Entry!C356</f>
        <v xml:space="preserve">AAYUSH AAYUSHMA </v>
      </c>
      <c r="C356" s="149" t="s">
        <v>984</v>
      </c>
      <c r="D356" s="149" t="str">
        <f>Sales_Entry!B356</f>
        <v>BILL-6291</v>
      </c>
      <c r="E356" s="149" t="str">
        <f>Sales_Entry!D356</f>
        <v>Mix Milk</v>
      </c>
      <c r="F356" s="150">
        <f>N(Sales_Entry!I356)</f>
        <v>680</v>
      </c>
      <c r="G356" s="150">
        <v>0</v>
      </c>
      <c r="H356" s="150">
        <f t="shared" si="5"/>
        <v>680</v>
      </c>
      <c r="I356" s="149"/>
      <c r="J356" t="str">
        <f>IF($B356="","",IF(AND($B356=Party_Statement!$B$5,$A356&gt;=Party_Statement!$B$6,$A356&lt;=Party_Statement!$D$6),SUMPRODUCT(($B$3:$B356=Party_Statement!$B$5)*($A$3:$A356&gt;=Party_Statement!$B$6)*($A$3:$A356&lt;=Party_Statement!$D$6)),""))</f>
        <v/>
      </c>
    </row>
    <row r="357" spans="1:10" x14ac:dyDescent="0.2">
      <c r="A357" s="148">
        <f>Sales_Entry!A357</f>
        <v>66931</v>
      </c>
      <c r="B357" s="149" t="str">
        <f>Sales_Entry!C357</f>
        <v xml:space="preserve">KRITIKA KIRANA </v>
      </c>
      <c r="C357" s="149" t="s">
        <v>984</v>
      </c>
      <c r="D357" s="149" t="str">
        <f>Sales_Entry!B357</f>
        <v>BILL-6292</v>
      </c>
      <c r="E357" s="149" t="str">
        <f>Sales_Entry!D357</f>
        <v>Mix Milk</v>
      </c>
      <c r="F357" s="150">
        <f>N(Sales_Entry!I357)</f>
        <v>1290</v>
      </c>
      <c r="G357" s="150">
        <v>0</v>
      </c>
      <c r="H357" s="150">
        <f t="shared" si="5"/>
        <v>1290</v>
      </c>
      <c r="I357" s="149"/>
      <c r="J357" t="str">
        <f>IF($B357="","",IF(AND($B357=Party_Statement!$B$5,$A357&gt;=Party_Statement!$B$6,$A357&lt;=Party_Statement!$D$6),SUMPRODUCT(($B$3:$B357=Party_Statement!$B$5)*($A$3:$A357&gt;=Party_Statement!$B$6)*($A$3:$A357&lt;=Party_Statement!$D$6)),""))</f>
        <v/>
      </c>
    </row>
    <row r="358" spans="1:10" x14ac:dyDescent="0.2">
      <c r="A358" s="148">
        <f>Sales_Entry!A358</f>
        <v>66931</v>
      </c>
      <c r="B358" s="149" t="str">
        <f>Sales_Entry!C358</f>
        <v>KALIKA CANTEEN A</v>
      </c>
      <c r="C358" s="149" t="s">
        <v>984</v>
      </c>
      <c r="D358" s="149" t="str">
        <f>Sales_Entry!B358</f>
        <v>BILL-6293</v>
      </c>
      <c r="E358" s="149" t="str">
        <f>Sales_Entry!D358</f>
        <v>Mix Milk</v>
      </c>
      <c r="F358" s="150">
        <f>N(Sales_Entry!I358)</f>
        <v>2975</v>
      </c>
      <c r="G358" s="150">
        <v>0</v>
      </c>
      <c r="H358" s="150">
        <f t="shared" si="5"/>
        <v>2975</v>
      </c>
      <c r="I358" s="149"/>
      <c r="J358" t="str">
        <f>IF($B358="","",IF(AND($B358=Party_Statement!$B$5,$A358&gt;=Party_Statement!$B$6,$A358&lt;=Party_Statement!$D$6),SUMPRODUCT(($B$3:$B358=Party_Statement!$B$5)*($A$3:$A358&gt;=Party_Statement!$B$6)*($A$3:$A358&lt;=Party_Statement!$D$6)),""))</f>
        <v/>
      </c>
    </row>
    <row r="359" spans="1:10" x14ac:dyDescent="0.2">
      <c r="A359" s="148">
        <f>Sales_Entry!A359</f>
        <v>66931</v>
      </c>
      <c r="B359" s="149" t="str">
        <f>Sales_Entry!C359</f>
        <v>KALIKA CANTEEN A1</v>
      </c>
      <c r="C359" s="149" t="s">
        <v>984</v>
      </c>
      <c r="D359" s="149" t="str">
        <f>Sales_Entry!B359</f>
        <v>BILL-6294</v>
      </c>
      <c r="E359" s="149" t="str">
        <f>Sales_Entry!D359</f>
        <v>Mix Milk</v>
      </c>
      <c r="F359" s="150">
        <f>N(Sales_Entry!I359)</f>
        <v>2550</v>
      </c>
      <c r="G359" s="150">
        <v>0</v>
      </c>
      <c r="H359" s="150">
        <f t="shared" si="5"/>
        <v>2550</v>
      </c>
      <c r="I359" s="149"/>
      <c r="J359" t="str">
        <f>IF($B359="","",IF(AND($B359=Party_Statement!$B$5,$A359&gt;=Party_Statement!$B$6,$A359&lt;=Party_Statement!$D$6),SUMPRODUCT(($B$3:$B359=Party_Statement!$B$5)*($A$3:$A359&gt;=Party_Statement!$B$6)*($A$3:$A359&lt;=Party_Statement!$D$6)),""))</f>
        <v/>
      </c>
    </row>
    <row r="360" spans="1:10" x14ac:dyDescent="0.2">
      <c r="A360" s="148">
        <f>Sales_Entry!A360</f>
        <v>66931</v>
      </c>
      <c r="B360" s="149" t="str">
        <f>Sales_Entry!C360</f>
        <v>ORGANIC TARKALI</v>
      </c>
      <c r="C360" s="149" t="s">
        <v>984</v>
      </c>
      <c r="D360" s="149" t="str">
        <f>Sales_Entry!B360</f>
        <v>BILL-6295</v>
      </c>
      <c r="E360" s="149" t="str">
        <f>Sales_Entry!D360</f>
        <v>Mix Milk</v>
      </c>
      <c r="F360" s="150">
        <f>N(Sales_Entry!I360)</f>
        <v>2802.5</v>
      </c>
      <c r="G360" s="150">
        <v>0</v>
      </c>
      <c r="H360" s="150">
        <f t="shared" si="5"/>
        <v>2802.5</v>
      </c>
      <c r="I360" s="149"/>
      <c r="J360" t="str">
        <f>IF($B360="","",IF(AND($B360=Party_Statement!$B$5,$A360&gt;=Party_Statement!$B$6,$A360&lt;=Party_Statement!$D$6),SUMPRODUCT(($B$3:$B360=Party_Statement!$B$5)*($A$3:$A360&gt;=Party_Statement!$B$6)*($A$3:$A360&lt;=Party_Statement!$D$6)),""))</f>
        <v/>
      </c>
    </row>
    <row r="361" spans="1:10" x14ac:dyDescent="0.2">
      <c r="A361" s="148">
        <f>Sales_Entry!A361</f>
        <v>66931</v>
      </c>
      <c r="B361" s="149" t="str">
        <f>Sales_Entry!C361</f>
        <v>SHARMA DAI</v>
      </c>
      <c r="C361" s="149" t="s">
        <v>984</v>
      </c>
      <c r="D361" s="149" t="str">
        <f>Sales_Entry!B361</f>
        <v>BILL-6296</v>
      </c>
      <c r="E361" s="149" t="str">
        <f>Sales_Entry!D361</f>
        <v>Mix Milk</v>
      </c>
      <c r="F361" s="150">
        <f>N(Sales_Entry!I361)</f>
        <v>2016</v>
      </c>
      <c r="G361" s="150">
        <v>0</v>
      </c>
      <c r="H361" s="150">
        <f t="shared" si="5"/>
        <v>2016</v>
      </c>
      <c r="I361" s="149"/>
      <c r="J361" t="str">
        <f>IF($B361="","",IF(AND($B361=Party_Statement!$B$5,$A361&gt;=Party_Statement!$B$6,$A361&lt;=Party_Statement!$D$6),SUMPRODUCT(($B$3:$B361=Party_Statement!$B$5)*($A$3:$A361&gt;=Party_Statement!$B$6)*($A$3:$A361&lt;=Party_Statement!$D$6)),""))</f>
        <v/>
      </c>
    </row>
    <row r="362" spans="1:10" x14ac:dyDescent="0.2">
      <c r="A362" s="148">
        <f>Sales_Entry!A362</f>
        <v>66931</v>
      </c>
      <c r="B362" s="149" t="str">
        <f>Sales_Entry!C362</f>
        <v>GANGA NEUPANE</v>
      </c>
      <c r="C362" s="149" t="s">
        <v>984</v>
      </c>
      <c r="D362" s="149" t="str">
        <f>Sales_Entry!B362</f>
        <v>BILL-6297</v>
      </c>
      <c r="E362" s="149" t="str">
        <f>Sales_Entry!D362</f>
        <v>Mix Milk</v>
      </c>
      <c r="F362" s="150">
        <f>N(Sales_Entry!I362)</f>
        <v>510</v>
      </c>
      <c r="G362" s="150">
        <v>0</v>
      </c>
      <c r="H362" s="150">
        <f t="shared" si="5"/>
        <v>510</v>
      </c>
      <c r="I362" s="149"/>
      <c r="J362" t="str">
        <f>IF($B362="","",IF(AND($B362=Party_Statement!$B$5,$A362&gt;=Party_Statement!$B$6,$A362&lt;=Party_Statement!$D$6),SUMPRODUCT(($B$3:$B362=Party_Statement!$B$5)*($A$3:$A362&gt;=Party_Statement!$B$6)*($A$3:$A362&lt;=Party_Statement!$D$6)),""))</f>
        <v/>
      </c>
    </row>
    <row r="363" spans="1:10" x14ac:dyDescent="0.2">
      <c r="A363" s="148">
        <f>Sales_Entry!A363</f>
        <v>66931</v>
      </c>
      <c r="B363" s="149" t="str">
        <f>Sales_Entry!C363</f>
        <v>NEUPANE KIRANA</v>
      </c>
      <c r="C363" s="149" t="s">
        <v>984</v>
      </c>
      <c r="D363" s="149" t="str">
        <f>Sales_Entry!B363</f>
        <v>BILL-6298</v>
      </c>
      <c r="E363" s="149" t="str">
        <f>Sales_Entry!D363</f>
        <v>Mix Milk</v>
      </c>
      <c r="F363" s="150">
        <f>N(Sales_Entry!I363)</f>
        <v>180</v>
      </c>
      <c r="G363" s="150">
        <v>0</v>
      </c>
      <c r="H363" s="150">
        <f t="shared" si="5"/>
        <v>180</v>
      </c>
      <c r="I363" s="149"/>
      <c r="J363" t="str">
        <f>IF($B363="","",IF(AND($B363=Party_Statement!$B$5,$A363&gt;=Party_Statement!$B$6,$A363&lt;=Party_Statement!$D$6),SUMPRODUCT(($B$3:$B363=Party_Statement!$B$5)*($A$3:$A363&gt;=Party_Statement!$B$6)*($A$3:$A363&lt;=Party_Statement!$D$6)),""))</f>
        <v/>
      </c>
    </row>
    <row r="364" spans="1:10" x14ac:dyDescent="0.2">
      <c r="A364" s="148">
        <f>Sales_Entry!A364</f>
        <v>66931</v>
      </c>
      <c r="B364" s="149" t="str">
        <f>Sales_Entry!C364</f>
        <v>LOCAL</v>
      </c>
      <c r="C364" s="149" t="s">
        <v>984</v>
      </c>
      <c r="D364" s="149" t="str">
        <f>Sales_Entry!B364</f>
        <v>BILL-6299</v>
      </c>
      <c r="E364" s="149" t="str">
        <f>Sales_Entry!D364</f>
        <v>Mix Milk</v>
      </c>
      <c r="F364" s="150">
        <f>N(Sales_Entry!I364)</f>
        <v>789.99</v>
      </c>
      <c r="G364" s="150">
        <v>0</v>
      </c>
      <c r="H364" s="150">
        <f t="shared" si="5"/>
        <v>789.99</v>
      </c>
      <c r="I364" s="149"/>
      <c r="J364" t="str">
        <f>IF($B364="","",IF(AND($B364=Party_Statement!$B$5,$A364&gt;=Party_Statement!$B$6,$A364&lt;=Party_Statement!$D$6),SUMPRODUCT(($B$3:$B364=Party_Statement!$B$5)*($A$3:$A364&gt;=Party_Statement!$B$6)*($A$3:$A364&lt;=Party_Statement!$D$6)),""))</f>
        <v/>
      </c>
    </row>
    <row r="365" spans="1:10" x14ac:dyDescent="0.2">
      <c r="A365" s="148">
        <f>Sales_Entry!A396</f>
        <v>66932</v>
      </c>
      <c r="B365" s="149" t="str">
        <f>Sales_Entry!C396</f>
        <v>SRIJANA DAIRY (DEVI NAGAR)</v>
      </c>
      <c r="C365" s="149" t="s">
        <v>984</v>
      </c>
      <c r="D365" s="149" t="str">
        <f>Sales_Entry!B396</f>
        <v>BILL-6320</v>
      </c>
      <c r="E365" s="149" t="str">
        <f>Sales_Entry!D396</f>
        <v>Mix Milk</v>
      </c>
      <c r="F365" s="150">
        <f>N(Sales_Entry!I396)</f>
        <v>5100</v>
      </c>
      <c r="G365" s="150">
        <v>0</v>
      </c>
      <c r="H365" s="150">
        <f t="shared" si="5"/>
        <v>5100</v>
      </c>
      <c r="I365" s="149"/>
      <c r="J365" t="str">
        <f>IF($B365="","",IF(AND($B365=Party_Statement!$B$5,$A365&gt;=Party_Statement!$B$6,$A365&lt;=Party_Statement!$D$6),SUMPRODUCT(($B$3:$B365=Party_Statement!$B$5)*($A$3:$A365&gt;=Party_Statement!$B$6)*($A$3:$A365&lt;=Party_Statement!$D$6)),""))</f>
        <v/>
      </c>
    </row>
    <row r="366" spans="1:10" x14ac:dyDescent="0.2">
      <c r="A366" s="148">
        <f>Sales_Entry!A397</f>
        <v>66932</v>
      </c>
      <c r="B366" s="149" t="str">
        <f>Sales_Entry!C397</f>
        <v>SRIJANA DAIRY (DEVI NAGAR)</v>
      </c>
      <c r="C366" s="149" t="s">
        <v>984</v>
      </c>
      <c r="D366" s="149" t="str">
        <f>Sales_Entry!B397</f>
        <v>BILL-6320</v>
      </c>
      <c r="E366" s="149" t="str">
        <f>Sales_Entry!D397</f>
        <v>Cow Milk</v>
      </c>
      <c r="F366" s="150">
        <f>N(Sales_Entry!I397)</f>
        <v>80</v>
      </c>
      <c r="G366" s="150">
        <v>0</v>
      </c>
      <c r="H366" s="150">
        <f t="shared" si="5"/>
        <v>5180</v>
      </c>
      <c r="I366" s="149"/>
      <c r="J366" t="str">
        <f>IF($B366="","",IF(AND($B366=Party_Statement!$B$5,$A366&gt;=Party_Statement!$B$6,$A366&lt;=Party_Statement!$D$6),SUMPRODUCT(($B$3:$B366=Party_Statement!$B$5)*($A$3:$A366&gt;=Party_Statement!$B$6)*($A$3:$A366&lt;=Party_Statement!$D$6)),""))</f>
        <v/>
      </c>
    </row>
    <row r="367" spans="1:10" x14ac:dyDescent="0.2">
      <c r="A367" s="148">
        <f>Sales_Entry!A398</f>
        <v>66932</v>
      </c>
      <c r="B367" s="149" t="str">
        <f>Sales_Entry!C398</f>
        <v xml:space="preserve">SOBHA BHATTARAI </v>
      </c>
      <c r="C367" s="149" t="s">
        <v>984</v>
      </c>
      <c r="D367" s="149" t="str">
        <f>Sales_Entry!B398</f>
        <v>BILL-6321</v>
      </c>
      <c r="E367" s="149" t="str">
        <f>Sales_Entry!D398</f>
        <v>Mix Milk</v>
      </c>
      <c r="F367" s="150">
        <f>N(Sales_Entry!I398)</f>
        <v>4675</v>
      </c>
      <c r="G367" s="150">
        <v>0</v>
      </c>
      <c r="H367" s="150">
        <f t="shared" si="5"/>
        <v>4675</v>
      </c>
      <c r="I367" s="149"/>
      <c r="J367" t="str">
        <f>IF($B367="","",IF(AND($B367=Party_Statement!$B$5,$A367&gt;=Party_Statement!$B$6,$A367&lt;=Party_Statement!$D$6),SUMPRODUCT(($B$3:$B367=Party_Statement!$B$5)*($A$3:$A367&gt;=Party_Statement!$B$6)*($A$3:$A367&lt;=Party_Statement!$D$6)),""))</f>
        <v/>
      </c>
    </row>
    <row r="368" spans="1:10" x14ac:dyDescent="0.2">
      <c r="A368" s="148">
        <f>Sales_Entry!A399</f>
        <v>66932</v>
      </c>
      <c r="B368" s="149" t="str">
        <f>Sales_Entry!C399</f>
        <v>PALPALI</v>
      </c>
      <c r="C368" s="149" t="s">
        <v>984</v>
      </c>
      <c r="D368" s="149" t="str">
        <f>Sales_Entry!B399</f>
        <v>BILL-6322</v>
      </c>
      <c r="E368" s="149" t="str">
        <f>Sales_Entry!D399</f>
        <v>Mix Milk</v>
      </c>
      <c r="F368" s="150">
        <f>N(Sales_Entry!I399)</f>
        <v>2125</v>
      </c>
      <c r="G368" s="150">
        <v>0</v>
      </c>
      <c r="H368" s="150">
        <f t="shared" si="5"/>
        <v>2125</v>
      </c>
      <c r="I368" s="149"/>
      <c r="J368" t="str">
        <f>IF($B368="","",IF(AND($B368=Party_Statement!$B$5,$A368&gt;=Party_Statement!$B$6,$A368&lt;=Party_Statement!$D$6),SUMPRODUCT(($B$3:$B368=Party_Statement!$B$5)*($A$3:$A368&gt;=Party_Statement!$B$6)*($A$3:$A368&lt;=Party_Statement!$D$6)),""))</f>
        <v/>
      </c>
    </row>
    <row r="369" spans="1:10" x14ac:dyDescent="0.2">
      <c r="A369" s="148">
        <f>Sales_Entry!A400</f>
        <v>66932</v>
      </c>
      <c r="B369" s="149" t="str">
        <f>Sales_Entry!C400</f>
        <v xml:space="preserve">AAMOSH KIRANA </v>
      </c>
      <c r="C369" s="149" t="s">
        <v>984</v>
      </c>
      <c r="D369" s="149" t="str">
        <f>Sales_Entry!B400</f>
        <v>BILL-6323</v>
      </c>
      <c r="E369" s="149" t="str">
        <f>Sales_Entry!D400</f>
        <v>Mix Milk</v>
      </c>
      <c r="F369" s="150">
        <f>N(Sales_Entry!I400)</f>
        <v>3405.6</v>
      </c>
      <c r="G369" s="150">
        <v>0</v>
      </c>
      <c r="H369" s="150">
        <f t="shared" si="5"/>
        <v>3405.6</v>
      </c>
      <c r="I369" s="149"/>
      <c r="J369" t="str">
        <f>IF($B369="","",IF(AND($B369=Party_Statement!$B$5,$A369&gt;=Party_Statement!$B$6,$A369&lt;=Party_Statement!$D$6),SUMPRODUCT(($B$3:$B369=Party_Statement!$B$5)*($A$3:$A369&gt;=Party_Statement!$B$6)*($A$3:$A369&lt;=Party_Statement!$D$6)),""))</f>
        <v/>
      </c>
    </row>
    <row r="370" spans="1:10" x14ac:dyDescent="0.2">
      <c r="A370" s="148">
        <f>Sales_Entry!A401</f>
        <v>66932</v>
      </c>
      <c r="B370" s="149" t="str">
        <f>Sales_Entry!C401</f>
        <v xml:space="preserve">AAMOSH KIRANA </v>
      </c>
      <c r="C370" s="149" t="s">
        <v>984</v>
      </c>
      <c r="D370" s="149" t="str">
        <f>Sales_Entry!B401</f>
        <v>BILL-6323</v>
      </c>
      <c r="E370" s="149" t="str">
        <f>Sales_Entry!D401</f>
        <v>Mix Milk</v>
      </c>
      <c r="F370" s="150">
        <f>N(Sales_Entry!I401)</f>
        <v>4581.5</v>
      </c>
      <c r="G370" s="150">
        <v>0</v>
      </c>
      <c r="H370" s="150">
        <f t="shared" si="5"/>
        <v>7987.1</v>
      </c>
      <c r="I370" s="149"/>
      <c r="J370" t="str">
        <f>IF($B370="","",IF(AND($B370=Party_Statement!$B$5,$A370&gt;=Party_Statement!$B$6,$A370&lt;=Party_Statement!$D$6),SUMPRODUCT(($B$3:$B370=Party_Statement!$B$5)*($A$3:$A370&gt;=Party_Statement!$B$6)*($A$3:$A370&lt;=Party_Statement!$D$6)),""))</f>
        <v/>
      </c>
    </row>
    <row r="371" spans="1:10" x14ac:dyDescent="0.2">
      <c r="A371" s="148">
        <f>Sales_Entry!A402</f>
        <v>66932</v>
      </c>
      <c r="B371" s="149" t="str">
        <f>Sales_Entry!C402</f>
        <v xml:space="preserve">AAMOSH KIRANA </v>
      </c>
      <c r="C371" s="149" t="s">
        <v>984</v>
      </c>
      <c r="D371" s="149" t="str">
        <f>Sales_Entry!B402</f>
        <v>BILL-6323</v>
      </c>
      <c r="E371" s="149" t="str">
        <f>Sales_Entry!D402</f>
        <v>Ghee</v>
      </c>
      <c r="F371" s="150">
        <f>N(Sales_Entry!I402)</f>
        <v>4268</v>
      </c>
      <c r="G371" s="150">
        <v>0</v>
      </c>
      <c r="H371" s="150">
        <f t="shared" si="5"/>
        <v>12255.1</v>
      </c>
      <c r="I371" s="149"/>
      <c r="J371" t="str">
        <f>IF($B371="","",IF(AND($B371=Party_Statement!$B$5,$A371&gt;=Party_Statement!$B$6,$A371&lt;=Party_Statement!$D$6),SUMPRODUCT(($B$3:$B371=Party_Statement!$B$5)*($A$3:$A371&gt;=Party_Statement!$B$6)*($A$3:$A371&lt;=Party_Statement!$D$6)),""))</f>
        <v/>
      </c>
    </row>
    <row r="372" spans="1:10" x14ac:dyDescent="0.2">
      <c r="A372" s="148">
        <f>Sales_Entry!A403</f>
        <v>66932</v>
      </c>
      <c r="B372" s="149" t="str">
        <f>Sales_Entry!C403</f>
        <v xml:space="preserve">AAMOSH KIRANA </v>
      </c>
      <c r="C372" s="149" t="s">
        <v>984</v>
      </c>
      <c r="D372" s="149" t="str">
        <f>Sales_Entry!B403</f>
        <v>BILL-6323</v>
      </c>
      <c r="E372" s="149" t="str">
        <f>Sales_Entry!D403</f>
        <v>Cow Milk</v>
      </c>
      <c r="F372" s="150">
        <f>N(Sales_Entry!I403)</f>
        <v>76.8</v>
      </c>
      <c r="G372" s="150">
        <v>0</v>
      </c>
      <c r="H372" s="150">
        <f t="shared" si="5"/>
        <v>12331.9</v>
      </c>
      <c r="I372" s="149"/>
      <c r="J372" t="str">
        <f>IF($B372="","",IF(AND($B372=Party_Statement!$B$5,$A372&gt;=Party_Statement!$B$6,$A372&lt;=Party_Statement!$D$6),SUMPRODUCT(($B$3:$B372=Party_Statement!$B$5)*($A$3:$A372&gt;=Party_Statement!$B$6)*($A$3:$A372&lt;=Party_Statement!$D$6)),""))</f>
        <v/>
      </c>
    </row>
    <row r="373" spans="1:10" x14ac:dyDescent="0.2">
      <c r="A373" s="148">
        <f>Sales_Entry!A404</f>
        <v>66932</v>
      </c>
      <c r="B373" s="149" t="str">
        <f>Sales_Entry!C404</f>
        <v xml:space="preserve">DEURALI KIRANA </v>
      </c>
      <c r="C373" s="149" t="s">
        <v>984</v>
      </c>
      <c r="D373" s="149" t="str">
        <f>Sales_Entry!B404</f>
        <v>BILL-6324</v>
      </c>
      <c r="E373" s="149" t="str">
        <f>Sales_Entry!D404</f>
        <v>Mix Milk</v>
      </c>
      <c r="F373" s="150">
        <f>N(Sales_Entry!I404)</f>
        <v>403.75</v>
      </c>
      <c r="G373" s="150">
        <v>0</v>
      </c>
      <c r="H373" s="150">
        <f t="shared" si="5"/>
        <v>403.75</v>
      </c>
      <c r="I373" s="149"/>
      <c r="J373" t="str">
        <f>IF($B373="","",IF(AND($B373=Party_Statement!$B$5,$A373&gt;=Party_Statement!$B$6,$A373&lt;=Party_Statement!$D$6),SUMPRODUCT(($B$3:$B373=Party_Statement!$B$5)*($A$3:$A373&gt;=Party_Statement!$B$6)*($A$3:$A373&lt;=Party_Statement!$D$6)),""))</f>
        <v/>
      </c>
    </row>
    <row r="374" spans="1:10" x14ac:dyDescent="0.2">
      <c r="A374" s="148">
        <f>Sales_Entry!A405</f>
        <v>66932</v>
      </c>
      <c r="B374" s="149" t="str">
        <f>Sales_Entry!C405</f>
        <v xml:space="preserve">GIRI KIRANA </v>
      </c>
      <c r="C374" s="149" t="s">
        <v>984</v>
      </c>
      <c r="D374" s="149" t="str">
        <f>Sales_Entry!B405</f>
        <v>BILL-6325</v>
      </c>
      <c r="E374" s="149" t="str">
        <f>Sales_Entry!D405</f>
        <v>Mix Milk</v>
      </c>
      <c r="F374" s="150">
        <f>N(Sales_Entry!I405)</f>
        <v>2796.5</v>
      </c>
      <c r="G374" s="150">
        <v>0</v>
      </c>
      <c r="H374" s="150">
        <f t="shared" si="5"/>
        <v>2796.5</v>
      </c>
      <c r="I374" s="149"/>
      <c r="J374" t="str">
        <f>IF($B374="","",IF(AND($B374=Party_Statement!$B$5,$A374&gt;=Party_Statement!$B$6,$A374&lt;=Party_Statement!$D$6),SUMPRODUCT(($B$3:$B374=Party_Statement!$B$5)*($A$3:$A374&gt;=Party_Statement!$B$6)*($A$3:$A374&lt;=Party_Statement!$D$6)),""))</f>
        <v/>
      </c>
    </row>
    <row r="375" spans="1:10" x14ac:dyDescent="0.2">
      <c r="A375" s="148">
        <f>Sales_Entry!A406</f>
        <v>66932</v>
      </c>
      <c r="B375" s="149" t="str">
        <f>Sales_Entry!C406</f>
        <v>CHHATRABHUMI</v>
      </c>
      <c r="C375" s="149" t="s">
        <v>984</v>
      </c>
      <c r="D375" s="149" t="str">
        <f>Sales_Entry!B406</f>
        <v>BILL-6326</v>
      </c>
      <c r="E375" s="149" t="str">
        <f>Sales_Entry!D406</f>
        <v>Mix Milk</v>
      </c>
      <c r="F375" s="150">
        <f>N(Sales_Entry!I406)</f>
        <v>2580</v>
      </c>
      <c r="G375" s="150">
        <v>0</v>
      </c>
      <c r="H375" s="150">
        <f t="shared" si="5"/>
        <v>2580</v>
      </c>
      <c r="I375" s="149"/>
      <c r="J375" t="str">
        <f>IF($B375="","",IF(AND($B375=Party_Statement!$B$5,$A375&gt;=Party_Statement!$B$6,$A375&lt;=Party_Statement!$D$6),SUMPRODUCT(($B$3:$B375=Party_Statement!$B$5)*($A$3:$A375&gt;=Party_Statement!$B$6)*($A$3:$A375&lt;=Party_Statement!$D$6)),""))</f>
        <v/>
      </c>
    </row>
    <row r="376" spans="1:10" x14ac:dyDescent="0.2">
      <c r="A376" s="148">
        <f>Sales_Entry!A407</f>
        <v>66932</v>
      </c>
      <c r="B376" s="149" t="str">
        <f>Sales_Entry!C407</f>
        <v>KRISHNA KHAREL</v>
      </c>
      <c r="C376" s="149" t="s">
        <v>984</v>
      </c>
      <c r="D376" s="149" t="str">
        <f>Sales_Entry!B407</f>
        <v>BILL-6327</v>
      </c>
      <c r="E376" s="149" t="str">
        <f>Sales_Entry!D407</f>
        <v>Mix Milk</v>
      </c>
      <c r="F376" s="150">
        <f>N(Sales_Entry!I407)</f>
        <v>387</v>
      </c>
      <c r="G376" s="150">
        <v>0</v>
      </c>
      <c r="H376" s="150">
        <f t="shared" si="5"/>
        <v>387</v>
      </c>
      <c r="I376" s="149"/>
      <c r="J376" t="str">
        <f>IF($B376="","",IF(AND($B376=Party_Statement!$B$5,$A376&gt;=Party_Statement!$B$6,$A376&lt;=Party_Statement!$D$6),SUMPRODUCT(($B$3:$B376=Party_Statement!$B$5)*($A$3:$A376&gt;=Party_Statement!$B$6)*($A$3:$A376&lt;=Party_Statement!$D$6)),""))</f>
        <v/>
      </c>
    </row>
    <row r="377" spans="1:10" x14ac:dyDescent="0.2">
      <c r="A377" s="148">
        <f>Sales_Entry!A408</f>
        <v>66932</v>
      </c>
      <c r="B377" s="149" t="str">
        <f>Sales_Entry!C408</f>
        <v xml:space="preserve">SAMIKSHYA </v>
      </c>
      <c r="C377" s="149" t="s">
        <v>984</v>
      </c>
      <c r="D377" s="149" t="str">
        <f>Sales_Entry!B408</f>
        <v>BILL-6328</v>
      </c>
      <c r="E377" s="149" t="str">
        <f>Sales_Entry!D408</f>
        <v>Mix Milk</v>
      </c>
      <c r="F377" s="150">
        <f>N(Sales_Entry!I408)</f>
        <v>680</v>
      </c>
      <c r="G377" s="150">
        <v>0</v>
      </c>
      <c r="H377" s="150">
        <f t="shared" si="5"/>
        <v>680</v>
      </c>
      <c r="I377" s="149"/>
      <c r="J377" t="str">
        <f>IF($B377="","",IF(AND($B377=Party_Statement!$B$5,$A377&gt;=Party_Statement!$B$6,$A377&lt;=Party_Statement!$D$6),SUMPRODUCT(($B$3:$B377=Party_Statement!$B$5)*($A$3:$A377&gt;=Party_Statement!$B$6)*($A$3:$A377&lt;=Party_Statement!$D$6)),""))</f>
        <v/>
      </c>
    </row>
    <row r="378" spans="1:10" x14ac:dyDescent="0.2">
      <c r="A378" s="148">
        <f>Sales_Entry!A409</f>
        <v>66932</v>
      </c>
      <c r="B378" s="149" t="str">
        <f>Sales_Entry!C409</f>
        <v xml:space="preserve">YUBARAJ AND SAMRAT </v>
      </c>
      <c r="C378" s="149" t="s">
        <v>984</v>
      </c>
      <c r="D378" s="149" t="str">
        <f>Sales_Entry!B409</f>
        <v>BILL-6329</v>
      </c>
      <c r="E378" s="149" t="str">
        <f>Sales_Entry!D409</f>
        <v>Mix Milk</v>
      </c>
      <c r="F378" s="150">
        <f>N(Sales_Entry!I409)</f>
        <v>2125</v>
      </c>
      <c r="G378" s="150">
        <v>0</v>
      </c>
      <c r="H378" s="150">
        <f t="shared" si="5"/>
        <v>2125</v>
      </c>
      <c r="I378" s="149"/>
      <c r="J378" t="str">
        <f>IF($B378="","",IF(AND($B378=Party_Statement!$B$5,$A378&gt;=Party_Statement!$B$6,$A378&lt;=Party_Statement!$D$6),SUMPRODUCT(($B$3:$B378=Party_Statement!$B$5)*($A$3:$A378&gt;=Party_Statement!$B$6)*($A$3:$A378&lt;=Party_Statement!$D$6)),""))</f>
        <v/>
      </c>
    </row>
    <row r="379" spans="1:10" x14ac:dyDescent="0.2">
      <c r="A379" s="148">
        <f>Sales_Entry!A410</f>
        <v>66932</v>
      </c>
      <c r="B379" s="149" t="str">
        <f>Sales_Entry!C410</f>
        <v>MANAKAMANA DAIRY</v>
      </c>
      <c r="C379" s="149" t="s">
        <v>984</v>
      </c>
      <c r="D379" s="149" t="str">
        <f>Sales_Entry!B410</f>
        <v>BILL-6330</v>
      </c>
      <c r="E379" s="149" t="str">
        <f>Sales_Entry!D410</f>
        <v>Mix Milk</v>
      </c>
      <c r="F379" s="150">
        <f>N(Sales_Entry!I410)</f>
        <v>850</v>
      </c>
      <c r="G379" s="150">
        <v>0</v>
      </c>
      <c r="H379" s="150">
        <f t="shared" si="5"/>
        <v>850</v>
      </c>
      <c r="I379" s="149"/>
      <c r="J379" t="str">
        <f>IF($B379="","",IF(AND($B379=Party_Statement!$B$5,$A379&gt;=Party_Statement!$B$6,$A379&lt;=Party_Statement!$D$6),SUMPRODUCT(($B$3:$B379=Party_Statement!$B$5)*($A$3:$A379&gt;=Party_Statement!$B$6)*($A$3:$A379&lt;=Party_Statement!$D$6)),""))</f>
        <v/>
      </c>
    </row>
    <row r="380" spans="1:10" x14ac:dyDescent="0.2">
      <c r="A380" s="148">
        <f>Sales_Entry!A411</f>
        <v>66932</v>
      </c>
      <c r="B380" s="149" t="str">
        <f>Sales_Entry!C411</f>
        <v>PUSHPA ADHIKARI</v>
      </c>
      <c r="C380" s="149" t="s">
        <v>984</v>
      </c>
      <c r="D380" s="149" t="str">
        <f>Sales_Entry!B411</f>
        <v>BILL-6331</v>
      </c>
      <c r="E380" s="149" t="str">
        <f>Sales_Entry!D411</f>
        <v>Ghee</v>
      </c>
      <c r="F380" s="150">
        <f>N(Sales_Entry!I411)</f>
        <v>1100</v>
      </c>
      <c r="G380" s="150">
        <v>0</v>
      </c>
      <c r="H380" s="150">
        <f t="shared" si="5"/>
        <v>1100</v>
      </c>
      <c r="I380" s="149"/>
      <c r="J380" t="str">
        <f>IF($B380="","",IF(AND($B380=Party_Statement!$B$5,$A380&gt;=Party_Statement!$B$6,$A380&lt;=Party_Statement!$D$6),SUMPRODUCT(($B$3:$B380=Party_Statement!$B$5)*($A$3:$A380&gt;=Party_Statement!$B$6)*($A$3:$A380&lt;=Party_Statement!$D$6)),""))</f>
        <v/>
      </c>
    </row>
    <row r="381" spans="1:10" x14ac:dyDescent="0.2">
      <c r="A381" s="148">
        <f>Sales_Entry!A412</f>
        <v>66932</v>
      </c>
      <c r="B381" s="149" t="str">
        <f>Sales_Entry!C412</f>
        <v xml:space="preserve">KRITIKA KIRANA </v>
      </c>
      <c r="C381" s="149" t="s">
        <v>984</v>
      </c>
      <c r="D381" s="149" t="str">
        <f>Sales_Entry!B412</f>
        <v>BILL-6332</v>
      </c>
      <c r="E381" s="149" t="str">
        <f>Sales_Entry!D412</f>
        <v>Mix Milk</v>
      </c>
      <c r="F381" s="150">
        <f>N(Sales_Entry!I412)</f>
        <v>1290</v>
      </c>
      <c r="G381" s="150">
        <v>0</v>
      </c>
      <c r="H381" s="150">
        <f t="shared" si="5"/>
        <v>1290</v>
      </c>
      <c r="I381" s="149"/>
      <c r="J381" t="str">
        <f>IF($B381="","",IF(AND($B381=Party_Statement!$B$5,$A381&gt;=Party_Statement!$B$6,$A381&lt;=Party_Statement!$D$6),SUMPRODUCT(($B$3:$B381=Party_Statement!$B$5)*($A$3:$A381&gt;=Party_Statement!$B$6)*($A$3:$A381&lt;=Party_Statement!$D$6)),""))</f>
        <v/>
      </c>
    </row>
    <row r="382" spans="1:10" x14ac:dyDescent="0.2">
      <c r="A382" s="148">
        <f>Sales_Entry!A413</f>
        <v>66932</v>
      </c>
      <c r="B382" s="149" t="str">
        <f>Sales_Entry!C413</f>
        <v>SHARMA DAI</v>
      </c>
      <c r="C382" s="149" t="s">
        <v>984</v>
      </c>
      <c r="D382" s="149" t="str">
        <f>Sales_Entry!B413</f>
        <v>BILL-6333</v>
      </c>
      <c r="E382" s="149" t="str">
        <f>Sales_Entry!D413</f>
        <v>Mix Milk</v>
      </c>
      <c r="F382" s="150">
        <f>N(Sales_Entry!I413)</f>
        <v>2520</v>
      </c>
      <c r="G382" s="150">
        <v>0</v>
      </c>
      <c r="H382" s="150">
        <f t="shared" si="5"/>
        <v>2520</v>
      </c>
      <c r="I382" s="149"/>
      <c r="J382" t="str">
        <f>IF($B382="","",IF(AND($B382=Party_Statement!$B$5,$A382&gt;=Party_Statement!$B$6,$A382&lt;=Party_Statement!$D$6),SUMPRODUCT(($B$3:$B382=Party_Statement!$B$5)*($A$3:$A382&gt;=Party_Statement!$B$6)*($A$3:$A382&lt;=Party_Statement!$D$6)),""))</f>
        <v/>
      </c>
    </row>
    <row r="383" spans="1:10" x14ac:dyDescent="0.2">
      <c r="A383" s="148">
        <f>Sales_Entry!A414</f>
        <v>66932</v>
      </c>
      <c r="B383" s="149" t="str">
        <f>Sales_Entry!C414</f>
        <v>GANGA NEUPANE</v>
      </c>
      <c r="C383" s="149" t="s">
        <v>984</v>
      </c>
      <c r="D383" s="149" t="str">
        <f>Sales_Entry!B414</f>
        <v>BILL-6334</v>
      </c>
      <c r="E383" s="149" t="str">
        <f>Sales_Entry!D414</f>
        <v>Mix Milk</v>
      </c>
      <c r="F383" s="150">
        <f>N(Sales_Entry!I414)</f>
        <v>680</v>
      </c>
      <c r="G383" s="150">
        <v>0</v>
      </c>
      <c r="H383" s="150">
        <f t="shared" si="5"/>
        <v>680</v>
      </c>
      <c r="I383" s="149"/>
      <c r="J383" t="str">
        <f>IF($B383="","",IF(AND($B383=Party_Statement!$B$5,$A383&gt;=Party_Statement!$B$6,$A383&lt;=Party_Statement!$D$6),SUMPRODUCT(($B$3:$B383=Party_Statement!$B$5)*($A$3:$A383&gt;=Party_Statement!$B$6)*($A$3:$A383&lt;=Party_Statement!$D$6)),""))</f>
        <v/>
      </c>
    </row>
    <row r="384" spans="1:10" x14ac:dyDescent="0.2">
      <c r="A384" s="148">
        <f>Sales_Entry!A415</f>
        <v>66932</v>
      </c>
      <c r="B384" s="149" t="str">
        <f>Sales_Entry!C415</f>
        <v>ORGANIC TARKALI</v>
      </c>
      <c r="C384" s="149" t="s">
        <v>984</v>
      </c>
      <c r="D384" s="149" t="str">
        <f>Sales_Entry!B415</f>
        <v>BILL-6335</v>
      </c>
      <c r="E384" s="149" t="str">
        <f>Sales_Entry!D415</f>
        <v>Mix Milk</v>
      </c>
      <c r="F384" s="150">
        <f>N(Sales_Entry!I415)</f>
        <v>1020</v>
      </c>
      <c r="G384" s="150">
        <v>0</v>
      </c>
      <c r="H384" s="150">
        <f t="shared" si="5"/>
        <v>1020</v>
      </c>
      <c r="I384" s="149"/>
      <c r="J384" t="str">
        <f>IF($B384="","",IF(AND($B384=Party_Statement!$B$5,$A384&gt;=Party_Statement!$B$6,$A384&lt;=Party_Statement!$D$6),SUMPRODUCT(($B$3:$B384=Party_Statement!$B$5)*($A$3:$A384&gt;=Party_Statement!$B$6)*($A$3:$A384&lt;=Party_Statement!$D$6)),""))</f>
        <v/>
      </c>
    </row>
    <row r="385" spans="1:10" x14ac:dyDescent="0.2">
      <c r="A385" s="148">
        <f>Sales_Entry!A416</f>
        <v>66932</v>
      </c>
      <c r="B385" s="149" t="str">
        <f>Sales_Entry!C416</f>
        <v>ORGANIC TARKALI</v>
      </c>
      <c r="C385" s="149" t="s">
        <v>984</v>
      </c>
      <c r="D385" s="149" t="str">
        <f>Sales_Entry!B416</f>
        <v>BILL-6335</v>
      </c>
      <c r="E385" s="149" t="str">
        <f>Sales_Entry!D416</f>
        <v>Mix Milk</v>
      </c>
      <c r="F385" s="150">
        <f>N(Sales_Entry!I416)</f>
        <v>1900</v>
      </c>
      <c r="G385" s="150">
        <v>0</v>
      </c>
      <c r="H385" s="150">
        <f t="shared" si="5"/>
        <v>2920</v>
      </c>
      <c r="I385" s="149"/>
      <c r="J385" t="str">
        <f>IF($B385="","",IF(AND($B385=Party_Statement!$B$5,$A385&gt;=Party_Statement!$B$6,$A385&lt;=Party_Statement!$D$6),SUMPRODUCT(($B$3:$B385=Party_Statement!$B$5)*($A$3:$A385&gt;=Party_Statement!$B$6)*($A$3:$A385&lt;=Party_Statement!$D$6)),""))</f>
        <v/>
      </c>
    </row>
    <row r="386" spans="1:10" x14ac:dyDescent="0.2">
      <c r="A386" s="148">
        <f>Sales_Entry!A417</f>
        <v>66932</v>
      </c>
      <c r="B386" s="149" t="str">
        <f>Sales_Entry!C417</f>
        <v>LOCAL</v>
      </c>
      <c r="C386" s="149" t="s">
        <v>984</v>
      </c>
      <c r="D386" s="149" t="str">
        <f>Sales_Entry!B417</f>
        <v>BILL-6336</v>
      </c>
      <c r="E386" s="149" t="str">
        <f>Sales_Entry!D417</f>
        <v>Mix Milk</v>
      </c>
      <c r="F386" s="150">
        <f>N(Sales_Entry!I417)</f>
        <v>725</v>
      </c>
      <c r="G386" s="150">
        <v>0</v>
      </c>
      <c r="H386" s="150">
        <f t="shared" si="5"/>
        <v>725</v>
      </c>
      <c r="I386" s="149"/>
      <c r="J386" t="str">
        <f>IF($B386="","",IF(AND($B386=Party_Statement!$B$5,$A386&gt;=Party_Statement!$B$6,$A386&lt;=Party_Statement!$D$6),SUMPRODUCT(($B$3:$B386=Party_Statement!$B$5)*($A$3:$A386&gt;=Party_Statement!$B$6)*($A$3:$A386&lt;=Party_Statement!$D$6)),""))</f>
        <v/>
      </c>
    </row>
    <row r="387" spans="1:10" x14ac:dyDescent="0.2">
      <c r="A387" s="148">
        <f>Sales_Entry!A418</f>
        <v>66932</v>
      </c>
      <c r="B387" s="149" t="str">
        <f>Sales_Entry!C418</f>
        <v>LOCAL</v>
      </c>
      <c r="C387" s="149" t="s">
        <v>984</v>
      </c>
      <c r="D387" s="149" t="str">
        <f>Sales_Entry!B418</f>
        <v>BILL-6336</v>
      </c>
      <c r="E387" s="149" t="str">
        <f>Sales_Entry!D418</f>
        <v>PANEER</v>
      </c>
      <c r="F387" s="150">
        <f>N(Sales_Entry!I418)</f>
        <v>600</v>
      </c>
      <c r="G387" s="150">
        <v>0</v>
      </c>
      <c r="H387" s="150">
        <f t="shared" si="5"/>
        <v>1325</v>
      </c>
      <c r="I387" s="149"/>
      <c r="J387" t="str">
        <f>IF($B387="","",IF(AND($B387=Party_Statement!$B$5,$A387&gt;=Party_Statement!$B$6,$A387&lt;=Party_Statement!$D$6),SUMPRODUCT(($B$3:$B387=Party_Statement!$B$5)*($A$3:$A387&gt;=Party_Statement!$B$6)*($A$3:$A387&lt;=Party_Statement!$D$6)),""))</f>
        <v/>
      </c>
    </row>
    <row r="388" spans="1:10" x14ac:dyDescent="0.2">
      <c r="A388" s="148">
        <f>Sales_Entry!A419</f>
        <v>66932</v>
      </c>
      <c r="B388" s="149" t="str">
        <f>Sales_Entry!C419</f>
        <v>NEUPANE KIRANA</v>
      </c>
      <c r="C388" s="149" t="s">
        <v>984</v>
      </c>
      <c r="D388" s="149" t="str">
        <f>Sales_Entry!B419</f>
        <v>BILL-6337</v>
      </c>
      <c r="E388" s="149" t="str">
        <f>Sales_Entry!D419</f>
        <v>Mix Milk</v>
      </c>
      <c r="F388" s="150">
        <f>N(Sales_Entry!I419)</f>
        <v>180</v>
      </c>
      <c r="G388" s="150">
        <v>0</v>
      </c>
      <c r="H388" s="150">
        <f t="shared" ref="H388:H451" si="6">IF($B388="","",IF($B388=$B387,$H387+$F388-$G388,$F388-$G388))</f>
        <v>180</v>
      </c>
      <c r="I388" s="149"/>
      <c r="J388" t="str">
        <f>IF($B388="","",IF(AND($B388=Party_Statement!$B$5,$A388&gt;=Party_Statement!$B$6,$A388&lt;=Party_Statement!$D$6),SUMPRODUCT(($B$3:$B388=Party_Statement!$B$5)*($A$3:$A388&gt;=Party_Statement!$B$6)*($A$3:$A388&lt;=Party_Statement!$D$6)),""))</f>
        <v/>
      </c>
    </row>
    <row r="389" spans="1:10" x14ac:dyDescent="0.2">
      <c r="A389" s="148">
        <f>Sales_Entry!A420</f>
        <v>66933</v>
      </c>
      <c r="B389" s="149" t="str">
        <f>Sales_Entry!C420</f>
        <v>LOCAL</v>
      </c>
      <c r="C389" s="149" t="s">
        <v>984</v>
      </c>
      <c r="D389" s="149" t="str">
        <f>Sales_Entry!B420</f>
        <v>BILL-6341</v>
      </c>
      <c r="E389" s="149" t="str">
        <f>Sales_Entry!D420</f>
        <v>Mix Milk</v>
      </c>
      <c r="F389" s="150">
        <f>N(Sales_Entry!I420)</f>
        <v>270</v>
      </c>
      <c r="G389" s="150">
        <v>0</v>
      </c>
      <c r="H389" s="150">
        <f t="shared" si="6"/>
        <v>270</v>
      </c>
      <c r="I389" s="149"/>
      <c r="J389" t="str">
        <f>IF($B389="","",IF(AND($B389=Party_Statement!$B$5,$A389&gt;=Party_Statement!$B$6,$A389&lt;=Party_Statement!$D$6),SUMPRODUCT(($B$3:$B389=Party_Statement!$B$5)*($A$3:$A389&gt;=Party_Statement!$B$6)*($A$3:$A389&lt;=Party_Statement!$D$6)),""))</f>
        <v/>
      </c>
    </row>
    <row r="390" spans="1:10" x14ac:dyDescent="0.2">
      <c r="A390" s="148">
        <f>Sales_Entry!A421</f>
        <v>66933</v>
      </c>
      <c r="B390" s="149" t="str">
        <f>Sales_Entry!C421</f>
        <v>LOCAL</v>
      </c>
      <c r="C390" s="149" t="s">
        <v>984</v>
      </c>
      <c r="D390" s="149" t="str">
        <f>Sales_Entry!B421</f>
        <v>BILL-6342</v>
      </c>
      <c r="E390" s="149" t="str">
        <f>Sales_Entry!D421</f>
        <v>Mix Milk</v>
      </c>
      <c r="F390" s="150">
        <f>N(Sales_Entry!I421)</f>
        <v>839.97</v>
      </c>
      <c r="G390" s="150">
        <v>0</v>
      </c>
      <c r="H390" s="150">
        <f t="shared" si="6"/>
        <v>1109.97</v>
      </c>
      <c r="I390" s="149"/>
      <c r="J390" t="str">
        <f>IF($B390="","",IF(AND($B390=Party_Statement!$B$5,$A390&gt;=Party_Statement!$B$6,$A390&lt;=Party_Statement!$D$6),SUMPRODUCT(($B$3:$B390=Party_Statement!$B$5)*($A$3:$A390&gt;=Party_Statement!$B$6)*($A$3:$A390&lt;=Party_Statement!$D$6)),""))</f>
        <v/>
      </c>
    </row>
    <row r="391" spans="1:10" x14ac:dyDescent="0.2">
      <c r="A391" s="148">
        <f>Sales_Entry!A422</f>
        <v>66933</v>
      </c>
      <c r="B391" s="149" t="str">
        <f>Sales_Entry!C422</f>
        <v>SRIJANA DAIRY (DEVI NAGAR)</v>
      </c>
      <c r="C391" s="149" t="s">
        <v>984</v>
      </c>
      <c r="D391" s="149" t="str">
        <f>Sales_Entry!B422</f>
        <v>BILL-6343</v>
      </c>
      <c r="E391" s="149" t="str">
        <f>Sales_Entry!D422</f>
        <v>Mix Milk</v>
      </c>
      <c r="F391" s="150">
        <f>N(Sales_Entry!I422)</f>
        <v>2975</v>
      </c>
      <c r="G391" s="150">
        <v>0</v>
      </c>
      <c r="H391" s="150">
        <f t="shared" si="6"/>
        <v>2975</v>
      </c>
      <c r="I391" s="149"/>
      <c r="J391" t="str">
        <f>IF($B391="","",IF(AND($B391=Party_Statement!$B$5,$A391&gt;=Party_Statement!$B$6,$A391&lt;=Party_Statement!$D$6),SUMPRODUCT(($B$3:$B391=Party_Statement!$B$5)*($A$3:$A391&gt;=Party_Statement!$B$6)*($A$3:$A391&lt;=Party_Statement!$D$6)),""))</f>
        <v/>
      </c>
    </row>
    <row r="392" spans="1:10" x14ac:dyDescent="0.2">
      <c r="A392" s="148">
        <f>Sales_Entry!A423</f>
        <v>66933</v>
      </c>
      <c r="B392" s="149" t="str">
        <f>Sales_Entry!C423</f>
        <v xml:space="preserve">SOBHA BHATTARAI </v>
      </c>
      <c r="C392" s="149" t="s">
        <v>984</v>
      </c>
      <c r="D392" s="149" t="str">
        <f>Sales_Entry!B423</f>
        <v>BILL-6344</v>
      </c>
      <c r="E392" s="149" t="str">
        <f>Sales_Entry!D423</f>
        <v>Mix Milk</v>
      </c>
      <c r="F392" s="150">
        <f>N(Sales_Entry!I423)</f>
        <v>2125</v>
      </c>
      <c r="G392" s="150">
        <v>0</v>
      </c>
      <c r="H392" s="150">
        <f t="shared" si="6"/>
        <v>2125</v>
      </c>
      <c r="I392" s="149"/>
      <c r="J392" t="str">
        <f>IF($B392="","",IF(AND($B392=Party_Statement!$B$5,$A392&gt;=Party_Statement!$B$6,$A392&lt;=Party_Statement!$D$6),SUMPRODUCT(($B$3:$B392=Party_Statement!$B$5)*($A$3:$A392&gt;=Party_Statement!$B$6)*($A$3:$A392&lt;=Party_Statement!$D$6)),""))</f>
        <v/>
      </c>
    </row>
    <row r="393" spans="1:10" x14ac:dyDescent="0.2">
      <c r="A393" s="148">
        <f>Sales_Entry!A424</f>
        <v>66933</v>
      </c>
      <c r="B393" s="149" t="str">
        <f>Sales_Entry!C424</f>
        <v xml:space="preserve">AAMOSH KIRANA </v>
      </c>
      <c r="C393" s="149" t="s">
        <v>984</v>
      </c>
      <c r="D393" s="149" t="str">
        <f>Sales_Entry!B424</f>
        <v>BILL-6345</v>
      </c>
      <c r="E393" s="149" t="str">
        <f>Sales_Entry!D424</f>
        <v>Mix Milk</v>
      </c>
      <c r="F393" s="150">
        <f>N(Sales_Entry!I424)</f>
        <v>3440</v>
      </c>
      <c r="G393" s="150">
        <v>0</v>
      </c>
      <c r="H393" s="150">
        <f t="shared" si="6"/>
        <v>3440</v>
      </c>
      <c r="I393" s="149"/>
      <c r="J393" t="str">
        <f>IF($B393="","",IF(AND($B393=Party_Statement!$B$5,$A393&gt;=Party_Statement!$B$6,$A393&lt;=Party_Statement!$D$6),SUMPRODUCT(($B$3:$B393=Party_Statement!$B$5)*($A$3:$A393&gt;=Party_Statement!$B$6)*($A$3:$A393&lt;=Party_Statement!$D$6)),""))</f>
        <v/>
      </c>
    </row>
    <row r="394" spans="1:10" x14ac:dyDescent="0.2">
      <c r="A394" s="148">
        <f>Sales_Entry!A425</f>
        <v>66933</v>
      </c>
      <c r="B394" s="149" t="str">
        <f>Sales_Entry!C425</f>
        <v xml:space="preserve">AAMOSH KIRANA </v>
      </c>
      <c r="C394" s="149" t="s">
        <v>984</v>
      </c>
      <c r="D394" s="149" t="str">
        <f>Sales_Entry!B425</f>
        <v>BILL-6345</v>
      </c>
      <c r="E394" s="149" t="str">
        <f>Sales_Entry!D425</f>
        <v>Mix Milk</v>
      </c>
      <c r="F394" s="150">
        <f>N(Sales_Entry!I425)</f>
        <v>5100</v>
      </c>
      <c r="G394" s="150">
        <v>0</v>
      </c>
      <c r="H394" s="150">
        <f t="shared" si="6"/>
        <v>8540</v>
      </c>
      <c r="I394" s="149"/>
      <c r="J394" t="str">
        <f>IF($B394="","",IF(AND($B394=Party_Statement!$B$5,$A394&gt;=Party_Statement!$B$6,$A394&lt;=Party_Statement!$D$6),SUMPRODUCT(($B$3:$B394=Party_Statement!$B$5)*($A$3:$A394&gt;=Party_Statement!$B$6)*($A$3:$A394&lt;=Party_Statement!$D$6)),""))</f>
        <v/>
      </c>
    </row>
    <row r="395" spans="1:10" x14ac:dyDescent="0.2">
      <c r="A395" s="148">
        <f>Sales_Entry!A426</f>
        <v>66933</v>
      </c>
      <c r="B395" s="149" t="str">
        <f>Sales_Entry!C426</f>
        <v xml:space="preserve">AAMOSH KIRANA </v>
      </c>
      <c r="C395" s="149" t="s">
        <v>984</v>
      </c>
      <c r="D395" s="149" t="str">
        <f>Sales_Entry!B426</f>
        <v>BILL-6345</v>
      </c>
      <c r="E395" s="149" t="str">
        <f>Sales_Entry!D426</f>
        <v>Cow Milk</v>
      </c>
      <c r="F395" s="150">
        <f>N(Sales_Entry!I426)</f>
        <v>80</v>
      </c>
      <c r="G395" s="150">
        <v>0</v>
      </c>
      <c r="H395" s="150">
        <f t="shared" si="6"/>
        <v>8620</v>
      </c>
      <c r="I395" s="149"/>
      <c r="J395" t="str">
        <f>IF($B395="","",IF(AND($B395=Party_Statement!$B$5,$A395&gt;=Party_Statement!$B$6,$A395&lt;=Party_Statement!$D$6),SUMPRODUCT(($B$3:$B395=Party_Statement!$B$5)*($A$3:$A395&gt;=Party_Statement!$B$6)*($A$3:$A395&lt;=Party_Statement!$D$6)),""))</f>
        <v/>
      </c>
    </row>
    <row r="396" spans="1:10" x14ac:dyDescent="0.2">
      <c r="A396" s="148">
        <f>Sales_Entry!A427</f>
        <v>66933</v>
      </c>
      <c r="B396" s="149" t="str">
        <f>Sales_Entry!C427</f>
        <v xml:space="preserve">AAYUSH AAYUSHMA </v>
      </c>
      <c r="C396" s="149" t="s">
        <v>984</v>
      </c>
      <c r="D396" s="149" t="str">
        <f>Sales_Entry!B427</f>
        <v>BILL-6346</v>
      </c>
      <c r="E396" s="149" t="str">
        <f>Sales_Entry!D427</f>
        <v>Mix Milk</v>
      </c>
      <c r="F396" s="150">
        <f>N(Sales_Entry!I427)</f>
        <v>680</v>
      </c>
      <c r="G396" s="150">
        <v>0</v>
      </c>
      <c r="H396" s="150">
        <f t="shared" si="6"/>
        <v>680</v>
      </c>
      <c r="I396" s="149"/>
      <c r="J396" t="str">
        <f>IF($B396="","",IF(AND($B396=Party_Statement!$B$5,$A396&gt;=Party_Statement!$B$6,$A396&lt;=Party_Statement!$D$6),SUMPRODUCT(($B$3:$B396=Party_Statement!$B$5)*($A$3:$A396&gt;=Party_Statement!$B$6)*($A$3:$A396&lt;=Party_Statement!$D$6)),""))</f>
        <v/>
      </c>
    </row>
    <row r="397" spans="1:10" x14ac:dyDescent="0.2">
      <c r="A397" s="148">
        <f>Sales_Entry!A428</f>
        <v>66933</v>
      </c>
      <c r="B397" s="149" t="str">
        <f>Sales_Entry!C428</f>
        <v xml:space="preserve">YUBARAJ AND SAMRAT </v>
      </c>
      <c r="C397" s="149" t="s">
        <v>984</v>
      </c>
      <c r="D397" s="149" t="str">
        <f>Sales_Entry!B428</f>
        <v>BILL-6347</v>
      </c>
      <c r="E397" s="149" t="str">
        <f>Sales_Entry!D428</f>
        <v>Mix Milk</v>
      </c>
      <c r="F397" s="150">
        <f>N(Sales_Entry!I428)</f>
        <v>1020</v>
      </c>
      <c r="G397" s="150">
        <v>0</v>
      </c>
      <c r="H397" s="150">
        <f t="shared" si="6"/>
        <v>1020</v>
      </c>
      <c r="I397" s="149"/>
      <c r="J397" t="str">
        <f>IF($B397="","",IF(AND($B397=Party_Statement!$B$5,$A397&gt;=Party_Statement!$B$6,$A397&lt;=Party_Statement!$D$6),SUMPRODUCT(($B$3:$B397=Party_Statement!$B$5)*($A$3:$A397&gt;=Party_Statement!$B$6)*($A$3:$A397&lt;=Party_Statement!$D$6)),""))</f>
        <v/>
      </c>
    </row>
    <row r="398" spans="1:10" x14ac:dyDescent="0.2">
      <c r="A398" s="148">
        <f>Sales_Entry!A429</f>
        <v>66933</v>
      </c>
      <c r="B398" s="149" t="str">
        <f>Sales_Entry!C429</f>
        <v>KRISHNA KHAREL</v>
      </c>
      <c r="C398" s="149" t="s">
        <v>984</v>
      </c>
      <c r="D398" s="149" t="str">
        <f>Sales_Entry!B429</f>
        <v>BILL-6348</v>
      </c>
      <c r="E398" s="149" t="str">
        <f>Sales_Entry!D429</f>
        <v>Mix Milk</v>
      </c>
      <c r="F398" s="150">
        <f>N(Sales_Entry!I429)</f>
        <v>301</v>
      </c>
      <c r="G398" s="150">
        <v>0</v>
      </c>
      <c r="H398" s="150">
        <f t="shared" si="6"/>
        <v>301</v>
      </c>
      <c r="I398" s="149"/>
      <c r="J398" t="str">
        <f>IF($B398="","",IF(AND($B398=Party_Statement!$B$5,$A398&gt;=Party_Statement!$B$6,$A398&lt;=Party_Statement!$D$6),SUMPRODUCT(($B$3:$B398=Party_Statement!$B$5)*($A$3:$A398&gt;=Party_Statement!$B$6)*($A$3:$A398&lt;=Party_Statement!$D$6)),""))</f>
        <v/>
      </c>
    </row>
    <row r="399" spans="1:10" x14ac:dyDescent="0.2">
      <c r="A399" s="148">
        <f>Sales_Entry!A430</f>
        <v>66933</v>
      </c>
      <c r="B399" s="149" t="str">
        <f>Sales_Entry!C430</f>
        <v>CHHATRABHUMI</v>
      </c>
      <c r="C399" s="149" t="s">
        <v>984</v>
      </c>
      <c r="D399" s="149" t="str">
        <f>Sales_Entry!B430</f>
        <v>BILL-6349</v>
      </c>
      <c r="E399" s="149" t="str">
        <f>Sales_Entry!D430</f>
        <v>Mix Milk</v>
      </c>
      <c r="F399" s="150">
        <f>N(Sales_Entry!I430)</f>
        <v>2580</v>
      </c>
      <c r="G399" s="150">
        <v>0</v>
      </c>
      <c r="H399" s="150">
        <f t="shared" si="6"/>
        <v>2580</v>
      </c>
      <c r="I399" s="149"/>
      <c r="J399" t="str">
        <f>IF($B399="","",IF(AND($B399=Party_Statement!$B$5,$A399&gt;=Party_Statement!$B$6,$A399&lt;=Party_Statement!$D$6),SUMPRODUCT(($B$3:$B399=Party_Statement!$B$5)*($A$3:$A399&gt;=Party_Statement!$B$6)*($A$3:$A399&lt;=Party_Statement!$D$6)),""))</f>
        <v/>
      </c>
    </row>
    <row r="400" spans="1:10" x14ac:dyDescent="0.2">
      <c r="A400" s="148">
        <f>Sales_Entry!A431</f>
        <v>66933</v>
      </c>
      <c r="B400" s="149" t="str">
        <f>Sales_Entry!C431</f>
        <v>DURGA MALLA</v>
      </c>
      <c r="C400" s="149" t="s">
        <v>984</v>
      </c>
      <c r="D400" s="149" t="str">
        <f>Sales_Entry!B431</f>
        <v>BILL-6350</v>
      </c>
      <c r="E400" s="149" t="str">
        <f>Sales_Entry!D431</f>
        <v>Ghee</v>
      </c>
      <c r="F400" s="150">
        <f>N(Sales_Entry!I431)</f>
        <v>2200</v>
      </c>
      <c r="G400" s="150">
        <v>0</v>
      </c>
      <c r="H400" s="150">
        <f t="shared" si="6"/>
        <v>2200</v>
      </c>
      <c r="I400" s="149"/>
      <c r="J400" t="str">
        <f>IF($B400="","",IF(AND($B400=Party_Statement!$B$5,$A400&gt;=Party_Statement!$B$6,$A400&lt;=Party_Statement!$D$6),SUMPRODUCT(($B$3:$B400=Party_Statement!$B$5)*($A$3:$A400&gt;=Party_Statement!$B$6)*($A$3:$A400&lt;=Party_Statement!$D$6)),""))</f>
        <v/>
      </c>
    </row>
    <row r="401" spans="1:10" x14ac:dyDescent="0.2">
      <c r="A401" s="148">
        <f>Sales_Entry!A432</f>
        <v>66933</v>
      </c>
      <c r="B401" s="149" t="str">
        <f>Sales_Entry!C432</f>
        <v xml:space="preserve">KRITIKA KIRANA </v>
      </c>
      <c r="C401" s="149" t="s">
        <v>984</v>
      </c>
      <c r="D401" s="149" t="str">
        <f>Sales_Entry!B432</f>
        <v>BILL-6351</v>
      </c>
      <c r="E401" s="149" t="str">
        <f>Sales_Entry!D432</f>
        <v>Mix Milk</v>
      </c>
      <c r="F401" s="150">
        <f>N(Sales_Entry!I432)</f>
        <v>1290</v>
      </c>
      <c r="G401" s="150">
        <v>0</v>
      </c>
      <c r="H401" s="150">
        <f t="shared" si="6"/>
        <v>1290</v>
      </c>
      <c r="I401" s="149"/>
      <c r="J401" t="str">
        <f>IF($B401="","",IF(AND($B401=Party_Statement!$B$5,$A401&gt;=Party_Statement!$B$6,$A401&lt;=Party_Statement!$D$6),SUMPRODUCT(($B$3:$B401=Party_Statement!$B$5)*($A$3:$A401&gt;=Party_Statement!$B$6)*($A$3:$A401&lt;=Party_Statement!$D$6)),""))</f>
        <v/>
      </c>
    </row>
    <row r="402" spans="1:10" x14ac:dyDescent="0.2">
      <c r="A402" s="148">
        <f>Sales_Entry!A433</f>
        <v>66933</v>
      </c>
      <c r="B402" s="149" t="str">
        <f>Sales_Entry!C433</f>
        <v xml:space="preserve">SAMIKSHYA </v>
      </c>
      <c r="C402" s="149" t="s">
        <v>984</v>
      </c>
      <c r="D402" s="149" t="str">
        <f>Sales_Entry!B433</f>
        <v>BILL-6352</v>
      </c>
      <c r="E402" s="149" t="str">
        <f>Sales_Entry!D433</f>
        <v>Mix Milk</v>
      </c>
      <c r="F402" s="150">
        <f>N(Sales_Entry!I433)</f>
        <v>680</v>
      </c>
      <c r="G402" s="150">
        <v>0</v>
      </c>
      <c r="H402" s="150">
        <f t="shared" si="6"/>
        <v>680</v>
      </c>
      <c r="I402" s="149"/>
      <c r="J402" t="str">
        <f>IF($B402="","",IF(AND($B402=Party_Statement!$B$5,$A402&gt;=Party_Statement!$B$6,$A402&lt;=Party_Statement!$D$6),SUMPRODUCT(($B$3:$B402=Party_Statement!$B$5)*($A$3:$A402&gt;=Party_Statement!$B$6)*($A$3:$A402&lt;=Party_Statement!$D$6)),""))</f>
        <v/>
      </c>
    </row>
    <row r="403" spans="1:10" x14ac:dyDescent="0.2">
      <c r="A403" s="148">
        <f>Sales_Entry!A434</f>
        <v>66933</v>
      </c>
      <c r="B403" s="149" t="str">
        <f>Sales_Entry!C434</f>
        <v>PALPALI</v>
      </c>
      <c r="C403" s="149" t="s">
        <v>984</v>
      </c>
      <c r="D403" s="149" t="str">
        <f>Sales_Entry!B434</f>
        <v>BILL-6353</v>
      </c>
      <c r="E403" s="149" t="str">
        <f>Sales_Entry!D434</f>
        <v>Mix Milk</v>
      </c>
      <c r="F403" s="150">
        <f>N(Sales_Entry!I434)</f>
        <v>1700</v>
      </c>
      <c r="G403" s="150">
        <v>0</v>
      </c>
      <c r="H403" s="150">
        <f t="shared" si="6"/>
        <v>1700</v>
      </c>
      <c r="I403" s="149"/>
      <c r="J403" t="str">
        <f>IF($B403="","",IF(AND($B403=Party_Statement!$B$5,$A403&gt;=Party_Statement!$B$6,$A403&lt;=Party_Statement!$D$6),SUMPRODUCT(($B$3:$B403=Party_Statement!$B$5)*($A$3:$A403&gt;=Party_Statement!$B$6)*($A$3:$A403&lt;=Party_Statement!$D$6)),""))</f>
        <v/>
      </c>
    </row>
    <row r="404" spans="1:10" x14ac:dyDescent="0.2">
      <c r="A404" s="148">
        <f>Sales_Entry!A435</f>
        <v>66933</v>
      </c>
      <c r="B404" s="149" t="str">
        <f>Sales_Entry!C435</f>
        <v xml:space="preserve">GIRI KIRANA </v>
      </c>
      <c r="C404" s="149" t="s">
        <v>984</v>
      </c>
      <c r="D404" s="149" t="str">
        <f>Sales_Entry!B435</f>
        <v>BILL-6354</v>
      </c>
      <c r="E404" s="149" t="str">
        <f>Sales_Entry!D435</f>
        <v>Mix Milk</v>
      </c>
      <c r="F404" s="150">
        <f>N(Sales_Entry!I435)</f>
        <v>1275</v>
      </c>
      <c r="G404" s="150">
        <v>0</v>
      </c>
      <c r="H404" s="150">
        <f t="shared" si="6"/>
        <v>1275</v>
      </c>
      <c r="I404" s="149"/>
      <c r="J404" t="str">
        <f>IF($B404="","",IF(AND($B404=Party_Statement!$B$5,$A404&gt;=Party_Statement!$B$6,$A404&lt;=Party_Statement!$D$6),SUMPRODUCT(($B$3:$B404=Party_Statement!$B$5)*($A$3:$A404&gt;=Party_Statement!$B$6)*($A$3:$A404&lt;=Party_Statement!$D$6)),""))</f>
        <v/>
      </c>
    </row>
    <row r="405" spans="1:10" x14ac:dyDescent="0.2">
      <c r="A405" s="148">
        <f>Sales_Entry!A436</f>
        <v>66933</v>
      </c>
      <c r="B405" s="149" t="str">
        <f>Sales_Entry!C436</f>
        <v xml:space="preserve">DEURALI KIRANA </v>
      </c>
      <c r="C405" s="149" t="s">
        <v>984</v>
      </c>
      <c r="D405" s="149" t="str">
        <f>Sales_Entry!B436</f>
        <v>BILL-6355</v>
      </c>
      <c r="E405" s="149" t="str">
        <f>Sales_Entry!D436</f>
        <v>Mix Milk</v>
      </c>
      <c r="F405" s="150">
        <f>N(Sales_Entry!I436)</f>
        <v>425</v>
      </c>
      <c r="G405" s="150">
        <v>0</v>
      </c>
      <c r="H405" s="150">
        <f t="shared" si="6"/>
        <v>425</v>
      </c>
      <c r="I405" s="149"/>
      <c r="J405" t="str">
        <f>IF($B405="","",IF(AND($B405=Party_Statement!$B$5,$A405&gt;=Party_Statement!$B$6,$A405&lt;=Party_Statement!$D$6),SUMPRODUCT(($B$3:$B405=Party_Statement!$B$5)*($A$3:$A405&gt;=Party_Statement!$B$6)*($A$3:$A405&lt;=Party_Statement!$D$6)),""))</f>
        <v/>
      </c>
    </row>
    <row r="406" spans="1:10" x14ac:dyDescent="0.2">
      <c r="A406" s="148">
        <f>Sales_Entry!A437</f>
        <v>66933</v>
      </c>
      <c r="B406" s="149" t="str">
        <f>Sales_Entry!C437</f>
        <v>SHARMA DAI</v>
      </c>
      <c r="C406" s="149" t="s">
        <v>984</v>
      </c>
      <c r="D406" s="149" t="str">
        <f>Sales_Entry!B437</f>
        <v>BILL-6356</v>
      </c>
      <c r="E406" s="149" t="str">
        <f>Sales_Entry!D437</f>
        <v>Mix Milk</v>
      </c>
      <c r="F406" s="150">
        <f>N(Sales_Entry!I437)</f>
        <v>2520</v>
      </c>
      <c r="G406" s="150">
        <v>0</v>
      </c>
      <c r="H406" s="150">
        <f t="shared" si="6"/>
        <v>2520</v>
      </c>
      <c r="I406" s="149"/>
      <c r="J406" t="str">
        <f>IF($B406="","",IF(AND($B406=Party_Statement!$B$5,$A406&gt;=Party_Statement!$B$6,$A406&lt;=Party_Statement!$D$6),SUMPRODUCT(($B$3:$B406=Party_Statement!$B$5)*($A$3:$A406&gt;=Party_Statement!$B$6)*($A$3:$A406&lt;=Party_Statement!$D$6)),""))</f>
        <v/>
      </c>
    </row>
    <row r="407" spans="1:10" x14ac:dyDescent="0.2">
      <c r="A407" s="148">
        <f>Sales_Entry!A438</f>
        <v>66933</v>
      </c>
      <c r="B407" s="149" t="str">
        <f>Sales_Entry!C438</f>
        <v>GANGA NEUPANE</v>
      </c>
      <c r="C407" s="149" t="s">
        <v>984</v>
      </c>
      <c r="D407" s="149" t="str">
        <f>Sales_Entry!B438</f>
        <v>BILL-6357</v>
      </c>
      <c r="E407" s="149" t="str">
        <f>Sales_Entry!D438</f>
        <v>Mix Milk</v>
      </c>
      <c r="F407" s="150">
        <f>N(Sales_Entry!I438)</f>
        <v>595</v>
      </c>
      <c r="G407" s="150">
        <v>0</v>
      </c>
      <c r="H407" s="150">
        <f t="shared" si="6"/>
        <v>595</v>
      </c>
      <c r="I407" s="149"/>
      <c r="J407" t="str">
        <f>IF($B407="","",IF(AND($B407=Party_Statement!$B$5,$A407&gt;=Party_Statement!$B$6,$A407&lt;=Party_Statement!$D$6),SUMPRODUCT(($B$3:$B407=Party_Statement!$B$5)*($A$3:$A407&gt;=Party_Statement!$B$6)*($A$3:$A407&lt;=Party_Statement!$D$6)),""))</f>
        <v/>
      </c>
    </row>
    <row r="408" spans="1:10" x14ac:dyDescent="0.2">
      <c r="A408" s="148">
        <f>Sales_Entry!A439</f>
        <v>66933</v>
      </c>
      <c r="B408" s="149" t="str">
        <f>Sales_Entry!C439</f>
        <v>BHUSAL JANARAL</v>
      </c>
      <c r="C408" s="149" t="s">
        <v>984</v>
      </c>
      <c r="D408" s="149" t="str">
        <f>Sales_Entry!B439</f>
        <v>BILL-6358</v>
      </c>
      <c r="E408" s="149" t="str">
        <f>Sales_Entry!D439</f>
        <v>Mix Milk</v>
      </c>
      <c r="F408" s="150">
        <f>N(Sales_Entry!I439)</f>
        <v>3400</v>
      </c>
      <c r="G408" s="150">
        <v>0</v>
      </c>
      <c r="H408" s="150">
        <f t="shared" si="6"/>
        <v>3400</v>
      </c>
      <c r="I408" s="149"/>
      <c r="J408" t="str">
        <f>IF($B408="","",IF(AND($B408=Party_Statement!$B$5,$A408&gt;=Party_Statement!$B$6,$A408&lt;=Party_Statement!$D$6),SUMPRODUCT(($B$3:$B408=Party_Statement!$B$5)*($A$3:$A408&gt;=Party_Statement!$B$6)*($A$3:$A408&lt;=Party_Statement!$D$6)),""))</f>
        <v/>
      </c>
    </row>
    <row r="409" spans="1:10" x14ac:dyDescent="0.2">
      <c r="A409" s="148">
        <f>Sales_Entry!A440</f>
        <v>66933</v>
      </c>
      <c r="B409" s="149" t="str">
        <f>Sales_Entry!C440</f>
        <v>BHUSAL JANARAL</v>
      </c>
      <c r="C409" s="149" t="s">
        <v>984</v>
      </c>
      <c r="D409" s="149" t="str">
        <f>Sales_Entry!B440</f>
        <v>BILL-6358</v>
      </c>
      <c r="E409" s="149" t="str">
        <f>Sales_Entry!D440</f>
        <v>Mix Milk</v>
      </c>
      <c r="F409" s="150">
        <f>N(Sales_Entry!I440)</f>
        <v>430</v>
      </c>
      <c r="G409" s="150">
        <v>0</v>
      </c>
      <c r="H409" s="150">
        <f t="shared" si="6"/>
        <v>3830</v>
      </c>
      <c r="I409" s="149"/>
      <c r="J409" t="str">
        <f>IF($B409="","",IF(AND($B409=Party_Statement!$B$5,$A409&gt;=Party_Statement!$B$6,$A409&lt;=Party_Statement!$D$6),SUMPRODUCT(($B$3:$B409=Party_Statement!$B$5)*($A$3:$A409&gt;=Party_Statement!$B$6)*($A$3:$A409&lt;=Party_Statement!$D$6)),""))</f>
        <v/>
      </c>
    </row>
    <row r="410" spans="1:10" x14ac:dyDescent="0.2">
      <c r="A410" s="148">
        <f>Sales_Entry!A441</f>
        <v>66933</v>
      </c>
      <c r="B410" s="149" t="str">
        <f>Sales_Entry!C441</f>
        <v>NEUPANE KIRANA</v>
      </c>
      <c r="C410" s="149" t="s">
        <v>984</v>
      </c>
      <c r="D410" s="149" t="str">
        <f>Sales_Entry!B441</f>
        <v>BILL-6359</v>
      </c>
      <c r="E410" s="149" t="str">
        <f>Sales_Entry!D441</f>
        <v>Mix Milk</v>
      </c>
      <c r="F410" s="150">
        <f>N(Sales_Entry!I441)</f>
        <v>200</v>
      </c>
      <c r="G410" s="150">
        <v>0</v>
      </c>
      <c r="H410" s="150">
        <f t="shared" si="6"/>
        <v>200</v>
      </c>
      <c r="I410" s="149"/>
      <c r="J410" t="str">
        <f>IF($B410="","",IF(AND($B410=Party_Statement!$B$5,$A410&gt;=Party_Statement!$B$6,$A410&lt;=Party_Statement!$D$6),SUMPRODUCT(($B$3:$B410=Party_Statement!$B$5)*($A$3:$A410&gt;=Party_Statement!$B$6)*($A$3:$A410&lt;=Party_Statement!$D$6)),""))</f>
        <v/>
      </c>
    </row>
    <row r="411" spans="1:10" x14ac:dyDescent="0.2">
      <c r="A411" s="148">
        <f>Sales_Entry!A442</f>
        <v>66934</v>
      </c>
      <c r="B411" s="149" t="str">
        <f>Sales_Entry!C442</f>
        <v>GANGA NEUPANE</v>
      </c>
      <c r="C411" s="149" t="s">
        <v>984</v>
      </c>
      <c r="D411" s="149" t="str">
        <f>Sales_Entry!B442</f>
        <v>BILL-6361</v>
      </c>
      <c r="E411" s="149" t="str">
        <f>Sales_Entry!D442</f>
        <v>Mix Milk</v>
      </c>
      <c r="F411" s="150">
        <f>N(Sales_Entry!I442)</f>
        <v>510</v>
      </c>
      <c r="G411" s="150">
        <v>0</v>
      </c>
      <c r="H411" s="150">
        <f t="shared" si="6"/>
        <v>510</v>
      </c>
      <c r="I411" s="149"/>
      <c r="J411" t="str">
        <f>IF($B411="","",IF(AND($B411=Party_Statement!$B$5,$A411&gt;=Party_Statement!$B$6,$A411&lt;=Party_Statement!$D$6),SUMPRODUCT(($B$3:$B411=Party_Statement!$B$5)*($A$3:$A411&gt;=Party_Statement!$B$6)*($A$3:$A411&lt;=Party_Statement!$D$6)),""))</f>
        <v/>
      </c>
    </row>
    <row r="412" spans="1:10" x14ac:dyDescent="0.2">
      <c r="A412" s="148">
        <f>Sales_Entry!A443</f>
        <v>66934</v>
      </c>
      <c r="B412" s="149" t="str">
        <f>Sales_Entry!C443</f>
        <v>SRIJANA DAIRY (DEVI NAGAR)</v>
      </c>
      <c r="C412" s="149" t="s">
        <v>984</v>
      </c>
      <c r="D412" s="149" t="str">
        <f>Sales_Entry!B443</f>
        <v>BILL-6362</v>
      </c>
      <c r="E412" s="149" t="str">
        <f>Sales_Entry!D443</f>
        <v>Mix Milk</v>
      </c>
      <c r="F412" s="150">
        <f>N(Sales_Entry!I443)</f>
        <v>5100</v>
      </c>
      <c r="G412" s="150">
        <v>0</v>
      </c>
      <c r="H412" s="150">
        <f t="shared" si="6"/>
        <v>5100</v>
      </c>
      <c r="I412" s="149"/>
      <c r="J412" t="str">
        <f>IF($B412="","",IF(AND($B412=Party_Statement!$B$5,$A412&gt;=Party_Statement!$B$6,$A412&lt;=Party_Statement!$D$6),SUMPRODUCT(($B$3:$B412=Party_Statement!$B$5)*($A$3:$A412&gt;=Party_Statement!$B$6)*($A$3:$A412&lt;=Party_Statement!$D$6)),""))</f>
        <v/>
      </c>
    </row>
    <row r="413" spans="1:10" x14ac:dyDescent="0.2">
      <c r="A413" s="148">
        <f>Sales_Entry!A444</f>
        <v>66934</v>
      </c>
      <c r="B413" s="149" t="str">
        <f>Sales_Entry!C444</f>
        <v>KRISHNA KHAREL</v>
      </c>
      <c r="C413" s="149" t="s">
        <v>984</v>
      </c>
      <c r="D413" s="149" t="str">
        <f>Sales_Entry!B444</f>
        <v>BILL-6363</v>
      </c>
      <c r="E413" s="149" t="str">
        <f>Sales_Entry!D444</f>
        <v>Mix Milk</v>
      </c>
      <c r="F413" s="150">
        <f>N(Sales_Entry!I444)</f>
        <v>301</v>
      </c>
      <c r="G413" s="150">
        <v>0</v>
      </c>
      <c r="H413" s="150">
        <f t="shared" si="6"/>
        <v>301</v>
      </c>
      <c r="I413" s="149"/>
      <c r="J413" t="str">
        <f>IF($B413="","",IF(AND($B413=Party_Statement!$B$5,$A413&gt;=Party_Statement!$B$6,$A413&lt;=Party_Statement!$D$6),SUMPRODUCT(($B$3:$B413=Party_Statement!$B$5)*($A$3:$A413&gt;=Party_Statement!$B$6)*($A$3:$A413&lt;=Party_Statement!$D$6)),""))</f>
        <v/>
      </c>
    </row>
    <row r="414" spans="1:10" x14ac:dyDescent="0.2">
      <c r="A414" s="148">
        <f>Sales_Entry!A445</f>
        <v>66934</v>
      </c>
      <c r="B414" s="149" t="str">
        <f>Sales_Entry!C445</f>
        <v>CHHATRABHUMI</v>
      </c>
      <c r="C414" s="149" t="s">
        <v>984</v>
      </c>
      <c r="D414" s="149" t="str">
        <f>Sales_Entry!B445</f>
        <v>BILL-6364</v>
      </c>
      <c r="E414" s="149" t="str">
        <f>Sales_Entry!D445</f>
        <v>Mix Milk</v>
      </c>
      <c r="F414" s="150">
        <f>N(Sales_Entry!I445)</f>
        <v>2580</v>
      </c>
      <c r="G414" s="150">
        <v>0</v>
      </c>
      <c r="H414" s="150">
        <f t="shared" si="6"/>
        <v>2580</v>
      </c>
      <c r="I414" s="149"/>
      <c r="J414" t="str">
        <f>IF($B414="","",IF(AND($B414=Party_Statement!$B$5,$A414&gt;=Party_Statement!$B$6,$A414&lt;=Party_Statement!$D$6),SUMPRODUCT(($B$3:$B414=Party_Statement!$B$5)*($A$3:$A414&gt;=Party_Statement!$B$6)*($A$3:$A414&lt;=Party_Statement!$D$6)),""))</f>
        <v/>
      </c>
    </row>
    <row r="415" spans="1:10" x14ac:dyDescent="0.2">
      <c r="A415" s="148">
        <f>Sales_Entry!A446</f>
        <v>66934</v>
      </c>
      <c r="B415" s="149" t="str">
        <f>Sales_Entry!C446</f>
        <v xml:space="preserve">KRITIKA KIRANA </v>
      </c>
      <c r="C415" s="149" t="s">
        <v>984</v>
      </c>
      <c r="D415" s="149" t="str">
        <f>Sales_Entry!B446</f>
        <v>BILL-6365</v>
      </c>
      <c r="E415" s="149" t="str">
        <f>Sales_Entry!D446</f>
        <v>Mix Milk</v>
      </c>
      <c r="F415" s="150">
        <f>N(Sales_Entry!I446)</f>
        <v>1290</v>
      </c>
      <c r="G415" s="150">
        <v>0</v>
      </c>
      <c r="H415" s="150">
        <f t="shared" si="6"/>
        <v>1290</v>
      </c>
      <c r="I415" s="149"/>
      <c r="J415" t="str">
        <f>IF($B415="","",IF(AND($B415=Party_Statement!$B$5,$A415&gt;=Party_Statement!$B$6,$A415&lt;=Party_Statement!$D$6),SUMPRODUCT(($B$3:$B415=Party_Statement!$B$5)*($A$3:$A415&gt;=Party_Statement!$B$6)*($A$3:$A415&lt;=Party_Statement!$D$6)),""))</f>
        <v/>
      </c>
    </row>
    <row r="416" spans="1:10" x14ac:dyDescent="0.2">
      <c r="A416" s="148">
        <f>Sales_Entry!A447</f>
        <v>66934</v>
      </c>
      <c r="B416" s="149" t="str">
        <f>Sales_Entry!C447</f>
        <v xml:space="preserve">SOBHA BHATTARAI </v>
      </c>
      <c r="C416" s="149" t="s">
        <v>984</v>
      </c>
      <c r="D416" s="149" t="str">
        <f>Sales_Entry!B447</f>
        <v>BILL-6366</v>
      </c>
      <c r="E416" s="149" t="str">
        <f>Sales_Entry!D447</f>
        <v>Mix Milk</v>
      </c>
      <c r="F416" s="150">
        <f>N(Sales_Entry!I447)</f>
        <v>2975</v>
      </c>
      <c r="G416" s="150">
        <v>0</v>
      </c>
      <c r="H416" s="150">
        <f t="shared" si="6"/>
        <v>2975</v>
      </c>
      <c r="I416" s="149"/>
      <c r="J416" t="str">
        <f>IF($B416="","",IF(AND($B416=Party_Statement!$B$5,$A416&gt;=Party_Statement!$B$6,$A416&lt;=Party_Statement!$D$6),SUMPRODUCT(($B$3:$B416=Party_Statement!$B$5)*($A$3:$A416&gt;=Party_Statement!$B$6)*($A$3:$A416&lt;=Party_Statement!$D$6)),""))</f>
        <v/>
      </c>
    </row>
    <row r="417" spans="1:10" x14ac:dyDescent="0.2">
      <c r="A417" s="148">
        <f>Sales_Entry!A448</f>
        <v>66934</v>
      </c>
      <c r="B417" s="149" t="str">
        <f>Sales_Entry!C448</f>
        <v>MANAKAMANA DAIRY</v>
      </c>
      <c r="C417" s="149" t="s">
        <v>984</v>
      </c>
      <c r="D417" s="149" t="str">
        <f>Sales_Entry!B448</f>
        <v>BILL-6367</v>
      </c>
      <c r="E417" s="149" t="str">
        <f>Sales_Entry!D448</f>
        <v>Mix Milk</v>
      </c>
      <c r="F417" s="150">
        <f>N(Sales_Entry!I448)</f>
        <v>425</v>
      </c>
      <c r="G417" s="150">
        <v>0</v>
      </c>
      <c r="H417" s="150">
        <f t="shared" si="6"/>
        <v>425</v>
      </c>
      <c r="I417" s="149"/>
      <c r="J417" t="str">
        <f>IF($B417="","",IF(AND($B417=Party_Statement!$B$5,$A417&gt;=Party_Statement!$B$6,$A417&lt;=Party_Statement!$D$6),SUMPRODUCT(($B$3:$B417=Party_Statement!$B$5)*($A$3:$A417&gt;=Party_Statement!$B$6)*($A$3:$A417&lt;=Party_Statement!$D$6)),""))</f>
        <v/>
      </c>
    </row>
    <row r="418" spans="1:10" x14ac:dyDescent="0.2">
      <c r="A418" s="148">
        <f>Sales_Entry!A449</f>
        <v>66934</v>
      </c>
      <c r="B418" s="149" t="str">
        <f>Sales_Entry!C449</f>
        <v xml:space="preserve">YUBARAJ AND SAMRAT </v>
      </c>
      <c r="C418" s="149" t="s">
        <v>984</v>
      </c>
      <c r="D418" s="149" t="str">
        <f>Sales_Entry!B449</f>
        <v>BILL-6368</v>
      </c>
      <c r="E418" s="149" t="str">
        <f>Sales_Entry!D449</f>
        <v>Mix Milk</v>
      </c>
      <c r="F418" s="150">
        <f>N(Sales_Entry!I449)</f>
        <v>1275</v>
      </c>
      <c r="G418" s="150">
        <v>0</v>
      </c>
      <c r="H418" s="150">
        <f t="shared" si="6"/>
        <v>1275</v>
      </c>
      <c r="I418" s="149"/>
      <c r="J418" t="str">
        <f>IF($B418="","",IF(AND($B418=Party_Statement!$B$5,$A418&gt;=Party_Statement!$B$6,$A418&lt;=Party_Statement!$D$6),SUMPRODUCT(($B$3:$B418=Party_Statement!$B$5)*($A$3:$A418&gt;=Party_Statement!$B$6)*($A$3:$A418&lt;=Party_Statement!$D$6)),""))</f>
        <v/>
      </c>
    </row>
    <row r="419" spans="1:10" x14ac:dyDescent="0.2">
      <c r="A419" s="148">
        <f>Sales_Entry!A450</f>
        <v>66934</v>
      </c>
      <c r="B419" s="149" t="str">
        <f>Sales_Entry!C450</f>
        <v>ORGANIC TARKALI</v>
      </c>
      <c r="C419" s="149" t="s">
        <v>984</v>
      </c>
      <c r="D419" s="149" t="str">
        <f>Sales_Entry!B450</f>
        <v>BILL-6369</v>
      </c>
      <c r="E419" s="149" t="str">
        <f>Sales_Entry!D450</f>
        <v>Mix Milk</v>
      </c>
      <c r="F419" s="150">
        <f>N(Sales_Entry!I450)</f>
        <v>1995</v>
      </c>
      <c r="G419" s="150">
        <v>0</v>
      </c>
      <c r="H419" s="150">
        <f t="shared" si="6"/>
        <v>1995</v>
      </c>
      <c r="I419" s="149"/>
      <c r="J419" t="str">
        <f>IF($B419="","",IF(AND($B419=Party_Statement!$B$5,$A419&gt;=Party_Statement!$B$6,$A419&lt;=Party_Statement!$D$6),SUMPRODUCT(($B$3:$B419=Party_Statement!$B$5)*($A$3:$A419&gt;=Party_Statement!$B$6)*($A$3:$A419&lt;=Party_Statement!$D$6)),""))</f>
        <v/>
      </c>
    </row>
    <row r="420" spans="1:10" x14ac:dyDescent="0.2">
      <c r="A420" s="148">
        <f>Sales_Entry!A451</f>
        <v>66934</v>
      </c>
      <c r="B420" s="149" t="str">
        <f>Sales_Entry!C451</f>
        <v>PALPALI</v>
      </c>
      <c r="C420" s="149" t="s">
        <v>984</v>
      </c>
      <c r="D420" s="149" t="str">
        <f>Sales_Entry!B451</f>
        <v>BILL-6370</v>
      </c>
      <c r="E420" s="149" t="str">
        <f>Sales_Entry!D451</f>
        <v>Mix Milk</v>
      </c>
      <c r="F420" s="150">
        <f>N(Sales_Entry!I451)</f>
        <v>1700</v>
      </c>
      <c r="G420" s="150">
        <v>0</v>
      </c>
      <c r="H420" s="150">
        <f t="shared" si="6"/>
        <v>1700</v>
      </c>
      <c r="I420" s="149"/>
      <c r="J420" t="str">
        <f>IF($B420="","",IF(AND($B420=Party_Statement!$B$5,$A420&gt;=Party_Statement!$B$6,$A420&lt;=Party_Statement!$D$6),SUMPRODUCT(($B$3:$B420=Party_Statement!$B$5)*($A$3:$A420&gt;=Party_Statement!$B$6)*($A$3:$A420&lt;=Party_Statement!$D$6)),""))</f>
        <v/>
      </c>
    </row>
    <row r="421" spans="1:10" x14ac:dyDescent="0.2">
      <c r="A421" s="148">
        <f>Sales_Entry!A452</f>
        <v>66934</v>
      </c>
      <c r="B421" s="149" t="str">
        <f>Sales_Entry!C452</f>
        <v xml:space="preserve">GIRI KIRANA </v>
      </c>
      <c r="C421" s="149" t="s">
        <v>984</v>
      </c>
      <c r="D421" s="149" t="str">
        <f>Sales_Entry!B452</f>
        <v>BILL-6371</v>
      </c>
      <c r="E421" s="149" t="str">
        <f>Sales_Entry!D452</f>
        <v>Mix Milk</v>
      </c>
      <c r="F421" s="150">
        <f>N(Sales_Entry!I452)</f>
        <v>1275</v>
      </c>
      <c r="G421" s="150">
        <v>0</v>
      </c>
      <c r="H421" s="150">
        <f t="shared" si="6"/>
        <v>1275</v>
      </c>
      <c r="I421" s="149"/>
      <c r="J421" t="str">
        <f>IF($B421="","",IF(AND($B421=Party_Statement!$B$5,$A421&gt;=Party_Statement!$B$6,$A421&lt;=Party_Statement!$D$6),SUMPRODUCT(($B$3:$B421=Party_Statement!$B$5)*($A$3:$A421&gt;=Party_Statement!$B$6)*($A$3:$A421&lt;=Party_Statement!$D$6)),""))</f>
        <v/>
      </c>
    </row>
    <row r="422" spans="1:10" x14ac:dyDescent="0.2">
      <c r="A422" s="148">
        <f>Sales_Entry!A453</f>
        <v>66934</v>
      </c>
      <c r="B422" s="149" t="str">
        <f>Sales_Entry!C453</f>
        <v xml:space="preserve">DEURALI KIRANA </v>
      </c>
      <c r="C422" s="149" t="s">
        <v>984</v>
      </c>
      <c r="D422" s="149" t="str">
        <f>Sales_Entry!B453</f>
        <v>BILL-6372</v>
      </c>
      <c r="E422" s="149" t="str">
        <f>Sales_Entry!D453</f>
        <v>Mix Milk</v>
      </c>
      <c r="F422" s="150">
        <f>N(Sales_Entry!I453)</f>
        <v>425</v>
      </c>
      <c r="G422" s="150">
        <v>0</v>
      </c>
      <c r="H422" s="150">
        <f t="shared" si="6"/>
        <v>425</v>
      </c>
      <c r="I422" s="149"/>
      <c r="J422" t="str">
        <f>IF($B422="","",IF(AND($B422=Party_Statement!$B$5,$A422&gt;=Party_Statement!$B$6,$A422&lt;=Party_Statement!$D$6),SUMPRODUCT(($B$3:$B422=Party_Statement!$B$5)*($A$3:$A422&gt;=Party_Statement!$B$6)*($A$3:$A422&lt;=Party_Statement!$D$6)),""))</f>
        <v/>
      </c>
    </row>
    <row r="423" spans="1:10" x14ac:dyDescent="0.2">
      <c r="A423" s="148">
        <f>Sales_Entry!A454</f>
        <v>66934</v>
      </c>
      <c r="B423" s="149" t="str">
        <f>Sales_Entry!C454</f>
        <v xml:space="preserve">AAMOSH KIRANA </v>
      </c>
      <c r="C423" s="149" t="s">
        <v>984</v>
      </c>
      <c r="D423" s="149" t="str">
        <f>Sales_Entry!B454</f>
        <v>BILL-6373</v>
      </c>
      <c r="E423" s="149" t="str">
        <f>Sales_Entry!D454</f>
        <v>Mix Milk</v>
      </c>
      <c r="F423" s="150">
        <f>N(Sales_Entry!I454)</f>
        <v>5950</v>
      </c>
      <c r="G423" s="150">
        <v>0</v>
      </c>
      <c r="H423" s="150">
        <f t="shared" si="6"/>
        <v>5950</v>
      </c>
      <c r="I423" s="149"/>
      <c r="J423" t="str">
        <f>IF($B423="","",IF(AND($B423=Party_Statement!$B$5,$A423&gt;=Party_Statement!$B$6,$A423&lt;=Party_Statement!$D$6),SUMPRODUCT(($B$3:$B423=Party_Statement!$B$5)*($A$3:$A423&gt;=Party_Statement!$B$6)*($A$3:$A423&lt;=Party_Statement!$D$6)),""))</f>
        <v/>
      </c>
    </row>
    <row r="424" spans="1:10" x14ac:dyDescent="0.2">
      <c r="A424" s="148">
        <f>Sales_Entry!A455</f>
        <v>66934</v>
      </c>
      <c r="B424" s="149" t="str">
        <f>Sales_Entry!C455</f>
        <v xml:space="preserve">AAMOSH KIRANA </v>
      </c>
      <c r="C424" s="149" t="s">
        <v>984</v>
      </c>
      <c r="D424" s="149" t="str">
        <f>Sales_Entry!B455</f>
        <v>BILL-6373</v>
      </c>
      <c r="E424" s="149" t="str">
        <f>Sales_Entry!D455</f>
        <v>Mix Milk</v>
      </c>
      <c r="F424" s="150">
        <f>N(Sales_Entry!I455)</f>
        <v>2580</v>
      </c>
      <c r="G424" s="150">
        <v>0</v>
      </c>
      <c r="H424" s="150">
        <f t="shared" si="6"/>
        <v>8530</v>
      </c>
      <c r="I424" s="149"/>
      <c r="J424" t="str">
        <f>IF($B424="","",IF(AND($B424=Party_Statement!$B$5,$A424&gt;=Party_Statement!$B$6,$A424&lt;=Party_Statement!$D$6),SUMPRODUCT(($B$3:$B424=Party_Statement!$B$5)*($A$3:$A424&gt;=Party_Statement!$B$6)*($A$3:$A424&lt;=Party_Statement!$D$6)),""))</f>
        <v/>
      </c>
    </row>
    <row r="425" spans="1:10" x14ac:dyDescent="0.2">
      <c r="A425" s="148">
        <f>Sales_Entry!A456</f>
        <v>66934</v>
      </c>
      <c r="B425" s="149" t="str">
        <f>Sales_Entry!C456</f>
        <v xml:space="preserve">SAMIKSHYA </v>
      </c>
      <c r="C425" s="149" t="s">
        <v>984</v>
      </c>
      <c r="D425" s="149" t="str">
        <f>Sales_Entry!B456</f>
        <v>BILL-6374</v>
      </c>
      <c r="E425" s="149" t="str">
        <f>Sales_Entry!D456</f>
        <v>Mix Milk</v>
      </c>
      <c r="F425" s="150">
        <f>N(Sales_Entry!I456)</f>
        <v>680</v>
      </c>
      <c r="G425" s="150">
        <v>0</v>
      </c>
      <c r="H425" s="150">
        <f t="shared" si="6"/>
        <v>680</v>
      </c>
      <c r="I425" s="149"/>
      <c r="J425" t="str">
        <f>IF($B425="","",IF(AND($B425=Party_Statement!$B$5,$A425&gt;=Party_Statement!$B$6,$A425&lt;=Party_Statement!$D$6),SUMPRODUCT(($B$3:$B425=Party_Statement!$B$5)*($A$3:$A425&gt;=Party_Statement!$B$6)*($A$3:$A425&lt;=Party_Statement!$D$6)),""))</f>
        <v/>
      </c>
    </row>
    <row r="426" spans="1:10" x14ac:dyDescent="0.2">
      <c r="A426" s="148">
        <f>Sales_Entry!A457</f>
        <v>66934</v>
      </c>
      <c r="B426" s="149" t="str">
        <f>Sales_Entry!C457</f>
        <v>SHARMA DAI</v>
      </c>
      <c r="C426" s="149" t="s">
        <v>984</v>
      </c>
      <c r="D426" s="149" t="str">
        <f>Sales_Entry!B457</f>
        <v>BILL-6375</v>
      </c>
      <c r="E426" s="149" t="str">
        <f>Sales_Entry!D457</f>
        <v>Mix Milk</v>
      </c>
      <c r="F426" s="150">
        <f>N(Sales_Entry!I457)</f>
        <v>2688</v>
      </c>
      <c r="G426" s="150">
        <v>0</v>
      </c>
      <c r="H426" s="150">
        <f t="shared" si="6"/>
        <v>2688</v>
      </c>
      <c r="I426" s="149"/>
      <c r="J426" t="str">
        <f>IF($B426="","",IF(AND($B426=Party_Statement!$B$5,$A426&gt;=Party_Statement!$B$6,$A426&lt;=Party_Statement!$D$6),SUMPRODUCT(($B$3:$B426=Party_Statement!$B$5)*($A$3:$A426&gt;=Party_Statement!$B$6)*($A$3:$A426&lt;=Party_Statement!$D$6)),""))</f>
        <v/>
      </c>
    </row>
    <row r="427" spans="1:10" x14ac:dyDescent="0.2">
      <c r="A427" s="148">
        <f>Sales_Entry!A458</f>
        <v>66934</v>
      </c>
      <c r="B427" s="149" t="str">
        <f>Sales_Entry!C458</f>
        <v>LOCAL</v>
      </c>
      <c r="C427" s="149" t="s">
        <v>984</v>
      </c>
      <c r="D427" s="149" t="str">
        <f>Sales_Entry!B458</f>
        <v>BILL-6376</v>
      </c>
      <c r="E427" s="149" t="str">
        <f>Sales_Entry!D458</f>
        <v>Mix Milk</v>
      </c>
      <c r="F427" s="150">
        <f>N(Sales_Entry!I458)</f>
        <v>529.98</v>
      </c>
      <c r="G427" s="150">
        <v>0</v>
      </c>
      <c r="H427" s="150">
        <f t="shared" si="6"/>
        <v>529.98</v>
      </c>
      <c r="I427" s="149"/>
      <c r="J427" t="str">
        <f>IF($B427="","",IF(AND($B427=Party_Statement!$B$5,$A427&gt;=Party_Statement!$B$6,$A427&lt;=Party_Statement!$D$6),SUMPRODUCT(($B$3:$B427=Party_Statement!$B$5)*($A$3:$A427&gt;=Party_Statement!$B$6)*($A$3:$A427&lt;=Party_Statement!$D$6)),""))</f>
        <v/>
      </c>
    </row>
    <row r="428" spans="1:10" x14ac:dyDescent="0.2">
      <c r="A428" s="148">
        <f>Sales_Entry!A459</f>
        <v>66934</v>
      </c>
      <c r="B428" s="149" t="str">
        <f>Sales_Entry!C459</f>
        <v>SITALA ARYAL</v>
      </c>
      <c r="C428" s="149" t="s">
        <v>984</v>
      </c>
      <c r="D428" s="149" t="str">
        <f>Sales_Entry!B459</f>
        <v>BILL-6377</v>
      </c>
      <c r="E428" s="149" t="str">
        <f>Sales_Entry!D459</f>
        <v>Mix Milk</v>
      </c>
      <c r="F428" s="150">
        <f>N(Sales_Entry!I459)</f>
        <v>50</v>
      </c>
      <c r="G428" s="150">
        <v>0</v>
      </c>
      <c r="H428" s="150">
        <f t="shared" si="6"/>
        <v>50</v>
      </c>
      <c r="I428" s="149"/>
      <c r="J428" t="str">
        <f>IF($B428="","",IF(AND($B428=Party_Statement!$B$5,$A428&gt;=Party_Statement!$B$6,$A428&lt;=Party_Statement!$D$6),SUMPRODUCT(($B$3:$B428=Party_Statement!$B$5)*($A$3:$A428&gt;=Party_Statement!$B$6)*($A$3:$A428&lt;=Party_Statement!$D$6)),""))</f>
        <v/>
      </c>
    </row>
    <row r="429" spans="1:10" x14ac:dyDescent="0.2">
      <c r="A429" s="148">
        <f>Sales_Entry!A460</f>
        <v>66935</v>
      </c>
      <c r="B429" s="149" t="str">
        <f>Sales_Entry!C460</f>
        <v>SRIJANA DAIRY (DEVI NAGAR)</v>
      </c>
      <c r="C429" s="149" t="s">
        <v>984</v>
      </c>
      <c r="D429" s="149" t="str">
        <f>Sales_Entry!B460</f>
        <v>BILL-6378</v>
      </c>
      <c r="E429" s="149" t="str">
        <f>Sales_Entry!D460</f>
        <v>Mix Milk</v>
      </c>
      <c r="F429" s="150">
        <f>N(Sales_Entry!I460)</f>
        <v>5100</v>
      </c>
      <c r="G429" s="150">
        <v>0</v>
      </c>
      <c r="H429" s="150">
        <f t="shared" si="6"/>
        <v>5100</v>
      </c>
      <c r="I429" s="149"/>
      <c r="J429" t="str">
        <f>IF($B429="","",IF(AND($B429=Party_Statement!$B$5,$A429&gt;=Party_Statement!$B$6,$A429&lt;=Party_Statement!$D$6),SUMPRODUCT(($B$3:$B429=Party_Statement!$B$5)*($A$3:$A429&gt;=Party_Statement!$B$6)*($A$3:$A429&lt;=Party_Statement!$D$6)),""))</f>
        <v/>
      </c>
    </row>
    <row r="430" spans="1:10" x14ac:dyDescent="0.2">
      <c r="A430" s="148">
        <f>Sales_Entry!A461</f>
        <v>66935</v>
      </c>
      <c r="B430" s="149" t="str">
        <f>Sales_Entry!C461</f>
        <v>SRIJANA DAIRY (DEVI NAGAR)</v>
      </c>
      <c r="C430" s="149" t="s">
        <v>984</v>
      </c>
      <c r="D430" s="149" t="str">
        <f>Sales_Entry!B461</f>
        <v>BILL-6378</v>
      </c>
      <c r="E430" s="149" t="str">
        <f>Sales_Entry!D461</f>
        <v>Cow Milk</v>
      </c>
      <c r="F430" s="150">
        <f>N(Sales_Entry!I461)</f>
        <v>80</v>
      </c>
      <c r="G430" s="150">
        <v>0</v>
      </c>
      <c r="H430" s="150">
        <f t="shared" si="6"/>
        <v>5180</v>
      </c>
      <c r="I430" s="149"/>
      <c r="J430" t="str">
        <f>IF($B430="","",IF(AND($B430=Party_Statement!$B$5,$A430&gt;=Party_Statement!$B$6,$A430&lt;=Party_Statement!$D$6),SUMPRODUCT(($B$3:$B430=Party_Statement!$B$5)*($A$3:$A430&gt;=Party_Statement!$B$6)*($A$3:$A430&lt;=Party_Statement!$D$6)),""))</f>
        <v/>
      </c>
    </row>
    <row r="431" spans="1:10" x14ac:dyDescent="0.2">
      <c r="A431" s="148">
        <f>Sales_Entry!A462</f>
        <v>66935</v>
      </c>
      <c r="B431" s="149" t="str">
        <f>Sales_Entry!C462</f>
        <v xml:space="preserve">SOBHA BHATTARAI </v>
      </c>
      <c r="C431" s="149" t="s">
        <v>984</v>
      </c>
      <c r="D431" s="149" t="str">
        <f>Sales_Entry!B462</f>
        <v>BILL-6379</v>
      </c>
      <c r="E431" s="149" t="str">
        <f>Sales_Entry!D462</f>
        <v>Mix Milk</v>
      </c>
      <c r="F431" s="150">
        <f>N(Sales_Entry!I462)</f>
        <v>2975</v>
      </c>
      <c r="G431" s="150">
        <v>0</v>
      </c>
      <c r="H431" s="150">
        <f t="shared" si="6"/>
        <v>2975</v>
      </c>
      <c r="I431" s="149"/>
      <c r="J431" t="str">
        <f>IF($B431="","",IF(AND($B431=Party_Statement!$B$5,$A431&gt;=Party_Statement!$B$6,$A431&lt;=Party_Statement!$D$6),SUMPRODUCT(($B$3:$B431=Party_Statement!$B$5)*($A$3:$A431&gt;=Party_Statement!$B$6)*($A$3:$A431&lt;=Party_Statement!$D$6)),""))</f>
        <v/>
      </c>
    </row>
    <row r="432" spans="1:10" x14ac:dyDescent="0.2">
      <c r="A432" s="148">
        <f>Sales_Entry!A463</f>
        <v>66935</v>
      </c>
      <c r="B432" s="149" t="str">
        <f>Sales_Entry!C463</f>
        <v xml:space="preserve">SAMIKSHYA </v>
      </c>
      <c r="C432" s="149" t="s">
        <v>984</v>
      </c>
      <c r="D432" s="149" t="str">
        <f>Sales_Entry!B463</f>
        <v>BILL-6380</v>
      </c>
      <c r="E432" s="149" t="str">
        <f>Sales_Entry!D463</f>
        <v>Mix Milk</v>
      </c>
      <c r="F432" s="150">
        <f>N(Sales_Entry!I463)</f>
        <v>680</v>
      </c>
      <c r="G432" s="150">
        <v>0</v>
      </c>
      <c r="H432" s="150">
        <f t="shared" si="6"/>
        <v>680</v>
      </c>
      <c r="I432" s="149"/>
      <c r="J432" t="str">
        <f>IF($B432="","",IF(AND($B432=Party_Statement!$B$5,$A432&gt;=Party_Statement!$B$6,$A432&lt;=Party_Statement!$D$6),SUMPRODUCT(($B$3:$B432=Party_Statement!$B$5)*($A$3:$A432&gt;=Party_Statement!$B$6)*($A$3:$A432&lt;=Party_Statement!$D$6)),""))</f>
        <v/>
      </c>
    </row>
    <row r="433" spans="1:10" x14ac:dyDescent="0.2">
      <c r="A433" s="148">
        <f>Sales_Entry!A464</f>
        <v>66935</v>
      </c>
      <c r="B433" s="149" t="str">
        <f>Sales_Entry!C464</f>
        <v>PALPALI</v>
      </c>
      <c r="C433" s="149" t="s">
        <v>984</v>
      </c>
      <c r="D433" s="149" t="str">
        <f>Sales_Entry!B464</f>
        <v>BILL-6381</v>
      </c>
      <c r="E433" s="149" t="str">
        <f>Sales_Entry!D464</f>
        <v>Mix Milk</v>
      </c>
      <c r="F433" s="150">
        <f>N(Sales_Entry!I464)</f>
        <v>2125</v>
      </c>
      <c r="G433" s="150">
        <v>0</v>
      </c>
      <c r="H433" s="150">
        <f t="shared" si="6"/>
        <v>2125</v>
      </c>
      <c r="I433" s="149"/>
      <c r="J433" t="str">
        <f>IF($B433="","",IF(AND($B433=Party_Statement!$B$5,$A433&gt;=Party_Statement!$B$6,$A433&lt;=Party_Statement!$D$6),SUMPRODUCT(($B$3:$B433=Party_Statement!$B$5)*($A$3:$A433&gt;=Party_Statement!$B$6)*($A$3:$A433&lt;=Party_Statement!$D$6)),""))</f>
        <v/>
      </c>
    </row>
    <row r="434" spans="1:10" x14ac:dyDescent="0.2">
      <c r="A434" s="148">
        <f>Sales_Entry!A465</f>
        <v>66935</v>
      </c>
      <c r="B434" s="149" t="str">
        <f>Sales_Entry!C465</f>
        <v xml:space="preserve">AAMOSH KIRANA </v>
      </c>
      <c r="C434" s="149" t="s">
        <v>984</v>
      </c>
      <c r="D434" s="149" t="str">
        <f>Sales_Entry!B465</f>
        <v>BILL-6382</v>
      </c>
      <c r="E434" s="149" t="str">
        <f>Sales_Entry!D465</f>
        <v>Mix Milk</v>
      </c>
      <c r="F434" s="150">
        <f>N(Sales_Entry!I465)</f>
        <v>3440</v>
      </c>
      <c r="G434" s="150">
        <v>0</v>
      </c>
      <c r="H434" s="150">
        <f t="shared" si="6"/>
        <v>3440</v>
      </c>
      <c r="I434" s="149"/>
      <c r="J434" t="str">
        <f>IF($B434="","",IF(AND($B434=Party_Statement!$B$5,$A434&gt;=Party_Statement!$B$6,$A434&lt;=Party_Statement!$D$6),SUMPRODUCT(($B$3:$B434=Party_Statement!$B$5)*($A$3:$A434&gt;=Party_Statement!$B$6)*($A$3:$A434&lt;=Party_Statement!$D$6)),""))</f>
        <v/>
      </c>
    </row>
    <row r="435" spans="1:10" x14ac:dyDescent="0.2">
      <c r="A435" s="148">
        <f>Sales_Entry!A466</f>
        <v>66935</v>
      </c>
      <c r="B435" s="149" t="str">
        <f>Sales_Entry!C466</f>
        <v xml:space="preserve">AAMOSH KIRANA </v>
      </c>
      <c r="C435" s="149" t="s">
        <v>984</v>
      </c>
      <c r="D435" s="149" t="str">
        <f>Sales_Entry!B466</f>
        <v>BILL-6382</v>
      </c>
      <c r="E435" s="149" t="str">
        <f>Sales_Entry!D466</f>
        <v>Mix Milk</v>
      </c>
      <c r="F435" s="150">
        <f>N(Sales_Entry!I466)</f>
        <v>6800</v>
      </c>
      <c r="G435" s="150">
        <v>0</v>
      </c>
      <c r="H435" s="150">
        <f t="shared" si="6"/>
        <v>10240</v>
      </c>
      <c r="I435" s="149"/>
      <c r="J435" t="str">
        <f>IF($B435="","",IF(AND($B435=Party_Statement!$B$5,$A435&gt;=Party_Statement!$B$6,$A435&lt;=Party_Statement!$D$6),SUMPRODUCT(($B$3:$B435=Party_Statement!$B$5)*($A$3:$A435&gt;=Party_Statement!$B$6)*($A$3:$A435&lt;=Party_Statement!$D$6)),""))</f>
        <v/>
      </c>
    </row>
    <row r="436" spans="1:10" x14ac:dyDescent="0.2">
      <c r="A436" s="148">
        <f>Sales_Entry!A467</f>
        <v>66935</v>
      </c>
      <c r="B436" s="149" t="str">
        <f>Sales_Entry!C467</f>
        <v xml:space="preserve">AAMOSH KIRANA </v>
      </c>
      <c r="C436" s="149" t="s">
        <v>984</v>
      </c>
      <c r="D436" s="149" t="str">
        <f>Sales_Entry!B467</f>
        <v>BILL-6382</v>
      </c>
      <c r="E436" s="149" t="str">
        <f>Sales_Entry!D467</f>
        <v>PANEER</v>
      </c>
      <c r="F436" s="150">
        <f>N(Sales_Entry!I467)</f>
        <v>1600</v>
      </c>
      <c r="G436" s="150">
        <v>0</v>
      </c>
      <c r="H436" s="150">
        <f t="shared" si="6"/>
        <v>11840</v>
      </c>
      <c r="I436" s="149"/>
      <c r="J436" t="str">
        <f>IF($B436="","",IF(AND($B436=Party_Statement!$B$5,$A436&gt;=Party_Statement!$B$6,$A436&lt;=Party_Statement!$D$6),SUMPRODUCT(($B$3:$B436=Party_Statement!$B$5)*($A$3:$A436&gt;=Party_Statement!$B$6)*($A$3:$A436&lt;=Party_Statement!$D$6)),""))</f>
        <v/>
      </c>
    </row>
    <row r="437" spans="1:10" x14ac:dyDescent="0.2">
      <c r="A437" s="148">
        <f>Sales_Entry!A468</f>
        <v>66935</v>
      </c>
      <c r="B437" s="149" t="str">
        <f>Sales_Entry!C468</f>
        <v xml:space="preserve">DEURALI KIRANA </v>
      </c>
      <c r="C437" s="149" t="s">
        <v>984</v>
      </c>
      <c r="D437" s="149" t="str">
        <f>Sales_Entry!B468</f>
        <v>BILL-6383</v>
      </c>
      <c r="E437" s="149" t="str">
        <f>Sales_Entry!D468</f>
        <v>Mix Milk</v>
      </c>
      <c r="F437" s="150">
        <f>N(Sales_Entry!I468)</f>
        <v>425</v>
      </c>
      <c r="G437" s="150">
        <v>0</v>
      </c>
      <c r="H437" s="150">
        <f t="shared" si="6"/>
        <v>425</v>
      </c>
      <c r="I437" s="149"/>
      <c r="J437" t="str">
        <f>IF($B437="","",IF(AND($B437=Party_Statement!$B$5,$A437&gt;=Party_Statement!$B$6,$A437&lt;=Party_Statement!$D$6),SUMPRODUCT(($B$3:$B437=Party_Statement!$B$5)*($A$3:$A437&gt;=Party_Statement!$B$6)*($A$3:$A437&lt;=Party_Statement!$D$6)),""))</f>
        <v/>
      </c>
    </row>
    <row r="438" spans="1:10" x14ac:dyDescent="0.2">
      <c r="A438" s="148">
        <f>Sales_Entry!A469</f>
        <v>66935</v>
      </c>
      <c r="B438" s="149" t="str">
        <f>Sales_Entry!C469</f>
        <v xml:space="preserve">GIRI KIRANA </v>
      </c>
      <c r="C438" s="149" t="s">
        <v>984</v>
      </c>
      <c r="D438" s="149" t="str">
        <f>Sales_Entry!B469</f>
        <v>BILL-6384</v>
      </c>
      <c r="E438" s="149" t="str">
        <f>Sales_Entry!D469</f>
        <v>Mix Milk</v>
      </c>
      <c r="F438" s="150">
        <f>N(Sales_Entry!I469)</f>
        <v>1275</v>
      </c>
      <c r="G438" s="150">
        <v>0</v>
      </c>
      <c r="H438" s="150">
        <f t="shared" si="6"/>
        <v>1275</v>
      </c>
      <c r="I438" s="149"/>
      <c r="J438" t="str">
        <f>IF($B438="","",IF(AND($B438=Party_Statement!$B$5,$A438&gt;=Party_Statement!$B$6,$A438&lt;=Party_Statement!$D$6),SUMPRODUCT(($B$3:$B438=Party_Statement!$B$5)*($A$3:$A438&gt;=Party_Statement!$B$6)*($A$3:$A438&lt;=Party_Statement!$D$6)),""))</f>
        <v/>
      </c>
    </row>
    <row r="439" spans="1:10" x14ac:dyDescent="0.2">
      <c r="A439" s="148">
        <f>Sales_Entry!A470</f>
        <v>66935</v>
      </c>
      <c r="B439" s="149" t="str">
        <f>Sales_Entry!C470</f>
        <v>CHHATRABHUMI</v>
      </c>
      <c r="C439" s="149" t="s">
        <v>984</v>
      </c>
      <c r="D439" s="149" t="str">
        <f>Sales_Entry!B470</f>
        <v>BILL-6385</v>
      </c>
      <c r="E439" s="149" t="str">
        <f>Sales_Entry!D470</f>
        <v>Mix Milk</v>
      </c>
      <c r="F439" s="150">
        <f>N(Sales_Entry!I470)</f>
        <v>1720</v>
      </c>
      <c r="G439" s="150">
        <v>0</v>
      </c>
      <c r="H439" s="150">
        <f t="shared" si="6"/>
        <v>1720</v>
      </c>
      <c r="I439" s="149"/>
      <c r="J439" t="str">
        <f>IF($B439="","",IF(AND($B439=Party_Statement!$B$5,$A439&gt;=Party_Statement!$B$6,$A439&lt;=Party_Statement!$D$6),SUMPRODUCT(($B$3:$B439=Party_Statement!$B$5)*($A$3:$A439&gt;=Party_Statement!$B$6)*($A$3:$A439&lt;=Party_Statement!$D$6)),""))</f>
        <v/>
      </c>
    </row>
    <row r="440" spans="1:10" x14ac:dyDescent="0.2">
      <c r="A440" s="148">
        <f>Sales_Entry!A471</f>
        <v>66935</v>
      </c>
      <c r="B440" s="149" t="str">
        <f>Sales_Entry!C471</f>
        <v xml:space="preserve">YUBARAJ AND SAMRAT </v>
      </c>
      <c r="C440" s="149" t="s">
        <v>984</v>
      </c>
      <c r="D440" s="149" t="str">
        <f>Sales_Entry!B471</f>
        <v>BILL-6386</v>
      </c>
      <c r="E440" s="149" t="str">
        <f>Sales_Entry!D471</f>
        <v>Mix Milk</v>
      </c>
      <c r="F440" s="150">
        <f>N(Sales_Entry!I471)</f>
        <v>1020</v>
      </c>
      <c r="G440" s="150">
        <v>0</v>
      </c>
      <c r="H440" s="150">
        <f t="shared" si="6"/>
        <v>1020</v>
      </c>
      <c r="I440" s="149"/>
      <c r="J440" t="str">
        <f>IF($B440="","",IF(AND($B440=Party_Statement!$B$5,$A440&gt;=Party_Statement!$B$6,$A440&lt;=Party_Statement!$D$6),SUMPRODUCT(($B$3:$B440=Party_Statement!$B$5)*($A$3:$A440&gt;=Party_Statement!$B$6)*($A$3:$A440&lt;=Party_Statement!$D$6)),""))</f>
        <v/>
      </c>
    </row>
    <row r="441" spans="1:10" x14ac:dyDescent="0.2">
      <c r="A441" s="148">
        <f>Sales_Entry!A472</f>
        <v>66935</v>
      </c>
      <c r="B441" s="149" t="str">
        <f>Sales_Entry!C472</f>
        <v xml:space="preserve">AAYUSH AAYUSHMA </v>
      </c>
      <c r="C441" s="149" t="s">
        <v>984</v>
      </c>
      <c r="D441" s="149" t="str">
        <f>Sales_Entry!B472</f>
        <v>BILL-6387</v>
      </c>
      <c r="E441" s="149" t="str">
        <f>Sales_Entry!D472</f>
        <v>Mix Milk</v>
      </c>
      <c r="F441" s="150">
        <f>N(Sales_Entry!I472)</f>
        <v>680</v>
      </c>
      <c r="G441" s="150">
        <v>0</v>
      </c>
      <c r="H441" s="150">
        <f t="shared" si="6"/>
        <v>680</v>
      </c>
      <c r="I441" s="149"/>
      <c r="J441" t="str">
        <f>IF($B441="","",IF(AND($B441=Party_Statement!$B$5,$A441&gt;=Party_Statement!$B$6,$A441&lt;=Party_Statement!$D$6),SUMPRODUCT(($B$3:$B441=Party_Statement!$B$5)*($A$3:$A441&gt;=Party_Statement!$B$6)*($A$3:$A441&lt;=Party_Statement!$D$6)),""))</f>
        <v/>
      </c>
    </row>
    <row r="442" spans="1:10" x14ac:dyDescent="0.2">
      <c r="A442" s="148">
        <f>Sales_Entry!A473</f>
        <v>66935</v>
      </c>
      <c r="B442" s="149" t="str">
        <f>Sales_Entry!C473</f>
        <v>ORGANIC TARKALI</v>
      </c>
      <c r="C442" s="149" t="s">
        <v>984</v>
      </c>
      <c r="D442" s="149" t="str">
        <f>Sales_Entry!B473</f>
        <v>BILL-6388</v>
      </c>
      <c r="E442" s="149" t="str">
        <f>Sales_Entry!D473</f>
        <v>Mix Milk</v>
      </c>
      <c r="F442" s="150">
        <f>N(Sales_Entry!I473)</f>
        <v>2850</v>
      </c>
      <c r="G442" s="150">
        <v>0</v>
      </c>
      <c r="H442" s="150">
        <f t="shared" si="6"/>
        <v>2850</v>
      </c>
      <c r="I442" s="149"/>
      <c r="J442" t="str">
        <f>IF($B442="","",IF(AND($B442=Party_Statement!$B$5,$A442&gt;=Party_Statement!$B$6,$A442&lt;=Party_Statement!$D$6),SUMPRODUCT(($B$3:$B442=Party_Statement!$B$5)*($A$3:$A442&gt;=Party_Statement!$B$6)*($A$3:$A442&lt;=Party_Statement!$D$6)),""))</f>
        <v/>
      </c>
    </row>
    <row r="443" spans="1:10" x14ac:dyDescent="0.2">
      <c r="A443" s="148">
        <f>Sales_Entry!A474</f>
        <v>66935</v>
      </c>
      <c r="B443" s="149" t="str">
        <f>Sales_Entry!C474</f>
        <v>ORGANIC TARKALI</v>
      </c>
      <c r="C443" s="149" t="s">
        <v>984</v>
      </c>
      <c r="D443" s="149" t="str">
        <f>Sales_Entry!B474</f>
        <v>BILL-6388</v>
      </c>
      <c r="E443" s="149" t="str">
        <f>Sales_Entry!D474</f>
        <v>Ghee</v>
      </c>
      <c r="F443" s="150">
        <f>N(Sales_Entry!I474)</f>
        <v>2200</v>
      </c>
      <c r="G443" s="150">
        <v>0</v>
      </c>
      <c r="H443" s="150">
        <f t="shared" si="6"/>
        <v>5050</v>
      </c>
      <c r="I443" s="149"/>
      <c r="J443" t="str">
        <f>IF($B443="","",IF(AND($B443=Party_Statement!$B$5,$A443&gt;=Party_Statement!$B$6,$A443&lt;=Party_Statement!$D$6),SUMPRODUCT(($B$3:$B443=Party_Statement!$B$5)*($A$3:$A443&gt;=Party_Statement!$B$6)*($A$3:$A443&lt;=Party_Statement!$D$6)),""))</f>
        <v/>
      </c>
    </row>
    <row r="444" spans="1:10" x14ac:dyDescent="0.2">
      <c r="A444" s="148">
        <f>Sales_Entry!A475</f>
        <v>66935</v>
      </c>
      <c r="B444" s="149" t="str">
        <f>Sales_Entry!C475</f>
        <v>ORGANIC TARKALI</v>
      </c>
      <c r="C444" s="149" t="s">
        <v>984</v>
      </c>
      <c r="D444" s="149" t="str">
        <f>Sales_Entry!B475</f>
        <v>BILL-6388</v>
      </c>
      <c r="E444" s="149" t="str">
        <f>Sales_Entry!D475</f>
        <v>PANEER</v>
      </c>
      <c r="F444" s="150">
        <f>N(Sales_Entry!I475)</f>
        <v>400</v>
      </c>
      <c r="G444" s="150">
        <v>0</v>
      </c>
      <c r="H444" s="150">
        <f t="shared" si="6"/>
        <v>5450</v>
      </c>
      <c r="I444" s="149"/>
      <c r="J444" t="str">
        <f>IF($B444="","",IF(AND($B444=Party_Statement!$B$5,$A444&gt;=Party_Statement!$B$6,$A444&lt;=Party_Statement!$D$6),SUMPRODUCT(($B$3:$B444=Party_Statement!$B$5)*($A$3:$A444&gt;=Party_Statement!$B$6)*($A$3:$A444&lt;=Party_Statement!$D$6)),""))</f>
        <v/>
      </c>
    </row>
    <row r="445" spans="1:10" x14ac:dyDescent="0.2">
      <c r="A445" s="148">
        <f>Sales_Entry!A476</f>
        <v>66935</v>
      </c>
      <c r="B445" s="149" t="str">
        <f>Sales_Entry!C476</f>
        <v>GANGA NEUPANE</v>
      </c>
      <c r="C445" s="149" t="s">
        <v>984</v>
      </c>
      <c r="D445" s="149" t="str">
        <f>Sales_Entry!B476</f>
        <v>BILL-6389</v>
      </c>
      <c r="E445" s="149" t="str">
        <f>Sales_Entry!D476</f>
        <v>Mix Milk</v>
      </c>
      <c r="F445" s="150">
        <f>N(Sales_Entry!I476)</f>
        <v>510</v>
      </c>
      <c r="G445" s="150">
        <v>0</v>
      </c>
      <c r="H445" s="150">
        <f t="shared" si="6"/>
        <v>510</v>
      </c>
      <c r="I445" s="149"/>
      <c r="J445" t="str">
        <f>IF($B445="","",IF(AND($B445=Party_Statement!$B$5,$A445&gt;=Party_Statement!$B$6,$A445&lt;=Party_Statement!$D$6),SUMPRODUCT(($B$3:$B445=Party_Statement!$B$5)*($A$3:$A445&gt;=Party_Statement!$B$6)*($A$3:$A445&lt;=Party_Statement!$D$6)),""))</f>
        <v/>
      </c>
    </row>
    <row r="446" spans="1:10" x14ac:dyDescent="0.2">
      <c r="A446" s="148">
        <f>Sales_Entry!A477</f>
        <v>66935</v>
      </c>
      <c r="B446" s="149" t="str">
        <f>Sales_Entry!C477</f>
        <v>SHARMA DAI</v>
      </c>
      <c r="C446" s="149" t="s">
        <v>984</v>
      </c>
      <c r="D446" s="149" t="str">
        <f>Sales_Entry!B477</f>
        <v>BILL-6390</v>
      </c>
      <c r="E446" s="149" t="str">
        <f>Sales_Entry!D477</f>
        <v>Mix Milk</v>
      </c>
      <c r="F446" s="150">
        <f>N(Sales_Entry!I477)</f>
        <v>2268</v>
      </c>
      <c r="G446" s="150">
        <v>0</v>
      </c>
      <c r="H446" s="150">
        <f t="shared" si="6"/>
        <v>2268</v>
      </c>
      <c r="I446" s="149"/>
      <c r="J446" t="str">
        <f>IF($B446="","",IF(AND($B446=Party_Statement!$B$5,$A446&gt;=Party_Statement!$B$6,$A446&lt;=Party_Statement!$D$6),SUMPRODUCT(($B$3:$B446=Party_Statement!$B$5)*($A$3:$A446&gt;=Party_Statement!$B$6)*($A$3:$A446&lt;=Party_Statement!$D$6)),""))</f>
        <v/>
      </c>
    </row>
    <row r="447" spans="1:10" x14ac:dyDescent="0.2">
      <c r="A447" s="148">
        <f>Sales_Entry!A478</f>
        <v>66935</v>
      </c>
      <c r="B447" s="149" t="str">
        <f>Sales_Entry!C478</f>
        <v>LOCAL</v>
      </c>
      <c r="C447" s="149" t="s">
        <v>984</v>
      </c>
      <c r="D447" s="149" t="str">
        <f>Sales_Entry!B478</f>
        <v>BILL-6391</v>
      </c>
      <c r="E447" s="149" t="str">
        <f>Sales_Entry!D478</f>
        <v>Mix Milk</v>
      </c>
      <c r="F447" s="150">
        <f>N(Sales_Entry!I478)</f>
        <v>550</v>
      </c>
      <c r="G447" s="150">
        <v>0</v>
      </c>
      <c r="H447" s="150">
        <f t="shared" si="6"/>
        <v>550</v>
      </c>
      <c r="I447" s="149"/>
      <c r="J447" t="str">
        <f>IF($B447="","",IF(AND($B447=Party_Statement!$B$5,$A447&gt;=Party_Statement!$B$6,$A447&lt;=Party_Statement!$D$6),SUMPRODUCT(($B$3:$B447=Party_Statement!$B$5)*($A$3:$A447&gt;=Party_Statement!$B$6)*($A$3:$A447&lt;=Party_Statement!$D$6)),""))</f>
        <v/>
      </c>
    </row>
    <row r="448" spans="1:10" x14ac:dyDescent="0.2">
      <c r="A448" s="148">
        <f>Sales_Entry!A479</f>
        <v>66935</v>
      </c>
      <c r="B448" s="149" t="str">
        <f>Sales_Entry!C479</f>
        <v>LOCAL</v>
      </c>
      <c r="C448" s="149" t="s">
        <v>984</v>
      </c>
      <c r="D448" s="149" t="str">
        <f>Sales_Entry!B479</f>
        <v>BILL-6391</v>
      </c>
      <c r="E448" s="149" t="str">
        <f>Sales_Entry!D479</f>
        <v>NAUNI</v>
      </c>
      <c r="F448" s="150">
        <f>N(Sales_Entry!I479)</f>
        <v>800</v>
      </c>
      <c r="G448" s="150">
        <v>0</v>
      </c>
      <c r="H448" s="150">
        <f t="shared" si="6"/>
        <v>1350</v>
      </c>
      <c r="I448" s="149"/>
      <c r="J448" t="str">
        <f>IF($B448="","",IF(AND($B448=Party_Statement!$B$5,$A448&gt;=Party_Statement!$B$6,$A448&lt;=Party_Statement!$D$6),SUMPRODUCT(($B$3:$B448=Party_Statement!$B$5)*($A$3:$A448&gt;=Party_Statement!$B$6)*($A$3:$A448&lt;=Party_Statement!$D$6)),""))</f>
        <v/>
      </c>
    </row>
    <row r="449" spans="1:10" x14ac:dyDescent="0.2">
      <c r="A449" s="148">
        <f>Sales_Entry!A480</f>
        <v>66935</v>
      </c>
      <c r="B449" s="149" t="str">
        <f>Sales_Entry!C480</f>
        <v>SITALA ARYAL</v>
      </c>
      <c r="C449" s="149" t="s">
        <v>984</v>
      </c>
      <c r="D449" s="149" t="str">
        <f>Sales_Entry!B480</f>
        <v>BILL-6392</v>
      </c>
      <c r="E449" s="149" t="str">
        <f>Sales_Entry!D480</f>
        <v>Mix Milk</v>
      </c>
      <c r="F449" s="150">
        <f>N(Sales_Entry!I480)</f>
        <v>100</v>
      </c>
      <c r="G449" s="150">
        <v>0</v>
      </c>
      <c r="H449" s="150">
        <f t="shared" si="6"/>
        <v>100</v>
      </c>
      <c r="I449" s="149"/>
      <c r="J449" t="str">
        <f>IF($B449="","",IF(AND($B449=Party_Statement!$B$5,$A449&gt;=Party_Statement!$B$6,$A449&lt;=Party_Statement!$D$6),SUMPRODUCT(($B$3:$B449=Party_Statement!$B$5)*($A$3:$A449&gt;=Party_Statement!$B$6)*($A$3:$A449&lt;=Party_Statement!$D$6)),""))</f>
        <v/>
      </c>
    </row>
    <row r="450" spans="1:10" x14ac:dyDescent="0.2">
      <c r="A450" s="148">
        <f>Sales_Entry!A481</f>
        <v>66935</v>
      </c>
      <c r="B450" s="149" t="str">
        <f>Sales_Entry!C481</f>
        <v>NEUPANE KIRANA</v>
      </c>
      <c r="C450" s="149" t="s">
        <v>984</v>
      </c>
      <c r="D450" s="149" t="str">
        <f>Sales_Entry!B481</f>
        <v>BILL-6393</v>
      </c>
      <c r="E450" s="149" t="str">
        <f>Sales_Entry!D481</f>
        <v>Mix Milk</v>
      </c>
      <c r="F450" s="150">
        <f>N(Sales_Entry!I481)</f>
        <v>400</v>
      </c>
      <c r="G450" s="150">
        <v>0</v>
      </c>
      <c r="H450" s="150">
        <f t="shared" si="6"/>
        <v>400</v>
      </c>
      <c r="I450" s="149"/>
      <c r="J450" t="str">
        <f>IF($B450="","",IF(AND($B450=Party_Statement!$B$5,$A450&gt;=Party_Statement!$B$6,$A450&lt;=Party_Statement!$D$6),SUMPRODUCT(($B$3:$B450=Party_Statement!$B$5)*($A$3:$A450&gt;=Party_Statement!$B$6)*($A$3:$A450&lt;=Party_Statement!$D$6)),""))</f>
        <v/>
      </c>
    </row>
    <row r="451" spans="1:10" x14ac:dyDescent="0.2">
      <c r="A451" s="148">
        <f>Sales_Entry!A482</f>
        <v>66936</v>
      </c>
      <c r="B451" s="149" t="str">
        <f>Sales_Entry!C482</f>
        <v>SRIJANA DAIRY (DEVI NAGAR)</v>
      </c>
      <c r="C451" s="149" t="s">
        <v>984</v>
      </c>
      <c r="D451" s="149" t="str">
        <f>Sales_Entry!B482</f>
        <v>BILL-6401</v>
      </c>
      <c r="E451" s="149" t="str">
        <f>Sales_Entry!D482</f>
        <v>Mix Milk</v>
      </c>
      <c r="F451" s="150">
        <f>N(Sales_Entry!I482)</f>
        <v>5100</v>
      </c>
      <c r="G451" s="150">
        <v>0</v>
      </c>
      <c r="H451" s="150">
        <f t="shared" si="6"/>
        <v>5100</v>
      </c>
      <c r="I451" s="149"/>
      <c r="J451" t="str">
        <f>IF($B451="","",IF(AND($B451=Party_Statement!$B$5,$A451&gt;=Party_Statement!$B$6,$A451&lt;=Party_Statement!$D$6),SUMPRODUCT(($B$3:$B451=Party_Statement!$B$5)*($A$3:$A451&gt;=Party_Statement!$B$6)*($A$3:$A451&lt;=Party_Statement!$D$6)),""))</f>
        <v/>
      </c>
    </row>
    <row r="452" spans="1:10" x14ac:dyDescent="0.2">
      <c r="A452" s="148">
        <f>Sales_Entry!A483</f>
        <v>66936</v>
      </c>
      <c r="B452" s="149" t="str">
        <f>Sales_Entry!C483</f>
        <v>SRIJANA DAIRY (DEVI NAGAR)</v>
      </c>
      <c r="C452" s="149" t="s">
        <v>984</v>
      </c>
      <c r="D452" s="149" t="str">
        <f>Sales_Entry!B483</f>
        <v>BILL-6401</v>
      </c>
      <c r="E452" s="149" t="str">
        <f>Sales_Entry!D483</f>
        <v>Cow Milk</v>
      </c>
      <c r="F452" s="150">
        <f>N(Sales_Entry!I483)</f>
        <v>80</v>
      </c>
      <c r="G452" s="150">
        <v>0</v>
      </c>
      <c r="H452" s="150">
        <f t="shared" ref="H452:H515" si="7">IF($B452="","",IF($B452=$B451,$H451+$F452-$G452,$F452-$G452))</f>
        <v>5180</v>
      </c>
      <c r="I452" s="149"/>
      <c r="J452" t="str">
        <f>IF($B452="","",IF(AND($B452=Party_Statement!$B$5,$A452&gt;=Party_Statement!$B$6,$A452&lt;=Party_Statement!$D$6),SUMPRODUCT(($B$3:$B452=Party_Statement!$B$5)*($A$3:$A452&gt;=Party_Statement!$B$6)*($A$3:$A452&lt;=Party_Statement!$D$6)),""))</f>
        <v/>
      </c>
    </row>
    <row r="453" spans="1:10" x14ac:dyDescent="0.2">
      <c r="A453" s="148">
        <f>Sales_Entry!A484</f>
        <v>66936</v>
      </c>
      <c r="B453" s="149" t="str">
        <f>Sales_Entry!C484</f>
        <v xml:space="preserve">SOBHA BHATTARAI </v>
      </c>
      <c r="C453" s="149" t="s">
        <v>984</v>
      </c>
      <c r="D453" s="149" t="str">
        <f>Sales_Entry!B484</f>
        <v>BILL-6402</v>
      </c>
      <c r="E453" s="149" t="str">
        <f>Sales_Entry!D484</f>
        <v>Mix Milk</v>
      </c>
      <c r="F453" s="150">
        <f>N(Sales_Entry!I484)</f>
        <v>2550</v>
      </c>
      <c r="G453" s="150">
        <v>0</v>
      </c>
      <c r="H453" s="150">
        <f t="shared" si="7"/>
        <v>2550</v>
      </c>
      <c r="I453" s="149"/>
      <c r="J453" t="str">
        <f>IF($B453="","",IF(AND($B453=Party_Statement!$B$5,$A453&gt;=Party_Statement!$B$6,$A453&lt;=Party_Statement!$D$6),SUMPRODUCT(($B$3:$B453=Party_Statement!$B$5)*($A$3:$A453&gt;=Party_Statement!$B$6)*($A$3:$A453&lt;=Party_Statement!$D$6)),""))</f>
        <v/>
      </c>
    </row>
    <row r="454" spans="1:10" x14ac:dyDescent="0.2">
      <c r="A454" s="148">
        <f>Sales_Entry!A485</f>
        <v>66936</v>
      </c>
      <c r="B454" s="149" t="str">
        <f>Sales_Entry!C485</f>
        <v xml:space="preserve">AAMOSH KIRANA </v>
      </c>
      <c r="C454" s="149" t="s">
        <v>984</v>
      </c>
      <c r="D454" s="149" t="str">
        <f>Sales_Entry!B485</f>
        <v>BILL-6403</v>
      </c>
      <c r="E454" s="149" t="str">
        <f>Sales_Entry!D485</f>
        <v>Mix Milk</v>
      </c>
      <c r="F454" s="150">
        <f>N(Sales_Entry!I485)</f>
        <v>3440</v>
      </c>
      <c r="G454" s="150">
        <v>0</v>
      </c>
      <c r="H454" s="150">
        <f t="shared" si="7"/>
        <v>3440</v>
      </c>
      <c r="I454" s="149"/>
      <c r="J454" t="str">
        <f>IF($B454="","",IF(AND($B454=Party_Statement!$B$5,$A454&gt;=Party_Statement!$B$6,$A454&lt;=Party_Statement!$D$6),SUMPRODUCT(($B$3:$B454=Party_Statement!$B$5)*($A$3:$A454&gt;=Party_Statement!$B$6)*($A$3:$A454&lt;=Party_Statement!$D$6)),""))</f>
        <v/>
      </c>
    </row>
    <row r="455" spans="1:10" x14ac:dyDescent="0.2">
      <c r="A455" s="148">
        <f>Sales_Entry!A486</f>
        <v>66936</v>
      </c>
      <c r="B455" s="149" t="str">
        <f>Sales_Entry!C486</f>
        <v xml:space="preserve">AAMOSH KIRANA </v>
      </c>
      <c r="C455" s="149" t="s">
        <v>984</v>
      </c>
      <c r="D455" s="149" t="str">
        <f>Sales_Entry!B486</f>
        <v>BILL-6403</v>
      </c>
      <c r="E455" s="149" t="str">
        <f>Sales_Entry!D486</f>
        <v>Mix Milk</v>
      </c>
      <c r="F455" s="150">
        <f>N(Sales_Entry!I486)</f>
        <v>5100</v>
      </c>
      <c r="G455" s="150">
        <v>0</v>
      </c>
      <c r="H455" s="150">
        <f t="shared" si="7"/>
        <v>8540</v>
      </c>
      <c r="I455" s="149"/>
      <c r="J455" t="str">
        <f>IF($B455="","",IF(AND($B455=Party_Statement!$B$5,$A455&gt;=Party_Statement!$B$6,$A455&lt;=Party_Statement!$D$6),SUMPRODUCT(($B$3:$B455=Party_Statement!$B$5)*($A$3:$A455&gt;=Party_Statement!$B$6)*($A$3:$A455&lt;=Party_Statement!$D$6)),""))</f>
        <v/>
      </c>
    </row>
    <row r="456" spans="1:10" x14ac:dyDescent="0.2">
      <c r="A456" s="148">
        <f>Sales_Entry!A487</f>
        <v>66936</v>
      </c>
      <c r="B456" s="149" t="str">
        <f>Sales_Entry!C487</f>
        <v xml:space="preserve">AAMOSH KIRANA </v>
      </c>
      <c r="C456" s="149" t="s">
        <v>984</v>
      </c>
      <c r="D456" s="149" t="str">
        <f>Sales_Entry!B487</f>
        <v>BILL-6403</v>
      </c>
      <c r="E456" s="149" t="str">
        <f>Sales_Entry!D487</f>
        <v>Mix Milk</v>
      </c>
      <c r="F456" s="150">
        <f>N(Sales_Entry!I487)</f>
        <v>2200</v>
      </c>
      <c r="G456" s="150">
        <v>0</v>
      </c>
      <c r="H456" s="150">
        <f t="shared" si="7"/>
        <v>10740</v>
      </c>
      <c r="I456" s="149"/>
      <c r="J456" t="str">
        <f>IF($B456="","",IF(AND($B456=Party_Statement!$B$5,$A456&gt;=Party_Statement!$B$6,$A456&lt;=Party_Statement!$D$6),SUMPRODUCT(($B$3:$B456=Party_Statement!$B$5)*($A$3:$A456&gt;=Party_Statement!$B$6)*($A$3:$A456&lt;=Party_Statement!$D$6)),""))</f>
        <v/>
      </c>
    </row>
    <row r="457" spans="1:10" x14ac:dyDescent="0.2">
      <c r="A457" s="148">
        <f>Sales_Entry!A488</f>
        <v>66936</v>
      </c>
      <c r="B457" s="149" t="str">
        <f>Sales_Entry!C488</f>
        <v>CHHATRABHUMI</v>
      </c>
      <c r="C457" s="149" t="s">
        <v>984</v>
      </c>
      <c r="D457" s="149" t="str">
        <f>Sales_Entry!B488</f>
        <v>BILL-6404</v>
      </c>
      <c r="E457" s="149" t="str">
        <f>Sales_Entry!D488</f>
        <v>Mix Milk</v>
      </c>
      <c r="F457" s="150">
        <f>N(Sales_Entry!I488)</f>
        <v>1720</v>
      </c>
      <c r="G457" s="150">
        <v>0</v>
      </c>
      <c r="H457" s="150">
        <f t="shared" si="7"/>
        <v>1720</v>
      </c>
      <c r="I457" s="149"/>
      <c r="J457" t="str">
        <f>IF($B457="","",IF(AND($B457=Party_Statement!$B$5,$A457&gt;=Party_Statement!$B$6,$A457&lt;=Party_Statement!$D$6),SUMPRODUCT(($B$3:$B457=Party_Statement!$B$5)*($A$3:$A457&gt;=Party_Statement!$B$6)*($A$3:$A457&lt;=Party_Statement!$D$6)),""))</f>
        <v/>
      </c>
    </row>
    <row r="458" spans="1:10" x14ac:dyDescent="0.2">
      <c r="A458" s="148">
        <f>Sales_Entry!A489</f>
        <v>66936</v>
      </c>
      <c r="B458" s="149" t="str">
        <f>Sales_Entry!C489</f>
        <v>KRISHNA KHAREL</v>
      </c>
      <c r="C458" s="149" t="s">
        <v>984</v>
      </c>
      <c r="D458" s="149" t="str">
        <f>Sales_Entry!B489</f>
        <v>BILL-6405</v>
      </c>
      <c r="E458" s="149" t="str">
        <f>Sales_Entry!D489</f>
        <v>Mix Milk</v>
      </c>
      <c r="F458" s="150">
        <f>N(Sales_Entry!I489)</f>
        <v>258</v>
      </c>
      <c r="G458" s="150">
        <v>0</v>
      </c>
      <c r="H458" s="150">
        <f t="shared" si="7"/>
        <v>258</v>
      </c>
      <c r="I458" s="149"/>
      <c r="J458" t="str">
        <f>IF($B458="","",IF(AND($B458=Party_Statement!$B$5,$A458&gt;=Party_Statement!$B$6,$A458&lt;=Party_Statement!$D$6),SUMPRODUCT(($B$3:$B458=Party_Statement!$B$5)*($A$3:$A458&gt;=Party_Statement!$B$6)*($A$3:$A458&lt;=Party_Statement!$D$6)),""))</f>
        <v/>
      </c>
    </row>
    <row r="459" spans="1:10" x14ac:dyDescent="0.2">
      <c r="A459" s="148">
        <f>Sales_Entry!A490</f>
        <v>66936</v>
      </c>
      <c r="B459" s="149" t="str">
        <f>Sales_Entry!C490</f>
        <v>MANAKAMANA DAIRY</v>
      </c>
      <c r="C459" s="149" t="s">
        <v>984</v>
      </c>
      <c r="D459" s="149" t="str">
        <f>Sales_Entry!B490</f>
        <v>BILL-6406</v>
      </c>
      <c r="E459" s="149" t="str">
        <f>Sales_Entry!D490</f>
        <v>Mix Milk</v>
      </c>
      <c r="F459" s="150">
        <f>N(Sales_Entry!I490)</f>
        <v>850</v>
      </c>
      <c r="G459" s="150">
        <v>0</v>
      </c>
      <c r="H459" s="150">
        <f t="shared" si="7"/>
        <v>850</v>
      </c>
      <c r="I459" s="149"/>
      <c r="J459" t="str">
        <f>IF($B459="","",IF(AND($B459=Party_Statement!$B$5,$A459&gt;=Party_Statement!$B$6,$A459&lt;=Party_Statement!$D$6),SUMPRODUCT(($B$3:$B459=Party_Statement!$B$5)*($A$3:$A459&gt;=Party_Statement!$B$6)*($A$3:$A459&lt;=Party_Statement!$D$6)),""))</f>
        <v/>
      </c>
    </row>
    <row r="460" spans="1:10" x14ac:dyDescent="0.2">
      <c r="A460" s="148">
        <f>Sales_Entry!A491</f>
        <v>66936</v>
      </c>
      <c r="B460" s="149" t="str">
        <f>Sales_Entry!C491</f>
        <v xml:space="preserve">YUBARAJ AND SAMRAT </v>
      </c>
      <c r="C460" s="149" t="s">
        <v>984</v>
      </c>
      <c r="D460" s="149" t="str">
        <f>Sales_Entry!B491</f>
        <v>BILL-6407</v>
      </c>
      <c r="E460" s="149" t="str">
        <f>Sales_Entry!D491</f>
        <v>Mix Milk</v>
      </c>
      <c r="F460" s="150">
        <f>N(Sales_Entry!I491)</f>
        <v>1020</v>
      </c>
      <c r="G460" s="150">
        <v>0</v>
      </c>
      <c r="H460" s="150">
        <f t="shared" si="7"/>
        <v>1020</v>
      </c>
      <c r="I460" s="149"/>
      <c r="J460" t="str">
        <f>IF($B460="","",IF(AND($B460=Party_Statement!$B$5,$A460&gt;=Party_Statement!$B$6,$A460&lt;=Party_Statement!$D$6),SUMPRODUCT(($B$3:$B460=Party_Statement!$B$5)*($A$3:$A460&gt;=Party_Statement!$B$6)*($A$3:$A460&lt;=Party_Statement!$D$6)),""))</f>
        <v/>
      </c>
    </row>
    <row r="461" spans="1:10" x14ac:dyDescent="0.2">
      <c r="A461" s="148">
        <f>Sales_Entry!A492</f>
        <v>66936</v>
      </c>
      <c r="B461" s="149" t="str">
        <f>Sales_Entry!C492</f>
        <v xml:space="preserve">SAMIKSHYA </v>
      </c>
      <c r="C461" s="149" t="s">
        <v>984</v>
      </c>
      <c r="D461" s="149" t="str">
        <f>Sales_Entry!B492</f>
        <v>BILL-6408</v>
      </c>
      <c r="E461" s="149" t="str">
        <f>Sales_Entry!D492</f>
        <v>Mix Milk</v>
      </c>
      <c r="F461" s="150">
        <f>N(Sales_Entry!I492)</f>
        <v>680</v>
      </c>
      <c r="G461" s="150">
        <v>0</v>
      </c>
      <c r="H461" s="150">
        <f t="shared" si="7"/>
        <v>680</v>
      </c>
      <c r="I461" s="149"/>
      <c r="J461" t="str">
        <f>IF($B461="","",IF(AND($B461=Party_Statement!$B$5,$A461&gt;=Party_Statement!$B$6,$A461&lt;=Party_Statement!$D$6),SUMPRODUCT(($B$3:$B461=Party_Statement!$B$5)*($A$3:$A461&gt;=Party_Statement!$B$6)*($A$3:$A461&lt;=Party_Statement!$D$6)),""))</f>
        <v/>
      </c>
    </row>
    <row r="462" spans="1:10" x14ac:dyDescent="0.2">
      <c r="A462" s="148">
        <f>Sales_Entry!A493</f>
        <v>66936</v>
      </c>
      <c r="B462" s="149" t="str">
        <f>Sales_Entry!C493</f>
        <v>PALPALI</v>
      </c>
      <c r="C462" s="149" t="s">
        <v>984</v>
      </c>
      <c r="D462" s="149" t="str">
        <f>Sales_Entry!B493</f>
        <v>BILL-6409</v>
      </c>
      <c r="E462" s="149" t="str">
        <f>Sales_Entry!D493</f>
        <v>Mix Milk</v>
      </c>
      <c r="F462" s="150">
        <f>N(Sales_Entry!I493)</f>
        <v>2125</v>
      </c>
      <c r="G462" s="150">
        <v>0</v>
      </c>
      <c r="H462" s="150">
        <f t="shared" si="7"/>
        <v>2125</v>
      </c>
      <c r="I462" s="149"/>
      <c r="J462" t="str">
        <f>IF($B462="","",IF(AND($B462=Party_Statement!$B$5,$A462&gt;=Party_Statement!$B$6,$A462&lt;=Party_Statement!$D$6),SUMPRODUCT(($B$3:$B462=Party_Statement!$B$5)*($A$3:$A462&gt;=Party_Statement!$B$6)*($A$3:$A462&lt;=Party_Statement!$D$6)),""))</f>
        <v/>
      </c>
    </row>
    <row r="463" spans="1:10" x14ac:dyDescent="0.2">
      <c r="A463" s="148">
        <f>Sales_Entry!A494</f>
        <v>66936</v>
      </c>
      <c r="B463" s="149" t="str">
        <f>Sales_Entry!C494</f>
        <v xml:space="preserve">DEURALI KIRANA </v>
      </c>
      <c r="C463" s="149" t="s">
        <v>984</v>
      </c>
      <c r="D463" s="149" t="str">
        <f>Sales_Entry!B494</f>
        <v>BILL-6410</v>
      </c>
      <c r="E463" s="149" t="str">
        <f>Sales_Entry!D494</f>
        <v>Mix Milk</v>
      </c>
      <c r="F463" s="150">
        <f>N(Sales_Entry!I494)</f>
        <v>425</v>
      </c>
      <c r="G463" s="150">
        <v>0</v>
      </c>
      <c r="H463" s="150">
        <f t="shared" si="7"/>
        <v>425</v>
      </c>
      <c r="I463" s="149"/>
      <c r="J463" t="str">
        <f>IF($B463="","",IF(AND($B463=Party_Statement!$B$5,$A463&gt;=Party_Statement!$B$6,$A463&lt;=Party_Statement!$D$6),SUMPRODUCT(($B$3:$B463=Party_Statement!$B$5)*($A$3:$A463&gt;=Party_Statement!$B$6)*($A$3:$A463&lt;=Party_Statement!$D$6)),""))</f>
        <v/>
      </c>
    </row>
    <row r="464" spans="1:10" x14ac:dyDescent="0.2">
      <c r="A464" s="148">
        <f>Sales_Entry!A495</f>
        <v>66936</v>
      </c>
      <c r="B464" s="149" t="str">
        <f>Sales_Entry!C495</f>
        <v xml:space="preserve">GIRI KIRANA </v>
      </c>
      <c r="C464" s="149" t="s">
        <v>984</v>
      </c>
      <c r="D464" s="149" t="str">
        <f>Sales_Entry!B495</f>
        <v>BILL-6411</v>
      </c>
      <c r="E464" s="149" t="str">
        <f>Sales_Entry!D495</f>
        <v>Mix Milk</v>
      </c>
      <c r="F464" s="150">
        <f>N(Sales_Entry!I495)</f>
        <v>1275</v>
      </c>
      <c r="G464" s="150">
        <v>0</v>
      </c>
      <c r="H464" s="150">
        <f t="shared" si="7"/>
        <v>1275</v>
      </c>
      <c r="I464" s="149"/>
      <c r="J464" t="str">
        <f>IF($B464="","",IF(AND($B464=Party_Statement!$B$5,$A464&gt;=Party_Statement!$B$6,$A464&lt;=Party_Statement!$D$6),SUMPRODUCT(($B$3:$B464=Party_Statement!$B$5)*($A$3:$A464&gt;=Party_Statement!$B$6)*($A$3:$A464&lt;=Party_Statement!$D$6)),""))</f>
        <v/>
      </c>
    </row>
    <row r="465" spans="1:10" x14ac:dyDescent="0.2">
      <c r="A465" s="148">
        <f>Sales_Entry!A496</f>
        <v>66936</v>
      </c>
      <c r="B465" s="149" t="str">
        <f>Sales_Entry!C496</f>
        <v>ORGANIC TARKALI</v>
      </c>
      <c r="C465" s="149" t="s">
        <v>984</v>
      </c>
      <c r="D465" s="149" t="str">
        <f>Sales_Entry!B496</f>
        <v>BILL-6412</v>
      </c>
      <c r="E465" s="149" t="str">
        <f>Sales_Entry!D496</f>
        <v>Mix Milk</v>
      </c>
      <c r="F465" s="150">
        <f>N(Sales_Entry!I496)</f>
        <v>2850</v>
      </c>
      <c r="G465" s="150">
        <v>0</v>
      </c>
      <c r="H465" s="150">
        <f t="shared" si="7"/>
        <v>2850</v>
      </c>
      <c r="I465" s="149"/>
      <c r="J465" t="str">
        <f>IF($B465="","",IF(AND($B465=Party_Statement!$B$5,$A465&gt;=Party_Statement!$B$6,$A465&lt;=Party_Statement!$D$6),SUMPRODUCT(($B$3:$B465=Party_Statement!$B$5)*($A$3:$A465&gt;=Party_Statement!$B$6)*($A$3:$A465&lt;=Party_Statement!$D$6)),""))</f>
        <v/>
      </c>
    </row>
    <row r="466" spans="1:10" x14ac:dyDescent="0.2">
      <c r="A466" s="148">
        <f>Sales_Entry!A497</f>
        <v>66936</v>
      </c>
      <c r="B466" s="149" t="str">
        <f>Sales_Entry!C497</f>
        <v>ORGANIC TARKALI</v>
      </c>
      <c r="C466" s="149" t="s">
        <v>984</v>
      </c>
      <c r="D466" s="149" t="str">
        <f>Sales_Entry!B497</f>
        <v>BILL-6412</v>
      </c>
      <c r="E466" s="149" t="str">
        <f>Sales_Entry!D497</f>
        <v>Mix Milk</v>
      </c>
      <c r="F466" s="150">
        <f>N(Sales_Entry!I497)</f>
        <v>1020</v>
      </c>
      <c r="G466" s="150">
        <v>0</v>
      </c>
      <c r="H466" s="150">
        <f t="shared" si="7"/>
        <v>3870</v>
      </c>
      <c r="I466" s="149"/>
      <c r="J466" t="str">
        <f>IF($B466="","",IF(AND($B466=Party_Statement!$B$5,$A466&gt;=Party_Statement!$B$6,$A466&lt;=Party_Statement!$D$6),SUMPRODUCT(($B$3:$B466=Party_Statement!$B$5)*($A$3:$A466&gt;=Party_Statement!$B$6)*($A$3:$A466&lt;=Party_Statement!$D$6)),""))</f>
        <v/>
      </c>
    </row>
    <row r="467" spans="1:10" x14ac:dyDescent="0.2">
      <c r="A467" s="148">
        <f>Sales_Entry!A498</f>
        <v>66936</v>
      </c>
      <c r="B467" s="149" t="str">
        <f>Sales_Entry!C498</f>
        <v>SHARMA DAI</v>
      </c>
      <c r="C467" s="149" t="s">
        <v>984</v>
      </c>
      <c r="D467" s="149" t="str">
        <f>Sales_Entry!B498</f>
        <v>BILL-6414</v>
      </c>
      <c r="E467" s="149" t="str">
        <f>Sales_Entry!D498</f>
        <v>Mix Milk</v>
      </c>
      <c r="F467" s="150">
        <f>N(Sales_Entry!I498)</f>
        <v>2520</v>
      </c>
      <c r="G467" s="150">
        <v>0</v>
      </c>
      <c r="H467" s="150">
        <f t="shared" si="7"/>
        <v>2520</v>
      </c>
      <c r="I467" s="149"/>
      <c r="J467" t="str">
        <f>IF($B467="","",IF(AND($B467=Party_Statement!$B$5,$A467&gt;=Party_Statement!$B$6,$A467&lt;=Party_Statement!$D$6),SUMPRODUCT(($B$3:$B467=Party_Statement!$B$5)*($A$3:$A467&gt;=Party_Statement!$B$6)*($A$3:$A467&lt;=Party_Statement!$D$6)),""))</f>
        <v/>
      </c>
    </row>
    <row r="468" spans="1:10" x14ac:dyDescent="0.2">
      <c r="A468" s="148">
        <f>Sales_Entry!A499</f>
        <v>66936</v>
      </c>
      <c r="B468" s="149" t="str">
        <f>Sales_Entry!C499</f>
        <v>GANGA NEUPANE</v>
      </c>
      <c r="C468" s="149" t="s">
        <v>984</v>
      </c>
      <c r="D468" s="149" t="str">
        <f>Sales_Entry!B499</f>
        <v>BILL-6415</v>
      </c>
      <c r="E468" s="149" t="str">
        <f>Sales_Entry!D499</f>
        <v>Mix Milk</v>
      </c>
      <c r="F468" s="150">
        <f>N(Sales_Entry!I499)</f>
        <v>510</v>
      </c>
      <c r="G468" s="150">
        <v>0</v>
      </c>
      <c r="H468" s="150">
        <f t="shared" si="7"/>
        <v>510</v>
      </c>
      <c r="I468" s="149"/>
      <c r="J468" t="str">
        <f>IF($B468="","",IF(AND($B468=Party_Statement!$B$5,$A468&gt;=Party_Statement!$B$6,$A468&lt;=Party_Statement!$D$6),SUMPRODUCT(($B$3:$B468=Party_Statement!$B$5)*($A$3:$A468&gt;=Party_Statement!$B$6)*($A$3:$A468&lt;=Party_Statement!$D$6)),""))</f>
        <v/>
      </c>
    </row>
    <row r="469" spans="1:10" x14ac:dyDescent="0.2">
      <c r="A469" s="148">
        <f>Sales_Entry!A500</f>
        <v>66936</v>
      </c>
      <c r="B469" s="149" t="str">
        <f>Sales_Entry!C500</f>
        <v xml:space="preserve">KRITIKA KIRANA </v>
      </c>
      <c r="C469" s="149" t="s">
        <v>984</v>
      </c>
      <c r="D469" s="149" t="str">
        <f>Sales_Entry!B500</f>
        <v>BILL-6416</v>
      </c>
      <c r="E469" s="149" t="str">
        <f>Sales_Entry!D500</f>
        <v>Mix Milk</v>
      </c>
      <c r="F469" s="150">
        <f>N(Sales_Entry!I500)</f>
        <v>1548</v>
      </c>
      <c r="G469" s="150">
        <v>0</v>
      </c>
      <c r="H469" s="150">
        <f t="shared" si="7"/>
        <v>1548</v>
      </c>
      <c r="I469" s="149"/>
      <c r="J469" t="str">
        <f>IF($B469="","",IF(AND($B469=Party_Statement!$B$5,$A469&gt;=Party_Statement!$B$6,$A469&lt;=Party_Statement!$D$6),SUMPRODUCT(($B$3:$B469=Party_Statement!$B$5)*($A$3:$A469&gt;=Party_Statement!$B$6)*($A$3:$A469&lt;=Party_Statement!$D$6)),""))</f>
        <v/>
      </c>
    </row>
    <row r="470" spans="1:10" x14ac:dyDescent="0.2">
      <c r="A470" s="148">
        <f>Sales_Entry!A501</f>
        <v>66936</v>
      </c>
      <c r="B470" s="149" t="str">
        <f>Sales_Entry!C501</f>
        <v>LOCAL</v>
      </c>
      <c r="C470" s="149" t="s">
        <v>984</v>
      </c>
      <c r="D470" s="149" t="str">
        <f>Sales_Entry!B501</f>
        <v>BILL-6417</v>
      </c>
      <c r="E470" s="149" t="str">
        <f>Sales_Entry!D501</f>
        <v>Mix Milk</v>
      </c>
      <c r="F470" s="150">
        <f>N(Sales_Entry!I501)</f>
        <v>570</v>
      </c>
      <c r="G470" s="150">
        <v>0</v>
      </c>
      <c r="H470" s="150">
        <f t="shared" si="7"/>
        <v>570</v>
      </c>
      <c r="I470" s="149"/>
      <c r="J470" t="str">
        <f>IF($B470="","",IF(AND($B470=Party_Statement!$B$5,$A470&gt;=Party_Statement!$B$6,$A470&lt;=Party_Statement!$D$6),SUMPRODUCT(($B$3:$B470=Party_Statement!$B$5)*($A$3:$A470&gt;=Party_Statement!$B$6)*($A$3:$A470&lt;=Party_Statement!$D$6)),""))</f>
        <v/>
      </c>
    </row>
    <row r="471" spans="1:10" x14ac:dyDescent="0.2">
      <c r="A471" s="148">
        <f>Sales_Entry!A502</f>
        <v>66936</v>
      </c>
      <c r="B471" s="149" t="str">
        <f>Sales_Entry!C502</f>
        <v>LOCAL</v>
      </c>
      <c r="C471" s="149" t="s">
        <v>984</v>
      </c>
      <c r="D471" s="149" t="str">
        <f>Sales_Entry!B502</f>
        <v>BILL-6417</v>
      </c>
      <c r="E471" s="149" t="str">
        <f>Sales_Entry!D502</f>
        <v>Ghee</v>
      </c>
      <c r="F471" s="150">
        <f>N(Sales_Entry!I502)</f>
        <v>2200</v>
      </c>
      <c r="G471" s="150">
        <v>0</v>
      </c>
      <c r="H471" s="150">
        <f t="shared" si="7"/>
        <v>2770</v>
      </c>
      <c r="I471" s="149"/>
      <c r="J471" t="str">
        <f>IF($B471="","",IF(AND($B471=Party_Statement!$B$5,$A471&gt;=Party_Statement!$B$6,$A471&lt;=Party_Statement!$D$6),SUMPRODUCT(($B$3:$B471=Party_Statement!$B$5)*($A$3:$A471&gt;=Party_Statement!$B$6)*($A$3:$A471&lt;=Party_Statement!$D$6)),""))</f>
        <v/>
      </c>
    </row>
    <row r="472" spans="1:10" x14ac:dyDescent="0.2">
      <c r="A472" s="148">
        <f>Sales_Entry!A503</f>
        <v>66936</v>
      </c>
      <c r="B472" s="149" t="str">
        <f>Sales_Entry!C503</f>
        <v>LOCAL</v>
      </c>
      <c r="C472" s="149" t="s">
        <v>984</v>
      </c>
      <c r="D472" s="149" t="str">
        <f>Sales_Entry!B503</f>
        <v>BILL-6417</v>
      </c>
      <c r="E472" s="149" t="str">
        <f>Sales_Entry!D503</f>
        <v>PANEER</v>
      </c>
      <c r="F472" s="150">
        <f>N(Sales_Entry!I503)</f>
        <v>800</v>
      </c>
      <c r="G472" s="150">
        <v>0</v>
      </c>
      <c r="H472" s="150">
        <f t="shared" si="7"/>
        <v>3570</v>
      </c>
      <c r="I472" s="149"/>
      <c r="J472" t="str">
        <f>IF($B472="","",IF(AND($B472=Party_Statement!$B$5,$A472&gt;=Party_Statement!$B$6,$A472&lt;=Party_Statement!$D$6),SUMPRODUCT(($B$3:$B472=Party_Statement!$B$5)*($A$3:$A472&gt;=Party_Statement!$B$6)*($A$3:$A472&lt;=Party_Statement!$D$6)),""))</f>
        <v/>
      </c>
    </row>
    <row r="473" spans="1:10" x14ac:dyDescent="0.2">
      <c r="A473" s="148">
        <f>Sales_Entry!A504</f>
        <v>66936</v>
      </c>
      <c r="B473" s="149" t="str">
        <f>Sales_Entry!C504</f>
        <v>NEUPANE KIRANA</v>
      </c>
      <c r="C473" s="149" t="s">
        <v>984</v>
      </c>
      <c r="D473" s="149" t="str">
        <f>Sales_Entry!B504</f>
        <v>BILL-6418</v>
      </c>
      <c r="E473" s="149" t="str">
        <f>Sales_Entry!D504</f>
        <v>Mix Milk</v>
      </c>
      <c r="F473" s="150">
        <f>N(Sales_Entry!I504)</f>
        <v>200</v>
      </c>
      <c r="G473" s="150">
        <v>0</v>
      </c>
      <c r="H473" s="150">
        <f t="shared" si="7"/>
        <v>200</v>
      </c>
      <c r="I473" s="149"/>
      <c r="J473" t="str">
        <f>IF($B473="","",IF(AND($B473=Party_Statement!$B$5,$A473&gt;=Party_Statement!$B$6,$A473&lt;=Party_Statement!$D$6),SUMPRODUCT(($B$3:$B473=Party_Statement!$B$5)*($A$3:$A473&gt;=Party_Statement!$B$6)*($A$3:$A473&lt;=Party_Statement!$D$6)),""))</f>
        <v/>
      </c>
    </row>
    <row r="474" spans="1:10" x14ac:dyDescent="0.2">
      <c r="A474" s="148">
        <f>Sales_Entry!A505</f>
        <v>66937</v>
      </c>
      <c r="B474" s="149" t="str">
        <f>Sales_Entry!C505</f>
        <v>SHARMA DAI</v>
      </c>
      <c r="C474" s="149" t="s">
        <v>984</v>
      </c>
      <c r="D474" s="149" t="str">
        <f>Sales_Entry!B505</f>
        <v>BILL-6413</v>
      </c>
      <c r="E474" s="149" t="str">
        <f>Sales_Entry!D505</f>
        <v>Mix Milk</v>
      </c>
      <c r="F474" s="150">
        <f>N(Sales_Entry!I505)</f>
        <v>2940</v>
      </c>
      <c r="G474" s="150">
        <v>0</v>
      </c>
      <c r="H474" s="150">
        <f t="shared" si="7"/>
        <v>2940</v>
      </c>
      <c r="I474" s="149"/>
      <c r="J474" t="str">
        <f>IF($B474="","",IF(AND($B474=Party_Statement!$B$5,$A474&gt;=Party_Statement!$B$6,$A474&lt;=Party_Statement!$D$6),SUMPRODUCT(($B$3:$B474=Party_Statement!$B$5)*($A$3:$A474&gt;=Party_Statement!$B$6)*($A$3:$A474&lt;=Party_Statement!$D$6)),""))</f>
        <v/>
      </c>
    </row>
    <row r="475" spans="1:10" x14ac:dyDescent="0.2">
      <c r="A475" s="148">
        <f>Sales_Entry!A506</f>
        <v>66937</v>
      </c>
      <c r="B475" s="149" t="str">
        <f>Sales_Entry!C506</f>
        <v>SRIJANA DAIRY (DEVI NAGAR)</v>
      </c>
      <c r="C475" s="149" t="s">
        <v>984</v>
      </c>
      <c r="D475" s="149" t="str">
        <f>Sales_Entry!B506</f>
        <v>BILL-6419</v>
      </c>
      <c r="E475" s="149" t="str">
        <f>Sales_Entry!D506</f>
        <v>Mix Milk</v>
      </c>
      <c r="F475" s="150">
        <f>N(Sales_Entry!I506)</f>
        <v>5100</v>
      </c>
      <c r="G475" s="150">
        <v>0</v>
      </c>
      <c r="H475" s="150">
        <f t="shared" si="7"/>
        <v>5100</v>
      </c>
      <c r="I475" s="149"/>
      <c r="J475" t="str">
        <f>IF($B475="","",IF(AND($B475=Party_Statement!$B$5,$A475&gt;=Party_Statement!$B$6,$A475&lt;=Party_Statement!$D$6),SUMPRODUCT(($B$3:$B475=Party_Statement!$B$5)*($A$3:$A475&gt;=Party_Statement!$B$6)*($A$3:$A475&lt;=Party_Statement!$D$6)),""))</f>
        <v/>
      </c>
    </row>
    <row r="476" spans="1:10" x14ac:dyDescent="0.2">
      <c r="A476" s="148">
        <f>Sales_Entry!A507</f>
        <v>66937</v>
      </c>
      <c r="B476" s="149" t="str">
        <f>Sales_Entry!C507</f>
        <v>SRIJANA DAIRY (DEVI NAGAR)</v>
      </c>
      <c r="C476" s="149" t="s">
        <v>984</v>
      </c>
      <c r="D476" s="149" t="str">
        <f>Sales_Entry!B507</f>
        <v>BILL-6419</v>
      </c>
      <c r="E476" s="149" t="str">
        <f>Sales_Entry!D507</f>
        <v>Mix Milk</v>
      </c>
      <c r="F476" s="150">
        <f>N(Sales_Entry!I507)</f>
        <v>80</v>
      </c>
      <c r="G476" s="150">
        <v>0</v>
      </c>
      <c r="H476" s="150">
        <f t="shared" si="7"/>
        <v>5180</v>
      </c>
      <c r="I476" s="149"/>
      <c r="J476" t="str">
        <f>IF($B476="","",IF(AND($B476=Party_Statement!$B$5,$A476&gt;=Party_Statement!$B$6,$A476&lt;=Party_Statement!$D$6),SUMPRODUCT(($B$3:$B476=Party_Statement!$B$5)*($A$3:$A476&gt;=Party_Statement!$B$6)*($A$3:$A476&lt;=Party_Statement!$D$6)),""))</f>
        <v/>
      </c>
    </row>
    <row r="477" spans="1:10" x14ac:dyDescent="0.2">
      <c r="A477" s="148">
        <f>Sales_Entry!A508</f>
        <v>66937</v>
      </c>
      <c r="B477" s="149" t="str">
        <f>Sales_Entry!C508</f>
        <v xml:space="preserve">SOBHA BHATTARAI </v>
      </c>
      <c r="C477" s="149" t="s">
        <v>984</v>
      </c>
      <c r="D477" s="149" t="str">
        <f>Sales_Entry!B508</f>
        <v>BILL-6420</v>
      </c>
      <c r="E477" s="149" t="str">
        <f>Sales_Entry!D508</f>
        <v>Mix Milk</v>
      </c>
      <c r="F477" s="150">
        <f>N(Sales_Entry!I508)</f>
        <v>3825</v>
      </c>
      <c r="G477" s="150">
        <v>0</v>
      </c>
      <c r="H477" s="150">
        <f t="shared" si="7"/>
        <v>3825</v>
      </c>
      <c r="I477" s="149"/>
      <c r="J477" t="str">
        <f>IF($B477="","",IF(AND($B477=Party_Statement!$B$5,$A477&gt;=Party_Statement!$B$6,$A477&lt;=Party_Statement!$D$6),SUMPRODUCT(($B$3:$B477=Party_Statement!$B$5)*($A$3:$A477&gt;=Party_Statement!$B$6)*($A$3:$A477&lt;=Party_Statement!$D$6)),""))</f>
        <v/>
      </c>
    </row>
    <row r="478" spans="1:10" x14ac:dyDescent="0.2">
      <c r="A478" s="148">
        <f>Sales_Entry!A509</f>
        <v>66937</v>
      </c>
      <c r="B478" s="149" t="str">
        <f>Sales_Entry!C509</f>
        <v>MANAKAMANA DAIRY</v>
      </c>
      <c r="C478" s="149" t="s">
        <v>984</v>
      </c>
      <c r="D478" s="149" t="str">
        <f>Sales_Entry!B509</f>
        <v>BILL-6421</v>
      </c>
      <c r="E478" s="149" t="str">
        <f>Sales_Entry!D509</f>
        <v>Mix Milk</v>
      </c>
      <c r="F478" s="150">
        <f>N(Sales_Entry!I509)</f>
        <v>850</v>
      </c>
      <c r="G478" s="150">
        <v>0</v>
      </c>
      <c r="H478" s="150">
        <f t="shared" si="7"/>
        <v>850</v>
      </c>
      <c r="I478" s="149"/>
      <c r="J478" t="str">
        <f>IF($B478="","",IF(AND($B478=Party_Statement!$B$5,$A478&gt;=Party_Statement!$B$6,$A478&lt;=Party_Statement!$D$6),SUMPRODUCT(($B$3:$B478=Party_Statement!$B$5)*($A$3:$A478&gt;=Party_Statement!$B$6)*($A$3:$A478&lt;=Party_Statement!$D$6)),""))</f>
        <v/>
      </c>
    </row>
    <row r="479" spans="1:10" x14ac:dyDescent="0.2">
      <c r="A479" s="148">
        <f>Sales_Entry!A510</f>
        <v>66937</v>
      </c>
      <c r="B479" s="149" t="str">
        <f>Sales_Entry!C510</f>
        <v xml:space="preserve">SAMIKSHYA </v>
      </c>
      <c r="C479" s="149" t="s">
        <v>984</v>
      </c>
      <c r="D479" s="149" t="str">
        <f>Sales_Entry!B510</f>
        <v>BILL-6422</v>
      </c>
      <c r="E479" s="149" t="str">
        <f>Sales_Entry!D510</f>
        <v>Mix Milk</v>
      </c>
      <c r="F479" s="150">
        <f>N(Sales_Entry!I510)</f>
        <v>680</v>
      </c>
      <c r="G479" s="150">
        <v>0</v>
      </c>
      <c r="H479" s="150">
        <f t="shared" si="7"/>
        <v>680</v>
      </c>
      <c r="I479" s="149"/>
      <c r="J479" t="str">
        <f>IF($B479="","",IF(AND($B479=Party_Statement!$B$5,$A479&gt;=Party_Statement!$B$6,$A479&lt;=Party_Statement!$D$6),SUMPRODUCT(($B$3:$B479=Party_Statement!$B$5)*($A$3:$A479&gt;=Party_Statement!$B$6)*($A$3:$A479&lt;=Party_Statement!$D$6)),""))</f>
        <v/>
      </c>
    </row>
    <row r="480" spans="1:10" x14ac:dyDescent="0.2">
      <c r="A480" s="148">
        <f>Sales_Entry!A511</f>
        <v>66937</v>
      </c>
      <c r="B480" s="149" t="str">
        <f>Sales_Entry!C511</f>
        <v>KRISHNA KHAREL</v>
      </c>
      <c r="C480" s="149" t="s">
        <v>984</v>
      </c>
      <c r="D480" s="149" t="str">
        <f>Sales_Entry!B511</f>
        <v>BILL-6423</v>
      </c>
      <c r="E480" s="149" t="str">
        <f>Sales_Entry!D511</f>
        <v>Mix Milk</v>
      </c>
      <c r="F480" s="150">
        <f>N(Sales_Entry!I511)</f>
        <v>258</v>
      </c>
      <c r="G480" s="150">
        <v>0</v>
      </c>
      <c r="H480" s="150">
        <f t="shared" si="7"/>
        <v>258</v>
      </c>
      <c r="I480" s="149"/>
      <c r="J480" t="str">
        <f>IF($B480="","",IF(AND($B480=Party_Statement!$B$5,$A480&gt;=Party_Statement!$B$6,$A480&lt;=Party_Statement!$D$6),SUMPRODUCT(($B$3:$B480=Party_Statement!$B$5)*($A$3:$A480&gt;=Party_Statement!$B$6)*($A$3:$A480&lt;=Party_Statement!$D$6)),""))</f>
        <v/>
      </c>
    </row>
    <row r="481" spans="1:10" x14ac:dyDescent="0.2">
      <c r="A481" s="148">
        <f>Sales_Entry!A512</f>
        <v>66937</v>
      </c>
      <c r="B481" s="149" t="str">
        <f>Sales_Entry!C512</f>
        <v xml:space="preserve">DEURALI KIRANA </v>
      </c>
      <c r="C481" s="149" t="s">
        <v>984</v>
      </c>
      <c r="D481" s="149" t="str">
        <f>Sales_Entry!B512</f>
        <v>BILL-6424</v>
      </c>
      <c r="E481" s="149" t="str">
        <f>Sales_Entry!D512</f>
        <v>Mix Milk</v>
      </c>
      <c r="F481" s="150">
        <f>N(Sales_Entry!I512)</f>
        <v>425</v>
      </c>
      <c r="G481" s="150">
        <v>0</v>
      </c>
      <c r="H481" s="150">
        <f t="shared" si="7"/>
        <v>425</v>
      </c>
      <c r="I481" s="149"/>
      <c r="J481" t="str">
        <f>IF($B481="","",IF(AND($B481=Party_Statement!$B$5,$A481&gt;=Party_Statement!$B$6,$A481&lt;=Party_Statement!$D$6),SUMPRODUCT(($B$3:$B481=Party_Statement!$B$5)*($A$3:$A481&gt;=Party_Statement!$B$6)*($A$3:$A481&lt;=Party_Statement!$D$6)),""))</f>
        <v/>
      </c>
    </row>
    <row r="482" spans="1:10" x14ac:dyDescent="0.2">
      <c r="A482" s="148">
        <f>Sales_Entry!A513</f>
        <v>66937</v>
      </c>
      <c r="B482" s="149" t="str">
        <f>Sales_Entry!C513</f>
        <v xml:space="preserve">KRITIKA KIRANA </v>
      </c>
      <c r="C482" s="149" t="s">
        <v>984</v>
      </c>
      <c r="D482" s="149" t="str">
        <f>Sales_Entry!B513</f>
        <v>BILL-6425</v>
      </c>
      <c r="E482" s="149" t="str">
        <f>Sales_Entry!D513</f>
        <v>Mix Milk</v>
      </c>
      <c r="F482" s="150">
        <f>N(Sales_Entry!I513)</f>
        <v>1290</v>
      </c>
      <c r="G482" s="150">
        <v>0</v>
      </c>
      <c r="H482" s="150">
        <f t="shared" si="7"/>
        <v>1290</v>
      </c>
      <c r="I482" s="149"/>
      <c r="J482" t="str">
        <f>IF($B482="","",IF(AND($B482=Party_Statement!$B$5,$A482&gt;=Party_Statement!$B$6,$A482&lt;=Party_Statement!$D$6),SUMPRODUCT(($B$3:$B482=Party_Statement!$B$5)*($A$3:$A482&gt;=Party_Statement!$B$6)*($A$3:$A482&lt;=Party_Statement!$D$6)),""))</f>
        <v/>
      </c>
    </row>
    <row r="483" spans="1:10" x14ac:dyDescent="0.2">
      <c r="A483" s="148">
        <f>Sales_Entry!A514</f>
        <v>66937</v>
      </c>
      <c r="B483" s="149" t="str">
        <f>Sales_Entry!C514</f>
        <v xml:space="preserve">AAYUSH AAYUSHMA </v>
      </c>
      <c r="C483" s="149" t="s">
        <v>984</v>
      </c>
      <c r="D483" s="149" t="str">
        <f>Sales_Entry!B514</f>
        <v>BILL-6426</v>
      </c>
      <c r="E483" s="149" t="str">
        <f>Sales_Entry!D514</f>
        <v>Mix Milk</v>
      </c>
      <c r="F483" s="150">
        <f>N(Sales_Entry!I514)</f>
        <v>425</v>
      </c>
      <c r="G483" s="150">
        <v>0</v>
      </c>
      <c r="H483" s="150">
        <f t="shared" si="7"/>
        <v>425</v>
      </c>
      <c r="I483" s="149"/>
      <c r="J483" t="str">
        <f>IF($B483="","",IF(AND($B483=Party_Statement!$B$5,$A483&gt;=Party_Statement!$B$6,$A483&lt;=Party_Statement!$D$6),SUMPRODUCT(($B$3:$B483=Party_Statement!$B$5)*($A$3:$A483&gt;=Party_Statement!$B$6)*($A$3:$A483&lt;=Party_Statement!$D$6)),""))</f>
        <v/>
      </c>
    </row>
    <row r="484" spans="1:10" x14ac:dyDescent="0.2">
      <c r="A484" s="148">
        <f>Sales_Entry!A515</f>
        <v>66937</v>
      </c>
      <c r="B484" s="149" t="str">
        <f>Sales_Entry!C515</f>
        <v xml:space="preserve">YUBARAJ AND SAMRAT </v>
      </c>
      <c r="C484" s="149" t="s">
        <v>984</v>
      </c>
      <c r="D484" s="149" t="str">
        <f>Sales_Entry!B515</f>
        <v>BILL-6427</v>
      </c>
      <c r="E484" s="149" t="str">
        <f>Sales_Entry!D515</f>
        <v>Mix Milk</v>
      </c>
      <c r="F484" s="150">
        <f>N(Sales_Entry!I515)</f>
        <v>1020</v>
      </c>
      <c r="G484" s="150">
        <v>0</v>
      </c>
      <c r="H484" s="150">
        <f t="shared" si="7"/>
        <v>1020</v>
      </c>
      <c r="I484" s="149"/>
      <c r="J484" t="str">
        <f>IF($B484="","",IF(AND($B484=Party_Statement!$B$5,$A484&gt;=Party_Statement!$B$6,$A484&lt;=Party_Statement!$D$6),SUMPRODUCT(($B$3:$B484=Party_Statement!$B$5)*($A$3:$A484&gt;=Party_Statement!$B$6)*($A$3:$A484&lt;=Party_Statement!$D$6)),""))</f>
        <v/>
      </c>
    </row>
    <row r="485" spans="1:10" x14ac:dyDescent="0.2">
      <c r="A485" s="148">
        <f>Sales_Entry!A516</f>
        <v>66937</v>
      </c>
      <c r="B485" s="149" t="str">
        <f>Sales_Entry!C516</f>
        <v>CHHATRABHUMI</v>
      </c>
      <c r="C485" s="149" t="s">
        <v>984</v>
      </c>
      <c r="D485" s="149" t="str">
        <f>Sales_Entry!B516</f>
        <v>BILL-6428</v>
      </c>
      <c r="E485" s="149" t="str">
        <f>Sales_Entry!D516</f>
        <v>Mix Milk</v>
      </c>
      <c r="F485" s="150">
        <f>N(Sales_Entry!I516)</f>
        <v>2580</v>
      </c>
      <c r="G485" s="150">
        <v>0</v>
      </c>
      <c r="H485" s="150">
        <f t="shared" si="7"/>
        <v>2580</v>
      </c>
      <c r="I485" s="149"/>
      <c r="J485" t="str">
        <f>IF($B485="","",IF(AND($B485=Party_Statement!$B$5,$A485&gt;=Party_Statement!$B$6,$A485&lt;=Party_Statement!$D$6),SUMPRODUCT(($B$3:$B485=Party_Statement!$B$5)*($A$3:$A485&gt;=Party_Statement!$B$6)*($A$3:$A485&lt;=Party_Statement!$D$6)),""))</f>
        <v/>
      </c>
    </row>
    <row r="486" spans="1:10" x14ac:dyDescent="0.2">
      <c r="A486" s="148">
        <f>Sales_Entry!A517</f>
        <v>66937</v>
      </c>
      <c r="B486" s="149" t="str">
        <f>Sales_Entry!C517</f>
        <v>PALPALI</v>
      </c>
      <c r="C486" s="149" t="s">
        <v>984</v>
      </c>
      <c r="D486" s="149" t="str">
        <f>Sales_Entry!B517</f>
        <v>BILL-6429</v>
      </c>
      <c r="E486" s="149" t="str">
        <f>Sales_Entry!D517</f>
        <v>Mix Milk</v>
      </c>
      <c r="F486" s="150">
        <f>N(Sales_Entry!I517)</f>
        <v>1275</v>
      </c>
      <c r="G486" s="150">
        <v>0</v>
      </c>
      <c r="H486" s="150">
        <f t="shared" si="7"/>
        <v>1275</v>
      </c>
      <c r="I486" s="149"/>
      <c r="J486" t="str">
        <f>IF($B486="","",IF(AND($B486=Party_Statement!$B$5,$A486&gt;=Party_Statement!$B$6,$A486&lt;=Party_Statement!$D$6),SUMPRODUCT(($B$3:$B486=Party_Statement!$B$5)*($A$3:$A486&gt;=Party_Statement!$B$6)*($A$3:$A486&lt;=Party_Statement!$D$6)),""))</f>
        <v/>
      </c>
    </row>
    <row r="487" spans="1:10" x14ac:dyDescent="0.2">
      <c r="A487" s="148">
        <f>Sales_Entry!A518</f>
        <v>66937</v>
      </c>
      <c r="B487" s="149" t="str">
        <f>Sales_Entry!C518</f>
        <v xml:space="preserve">GIRI KIRANA </v>
      </c>
      <c r="C487" s="149" t="s">
        <v>984</v>
      </c>
      <c r="D487" s="149" t="str">
        <f>Sales_Entry!B518</f>
        <v>BILL-6430</v>
      </c>
      <c r="E487" s="149" t="str">
        <f>Sales_Entry!D518</f>
        <v>Mix Milk</v>
      </c>
      <c r="F487" s="150">
        <f>N(Sales_Entry!I518)</f>
        <v>1275</v>
      </c>
      <c r="G487" s="150">
        <v>0</v>
      </c>
      <c r="H487" s="150">
        <f t="shared" si="7"/>
        <v>1275</v>
      </c>
      <c r="I487" s="149"/>
      <c r="J487" t="str">
        <f>IF($B487="","",IF(AND($B487=Party_Statement!$B$5,$A487&gt;=Party_Statement!$B$6,$A487&lt;=Party_Statement!$D$6),SUMPRODUCT(($B$3:$B487=Party_Statement!$B$5)*($A$3:$A487&gt;=Party_Statement!$B$6)*($A$3:$A487&lt;=Party_Statement!$D$6)),""))</f>
        <v/>
      </c>
    </row>
    <row r="488" spans="1:10" x14ac:dyDescent="0.2">
      <c r="A488" s="148">
        <f>Sales_Entry!A519</f>
        <v>66937</v>
      </c>
      <c r="B488" s="149" t="str">
        <f>Sales_Entry!C519</f>
        <v xml:space="preserve">AAMOSH KIRANA </v>
      </c>
      <c r="C488" s="149" t="s">
        <v>984</v>
      </c>
      <c r="D488" s="149" t="str">
        <f>Sales_Entry!B519</f>
        <v>BILL-6431</v>
      </c>
      <c r="E488" s="149" t="str">
        <f>Sales_Entry!D519</f>
        <v>Mix Milk</v>
      </c>
      <c r="F488" s="150">
        <f>N(Sales_Entry!I519)</f>
        <v>1700</v>
      </c>
      <c r="G488" s="150">
        <v>0</v>
      </c>
      <c r="H488" s="150">
        <f t="shared" si="7"/>
        <v>1700</v>
      </c>
      <c r="I488" s="149"/>
      <c r="J488" t="str">
        <f>IF($B488="","",IF(AND($B488=Party_Statement!$B$5,$A488&gt;=Party_Statement!$B$6,$A488&lt;=Party_Statement!$D$6),SUMPRODUCT(($B$3:$B488=Party_Statement!$B$5)*($A$3:$A488&gt;=Party_Statement!$B$6)*($A$3:$A488&lt;=Party_Statement!$D$6)),""))</f>
        <v/>
      </c>
    </row>
    <row r="489" spans="1:10" x14ac:dyDescent="0.2">
      <c r="A489" s="148">
        <f>Sales_Entry!A520</f>
        <v>66937</v>
      </c>
      <c r="B489" s="149" t="str">
        <f>Sales_Entry!C520</f>
        <v xml:space="preserve">AAMOSH KIRANA </v>
      </c>
      <c r="C489" s="149" t="s">
        <v>984</v>
      </c>
      <c r="D489" s="149" t="str">
        <f>Sales_Entry!B520</f>
        <v>BILL-6431</v>
      </c>
      <c r="E489" s="149" t="str">
        <f>Sales_Entry!D520</f>
        <v>NAUNI</v>
      </c>
      <c r="F489" s="150">
        <f>N(Sales_Entry!I520)</f>
        <v>3000</v>
      </c>
      <c r="G489" s="150">
        <v>0</v>
      </c>
      <c r="H489" s="150">
        <f t="shared" si="7"/>
        <v>4700</v>
      </c>
      <c r="I489" s="149"/>
      <c r="J489" t="str">
        <f>IF($B489="","",IF(AND($B489=Party_Statement!$B$5,$A489&gt;=Party_Statement!$B$6,$A489&lt;=Party_Statement!$D$6),SUMPRODUCT(($B$3:$B489=Party_Statement!$B$5)*($A$3:$A489&gt;=Party_Statement!$B$6)*($A$3:$A489&lt;=Party_Statement!$D$6)),""))</f>
        <v/>
      </c>
    </row>
    <row r="490" spans="1:10" x14ac:dyDescent="0.2">
      <c r="A490" s="148">
        <f>Sales_Entry!A521</f>
        <v>66937</v>
      </c>
      <c r="B490" s="149" t="str">
        <f>Sales_Entry!C521</f>
        <v>KALIKA CANTEEN A</v>
      </c>
      <c r="C490" s="149" t="s">
        <v>984</v>
      </c>
      <c r="D490" s="149" t="str">
        <f>Sales_Entry!B521</f>
        <v>BILL-6432</v>
      </c>
      <c r="E490" s="149" t="str">
        <f>Sales_Entry!D521</f>
        <v>Mix Milk</v>
      </c>
      <c r="F490" s="150">
        <f>N(Sales_Entry!I521)</f>
        <v>2975</v>
      </c>
      <c r="G490" s="150">
        <v>0</v>
      </c>
      <c r="H490" s="150">
        <f t="shared" si="7"/>
        <v>2975</v>
      </c>
      <c r="I490" s="149"/>
      <c r="J490" t="str">
        <f>IF($B490="","",IF(AND($B490=Party_Statement!$B$5,$A490&gt;=Party_Statement!$B$6,$A490&lt;=Party_Statement!$D$6),SUMPRODUCT(($B$3:$B490=Party_Statement!$B$5)*($A$3:$A490&gt;=Party_Statement!$B$6)*($A$3:$A490&lt;=Party_Statement!$D$6)),""))</f>
        <v/>
      </c>
    </row>
    <row r="491" spans="1:10" x14ac:dyDescent="0.2">
      <c r="A491" s="148">
        <f>Sales_Entry!A522</f>
        <v>66937</v>
      </c>
      <c r="B491" s="149" t="str">
        <f>Sales_Entry!C522</f>
        <v>KALIKA CANTEEN A1</v>
      </c>
      <c r="C491" s="149" t="s">
        <v>984</v>
      </c>
      <c r="D491" s="149" t="str">
        <f>Sales_Entry!B522</f>
        <v>BILL-6433</v>
      </c>
      <c r="E491" s="149" t="str">
        <f>Sales_Entry!D522</f>
        <v>Mix Milk</v>
      </c>
      <c r="F491" s="150">
        <f>N(Sales_Entry!I522)</f>
        <v>2550</v>
      </c>
      <c r="G491" s="150">
        <v>0</v>
      </c>
      <c r="H491" s="150">
        <f t="shared" si="7"/>
        <v>2550</v>
      </c>
      <c r="I491" s="149"/>
      <c r="J491" t="str">
        <f>IF($B491="","",IF(AND($B491=Party_Statement!$B$5,$A491&gt;=Party_Statement!$B$6,$A491&lt;=Party_Statement!$D$6),SUMPRODUCT(($B$3:$B491=Party_Statement!$B$5)*($A$3:$A491&gt;=Party_Statement!$B$6)*($A$3:$A491&lt;=Party_Statement!$D$6)),""))</f>
        <v/>
      </c>
    </row>
    <row r="492" spans="1:10" x14ac:dyDescent="0.2">
      <c r="A492" s="148">
        <f>Sales_Entry!A523</f>
        <v>66937</v>
      </c>
      <c r="B492" s="149" t="str">
        <f>Sales_Entry!C523</f>
        <v>ORGANIC TARKALI</v>
      </c>
      <c r="C492" s="149" t="s">
        <v>984</v>
      </c>
      <c r="D492" s="149" t="str">
        <f>Sales_Entry!B523</f>
        <v>BILL-6434</v>
      </c>
      <c r="E492" s="149" t="str">
        <f>Sales_Entry!D523</f>
        <v>Mix Milk</v>
      </c>
      <c r="F492" s="150">
        <f>N(Sales_Entry!I523)</f>
        <v>2375</v>
      </c>
      <c r="G492" s="150">
        <v>0</v>
      </c>
      <c r="H492" s="150">
        <f t="shared" si="7"/>
        <v>2375</v>
      </c>
      <c r="I492" s="149"/>
      <c r="J492" t="str">
        <f>IF($B492="","",IF(AND($B492=Party_Statement!$B$5,$A492&gt;=Party_Statement!$B$6,$A492&lt;=Party_Statement!$D$6),SUMPRODUCT(($B$3:$B492=Party_Statement!$B$5)*($A$3:$A492&gt;=Party_Statement!$B$6)*($A$3:$A492&lt;=Party_Statement!$D$6)),""))</f>
        <v/>
      </c>
    </row>
    <row r="493" spans="1:10" x14ac:dyDescent="0.2">
      <c r="A493" s="148">
        <f>Sales_Entry!A524</f>
        <v>66937</v>
      </c>
      <c r="B493" s="149" t="str">
        <f>Sales_Entry!C524</f>
        <v>GANGA NEUPANE</v>
      </c>
      <c r="C493" s="149" t="s">
        <v>984</v>
      </c>
      <c r="D493" s="149" t="str">
        <f>Sales_Entry!B524</f>
        <v>BILL-6435</v>
      </c>
      <c r="E493" s="149" t="str">
        <f>Sales_Entry!D524</f>
        <v>Mix Milk</v>
      </c>
      <c r="F493" s="150">
        <f>N(Sales_Entry!I524)</f>
        <v>510</v>
      </c>
      <c r="G493" s="150">
        <v>0</v>
      </c>
      <c r="H493" s="150">
        <f t="shared" si="7"/>
        <v>510</v>
      </c>
      <c r="I493" s="149"/>
      <c r="J493" t="str">
        <f>IF($B493="","",IF(AND($B493=Party_Statement!$B$5,$A493&gt;=Party_Statement!$B$6,$A493&lt;=Party_Statement!$D$6),SUMPRODUCT(($B$3:$B493=Party_Statement!$B$5)*($A$3:$A493&gt;=Party_Statement!$B$6)*($A$3:$A493&lt;=Party_Statement!$D$6)),""))</f>
        <v/>
      </c>
    </row>
    <row r="494" spans="1:10" x14ac:dyDescent="0.2">
      <c r="A494" s="148">
        <f>Sales_Entry!A525</f>
        <v>66937</v>
      </c>
      <c r="B494" s="149" t="str">
        <f>Sales_Entry!C525</f>
        <v>LOCAL</v>
      </c>
      <c r="C494" s="149" t="s">
        <v>984</v>
      </c>
      <c r="D494" s="149" t="str">
        <f>Sales_Entry!B525</f>
        <v>BILL-6436</v>
      </c>
      <c r="E494" s="149" t="str">
        <f>Sales_Entry!D525</f>
        <v>Mix Milk</v>
      </c>
      <c r="F494" s="150">
        <f>N(Sales_Entry!I525)</f>
        <v>500</v>
      </c>
      <c r="G494" s="150">
        <v>0</v>
      </c>
      <c r="H494" s="150">
        <f t="shared" si="7"/>
        <v>500</v>
      </c>
      <c r="I494" s="149"/>
      <c r="J494" t="str">
        <f>IF($B494="","",IF(AND($B494=Party_Statement!$B$5,$A494&gt;=Party_Statement!$B$6,$A494&lt;=Party_Statement!$D$6),SUMPRODUCT(($B$3:$B494=Party_Statement!$B$5)*($A$3:$A494&gt;=Party_Statement!$B$6)*($A$3:$A494&lt;=Party_Statement!$D$6)),""))</f>
        <v/>
      </c>
    </row>
    <row r="495" spans="1:10" x14ac:dyDescent="0.2">
      <c r="A495" s="148">
        <f>Sales_Entry!A526</f>
        <v>66937</v>
      </c>
      <c r="B495" s="149" t="str">
        <f>Sales_Entry!C526</f>
        <v>LOCAL</v>
      </c>
      <c r="C495" s="149" t="s">
        <v>984</v>
      </c>
      <c r="D495" s="149" t="str">
        <f>Sales_Entry!B526</f>
        <v>BILL-6436</v>
      </c>
      <c r="E495" s="149" t="str">
        <f>Sales_Entry!D526</f>
        <v>Ghee</v>
      </c>
      <c r="F495" s="150">
        <f>N(Sales_Entry!I526)</f>
        <v>1100</v>
      </c>
      <c r="G495" s="150">
        <v>0</v>
      </c>
      <c r="H495" s="150">
        <f t="shared" si="7"/>
        <v>1600</v>
      </c>
      <c r="I495" s="149"/>
      <c r="J495" t="str">
        <f>IF($B495="","",IF(AND($B495=Party_Statement!$B$5,$A495&gt;=Party_Statement!$B$6,$A495&lt;=Party_Statement!$D$6),SUMPRODUCT(($B$3:$B495=Party_Statement!$B$5)*($A$3:$A495&gt;=Party_Statement!$B$6)*($A$3:$A495&lt;=Party_Statement!$D$6)),""))</f>
        <v/>
      </c>
    </row>
    <row r="496" spans="1:10" x14ac:dyDescent="0.2">
      <c r="A496" s="148">
        <f>Sales_Entry!A527</f>
        <v>66937</v>
      </c>
      <c r="B496" s="149" t="str">
        <f>Sales_Entry!C527</f>
        <v>NEUPANE KIRANA</v>
      </c>
      <c r="C496" s="149" t="s">
        <v>984</v>
      </c>
      <c r="D496" s="149" t="str">
        <f>Sales_Entry!B527</f>
        <v>BILL-6437</v>
      </c>
      <c r="E496" s="149" t="str">
        <f>Sales_Entry!D527</f>
        <v>Mix Milk</v>
      </c>
      <c r="F496" s="150">
        <f>N(Sales_Entry!I527)</f>
        <v>200</v>
      </c>
      <c r="G496" s="150">
        <v>0</v>
      </c>
      <c r="H496" s="150">
        <f t="shared" si="7"/>
        <v>200</v>
      </c>
      <c r="I496" s="149"/>
      <c r="J496" t="str">
        <f>IF($B496="","",IF(AND($B496=Party_Statement!$B$5,$A496&gt;=Party_Statement!$B$6,$A496&lt;=Party_Statement!$D$6),SUMPRODUCT(($B$3:$B496=Party_Statement!$B$5)*($A$3:$A496&gt;=Party_Statement!$B$6)*($A$3:$A496&lt;=Party_Statement!$D$6)),""))</f>
        <v/>
      </c>
    </row>
    <row r="497" spans="1:10" x14ac:dyDescent="0.2">
      <c r="A497" s="148">
        <f>Sales_Entry!A528</f>
        <v>66938</v>
      </c>
      <c r="B497" s="149" t="str">
        <f>Sales_Entry!C528</f>
        <v>ORGANIC TARKALI</v>
      </c>
      <c r="C497" s="149" t="s">
        <v>984</v>
      </c>
      <c r="D497" s="149" t="str">
        <f>Sales_Entry!B528</f>
        <v>BILL-6394</v>
      </c>
      <c r="E497" s="149" t="str">
        <f>Sales_Entry!D528</f>
        <v>Mix Milk</v>
      </c>
      <c r="F497" s="150">
        <f>N(Sales_Entry!I528)</f>
        <v>2375</v>
      </c>
      <c r="G497" s="150">
        <v>0</v>
      </c>
      <c r="H497" s="150">
        <f t="shared" si="7"/>
        <v>2375</v>
      </c>
      <c r="I497" s="149"/>
      <c r="J497" t="str">
        <f>IF($B497="","",IF(AND($B497=Party_Statement!$B$5,$A497&gt;=Party_Statement!$B$6,$A497&lt;=Party_Statement!$D$6),SUMPRODUCT(($B$3:$B497=Party_Statement!$B$5)*($A$3:$A497&gt;=Party_Statement!$B$6)*($A$3:$A497&lt;=Party_Statement!$D$6)),""))</f>
        <v/>
      </c>
    </row>
    <row r="498" spans="1:10" x14ac:dyDescent="0.2">
      <c r="A498" s="148">
        <f>Sales_Entry!A529</f>
        <v>66938</v>
      </c>
      <c r="B498" s="149" t="str">
        <f>Sales_Entry!C529</f>
        <v>SITALA ARYAL</v>
      </c>
      <c r="C498" s="149" t="s">
        <v>984</v>
      </c>
      <c r="D498" s="149" t="str">
        <f>Sales_Entry!B529</f>
        <v>BILL-6395</v>
      </c>
      <c r="E498" s="149" t="str">
        <f>Sales_Entry!D529</f>
        <v>Mix Milk</v>
      </c>
      <c r="F498" s="150">
        <f>N(Sales_Entry!I529)</f>
        <v>100</v>
      </c>
      <c r="G498" s="150">
        <v>0</v>
      </c>
      <c r="H498" s="150">
        <f t="shared" si="7"/>
        <v>100</v>
      </c>
      <c r="I498" s="149"/>
      <c r="J498" t="str">
        <f>IF($B498="","",IF(AND($B498=Party_Statement!$B$5,$A498&gt;=Party_Statement!$B$6,$A498&lt;=Party_Statement!$D$6),SUMPRODUCT(($B$3:$B498=Party_Statement!$B$5)*($A$3:$A498&gt;=Party_Statement!$B$6)*($A$3:$A498&lt;=Party_Statement!$D$6)),""))</f>
        <v/>
      </c>
    </row>
    <row r="499" spans="1:10" x14ac:dyDescent="0.2">
      <c r="A499" s="148">
        <f>Sales_Entry!A530</f>
        <v>66938</v>
      </c>
      <c r="B499" s="149" t="str">
        <f>Sales_Entry!C530</f>
        <v>SHARMA DAI</v>
      </c>
      <c r="C499" s="149" t="s">
        <v>984</v>
      </c>
      <c r="D499" s="149" t="str">
        <f>Sales_Entry!B530</f>
        <v>BILL-6396</v>
      </c>
      <c r="E499" s="149" t="str">
        <f>Sales_Entry!D530</f>
        <v>Mix Milk</v>
      </c>
      <c r="F499" s="150">
        <f>N(Sales_Entry!I530)</f>
        <v>2688</v>
      </c>
      <c r="G499" s="150">
        <v>0</v>
      </c>
      <c r="H499" s="150">
        <f t="shared" si="7"/>
        <v>2688</v>
      </c>
      <c r="I499" s="149"/>
      <c r="J499" t="str">
        <f>IF($B499="","",IF(AND($B499=Party_Statement!$B$5,$A499&gt;=Party_Statement!$B$6,$A499&lt;=Party_Statement!$D$6),SUMPRODUCT(($B$3:$B499=Party_Statement!$B$5)*($A$3:$A499&gt;=Party_Statement!$B$6)*($A$3:$A499&lt;=Party_Statement!$D$6)),""))</f>
        <v/>
      </c>
    </row>
    <row r="500" spans="1:10" x14ac:dyDescent="0.2">
      <c r="A500" s="148">
        <f>Sales_Entry!A531</f>
        <v>66938</v>
      </c>
      <c r="B500" s="149" t="str">
        <f>Sales_Entry!C531</f>
        <v>GANGA NEUPANE</v>
      </c>
      <c r="C500" s="149" t="s">
        <v>984</v>
      </c>
      <c r="D500" s="149" t="str">
        <f>Sales_Entry!B531</f>
        <v>BILL-6397</v>
      </c>
      <c r="E500" s="149" t="str">
        <f>Sales_Entry!D531</f>
        <v>Mix Milk</v>
      </c>
      <c r="F500" s="150">
        <f>N(Sales_Entry!I531)</f>
        <v>510</v>
      </c>
      <c r="G500" s="150">
        <v>0</v>
      </c>
      <c r="H500" s="150">
        <f t="shared" si="7"/>
        <v>510</v>
      </c>
      <c r="I500" s="149"/>
      <c r="J500" t="str">
        <f>IF($B500="","",IF(AND($B500=Party_Statement!$B$5,$A500&gt;=Party_Statement!$B$6,$A500&lt;=Party_Statement!$D$6),SUMPRODUCT(($B$3:$B500=Party_Statement!$B$5)*($A$3:$A500&gt;=Party_Statement!$B$6)*($A$3:$A500&lt;=Party_Statement!$D$6)),""))</f>
        <v/>
      </c>
    </row>
    <row r="501" spans="1:10" x14ac:dyDescent="0.2">
      <c r="A501" s="148">
        <f>Sales_Entry!A532</f>
        <v>66938</v>
      </c>
      <c r="B501" s="149" t="str">
        <f>Sales_Entry!C532</f>
        <v xml:space="preserve">SOBHA BHATTARAI </v>
      </c>
      <c r="C501" s="149" t="s">
        <v>984</v>
      </c>
      <c r="D501" s="149" t="str">
        <f>Sales_Entry!B532</f>
        <v>BILL-6398</v>
      </c>
      <c r="E501" s="149" t="str">
        <f>Sales_Entry!D532</f>
        <v>Mix Milk</v>
      </c>
      <c r="F501" s="150">
        <f>N(Sales_Entry!I532)</f>
        <v>4250</v>
      </c>
      <c r="G501" s="150">
        <v>0</v>
      </c>
      <c r="H501" s="150">
        <f t="shared" si="7"/>
        <v>4250</v>
      </c>
      <c r="I501" s="149"/>
      <c r="J501" t="str">
        <f>IF($B501="","",IF(AND($B501=Party_Statement!$B$5,$A501&gt;=Party_Statement!$B$6,$A501&lt;=Party_Statement!$D$6),SUMPRODUCT(($B$3:$B501=Party_Statement!$B$5)*($A$3:$A501&gt;=Party_Statement!$B$6)*($A$3:$A501&lt;=Party_Statement!$D$6)),""))</f>
        <v/>
      </c>
    </row>
    <row r="502" spans="1:10" x14ac:dyDescent="0.2">
      <c r="A502" s="148">
        <f>Sales_Entry!A533</f>
        <v>66938</v>
      </c>
      <c r="B502" s="149" t="str">
        <f>Sales_Entry!C533</f>
        <v>SRIJANA DAIRY (DEVI NAGAR)</v>
      </c>
      <c r="C502" s="149" t="s">
        <v>984</v>
      </c>
      <c r="D502" s="149" t="str">
        <f>Sales_Entry!B533</f>
        <v>BILL-6438</v>
      </c>
      <c r="E502" s="149" t="str">
        <f>Sales_Entry!D533</f>
        <v>Mix Milk</v>
      </c>
      <c r="F502" s="150">
        <f>N(Sales_Entry!I533)</f>
        <v>5100</v>
      </c>
      <c r="G502" s="150">
        <v>0</v>
      </c>
      <c r="H502" s="150">
        <f t="shared" si="7"/>
        <v>5100</v>
      </c>
      <c r="I502" s="149"/>
      <c r="J502" t="str">
        <f>IF($B502="","",IF(AND($B502=Party_Statement!$B$5,$A502&gt;=Party_Statement!$B$6,$A502&lt;=Party_Statement!$D$6),SUMPRODUCT(($B$3:$B502=Party_Statement!$B$5)*($A$3:$A502&gt;=Party_Statement!$B$6)*($A$3:$A502&lt;=Party_Statement!$D$6)),""))</f>
        <v/>
      </c>
    </row>
    <row r="503" spans="1:10" ht="24" customHeight="1" x14ac:dyDescent="0.2">
      <c r="A503" s="147">
        <f>Sales_Entry!A534</f>
        <v>66938</v>
      </c>
      <c r="B503" s="174" t="str">
        <f>Sales_Entry!C534</f>
        <v>SRIJANA DAIRY (DEVI NAGAR)</v>
      </c>
      <c r="C503" s="151" t="s">
        <v>984</v>
      </c>
      <c r="D503" s="151" t="str">
        <f>Sales_Entry!B534</f>
        <v>BILL-6438</v>
      </c>
      <c r="E503" s="151" t="str">
        <f>Sales_Entry!D534</f>
        <v>Mix Milk</v>
      </c>
      <c r="F503" s="152">
        <f>N(Sales_Entry!I534)</f>
        <v>80</v>
      </c>
      <c r="G503" s="152">
        <v>0</v>
      </c>
      <c r="H503" s="153">
        <f t="shared" si="7"/>
        <v>5180</v>
      </c>
      <c r="I503" s="151"/>
      <c r="J503" t="str">
        <f>IF($B503="","",IF(AND($B503=Party_Statement!$B$5,$A503&gt;=Party_Statement!$B$6,$A503&lt;=Party_Statement!$D$6),SUMPRODUCT(($B$3:$B503=Party_Statement!$B$5)*($A$3:$A503&gt;=Party_Statement!$B$6)*($A$3:$A503&lt;=Party_Statement!$D$6)),""))</f>
        <v/>
      </c>
    </row>
    <row r="504" spans="1:10" x14ac:dyDescent="0.2">
      <c r="A504" s="147">
        <f>Sales_Entry!A535</f>
        <v>66938</v>
      </c>
      <c r="B504" s="175" t="str">
        <f>Sales_Entry!C535</f>
        <v>KRISHNA KHAREL</v>
      </c>
      <c r="C504" s="151" t="s">
        <v>984</v>
      </c>
      <c r="D504" s="151" t="str">
        <f>Sales_Entry!B535</f>
        <v>BILL-6439</v>
      </c>
      <c r="E504" s="151" t="str">
        <f>Sales_Entry!D535</f>
        <v>Mix Milk</v>
      </c>
      <c r="F504" s="153">
        <f>N(Sales_Entry!I535)</f>
        <v>258</v>
      </c>
      <c r="G504" s="153">
        <v>0</v>
      </c>
      <c r="H504" s="153">
        <f t="shared" si="7"/>
        <v>258</v>
      </c>
      <c r="I504" s="151"/>
      <c r="J504" t="str">
        <f>IF($B504="","",IF(AND($B504=Party_Statement!$B$5,$A504&gt;=Party_Statement!$B$6,$A504&lt;=Party_Statement!$D$6),SUMPRODUCT(($B$3:$B504=Party_Statement!$B$5)*($A$3:$A504&gt;=Party_Statement!$B$6)*($A$3:$A504&lt;=Party_Statement!$D$6)),""))</f>
        <v/>
      </c>
    </row>
    <row r="505" spans="1:10" x14ac:dyDescent="0.2">
      <c r="A505" s="147">
        <f>Sales_Entry!A536</f>
        <v>66938</v>
      </c>
      <c r="B505" s="175" t="str">
        <f>Sales_Entry!C536</f>
        <v>CHHATRABHUMI</v>
      </c>
      <c r="C505" s="151" t="s">
        <v>984</v>
      </c>
      <c r="D505" s="151" t="str">
        <f>Sales_Entry!B536</f>
        <v>BILL-6440</v>
      </c>
      <c r="E505" s="151" t="str">
        <f>Sales_Entry!D536</f>
        <v>Mix Milk</v>
      </c>
      <c r="F505" s="153">
        <f>N(Sales_Entry!I536)</f>
        <v>1720</v>
      </c>
      <c r="G505" s="153">
        <v>0</v>
      </c>
      <c r="H505" s="153">
        <f t="shared" si="7"/>
        <v>1720</v>
      </c>
      <c r="I505" s="151"/>
      <c r="J505" t="str">
        <f>IF($B505="","",IF(AND($B505=Party_Statement!$B$5,$A505&gt;=Party_Statement!$B$6,$A505&lt;=Party_Statement!$D$6),SUMPRODUCT(($B$3:$B505=Party_Statement!$B$5)*($A$3:$A505&gt;=Party_Statement!$B$6)*($A$3:$A505&lt;=Party_Statement!$D$6)),""))</f>
        <v/>
      </c>
    </row>
    <row r="506" spans="1:10" x14ac:dyDescent="0.2">
      <c r="A506" s="147">
        <f>Sales_Entry!A537</f>
        <v>66938</v>
      </c>
      <c r="B506" s="175" t="str">
        <f>Sales_Entry!C537</f>
        <v xml:space="preserve">KRITIKA KIRANA </v>
      </c>
      <c r="C506" s="151" t="s">
        <v>984</v>
      </c>
      <c r="D506" s="151" t="str">
        <f>Sales_Entry!B537</f>
        <v>BILL-6441</v>
      </c>
      <c r="E506" s="151" t="str">
        <f>Sales_Entry!D537</f>
        <v>Mix Milk</v>
      </c>
      <c r="F506" s="153">
        <f>N(Sales_Entry!I537)</f>
        <v>1290</v>
      </c>
      <c r="G506" s="153">
        <v>0</v>
      </c>
      <c r="H506" s="153">
        <f t="shared" si="7"/>
        <v>1290</v>
      </c>
      <c r="I506" s="151"/>
      <c r="J506" t="str">
        <f>IF($B506="","",IF(AND($B506=Party_Statement!$B$5,$A506&gt;=Party_Statement!$B$6,$A506&lt;=Party_Statement!$D$6),SUMPRODUCT(($B$3:$B506=Party_Statement!$B$5)*($A$3:$A506&gt;=Party_Statement!$B$6)*($A$3:$A506&lt;=Party_Statement!$D$6)),""))</f>
        <v/>
      </c>
    </row>
    <row r="507" spans="1:10" x14ac:dyDescent="0.2">
      <c r="A507" s="147">
        <f>Sales_Entry!A538</f>
        <v>66938</v>
      </c>
      <c r="B507" s="175" t="str">
        <f>Sales_Entry!C538</f>
        <v xml:space="preserve">SOBHA BHATTARAI </v>
      </c>
      <c r="C507" s="151" t="s">
        <v>984</v>
      </c>
      <c r="D507" s="151" t="str">
        <f>Sales_Entry!B538</f>
        <v>BILL-6442</v>
      </c>
      <c r="E507" s="151" t="str">
        <f>Sales_Entry!D538</f>
        <v>Mix Milk</v>
      </c>
      <c r="F507" s="153">
        <f>N(Sales_Entry!I538)</f>
        <v>4250</v>
      </c>
      <c r="G507" s="153">
        <v>0</v>
      </c>
      <c r="H507" s="153">
        <f t="shared" si="7"/>
        <v>4250</v>
      </c>
      <c r="I507" s="151"/>
      <c r="J507" t="str">
        <f>IF($B507="","",IF(AND($B507=Party_Statement!$B$5,$A507&gt;=Party_Statement!$B$6,$A507&lt;=Party_Statement!$D$6),SUMPRODUCT(($B$3:$B507=Party_Statement!$B$5)*($A$3:$A507&gt;=Party_Statement!$B$6)*($A$3:$A507&lt;=Party_Statement!$D$6)),""))</f>
        <v/>
      </c>
    </row>
    <row r="508" spans="1:10" x14ac:dyDescent="0.2">
      <c r="A508" s="147">
        <f>Sales_Entry!A539</f>
        <v>66938</v>
      </c>
      <c r="B508" s="175" t="str">
        <f>Sales_Entry!C539</f>
        <v>MANAKAMANA DAIRY</v>
      </c>
      <c r="C508" s="151" t="s">
        <v>984</v>
      </c>
      <c r="D508" s="151" t="str">
        <f>Sales_Entry!B539</f>
        <v>BILL-6443</v>
      </c>
      <c r="E508" s="151" t="str">
        <f>Sales_Entry!D539</f>
        <v>Mix Milk</v>
      </c>
      <c r="F508" s="153">
        <f>N(Sales_Entry!I539)</f>
        <v>850</v>
      </c>
      <c r="G508" s="153">
        <v>0</v>
      </c>
      <c r="H508" s="153">
        <f t="shared" si="7"/>
        <v>850</v>
      </c>
      <c r="I508" s="151"/>
      <c r="J508" t="str">
        <f>IF($B508="","",IF(AND($B508=Party_Statement!$B$5,$A508&gt;=Party_Statement!$B$6,$A508&lt;=Party_Statement!$D$6),SUMPRODUCT(($B$3:$B508=Party_Statement!$B$5)*($A$3:$A508&gt;=Party_Statement!$B$6)*($A$3:$A508&lt;=Party_Statement!$D$6)),""))</f>
        <v/>
      </c>
    </row>
    <row r="509" spans="1:10" x14ac:dyDescent="0.2">
      <c r="A509" s="147">
        <f>Sales_Entry!A540</f>
        <v>66938</v>
      </c>
      <c r="B509" s="175" t="str">
        <f>Sales_Entry!C540</f>
        <v xml:space="preserve">AAYUSH AAYUSHMA </v>
      </c>
      <c r="C509" s="151" t="s">
        <v>984</v>
      </c>
      <c r="D509" s="151" t="str">
        <f>Sales_Entry!B540</f>
        <v>BILL-6444</v>
      </c>
      <c r="E509" s="151" t="str">
        <f>Sales_Entry!D540</f>
        <v>Mix Milk</v>
      </c>
      <c r="F509" s="153">
        <f>N(Sales_Entry!I540)</f>
        <v>425</v>
      </c>
      <c r="G509" s="153">
        <v>0</v>
      </c>
      <c r="H509" s="153">
        <f t="shared" si="7"/>
        <v>425</v>
      </c>
      <c r="I509" s="151"/>
      <c r="J509" t="str">
        <f>IF($B509="","",IF(AND($B509=Party_Statement!$B$5,$A509&gt;=Party_Statement!$B$6,$A509&lt;=Party_Statement!$D$6),SUMPRODUCT(($B$3:$B509=Party_Statement!$B$5)*($A$3:$A509&gt;=Party_Statement!$B$6)*($A$3:$A509&lt;=Party_Statement!$D$6)),""))</f>
        <v/>
      </c>
    </row>
    <row r="510" spans="1:10" x14ac:dyDescent="0.2">
      <c r="A510" s="147">
        <f>Sales_Entry!A541</f>
        <v>66938</v>
      </c>
      <c r="B510" s="175" t="str">
        <f>Sales_Entry!C541</f>
        <v xml:space="preserve">YUBARAJ AND SAMRAT </v>
      </c>
      <c r="C510" s="151" t="s">
        <v>984</v>
      </c>
      <c r="D510" s="151" t="str">
        <f>Sales_Entry!B541</f>
        <v>BILL-6445</v>
      </c>
      <c r="E510" s="151" t="str">
        <f>Sales_Entry!D541</f>
        <v>Mix Milk</v>
      </c>
      <c r="F510" s="153">
        <f>N(Sales_Entry!I541)</f>
        <v>1020</v>
      </c>
      <c r="G510" s="153">
        <v>0</v>
      </c>
      <c r="H510" s="153">
        <f t="shared" si="7"/>
        <v>1020</v>
      </c>
      <c r="I510" s="151"/>
      <c r="J510" t="str">
        <f>IF($B510="","",IF(AND($B510=Party_Statement!$B$5,$A510&gt;=Party_Statement!$B$6,$A510&lt;=Party_Statement!$D$6),SUMPRODUCT(($B$3:$B510=Party_Statement!$B$5)*($A$3:$A510&gt;=Party_Statement!$B$6)*($A$3:$A510&lt;=Party_Statement!$D$6)),""))</f>
        <v/>
      </c>
    </row>
    <row r="511" spans="1:10" x14ac:dyDescent="0.2">
      <c r="A511" s="147">
        <f>Sales_Entry!A542</f>
        <v>66938</v>
      </c>
      <c r="B511" s="175" t="str">
        <f>Sales_Entry!C542</f>
        <v xml:space="preserve">SAMIKSHYA </v>
      </c>
      <c r="C511" s="151" t="s">
        <v>984</v>
      </c>
      <c r="D511" s="151" t="str">
        <f>Sales_Entry!B542</f>
        <v>BILL-6446</v>
      </c>
      <c r="E511" s="151" t="str">
        <f>Sales_Entry!D542</f>
        <v>Mix Milk</v>
      </c>
      <c r="F511" s="153">
        <f>N(Sales_Entry!I542)</f>
        <v>680</v>
      </c>
      <c r="G511" s="153">
        <v>0</v>
      </c>
      <c r="H511" s="153">
        <f t="shared" si="7"/>
        <v>680</v>
      </c>
      <c r="I511" s="151"/>
      <c r="J511" t="str">
        <f>IF($B511="","",IF(AND($B511=Party_Statement!$B$5,$A511&gt;=Party_Statement!$B$6,$A511&lt;=Party_Statement!$D$6),SUMPRODUCT(($B$3:$B511=Party_Statement!$B$5)*($A$3:$A511&gt;=Party_Statement!$B$6)*($A$3:$A511&lt;=Party_Statement!$D$6)),""))</f>
        <v/>
      </c>
    </row>
    <row r="512" spans="1:10" x14ac:dyDescent="0.2">
      <c r="A512" s="147">
        <f>Sales_Entry!A543</f>
        <v>66938</v>
      </c>
      <c r="B512" s="175" t="str">
        <f>Sales_Entry!C543</f>
        <v>PALPALI</v>
      </c>
      <c r="C512" s="151" t="s">
        <v>984</v>
      </c>
      <c r="D512" s="151" t="str">
        <f>Sales_Entry!B543</f>
        <v>BILL-6447</v>
      </c>
      <c r="E512" s="151" t="str">
        <f>Sales_Entry!D543</f>
        <v>Mix Milk</v>
      </c>
      <c r="F512" s="153">
        <f>N(Sales_Entry!I543)</f>
        <v>1700</v>
      </c>
      <c r="G512" s="153">
        <v>0</v>
      </c>
      <c r="H512" s="153">
        <f t="shared" si="7"/>
        <v>1700</v>
      </c>
      <c r="I512" s="151"/>
      <c r="J512" t="str">
        <f>IF($B512="","",IF(AND($B512=Party_Statement!$B$5,$A512&gt;=Party_Statement!$B$6,$A512&lt;=Party_Statement!$D$6),SUMPRODUCT(($B$3:$B512=Party_Statement!$B$5)*($A$3:$A512&gt;=Party_Statement!$B$6)*($A$3:$A512&lt;=Party_Statement!$D$6)),""))</f>
        <v/>
      </c>
    </row>
    <row r="513" spans="1:10" x14ac:dyDescent="0.2">
      <c r="A513" s="147">
        <f>Sales_Entry!A544</f>
        <v>66938</v>
      </c>
      <c r="B513" s="175" t="str">
        <f>Sales_Entry!C544</f>
        <v xml:space="preserve">AAMOSH KIRANA </v>
      </c>
      <c r="C513" s="151" t="s">
        <v>984</v>
      </c>
      <c r="D513" s="151" t="str">
        <f>Sales_Entry!B544</f>
        <v>BILL-6448</v>
      </c>
      <c r="E513" s="151" t="str">
        <f>Sales_Entry!D544</f>
        <v>Mix Milk</v>
      </c>
      <c r="F513" s="153">
        <f>N(Sales_Entry!I544)</f>
        <v>3440</v>
      </c>
      <c r="G513" s="153">
        <v>0</v>
      </c>
      <c r="H513" s="153">
        <f t="shared" si="7"/>
        <v>3440</v>
      </c>
      <c r="I513" s="151"/>
      <c r="J513" t="str">
        <f>IF($B513="","",IF(AND($B513=Party_Statement!$B$5,$A513&gt;=Party_Statement!$B$6,$A513&lt;=Party_Statement!$D$6),SUMPRODUCT(($B$3:$B513=Party_Statement!$B$5)*($A$3:$A513&gt;=Party_Statement!$B$6)*($A$3:$A513&lt;=Party_Statement!$D$6)),""))</f>
        <v/>
      </c>
    </row>
    <row r="514" spans="1:10" x14ac:dyDescent="0.2">
      <c r="A514" s="147">
        <f>Sales_Entry!A545</f>
        <v>66938</v>
      </c>
      <c r="B514" s="175" t="str">
        <f>Sales_Entry!C545</f>
        <v xml:space="preserve">AAMOSH KIRANA </v>
      </c>
      <c r="C514" s="151" t="s">
        <v>984</v>
      </c>
      <c r="D514" s="151" t="str">
        <f>Sales_Entry!B545</f>
        <v>BILL-6448</v>
      </c>
      <c r="E514" s="151" t="str">
        <f>Sales_Entry!D545</f>
        <v>Mix Milk</v>
      </c>
      <c r="F514" s="153">
        <f>N(Sales_Entry!I545)</f>
        <v>4675</v>
      </c>
      <c r="G514" s="153">
        <v>0</v>
      </c>
      <c r="H514" s="153">
        <f t="shared" si="7"/>
        <v>8115</v>
      </c>
      <c r="I514" s="151"/>
      <c r="J514" t="str">
        <f>IF($B514="","",IF(AND($B514=Party_Statement!$B$5,$A514&gt;=Party_Statement!$B$6,$A514&lt;=Party_Statement!$D$6),SUMPRODUCT(($B$3:$B514=Party_Statement!$B$5)*($A$3:$A514&gt;=Party_Statement!$B$6)*($A$3:$A514&lt;=Party_Statement!$D$6)),""))</f>
        <v/>
      </c>
    </row>
    <row r="515" spans="1:10" x14ac:dyDescent="0.2">
      <c r="A515" s="147">
        <f>Sales_Entry!A546</f>
        <v>66938</v>
      </c>
      <c r="B515" s="175" t="str">
        <f>Sales_Entry!C546</f>
        <v xml:space="preserve">AAMOSH KIRANA </v>
      </c>
      <c r="C515" s="151" t="s">
        <v>984</v>
      </c>
      <c r="D515" s="151" t="str">
        <f>Sales_Entry!B546</f>
        <v>BILL-6448</v>
      </c>
      <c r="E515" s="151" t="str">
        <f>Sales_Entry!D546</f>
        <v>Cow Milk</v>
      </c>
      <c r="F515" s="153">
        <f>N(Sales_Entry!I546)</f>
        <v>80</v>
      </c>
      <c r="G515" s="153">
        <v>0</v>
      </c>
      <c r="H515" s="153">
        <f t="shared" si="7"/>
        <v>8195</v>
      </c>
      <c r="I515" s="151"/>
      <c r="J515" t="str">
        <f>IF($B515="","",IF(AND($B515=Party_Statement!$B$5,$A515&gt;=Party_Statement!$B$6,$A515&lt;=Party_Statement!$D$6),SUMPRODUCT(($B$3:$B515=Party_Statement!$B$5)*($A$3:$A515&gt;=Party_Statement!$B$6)*($A$3:$A515&lt;=Party_Statement!$D$6)),""))</f>
        <v/>
      </c>
    </row>
    <row r="516" spans="1:10" x14ac:dyDescent="0.2">
      <c r="A516" s="147">
        <f>Sales_Entry!A547</f>
        <v>66938</v>
      </c>
      <c r="B516" s="175" t="str">
        <f>Sales_Entry!C547</f>
        <v xml:space="preserve">GIRI KIRANA </v>
      </c>
      <c r="C516" s="151" t="s">
        <v>984</v>
      </c>
      <c r="D516" s="151" t="str">
        <f>Sales_Entry!B547</f>
        <v>BILL-6449</v>
      </c>
      <c r="E516" s="151" t="str">
        <f>Sales_Entry!D547</f>
        <v>Mix Milk</v>
      </c>
      <c r="F516" s="153">
        <f>N(Sales_Entry!I547)</f>
        <v>1275</v>
      </c>
      <c r="G516" s="153">
        <v>0</v>
      </c>
      <c r="H516" s="153">
        <f t="shared" ref="H516:H579" si="8">IF($B516="","",IF($B516=$B515,$H515+$F516-$G516,$F516-$G516))</f>
        <v>1275</v>
      </c>
      <c r="I516" s="151"/>
      <c r="J516" t="str">
        <f>IF($B516="","",IF(AND($B516=Party_Statement!$B$5,$A516&gt;=Party_Statement!$B$6,$A516&lt;=Party_Statement!$D$6),SUMPRODUCT(($B$3:$B516=Party_Statement!$B$5)*($A$3:$A516&gt;=Party_Statement!$B$6)*($A$3:$A516&lt;=Party_Statement!$D$6)),""))</f>
        <v/>
      </c>
    </row>
    <row r="517" spans="1:10" x14ac:dyDescent="0.2">
      <c r="A517" s="147">
        <f>Sales_Entry!A548</f>
        <v>66938</v>
      </c>
      <c r="B517" s="175" t="str">
        <f>Sales_Entry!C548</f>
        <v xml:space="preserve">DEURALI KIRANA </v>
      </c>
      <c r="C517" s="151" t="s">
        <v>984</v>
      </c>
      <c r="D517" s="151" t="str">
        <f>Sales_Entry!B548</f>
        <v>BILL-6450</v>
      </c>
      <c r="E517" s="151" t="str">
        <f>Sales_Entry!D548</f>
        <v>Mix Milk</v>
      </c>
      <c r="F517" s="153">
        <f>N(Sales_Entry!I548)</f>
        <v>425</v>
      </c>
      <c r="G517" s="153">
        <v>0</v>
      </c>
      <c r="H517" s="153">
        <f t="shared" si="8"/>
        <v>425</v>
      </c>
      <c r="I517" s="151"/>
      <c r="J517" t="str">
        <f>IF($B517="","",IF(AND($B517=Party_Statement!$B$5,$A517&gt;=Party_Statement!$B$6,$A517&lt;=Party_Statement!$D$6),SUMPRODUCT(($B$3:$B517=Party_Statement!$B$5)*($A$3:$A517&gt;=Party_Statement!$B$6)*($A$3:$A517&lt;=Party_Statement!$D$6)),""))</f>
        <v/>
      </c>
    </row>
    <row r="518" spans="1:10" x14ac:dyDescent="0.2">
      <c r="A518" s="147">
        <f>Sales_Entry!A549</f>
        <v>66939</v>
      </c>
      <c r="B518" s="175" t="str">
        <f>Sales_Entry!C549</f>
        <v>SHARMA DAI</v>
      </c>
      <c r="C518" s="151" t="s">
        <v>984</v>
      </c>
      <c r="D518" s="151" t="str">
        <f>Sales_Entry!B549</f>
        <v>BILL-6399</v>
      </c>
      <c r="E518" s="151" t="str">
        <f>Sales_Entry!D549</f>
        <v>Mix Milk</v>
      </c>
      <c r="F518" s="153">
        <f>N(Sales_Entry!I549)</f>
        <v>2688</v>
      </c>
      <c r="G518" s="153">
        <v>0</v>
      </c>
      <c r="H518" s="153">
        <f t="shared" si="8"/>
        <v>2688</v>
      </c>
      <c r="I518" s="151"/>
      <c r="J518" t="str">
        <f>IF($B518="","",IF(AND($B518=Party_Statement!$B$5,$A518&gt;=Party_Statement!$B$6,$A518&lt;=Party_Statement!$D$6),SUMPRODUCT(($B$3:$B518=Party_Statement!$B$5)*($A$3:$A518&gt;=Party_Statement!$B$6)*($A$3:$A518&lt;=Party_Statement!$D$6)),""))</f>
        <v/>
      </c>
    </row>
    <row r="519" spans="1:10" x14ac:dyDescent="0.2">
      <c r="A519" s="147">
        <f>Sales_Entry!A550</f>
        <v>66939</v>
      </c>
      <c r="B519" s="175" t="str">
        <f>Sales_Entry!C550</f>
        <v>GANGA NEUPANE</v>
      </c>
      <c r="C519" s="151" t="s">
        <v>984</v>
      </c>
      <c r="D519" s="151" t="str">
        <f>Sales_Entry!B550</f>
        <v>BILL-6400</v>
      </c>
      <c r="E519" s="151" t="str">
        <f>Sales_Entry!D550</f>
        <v>Mix Milk</v>
      </c>
      <c r="F519" s="153">
        <f>N(Sales_Entry!I550)</f>
        <v>510</v>
      </c>
      <c r="G519" s="153">
        <v>0</v>
      </c>
      <c r="H519" s="153">
        <f t="shared" si="8"/>
        <v>510</v>
      </c>
      <c r="I519" s="151"/>
      <c r="J519" t="str">
        <f>IF($B519="","",IF(AND($B519=Party_Statement!$B$5,$A519&gt;=Party_Statement!$B$6,$A519&lt;=Party_Statement!$D$6),SUMPRODUCT(($B$3:$B519=Party_Statement!$B$5)*($A$3:$A519&gt;=Party_Statement!$B$6)*($A$3:$A519&lt;=Party_Statement!$D$6)),""))</f>
        <v/>
      </c>
    </row>
    <row r="520" spans="1:10" x14ac:dyDescent="0.2">
      <c r="A520" s="147">
        <f>Sales_Entry!A551</f>
        <v>66939</v>
      </c>
      <c r="B520" s="175" t="str">
        <f>Sales_Entry!C551</f>
        <v>SRIJANA DAIRY (DEVI NAGAR)</v>
      </c>
      <c r="C520" s="151" t="s">
        <v>984</v>
      </c>
      <c r="D520" s="151" t="str">
        <f>Sales_Entry!B551</f>
        <v>BILL-6501</v>
      </c>
      <c r="E520" s="151" t="str">
        <f>Sales_Entry!D551</f>
        <v>Mix Milk</v>
      </c>
      <c r="F520" s="153">
        <f>N(Sales_Entry!I551)</f>
        <v>5100</v>
      </c>
      <c r="G520" s="153">
        <v>0</v>
      </c>
      <c r="H520" s="153">
        <f t="shared" si="8"/>
        <v>5100</v>
      </c>
      <c r="I520" s="151"/>
      <c r="J520" t="str">
        <f>IF($B520="","",IF(AND($B520=Party_Statement!$B$5,$A520&gt;=Party_Statement!$B$6,$A520&lt;=Party_Statement!$D$6),SUMPRODUCT(($B$3:$B520=Party_Statement!$B$5)*($A$3:$A520&gt;=Party_Statement!$B$6)*($A$3:$A520&lt;=Party_Statement!$D$6)),""))</f>
        <v/>
      </c>
    </row>
    <row r="521" spans="1:10" x14ac:dyDescent="0.2">
      <c r="A521" s="147">
        <f>Sales_Entry!A552</f>
        <v>66939</v>
      </c>
      <c r="B521" s="175" t="str">
        <f>Sales_Entry!C552</f>
        <v>SRIJANA DAIRY (DEVI NAGAR)</v>
      </c>
      <c r="C521" s="151" t="s">
        <v>984</v>
      </c>
      <c r="D521" s="151" t="str">
        <f>Sales_Entry!B552</f>
        <v>BILL-6501</v>
      </c>
      <c r="E521" s="151" t="str">
        <f>Sales_Entry!D552</f>
        <v>Cow Milk</v>
      </c>
      <c r="F521" s="153">
        <f>N(Sales_Entry!I552)</f>
        <v>80</v>
      </c>
      <c r="G521" s="153">
        <v>0</v>
      </c>
      <c r="H521" s="153">
        <f t="shared" si="8"/>
        <v>5180</v>
      </c>
      <c r="I521" s="151"/>
      <c r="J521" t="str">
        <f>IF($B521="","",IF(AND($B521=Party_Statement!$B$5,$A521&gt;=Party_Statement!$B$6,$A521&lt;=Party_Statement!$D$6),SUMPRODUCT(($B$3:$B521=Party_Statement!$B$5)*($A$3:$A521&gt;=Party_Statement!$B$6)*($A$3:$A521&lt;=Party_Statement!$D$6)),""))</f>
        <v/>
      </c>
    </row>
    <row r="522" spans="1:10" x14ac:dyDescent="0.2">
      <c r="A522" s="147">
        <f>Sales_Entry!A553</f>
        <v>66939</v>
      </c>
      <c r="B522" s="175" t="str">
        <f>Sales_Entry!C553</f>
        <v>NEHA MISTHAN BHANDAR</v>
      </c>
      <c r="C522" s="151" t="s">
        <v>984</v>
      </c>
      <c r="D522" s="151" t="str">
        <f>Sales_Entry!B553</f>
        <v>BILL-6502</v>
      </c>
      <c r="E522" s="151" t="str">
        <f>Sales_Entry!D553</f>
        <v>Mix Milk</v>
      </c>
      <c r="F522" s="153">
        <f>N(Sales_Entry!I553)</f>
        <v>3400</v>
      </c>
      <c r="G522" s="153">
        <v>0</v>
      </c>
      <c r="H522" s="153">
        <f t="shared" si="8"/>
        <v>3400</v>
      </c>
      <c r="I522" s="151"/>
      <c r="J522" t="str">
        <f>IF($B522="","",IF(AND($B522=Party_Statement!$B$5,$A522&gt;=Party_Statement!$B$6,$A522&lt;=Party_Statement!$D$6),SUMPRODUCT(($B$3:$B522=Party_Statement!$B$5)*($A$3:$A522&gt;=Party_Statement!$B$6)*($A$3:$A522&lt;=Party_Statement!$D$6)),""))</f>
        <v/>
      </c>
    </row>
    <row r="523" spans="1:10" x14ac:dyDescent="0.2">
      <c r="A523" s="147">
        <f>Sales_Entry!A554</f>
        <v>66939</v>
      </c>
      <c r="B523" s="175" t="str">
        <f>Sales_Entry!C554</f>
        <v xml:space="preserve">SOBHA BHATTARAI </v>
      </c>
      <c r="C523" s="151" t="s">
        <v>984</v>
      </c>
      <c r="D523" s="151" t="str">
        <f>Sales_Entry!B554</f>
        <v>BILL-6503</v>
      </c>
      <c r="E523" s="151" t="str">
        <f>Sales_Entry!D554</f>
        <v>Mix Milk</v>
      </c>
      <c r="F523" s="153">
        <f>N(Sales_Entry!I554)</f>
        <v>5100</v>
      </c>
      <c r="G523" s="153">
        <v>0</v>
      </c>
      <c r="H523" s="153">
        <f t="shared" si="8"/>
        <v>5100</v>
      </c>
      <c r="I523" s="151"/>
      <c r="J523" t="str">
        <f>IF($B523="","",IF(AND($B523=Party_Statement!$B$5,$A523&gt;=Party_Statement!$B$6,$A523&lt;=Party_Statement!$D$6),SUMPRODUCT(($B$3:$B523=Party_Statement!$B$5)*($A$3:$A523&gt;=Party_Statement!$B$6)*($A$3:$A523&lt;=Party_Statement!$D$6)),""))</f>
        <v/>
      </c>
    </row>
    <row r="524" spans="1:10" x14ac:dyDescent="0.2">
      <c r="A524" s="147">
        <f>Sales_Entry!A555</f>
        <v>66939</v>
      </c>
      <c r="B524" s="175" t="str">
        <f>Sales_Entry!C555</f>
        <v>PALPALI</v>
      </c>
      <c r="C524" s="151" t="s">
        <v>984</v>
      </c>
      <c r="D524" s="151" t="str">
        <f>Sales_Entry!B555</f>
        <v>BILL-6504</v>
      </c>
      <c r="E524" s="151" t="str">
        <f>Sales_Entry!D555</f>
        <v>Mix Milk</v>
      </c>
      <c r="F524" s="153">
        <f>N(Sales_Entry!I555)</f>
        <v>1700</v>
      </c>
      <c r="G524" s="153">
        <v>0</v>
      </c>
      <c r="H524" s="153">
        <f t="shared" si="8"/>
        <v>1700</v>
      </c>
      <c r="I524" s="151"/>
      <c r="J524" t="str">
        <f>IF($B524="","",IF(AND($B524=Party_Statement!$B$5,$A524&gt;=Party_Statement!$B$6,$A524&lt;=Party_Statement!$D$6),SUMPRODUCT(($B$3:$B524=Party_Statement!$B$5)*($A$3:$A524&gt;=Party_Statement!$B$6)*($A$3:$A524&lt;=Party_Statement!$D$6)),""))</f>
        <v/>
      </c>
    </row>
    <row r="525" spans="1:10" x14ac:dyDescent="0.2">
      <c r="A525" s="147">
        <f>Sales_Entry!A556</f>
        <v>66939</v>
      </c>
      <c r="B525" s="175" t="str">
        <f>Sales_Entry!C556</f>
        <v xml:space="preserve">AAMOSH KIRANA </v>
      </c>
      <c r="C525" s="151" t="s">
        <v>984</v>
      </c>
      <c r="D525" s="151" t="str">
        <f>Sales_Entry!B556</f>
        <v>BILL-6505</v>
      </c>
      <c r="E525" s="151" t="str">
        <f>Sales_Entry!D556</f>
        <v>Mix Milk</v>
      </c>
      <c r="F525" s="153">
        <f>N(Sales_Entry!I556)</f>
        <v>3956</v>
      </c>
      <c r="G525" s="153">
        <v>0</v>
      </c>
      <c r="H525" s="153">
        <f t="shared" si="8"/>
        <v>3956</v>
      </c>
      <c r="I525" s="151"/>
      <c r="J525" t="str">
        <f>IF($B525="","",IF(AND($B525=Party_Statement!$B$5,$A525&gt;=Party_Statement!$B$6,$A525&lt;=Party_Statement!$D$6),SUMPRODUCT(($B$3:$B525=Party_Statement!$B$5)*($A$3:$A525&gt;=Party_Statement!$B$6)*($A$3:$A525&lt;=Party_Statement!$D$6)),""))</f>
        <v/>
      </c>
    </row>
    <row r="526" spans="1:10" x14ac:dyDescent="0.2">
      <c r="A526" s="147">
        <f>Sales_Entry!A557</f>
        <v>66939</v>
      </c>
      <c r="B526" s="175" t="str">
        <f>Sales_Entry!C557</f>
        <v xml:space="preserve">AAMOSH KIRANA </v>
      </c>
      <c r="C526" s="151" t="s">
        <v>984</v>
      </c>
      <c r="D526" s="151" t="str">
        <f>Sales_Entry!B557</f>
        <v>BILL-6505</v>
      </c>
      <c r="E526" s="151" t="str">
        <f>Sales_Entry!D557</f>
        <v>Mix Milk</v>
      </c>
      <c r="F526" s="153">
        <f>N(Sales_Entry!I557)</f>
        <v>3060</v>
      </c>
      <c r="G526" s="153">
        <v>0</v>
      </c>
      <c r="H526" s="153">
        <f t="shared" si="8"/>
        <v>7016</v>
      </c>
      <c r="I526" s="151"/>
      <c r="J526" t="str">
        <f>IF($B526="","",IF(AND($B526=Party_Statement!$B$5,$A526&gt;=Party_Statement!$B$6,$A526&lt;=Party_Statement!$D$6),SUMPRODUCT(($B$3:$B526=Party_Statement!$B$5)*($A$3:$A526&gt;=Party_Statement!$B$6)*($A$3:$A526&lt;=Party_Statement!$D$6)),""))</f>
        <v/>
      </c>
    </row>
    <row r="527" spans="1:10" x14ac:dyDescent="0.2">
      <c r="A527" s="147">
        <f>Sales_Entry!A558</f>
        <v>66939</v>
      </c>
      <c r="B527" s="175" t="str">
        <f>Sales_Entry!C558</f>
        <v xml:space="preserve">AAMOSH KIRANA </v>
      </c>
      <c r="C527" s="151" t="s">
        <v>984</v>
      </c>
      <c r="D527" s="151" t="str">
        <f>Sales_Entry!B558</f>
        <v>BILL-6505</v>
      </c>
      <c r="E527" s="151" t="str">
        <f>Sales_Entry!D558</f>
        <v>Cow Milk</v>
      </c>
      <c r="F527" s="153">
        <f>N(Sales_Entry!I558)</f>
        <v>80</v>
      </c>
      <c r="G527" s="153">
        <v>0</v>
      </c>
      <c r="H527" s="153">
        <f t="shared" si="8"/>
        <v>7096</v>
      </c>
      <c r="I527" s="151"/>
      <c r="J527" t="str">
        <f>IF($B527="","",IF(AND($B527=Party_Statement!$B$5,$A527&gt;=Party_Statement!$B$6,$A527&lt;=Party_Statement!$D$6),SUMPRODUCT(($B$3:$B527=Party_Statement!$B$5)*($A$3:$A527&gt;=Party_Statement!$B$6)*($A$3:$A527&lt;=Party_Statement!$D$6)),""))</f>
        <v/>
      </c>
    </row>
    <row r="528" spans="1:10" x14ac:dyDescent="0.2">
      <c r="A528" s="147">
        <f>Sales_Entry!A559</f>
        <v>66939</v>
      </c>
      <c r="B528" s="175" t="str">
        <f>Sales_Entry!C559</f>
        <v xml:space="preserve">DEURALI KIRANA </v>
      </c>
      <c r="C528" s="151" t="s">
        <v>984</v>
      </c>
      <c r="D528" s="151" t="str">
        <f>Sales_Entry!B559</f>
        <v>BILL-6506</v>
      </c>
      <c r="E528" s="151" t="str">
        <f>Sales_Entry!D559</f>
        <v>Mix Milk</v>
      </c>
      <c r="F528" s="153">
        <f>N(Sales_Entry!I559)</f>
        <v>425</v>
      </c>
      <c r="G528" s="153">
        <v>0</v>
      </c>
      <c r="H528" s="153">
        <f t="shared" si="8"/>
        <v>425</v>
      </c>
      <c r="I528" s="151"/>
      <c r="J528" t="str">
        <f>IF($B528="","",IF(AND($B528=Party_Statement!$B$5,$A528&gt;=Party_Statement!$B$6,$A528&lt;=Party_Statement!$D$6),SUMPRODUCT(($B$3:$B528=Party_Statement!$B$5)*($A$3:$A528&gt;=Party_Statement!$B$6)*($A$3:$A528&lt;=Party_Statement!$D$6)),""))</f>
        <v/>
      </c>
    </row>
    <row r="529" spans="1:10" x14ac:dyDescent="0.2">
      <c r="A529" s="147">
        <f>Sales_Entry!A560</f>
        <v>66939</v>
      </c>
      <c r="B529" s="175" t="str">
        <f>Sales_Entry!C560</f>
        <v xml:space="preserve">GIRI KIRANA </v>
      </c>
      <c r="C529" s="151" t="s">
        <v>984</v>
      </c>
      <c r="D529" s="151" t="str">
        <f>Sales_Entry!B560</f>
        <v>BILL-6507</v>
      </c>
      <c r="E529" s="151" t="str">
        <f>Sales_Entry!D560</f>
        <v>Mix Milk</v>
      </c>
      <c r="F529" s="153">
        <f>N(Sales_Entry!I560)</f>
        <v>1275</v>
      </c>
      <c r="G529" s="153">
        <v>0</v>
      </c>
      <c r="H529" s="153">
        <f t="shared" si="8"/>
        <v>1275</v>
      </c>
      <c r="I529" s="151"/>
      <c r="J529" t="str">
        <f>IF($B529="","",IF(AND($B529=Party_Statement!$B$5,$A529&gt;=Party_Statement!$B$6,$A529&lt;=Party_Statement!$D$6),SUMPRODUCT(($B$3:$B529=Party_Statement!$B$5)*($A$3:$A529&gt;=Party_Statement!$B$6)*($A$3:$A529&lt;=Party_Statement!$D$6)),""))</f>
        <v/>
      </c>
    </row>
    <row r="530" spans="1:10" x14ac:dyDescent="0.2">
      <c r="A530" s="147">
        <f>Sales_Entry!A561</f>
        <v>66939</v>
      </c>
      <c r="B530" s="175" t="str">
        <f>Sales_Entry!C561</f>
        <v>CHHATRABHUMI</v>
      </c>
      <c r="C530" s="151" t="s">
        <v>984</v>
      </c>
      <c r="D530" s="151" t="str">
        <f>Sales_Entry!B561</f>
        <v>BILL-6508</v>
      </c>
      <c r="E530" s="151" t="str">
        <f>Sales_Entry!D561</f>
        <v>Mix Milk</v>
      </c>
      <c r="F530" s="153">
        <f>N(Sales_Entry!I561)</f>
        <v>860</v>
      </c>
      <c r="G530" s="153">
        <v>0</v>
      </c>
      <c r="H530" s="153">
        <f t="shared" si="8"/>
        <v>860</v>
      </c>
      <c r="I530" s="151"/>
      <c r="J530" t="str">
        <f>IF($B530="","",IF(AND($B530=Party_Statement!$B$5,$A530&gt;=Party_Statement!$B$6,$A530&lt;=Party_Statement!$D$6),SUMPRODUCT(($B$3:$B530=Party_Statement!$B$5)*($A$3:$A530&gt;=Party_Statement!$B$6)*($A$3:$A530&lt;=Party_Statement!$D$6)),""))</f>
        <v/>
      </c>
    </row>
    <row r="531" spans="1:10" x14ac:dyDescent="0.2">
      <c r="A531" s="147">
        <f>Sales_Entry!A562</f>
        <v>66939</v>
      </c>
      <c r="B531" s="175" t="str">
        <f>Sales_Entry!C562</f>
        <v>KRISHNA KHAREL</v>
      </c>
      <c r="C531" s="151" t="s">
        <v>984</v>
      </c>
      <c r="D531" s="151" t="str">
        <f>Sales_Entry!B562</f>
        <v>BILL-6509</v>
      </c>
      <c r="E531" s="151" t="str">
        <f>Sales_Entry!D562</f>
        <v>Mix Milk</v>
      </c>
      <c r="F531" s="153">
        <f>N(Sales_Entry!I562)</f>
        <v>258</v>
      </c>
      <c r="G531" s="153">
        <v>0</v>
      </c>
      <c r="H531" s="153">
        <f t="shared" si="8"/>
        <v>258</v>
      </c>
      <c r="I531" s="151"/>
      <c r="J531" t="str">
        <f>IF($B531="","",IF(AND($B531=Party_Statement!$B$5,$A531&gt;=Party_Statement!$B$6,$A531&lt;=Party_Statement!$D$6),SUMPRODUCT(($B$3:$B531=Party_Statement!$B$5)*($A$3:$A531&gt;=Party_Statement!$B$6)*($A$3:$A531&lt;=Party_Statement!$D$6)),""))</f>
        <v/>
      </c>
    </row>
    <row r="532" spans="1:10" x14ac:dyDescent="0.2">
      <c r="A532" s="147">
        <f>Sales_Entry!A563</f>
        <v>66939</v>
      </c>
      <c r="B532" s="175" t="str">
        <f>Sales_Entry!C563</f>
        <v xml:space="preserve">SAMIKSHYA </v>
      </c>
      <c r="C532" s="151" t="s">
        <v>984</v>
      </c>
      <c r="D532" s="151" t="str">
        <f>Sales_Entry!B563</f>
        <v>BILL-6510</v>
      </c>
      <c r="E532" s="151" t="str">
        <f>Sales_Entry!D563</f>
        <v>Mix Milk</v>
      </c>
      <c r="F532" s="153">
        <f>N(Sales_Entry!I563)</f>
        <v>680</v>
      </c>
      <c r="G532" s="153">
        <v>0</v>
      </c>
      <c r="H532" s="153">
        <f t="shared" si="8"/>
        <v>680</v>
      </c>
      <c r="I532" s="151"/>
      <c r="J532" t="str">
        <f>IF($B532="","",IF(AND($B532=Party_Statement!$B$5,$A532&gt;=Party_Statement!$B$6,$A532&lt;=Party_Statement!$D$6),SUMPRODUCT(($B$3:$B532=Party_Statement!$B$5)*($A$3:$A532&gt;=Party_Statement!$B$6)*($A$3:$A532&lt;=Party_Statement!$D$6)),""))</f>
        <v/>
      </c>
    </row>
    <row r="533" spans="1:10" x14ac:dyDescent="0.2">
      <c r="A533" s="147">
        <f>Sales_Entry!A564</f>
        <v>66939</v>
      </c>
      <c r="B533" s="175" t="str">
        <f>Sales_Entry!C564</f>
        <v xml:space="preserve">YUBARAJ AND SAMRAT </v>
      </c>
      <c r="C533" s="151" t="s">
        <v>984</v>
      </c>
      <c r="D533" s="151" t="str">
        <f>Sales_Entry!B564</f>
        <v>BILL-6511</v>
      </c>
      <c r="E533" s="151" t="str">
        <f>Sales_Entry!D564</f>
        <v>Mix Milk</v>
      </c>
      <c r="F533" s="153">
        <f>N(Sales_Entry!I564)</f>
        <v>1020</v>
      </c>
      <c r="G533" s="153">
        <v>0</v>
      </c>
      <c r="H533" s="153">
        <f t="shared" si="8"/>
        <v>1020</v>
      </c>
      <c r="I533" s="151"/>
      <c r="J533" t="str">
        <f>IF($B533="","",IF(AND($B533=Party_Statement!$B$5,$A533&gt;=Party_Statement!$B$6,$A533&lt;=Party_Statement!$D$6),SUMPRODUCT(($B$3:$B533=Party_Statement!$B$5)*($A$3:$A533&gt;=Party_Statement!$B$6)*($A$3:$A533&lt;=Party_Statement!$D$6)),""))</f>
        <v/>
      </c>
    </row>
    <row r="534" spans="1:10" x14ac:dyDescent="0.2">
      <c r="A534" s="147">
        <f>Sales_Entry!A565</f>
        <v>66939</v>
      </c>
      <c r="B534" s="175" t="str">
        <f>Sales_Entry!C565</f>
        <v>MANAKAMANA DAIRY</v>
      </c>
      <c r="C534" s="151" t="s">
        <v>984</v>
      </c>
      <c r="D534" s="151" t="str">
        <f>Sales_Entry!B565</f>
        <v>BILL-6512</v>
      </c>
      <c r="E534" s="151" t="str">
        <f>Sales_Entry!D565</f>
        <v>Mix Milk</v>
      </c>
      <c r="F534" s="153">
        <f>N(Sales_Entry!I565)</f>
        <v>850</v>
      </c>
      <c r="G534" s="153">
        <v>0</v>
      </c>
      <c r="H534" s="153">
        <f t="shared" si="8"/>
        <v>850</v>
      </c>
      <c r="I534" s="151"/>
      <c r="J534" t="str">
        <f>IF($B534="","",IF(AND($B534=Party_Statement!$B$5,$A534&gt;=Party_Statement!$B$6,$A534&lt;=Party_Statement!$D$6),SUMPRODUCT(($B$3:$B534=Party_Statement!$B$5)*($A$3:$A534&gt;=Party_Statement!$B$6)*($A$3:$A534&lt;=Party_Statement!$D$6)),""))</f>
        <v/>
      </c>
    </row>
    <row r="535" spans="1:10" x14ac:dyDescent="0.2">
      <c r="A535" s="147">
        <f>Sales_Entry!A566</f>
        <v>66939</v>
      </c>
      <c r="B535" s="175" t="str">
        <f>Sales_Entry!C566</f>
        <v xml:space="preserve">KRITIKA KIRANA </v>
      </c>
      <c r="C535" s="151" t="s">
        <v>984</v>
      </c>
      <c r="D535" s="151" t="str">
        <f>Sales_Entry!B566</f>
        <v>BILL-6513</v>
      </c>
      <c r="E535" s="151" t="str">
        <f>Sales_Entry!D566</f>
        <v>Mix Milk</v>
      </c>
      <c r="F535" s="153">
        <f>N(Sales_Entry!I566)</f>
        <v>850</v>
      </c>
      <c r="G535" s="153">
        <v>0</v>
      </c>
      <c r="H535" s="153">
        <f t="shared" si="8"/>
        <v>850</v>
      </c>
      <c r="I535" s="151"/>
      <c r="J535" t="str">
        <f>IF($B535="","",IF(AND($B535=Party_Statement!$B$5,$A535&gt;=Party_Statement!$B$6,$A535&lt;=Party_Statement!$D$6),SUMPRODUCT(($B$3:$B535=Party_Statement!$B$5)*($A$3:$A535&gt;=Party_Statement!$B$6)*($A$3:$A535&lt;=Party_Statement!$D$6)),""))</f>
        <v/>
      </c>
    </row>
    <row r="536" spans="1:10" x14ac:dyDescent="0.2">
      <c r="A536" s="147">
        <f>Sales_Entry!A567</f>
        <v>66939</v>
      </c>
      <c r="B536" s="175" t="str">
        <f>Sales_Entry!C567</f>
        <v xml:space="preserve">KRITIKA KIRANA </v>
      </c>
      <c r="C536" s="151" t="s">
        <v>984</v>
      </c>
      <c r="D536" s="151" t="str">
        <f>Sales_Entry!B567</f>
        <v>BILL-6513</v>
      </c>
      <c r="E536" s="151" t="str">
        <f>Sales_Entry!D567</f>
        <v>NAUNI</v>
      </c>
      <c r="F536" s="153">
        <f>N(Sales_Entry!I567)</f>
        <v>775</v>
      </c>
      <c r="G536" s="153">
        <v>0</v>
      </c>
      <c r="H536" s="153">
        <f t="shared" si="8"/>
        <v>1625</v>
      </c>
      <c r="I536" s="151"/>
      <c r="J536" t="str">
        <f>IF($B536="","",IF(AND($B536=Party_Statement!$B$5,$A536&gt;=Party_Statement!$B$6,$A536&lt;=Party_Statement!$D$6),SUMPRODUCT(($B$3:$B536=Party_Statement!$B$5)*($A$3:$A536&gt;=Party_Statement!$B$6)*($A$3:$A536&lt;=Party_Statement!$D$6)),""))</f>
        <v/>
      </c>
    </row>
    <row r="537" spans="1:10" x14ac:dyDescent="0.2">
      <c r="A537" s="147">
        <f>Sales_Entry!A568</f>
        <v>66939</v>
      </c>
      <c r="B537" s="175" t="str">
        <f>Sales_Entry!C568</f>
        <v>ORGANIC TARKALI</v>
      </c>
      <c r="C537" s="151" t="s">
        <v>984</v>
      </c>
      <c r="D537" s="151" t="str">
        <f>Sales_Entry!B568</f>
        <v>BILL-6514</v>
      </c>
      <c r="E537" s="151" t="str">
        <f>Sales_Entry!D568</f>
        <v>Mix Milk</v>
      </c>
      <c r="F537" s="153">
        <f>N(Sales_Entry!I568)</f>
        <v>1900</v>
      </c>
      <c r="G537" s="153">
        <v>0</v>
      </c>
      <c r="H537" s="153">
        <f t="shared" si="8"/>
        <v>1900</v>
      </c>
      <c r="I537" s="151"/>
      <c r="J537" t="str">
        <f>IF($B537="","",IF(AND($B537=Party_Statement!$B$5,$A537&gt;=Party_Statement!$B$6,$A537&lt;=Party_Statement!$D$6),SUMPRODUCT(($B$3:$B537=Party_Statement!$B$5)*($A$3:$A537&gt;=Party_Statement!$B$6)*($A$3:$A537&lt;=Party_Statement!$D$6)),""))</f>
        <v/>
      </c>
    </row>
    <row r="538" spans="1:10" x14ac:dyDescent="0.2">
      <c r="A538" s="147">
        <f>Sales_Entry!A569</f>
        <v>66939</v>
      </c>
      <c r="B538" s="175" t="str">
        <f>Sales_Entry!C569</f>
        <v>ORGANIC TARKALI</v>
      </c>
      <c r="C538" s="151" t="s">
        <v>984</v>
      </c>
      <c r="D538" s="151" t="str">
        <f>Sales_Entry!B569</f>
        <v>BILL-6514</v>
      </c>
      <c r="E538" s="151" t="str">
        <f>Sales_Entry!D569</f>
        <v>Mix Milk</v>
      </c>
      <c r="F538" s="153">
        <f>N(Sales_Entry!I569)</f>
        <v>595</v>
      </c>
      <c r="G538" s="153">
        <v>0</v>
      </c>
      <c r="H538" s="153">
        <f t="shared" si="8"/>
        <v>2495</v>
      </c>
      <c r="I538" s="151"/>
      <c r="J538" t="str">
        <f>IF($B538="","",IF(AND($B538=Party_Statement!$B$5,$A538&gt;=Party_Statement!$B$6,$A538&lt;=Party_Statement!$D$6),SUMPRODUCT(($B$3:$B538=Party_Statement!$B$5)*($A$3:$A538&gt;=Party_Statement!$B$6)*($A$3:$A538&lt;=Party_Statement!$D$6)),""))</f>
        <v/>
      </c>
    </row>
    <row r="539" spans="1:10" x14ac:dyDescent="0.2">
      <c r="A539" s="147">
        <f>Sales_Entry!A570</f>
        <v>66940</v>
      </c>
      <c r="B539" s="175" t="str">
        <f>Sales_Entry!C570</f>
        <v>SRIJANA DAIRY (DEVI NAGAR)</v>
      </c>
      <c r="C539" s="151" t="s">
        <v>984</v>
      </c>
      <c r="D539" s="151" t="str">
        <f>Sales_Entry!B570</f>
        <v>BILL-6515</v>
      </c>
      <c r="E539" s="151" t="str">
        <f>Sales_Entry!D570</f>
        <v>Mix Milk</v>
      </c>
      <c r="F539" s="153">
        <f>N(Sales_Entry!I570)</f>
        <v>5100</v>
      </c>
      <c r="G539" s="153">
        <v>0</v>
      </c>
      <c r="H539" s="153">
        <f t="shared" si="8"/>
        <v>5100</v>
      </c>
      <c r="I539" s="151"/>
      <c r="J539" t="str">
        <f>IF($B539="","",IF(AND($B539=Party_Statement!$B$5,$A539&gt;=Party_Statement!$B$6,$A539&lt;=Party_Statement!$D$6),SUMPRODUCT(($B$3:$B539=Party_Statement!$B$5)*($A$3:$A539&gt;=Party_Statement!$B$6)*($A$3:$A539&lt;=Party_Statement!$D$6)),""))</f>
        <v/>
      </c>
    </row>
    <row r="540" spans="1:10" x14ac:dyDescent="0.2">
      <c r="A540" s="147">
        <f>Sales_Entry!A571</f>
        <v>66940</v>
      </c>
      <c r="B540" s="175" t="str">
        <f>Sales_Entry!C571</f>
        <v>SRIJANA DAIRY (DEVI NAGAR)</v>
      </c>
      <c r="C540" s="151" t="s">
        <v>984</v>
      </c>
      <c r="D540" s="151" t="str">
        <f>Sales_Entry!B571</f>
        <v>BILL-6515</v>
      </c>
      <c r="E540" s="151" t="str">
        <f>Sales_Entry!D571</f>
        <v>Cow Milk</v>
      </c>
      <c r="F540" s="153">
        <f>N(Sales_Entry!I571)</f>
        <v>80</v>
      </c>
      <c r="G540" s="153">
        <v>0</v>
      </c>
      <c r="H540" s="153">
        <f t="shared" si="8"/>
        <v>5180</v>
      </c>
      <c r="I540" s="151"/>
      <c r="J540" t="str">
        <f>IF($B540="","",IF(AND($B540=Party_Statement!$B$5,$A540&gt;=Party_Statement!$B$6,$A540&lt;=Party_Statement!$D$6),SUMPRODUCT(($B$3:$B540=Party_Statement!$B$5)*($A$3:$A540&gt;=Party_Statement!$B$6)*($A$3:$A540&lt;=Party_Statement!$D$6)),""))</f>
        <v/>
      </c>
    </row>
    <row r="541" spans="1:10" x14ac:dyDescent="0.2">
      <c r="A541" s="147">
        <f>Sales_Entry!A572</f>
        <v>66940</v>
      </c>
      <c r="B541" s="175" t="str">
        <f>Sales_Entry!C572</f>
        <v xml:space="preserve">SOBHA BHATTARAI </v>
      </c>
      <c r="C541" s="151" t="s">
        <v>984</v>
      </c>
      <c r="D541" s="151" t="str">
        <f>Sales_Entry!B572</f>
        <v>BILL-6516</v>
      </c>
      <c r="E541" s="151" t="str">
        <f>Sales_Entry!D572</f>
        <v>Mix Milk</v>
      </c>
      <c r="F541" s="153">
        <f>N(Sales_Entry!I572)</f>
        <v>4250</v>
      </c>
      <c r="G541" s="153">
        <v>0</v>
      </c>
      <c r="H541" s="153">
        <f t="shared" si="8"/>
        <v>4250</v>
      </c>
      <c r="I541" s="151"/>
      <c r="J541" t="str">
        <f>IF($B541="","",IF(AND($B541=Party_Statement!$B$5,$A541&gt;=Party_Statement!$B$6,$A541&lt;=Party_Statement!$D$6),SUMPRODUCT(($B$3:$B541=Party_Statement!$B$5)*($A$3:$A541&gt;=Party_Statement!$B$6)*($A$3:$A541&lt;=Party_Statement!$D$6)),""))</f>
        <v/>
      </c>
    </row>
    <row r="542" spans="1:10" x14ac:dyDescent="0.2">
      <c r="A542" s="147">
        <f>Sales_Entry!A573</f>
        <v>66940</v>
      </c>
      <c r="B542" s="175" t="str">
        <f>Sales_Entry!C573</f>
        <v xml:space="preserve">SAMIKSHYA </v>
      </c>
      <c r="C542" s="151" t="s">
        <v>984</v>
      </c>
      <c r="D542" s="151" t="str">
        <f>Sales_Entry!B573</f>
        <v>BILL-6517</v>
      </c>
      <c r="E542" s="151" t="str">
        <f>Sales_Entry!D573</f>
        <v>Mix Milk</v>
      </c>
      <c r="F542" s="153">
        <f>N(Sales_Entry!I573)</f>
        <v>680</v>
      </c>
      <c r="G542" s="153">
        <v>0</v>
      </c>
      <c r="H542" s="153">
        <f t="shared" si="8"/>
        <v>680</v>
      </c>
      <c r="I542" s="151"/>
      <c r="J542" t="str">
        <f>IF($B542="","",IF(AND($B542=Party_Statement!$B$5,$A542&gt;=Party_Statement!$B$6,$A542&lt;=Party_Statement!$D$6),SUMPRODUCT(($B$3:$B542=Party_Statement!$B$5)*($A$3:$A542&gt;=Party_Statement!$B$6)*($A$3:$A542&lt;=Party_Statement!$D$6)),""))</f>
        <v/>
      </c>
    </row>
    <row r="543" spans="1:10" x14ac:dyDescent="0.2">
      <c r="A543" s="147">
        <f>Sales_Entry!A574</f>
        <v>66940</v>
      </c>
      <c r="B543" s="175" t="str">
        <f>Sales_Entry!C574</f>
        <v>KRISHNA KHAREL</v>
      </c>
      <c r="C543" s="151" t="s">
        <v>984</v>
      </c>
      <c r="D543" s="151" t="str">
        <f>Sales_Entry!B574</f>
        <v>BILL-6518</v>
      </c>
      <c r="E543" s="151" t="str">
        <f>Sales_Entry!D574</f>
        <v>Mix Milk</v>
      </c>
      <c r="F543" s="153">
        <f>N(Sales_Entry!I574)</f>
        <v>258</v>
      </c>
      <c r="G543" s="153">
        <v>0</v>
      </c>
      <c r="H543" s="153">
        <f t="shared" si="8"/>
        <v>258</v>
      </c>
      <c r="I543" s="151"/>
      <c r="J543" t="str">
        <f>IF($B543="","",IF(AND($B543=Party_Statement!$B$5,$A543&gt;=Party_Statement!$B$6,$A543&lt;=Party_Statement!$D$6),SUMPRODUCT(($B$3:$B543=Party_Statement!$B$5)*($A$3:$A543&gt;=Party_Statement!$B$6)*($A$3:$A543&lt;=Party_Statement!$D$6)),""))</f>
        <v/>
      </c>
    </row>
    <row r="544" spans="1:10" x14ac:dyDescent="0.2">
      <c r="A544" s="147">
        <f>Sales_Entry!A575</f>
        <v>66940</v>
      </c>
      <c r="B544" s="175" t="str">
        <f>Sales_Entry!C575</f>
        <v>CHHATRABHUMI</v>
      </c>
      <c r="C544" s="151" t="s">
        <v>984</v>
      </c>
      <c r="D544" s="151" t="str">
        <f>Sales_Entry!B575</f>
        <v>BILL-6519</v>
      </c>
      <c r="E544" s="151" t="str">
        <f>Sales_Entry!D575</f>
        <v>Mix Milk</v>
      </c>
      <c r="F544" s="153">
        <f>N(Sales_Entry!I575)</f>
        <v>2580</v>
      </c>
      <c r="G544" s="153">
        <v>0</v>
      </c>
      <c r="H544" s="153">
        <f t="shared" si="8"/>
        <v>2580</v>
      </c>
      <c r="I544" s="151"/>
      <c r="J544" t="str">
        <f>IF($B544="","",IF(AND($B544=Party_Statement!$B$5,$A544&gt;=Party_Statement!$B$6,$A544&lt;=Party_Statement!$D$6),SUMPRODUCT(($B$3:$B544=Party_Statement!$B$5)*($A$3:$A544&gt;=Party_Statement!$B$6)*($A$3:$A544&lt;=Party_Statement!$D$6)),""))</f>
        <v/>
      </c>
    </row>
    <row r="545" spans="1:10" x14ac:dyDescent="0.2">
      <c r="A545" s="147">
        <f>Sales_Entry!A576</f>
        <v>66940</v>
      </c>
      <c r="B545" s="175" t="str">
        <f>Sales_Entry!C576</f>
        <v xml:space="preserve">AAMOSH KIRANA </v>
      </c>
      <c r="C545" s="151" t="s">
        <v>984</v>
      </c>
      <c r="D545" s="151" t="str">
        <f>Sales_Entry!B576</f>
        <v>BILL-6520</v>
      </c>
      <c r="E545" s="151" t="str">
        <f>Sales_Entry!D576</f>
        <v>Mix Milk</v>
      </c>
      <c r="F545" s="153">
        <f>N(Sales_Entry!I576)</f>
        <v>3440</v>
      </c>
      <c r="G545" s="153">
        <v>0</v>
      </c>
      <c r="H545" s="153">
        <f t="shared" si="8"/>
        <v>3440</v>
      </c>
      <c r="I545" s="151"/>
      <c r="J545" t="str">
        <f>IF($B545="","",IF(AND($B545=Party_Statement!$B$5,$A545&gt;=Party_Statement!$B$6,$A545&lt;=Party_Statement!$D$6),SUMPRODUCT(($B$3:$B545=Party_Statement!$B$5)*($A$3:$A545&gt;=Party_Statement!$B$6)*($A$3:$A545&lt;=Party_Statement!$D$6)),""))</f>
        <v/>
      </c>
    </row>
    <row r="546" spans="1:10" x14ac:dyDescent="0.2">
      <c r="A546" s="147">
        <f>Sales_Entry!A577</f>
        <v>66940</v>
      </c>
      <c r="B546" s="175" t="str">
        <f>Sales_Entry!C577</f>
        <v xml:space="preserve">AAMOSH KIRANA </v>
      </c>
      <c r="C546" s="151" t="s">
        <v>984</v>
      </c>
      <c r="D546" s="151" t="str">
        <f>Sales_Entry!B577</f>
        <v>BILL-6520</v>
      </c>
      <c r="E546" s="151" t="str">
        <f>Sales_Entry!D577</f>
        <v>Mix Milk</v>
      </c>
      <c r="F546" s="153">
        <f>N(Sales_Entry!I577)</f>
        <v>2550</v>
      </c>
      <c r="G546" s="153">
        <v>0</v>
      </c>
      <c r="H546" s="153">
        <f t="shared" si="8"/>
        <v>5990</v>
      </c>
      <c r="I546" s="151"/>
      <c r="J546" t="str">
        <f>IF($B546="","",IF(AND($B546=Party_Statement!$B$5,$A546&gt;=Party_Statement!$B$6,$A546&lt;=Party_Statement!$D$6),SUMPRODUCT(($B$3:$B546=Party_Statement!$B$5)*($A$3:$A546&gt;=Party_Statement!$B$6)*($A$3:$A546&lt;=Party_Statement!$D$6)),""))</f>
        <v/>
      </c>
    </row>
    <row r="547" spans="1:10" x14ac:dyDescent="0.2">
      <c r="A547" s="147">
        <f>Sales_Entry!A578</f>
        <v>66940</v>
      </c>
      <c r="B547" s="175" t="str">
        <f>Sales_Entry!C578</f>
        <v xml:space="preserve">AAMOSH KIRANA </v>
      </c>
      <c r="C547" s="151" t="s">
        <v>984</v>
      </c>
      <c r="D547" s="151" t="str">
        <f>Sales_Entry!B578</f>
        <v>BILL-6520</v>
      </c>
      <c r="E547" s="151" t="str">
        <f>Sales_Entry!D578</f>
        <v>Cow Milk</v>
      </c>
      <c r="F547" s="153">
        <f>N(Sales_Entry!I578)</f>
        <v>80</v>
      </c>
      <c r="G547" s="153">
        <v>0</v>
      </c>
      <c r="H547" s="153">
        <f t="shared" si="8"/>
        <v>6070</v>
      </c>
      <c r="I547" s="151"/>
      <c r="J547" t="str">
        <f>IF($B547="","",IF(AND($B547=Party_Statement!$B$5,$A547&gt;=Party_Statement!$B$6,$A547&lt;=Party_Statement!$D$6),SUMPRODUCT(($B$3:$B547=Party_Statement!$B$5)*($A$3:$A547&gt;=Party_Statement!$B$6)*($A$3:$A547&lt;=Party_Statement!$D$6)),""))</f>
        <v/>
      </c>
    </row>
    <row r="548" spans="1:10" x14ac:dyDescent="0.2">
      <c r="A548" s="147">
        <f>Sales_Entry!A579</f>
        <v>66940</v>
      </c>
      <c r="B548" s="175" t="str">
        <f>Sales_Entry!C579</f>
        <v xml:space="preserve">KRITIKA KIRANA </v>
      </c>
      <c r="C548" s="151" t="s">
        <v>984</v>
      </c>
      <c r="D548" s="151" t="str">
        <f>Sales_Entry!B579</f>
        <v>BILL-6521</v>
      </c>
      <c r="E548" s="151" t="str">
        <f>Sales_Entry!D579</f>
        <v>Mix Milk</v>
      </c>
      <c r="F548" s="153">
        <f>N(Sales_Entry!I579)</f>
        <v>1290</v>
      </c>
      <c r="G548" s="153">
        <v>0</v>
      </c>
      <c r="H548" s="153">
        <f t="shared" si="8"/>
        <v>1290</v>
      </c>
      <c r="I548" s="151"/>
      <c r="J548" t="str">
        <f>IF($B548="","",IF(AND($B548=Party_Statement!$B$5,$A548&gt;=Party_Statement!$B$6,$A548&lt;=Party_Statement!$D$6),SUMPRODUCT(($B$3:$B548=Party_Statement!$B$5)*($A$3:$A548&gt;=Party_Statement!$B$6)*($A$3:$A548&lt;=Party_Statement!$D$6)),""))</f>
        <v/>
      </c>
    </row>
    <row r="549" spans="1:10" x14ac:dyDescent="0.2">
      <c r="A549" s="147">
        <f>Sales_Entry!A580</f>
        <v>66940</v>
      </c>
      <c r="B549" s="175" t="str">
        <f>Sales_Entry!C580</f>
        <v>MANAKAMANA DAIRY</v>
      </c>
      <c r="C549" s="151" t="s">
        <v>984</v>
      </c>
      <c r="D549" s="151" t="str">
        <f>Sales_Entry!B580</f>
        <v>BILL-6522</v>
      </c>
      <c r="E549" s="151" t="str">
        <f>Sales_Entry!D580</f>
        <v>Mix Milk</v>
      </c>
      <c r="F549" s="153">
        <f>N(Sales_Entry!I580)</f>
        <v>850</v>
      </c>
      <c r="G549" s="153">
        <v>0</v>
      </c>
      <c r="H549" s="153">
        <f t="shared" si="8"/>
        <v>850</v>
      </c>
      <c r="I549" s="151"/>
      <c r="J549" t="str">
        <f>IF($B549="","",IF(AND($B549=Party_Statement!$B$5,$A549&gt;=Party_Statement!$B$6,$A549&lt;=Party_Statement!$D$6),SUMPRODUCT(($B$3:$B549=Party_Statement!$B$5)*($A$3:$A549&gt;=Party_Statement!$B$6)*($A$3:$A549&lt;=Party_Statement!$D$6)),""))</f>
        <v/>
      </c>
    </row>
    <row r="550" spans="1:10" x14ac:dyDescent="0.2">
      <c r="A550" s="147">
        <f>Sales_Entry!A581</f>
        <v>66940</v>
      </c>
      <c r="B550" s="175" t="str">
        <f>Sales_Entry!C581</f>
        <v xml:space="preserve">AAYUSH AAYUSHMA </v>
      </c>
      <c r="C550" s="151" t="s">
        <v>984</v>
      </c>
      <c r="D550" s="151" t="str">
        <f>Sales_Entry!B581</f>
        <v>BILL-6523</v>
      </c>
      <c r="E550" s="151" t="str">
        <f>Sales_Entry!D581</f>
        <v>Mix Milk</v>
      </c>
      <c r="F550" s="153">
        <f>N(Sales_Entry!I581)</f>
        <v>425</v>
      </c>
      <c r="G550" s="153">
        <v>0</v>
      </c>
      <c r="H550" s="153">
        <f t="shared" si="8"/>
        <v>425</v>
      </c>
      <c r="I550" s="151"/>
      <c r="J550" t="str">
        <f>IF($B550="","",IF(AND($B550=Party_Statement!$B$5,$A550&gt;=Party_Statement!$B$6,$A550&lt;=Party_Statement!$D$6),SUMPRODUCT(($B$3:$B550=Party_Statement!$B$5)*($A$3:$A550&gt;=Party_Statement!$B$6)*($A$3:$A550&lt;=Party_Statement!$D$6)),""))</f>
        <v/>
      </c>
    </row>
    <row r="551" spans="1:10" x14ac:dyDescent="0.2">
      <c r="A551" s="147">
        <f>Sales_Entry!A582</f>
        <v>66940</v>
      </c>
      <c r="B551" s="175" t="str">
        <f>Sales_Entry!C582</f>
        <v xml:space="preserve">YUBARAJ AND SAMRAT </v>
      </c>
      <c r="C551" s="151" t="s">
        <v>984</v>
      </c>
      <c r="D551" s="151" t="str">
        <f>Sales_Entry!B582</f>
        <v>BILL-6524</v>
      </c>
      <c r="E551" s="151" t="str">
        <f>Sales_Entry!D582</f>
        <v>Mix Milk</v>
      </c>
      <c r="F551" s="153">
        <f>N(Sales_Entry!I582)</f>
        <v>1020</v>
      </c>
      <c r="G551" s="153">
        <v>0</v>
      </c>
      <c r="H551" s="153">
        <f t="shared" si="8"/>
        <v>1020</v>
      </c>
      <c r="I551" s="151"/>
      <c r="J551" t="str">
        <f>IF($B551="","",IF(AND($B551=Party_Statement!$B$5,$A551&gt;=Party_Statement!$B$6,$A551&lt;=Party_Statement!$D$6),SUMPRODUCT(($B$3:$B551=Party_Statement!$B$5)*($A$3:$A551&gt;=Party_Statement!$B$6)*($A$3:$A551&lt;=Party_Statement!$D$6)),""))</f>
        <v/>
      </c>
    </row>
    <row r="552" spans="1:10" x14ac:dyDescent="0.2">
      <c r="A552" s="147">
        <f>Sales_Entry!A583</f>
        <v>66940</v>
      </c>
      <c r="B552" s="175" t="str">
        <f>Sales_Entry!C583</f>
        <v>PALPALI</v>
      </c>
      <c r="C552" s="151" t="s">
        <v>984</v>
      </c>
      <c r="D552" s="151" t="str">
        <f>Sales_Entry!B583</f>
        <v>BILL-6525</v>
      </c>
      <c r="E552" s="151" t="str">
        <f>Sales_Entry!D583</f>
        <v>Mix Milk</v>
      </c>
      <c r="F552" s="153">
        <f>N(Sales_Entry!I583)</f>
        <v>2125</v>
      </c>
      <c r="G552" s="153">
        <v>0</v>
      </c>
      <c r="H552" s="153">
        <f t="shared" si="8"/>
        <v>2125</v>
      </c>
      <c r="I552" s="151"/>
      <c r="J552" t="str">
        <f>IF($B552="","",IF(AND($B552=Party_Statement!$B$5,$A552&gt;=Party_Statement!$B$6,$A552&lt;=Party_Statement!$D$6),SUMPRODUCT(($B$3:$B552=Party_Statement!$B$5)*($A$3:$A552&gt;=Party_Statement!$B$6)*($A$3:$A552&lt;=Party_Statement!$D$6)),""))</f>
        <v/>
      </c>
    </row>
    <row r="553" spans="1:10" x14ac:dyDescent="0.2">
      <c r="A553" s="147">
        <f>Sales_Entry!A584</f>
        <v>66940</v>
      </c>
      <c r="B553" s="175" t="str">
        <f>Sales_Entry!C584</f>
        <v xml:space="preserve">DEURALI KIRANA </v>
      </c>
      <c r="C553" s="151" t="s">
        <v>984</v>
      </c>
      <c r="D553" s="151" t="str">
        <f>Sales_Entry!B584</f>
        <v>BILL-6526</v>
      </c>
      <c r="E553" s="151" t="str">
        <f>Sales_Entry!D584</f>
        <v>Mix Milk</v>
      </c>
      <c r="F553" s="153">
        <f>N(Sales_Entry!I584)</f>
        <v>425</v>
      </c>
      <c r="G553" s="153">
        <v>0</v>
      </c>
      <c r="H553" s="153">
        <f t="shared" si="8"/>
        <v>425</v>
      </c>
      <c r="I553" s="151"/>
      <c r="J553" t="str">
        <f>IF($B553="","",IF(AND($B553=Party_Statement!$B$5,$A553&gt;=Party_Statement!$B$6,$A553&lt;=Party_Statement!$D$6),SUMPRODUCT(($B$3:$B553=Party_Statement!$B$5)*($A$3:$A553&gt;=Party_Statement!$B$6)*($A$3:$A553&lt;=Party_Statement!$D$6)),""))</f>
        <v/>
      </c>
    </row>
    <row r="554" spans="1:10" x14ac:dyDescent="0.2">
      <c r="A554" s="147">
        <f>Sales_Entry!A585</f>
        <v>66940</v>
      </c>
      <c r="B554" s="175" t="str">
        <f>Sales_Entry!C585</f>
        <v xml:space="preserve">GIRI KIRANA </v>
      </c>
      <c r="C554" s="151" t="s">
        <v>984</v>
      </c>
      <c r="D554" s="151" t="str">
        <f>Sales_Entry!B585</f>
        <v>BILL-6527</v>
      </c>
      <c r="E554" s="151" t="str">
        <f>Sales_Entry!D585</f>
        <v>Mix Milk</v>
      </c>
      <c r="F554" s="153">
        <f>N(Sales_Entry!I585)</f>
        <v>1700</v>
      </c>
      <c r="G554" s="153">
        <v>0</v>
      </c>
      <c r="H554" s="153">
        <f t="shared" si="8"/>
        <v>1700</v>
      </c>
      <c r="I554" s="151"/>
      <c r="J554" t="str">
        <f>IF($B554="","",IF(AND($B554=Party_Statement!$B$5,$A554&gt;=Party_Statement!$B$6,$A554&lt;=Party_Statement!$D$6),SUMPRODUCT(($B$3:$B554=Party_Statement!$B$5)*($A$3:$A554&gt;=Party_Statement!$B$6)*($A$3:$A554&lt;=Party_Statement!$D$6)),""))</f>
        <v/>
      </c>
    </row>
    <row r="555" spans="1:10" x14ac:dyDescent="0.2">
      <c r="A555" s="147">
        <f>Sales_Entry!A586</f>
        <v>66940</v>
      </c>
      <c r="B555" s="175" t="str">
        <f>Sales_Entry!C586</f>
        <v>ORGANIC TARKALI</v>
      </c>
      <c r="C555" s="151" t="s">
        <v>984</v>
      </c>
      <c r="D555" s="151" t="str">
        <f>Sales_Entry!B586</f>
        <v>BILL-6528</v>
      </c>
      <c r="E555" s="151" t="str">
        <f>Sales_Entry!D586</f>
        <v>Mix Milk</v>
      </c>
      <c r="F555" s="153">
        <f>N(Sales_Entry!I586)</f>
        <v>3800</v>
      </c>
      <c r="G555" s="153">
        <v>0</v>
      </c>
      <c r="H555" s="153">
        <f t="shared" si="8"/>
        <v>3800</v>
      </c>
      <c r="I555" s="151"/>
      <c r="J555" t="str">
        <f>IF($B555="","",IF(AND($B555=Party_Statement!$B$5,$A555&gt;=Party_Statement!$B$6,$A555&lt;=Party_Statement!$D$6),SUMPRODUCT(($B$3:$B555=Party_Statement!$B$5)*($A$3:$A555&gt;=Party_Statement!$B$6)*($A$3:$A555&lt;=Party_Statement!$D$6)),""))</f>
        <v/>
      </c>
    </row>
    <row r="556" spans="1:10" x14ac:dyDescent="0.2">
      <c r="A556" s="147">
        <f>Sales_Entry!A587</f>
        <v>66940</v>
      </c>
      <c r="B556" s="175" t="str">
        <f>Sales_Entry!C587</f>
        <v>ORGANIC TARKALI</v>
      </c>
      <c r="C556" s="151" t="s">
        <v>984</v>
      </c>
      <c r="D556" s="151" t="str">
        <f>Sales_Entry!B587</f>
        <v>BILL-6528</v>
      </c>
      <c r="E556" s="151" t="str">
        <f>Sales_Entry!D587</f>
        <v>Mix Milk</v>
      </c>
      <c r="F556" s="153">
        <f>N(Sales_Entry!I587)</f>
        <v>1020</v>
      </c>
      <c r="G556" s="153">
        <v>0</v>
      </c>
      <c r="H556" s="153">
        <f t="shared" si="8"/>
        <v>4820</v>
      </c>
      <c r="I556" s="151"/>
      <c r="J556" t="str">
        <f>IF($B556="","",IF(AND($B556=Party_Statement!$B$5,$A556&gt;=Party_Statement!$B$6,$A556&lt;=Party_Statement!$D$6),SUMPRODUCT(($B$3:$B556=Party_Statement!$B$5)*($A$3:$A556&gt;=Party_Statement!$B$6)*($A$3:$A556&lt;=Party_Statement!$D$6)),""))</f>
        <v/>
      </c>
    </row>
    <row r="557" spans="1:10" x14ac:dyDescent="0.2">
      <c r="A557" s="147">
        <f>Sales_Entry!A588</f>
        <v>66940</v>
      </c>
      <c r="B557" s="175" t="str">
        <f>Sales_Entry!C588</f>
        <v>SHARMA DAI</v>
      </c>
      <c r="C557" s="151" t="s">
        <v>984</v>
      </c>
      <c r="D557" s="151" t="str">
        <f>Sales_Entry!B588</f>
        <v>BILL-6529</v>
      </c>
      <c r="E557" s="151" t="str">
        <f>Sales_Entry!D588</f>
        <v>Mix Milk</v>
      </c>
      <c r="F557" s="153">
        <f>N(Sales_Entry!I588)</f>
        <v>2940</v>
      </c>
      <c r="G557" s="153">
        <v>0</v>
      </c>
      <c r="H557" s="153">
        <f t="shared" si="8"/>
        <v>2940</v>
      </c>
      <c r="I557" s="151"/>
      <c r="J557" t="str">
        <f>IF($B557="","",IF(AND($B557=Party_Statement!$B$5,$A557&gt;=Party_Statement!$B$6,$A557&lt;=Party_Statement!$D$6),SUMPRODUCT(($B$3:$B557=Party_Statement!$B$5)*($A$3:$A557&gt;=Party_Statement!$B$6)*($A$3:$A557&lt;=Party_Statement!$D$6)),""))</f>
        <v/>
      </c>
    </row>
    <row r="558" spans="1:10" x14ac:dyDescent="0.2">
      <c r="A558" s="147">
        <f>Sales_Entry!A589</f>
        <v>66940</v>
      </c>
      <c r="B558" s="175" t="str">
        <f>Sales_Entry!C589</f>
        <v>GANGA NEUPANE</v>
      </c>
      <c r="C558" s="151" t="s">
        <v>984</v>
      </c>
      <c r="D558" s="151" t="str">
        <f>Sales_Entry!B589</f>
        <v>BILL-6530</v>
      </c>
      <c r="E558" s="151" t="str">
        <f>Sales_Entry!D589</f>
        <v>Mix Milk</v>
      </c>
      <c r="F558" s="153">
        <f>N(Sales_Entry!I589)</f>
        <v>510</v>
      </c>
      <c r="G558" s="153">
        <v>0</v>
      </c>
      <c r="H558" s="153">
        <f t="shared" si="8"/>
        <v>510</v>
      </c>
      <c r="I558" s="151"/>
      <c r="J558" t="str">
        <f>IF($B558="","",IF(AND($B558=Party_Statement!$B$5,$A558&gt;=Party_Statement!$B$6,$A558&lt;=Party_Statement!$D$6),SUMPRODUCT(($B$3:$B558=Party_Statement!$B$5)*($A$3:$A558&gt;=Party_Statement!$B$6)*($A$3:$A558&lt;=Party_Statement!$D$6)),""))</f>
        <v/>
      </c>
    </row>
    <row r="559" spans="1:10" x14ac:dyDescent="0.2">
      <c r="A559" s="147" t="str">
        <f>Sales_Entry!A365</f>
        <v>2083/03/32</v>
      </c>
      <c r="B559" s="175" t="str">
        <f>Sales_Entry!C365</f>
        <v xml:space="preserve">CANCELED </v>
      </c>
      <c r="C559" s="151" t="s">
        <v>984</v>
      </c>
      <c r="D559" s="151" t="str">
        <f>Sales_Entry!B365</f>
        <v>BILL-6300</v>
      </c>
      <c r="E559" s="151">
        <f>Sales_Entry!D365</f>
        <v>0</v>
      </c>
      <c r="F559" s="153">
        <f>N(Sales_Entry!I365)</f>
        <v>0</v>
      </c>
      <c r="G559" s="153">
        <v>0</v>
      </c>
      <c r="H559" s="153">
        <f t="shared" si="8"/>
        <v>0</v>
      </c>
      <c r="I559" s="151"/>
      <c r="J559" t="str">
        <f>IF($B559="","",IF(AND($B559=Party_Statement!$B$5,$A559&gt;=Party_Statement!$B$6,$A559&lt;=Party_Statement!$D$6),SUMPRODUCT(($B$3:$B559=Party_Statement!$B$5)*($A$3:$A559&gt;=Party_Statement!$B$6)*($A$3:$A559&lt;=Party_Statement!$D$6)),""))</f>
        <v/>
      </c>
    </row>
    <row r="560" spans="1:10" x14ac:dyDescent="0.2">
      <c r="A560" s="147" t="str">
        <f>Sales_Entry!A366</f>
        <v>2083/03/32</v>
      </c>
      <c r="B560" s="175" t="str">
        <f>Sales_Entry!C366</f>
        <v>SRIJANA DAIRY (DEVI NAGAR)</v>
      </c>
      <c r="C560" s="151" t="s">
        <v>984</v>
      </c>
      <c r="D560" s="151" t="str">
        <f>Sales_Entry!B366</f>
        <v>BILL-6301</v>
      </c>
      <c r="E560" s="151" t="str">
        <f>Sales_Entry!D366</f>
        <v>Mix Milk</v>
      </c>
      <c r="F560" s="153">
        <f>N(Sales_Entry!I366)</f>
        <v>5100</v>
      </c>
      <c r="G560" s="153">
        <v>0</v>
      </c>
      <c r="H560" s="153">
        <f t="shared" si="8"/>
        <v>5100</v>
      </c>
      <c r="I560" s="151"/>
      <c r="J560" t="str">
        <f>IF($B560="","",IF(AND($B560=Party_Statement!$B$5,$A560&gt;=Party_Statement!$B$6,$A560&lt;=Party_Statement!$D$6),SUMPRODUCT(($B$3:$B560=Party_Statement!$B$5)*($A$3:$A560&gt;=Party_Statement!$B$6)*($A$3:$A560&lt;=Party_Statement!$D$6)),""))</f>
        <v/>
      </c>
    </row>
    <row r="561" spans="1:10" x14ac:dyDescent="0.2">
      <c r="A561" s="147" t="str">
        <f>Sales_Entry!A367</f>
        <v>2083/03/32</v>
      </c>
      <c r="B561" s="175" t="str">
        <f>Sales_Entry!C367</f>
        <v>SRIJANA DAIRY (DEVI NAGAR)</v>
      </c>
      <c r="C561" s="151" t="s">
        <v>984</v>
      </c>
      <c r="D561" s="151" t="str">
        <f>Sales_Entry!B367</f>
        <v>BILL-6301</v>
      </c>
      <c r="E561" s="151" t="str">
        <f>Sales_Entry!D367</f>
        <v>Cow Milk</v>
      </c>
      <c r="F561" s="153">
        <f>N(Sales_Entry!I367)</f>
        <v>80</v>
      </c>
      <c r="G561" s="153">
        <v>0</v>
      </c>
      <c r="H561" s="153">
        <f t="shared" si="8"/>
        <v>5180</v>
      </c>
      <c r="I561" s="151"/>
      <c r="J561" t="str">
        <f>IF($B561="","",IF(AND($B561=Party_Statement!$B$5,$A561&gt;=Party_Statement!$B$6,$A561&lt;=Party_Statement!$D$6),SUMPRODUCT(($B$3:$B561=Party_Statement!$B$5)*($A$3:$A561&gt;=Party_Statement!$B$6)*($A$3:$A561&lt;=Party_Statement!$D$6)),""))</f>
        <v/>
      </c>
    </row>
    <row r="562" spans="1:10" x14ac:dyDescent="0.2">
      <c r="A562" s="147" t="str">
        <f>Sales_Entry!A368</f>
        <v>2083/03/32</v>
      </c>
      <c r="B562" s="175" t="str">
        <f>Sales_Entry!C368</f>
        <v xml:space="preserve">AAMOSH KIRANA </v>
      </c>
      <c r="C562" s="151" t="s">
        <v>984</v>
      </c>
      <c r="D562" s="151" t="str">
        <f>Sales_Entry!B368</f>
        <v>BILL-6302</v>
      </c>
      <c r="E562" s="151" t="str">
        <f>Sales_Entry!D368</f>
        <v>Mix Milk</v>
      </c>
      <c r="F562" s="153">
        <f>N(Sales_Entry!I368)</f>
        <v>3440</v>
      </c>
      <c r="G562" s="153">
        <v>0</v>
      </c>
      <c r="H562" s="153">
        <f t="shared" si="8"/>
        <v>3440</v>
      </c>
      <c r="I562" s="151"/>
      <c r="J562" t="str">
        <f>IF($B562="","",IF(AND($B562=Party_Statement!$B$5,$A562&gt;=Party_Statement!$B$6,$A562&lt;=Party_Statement!$D$6),SUMPRODUCT(($B$3:$B562=Party_Statement!$B$5)*($A$3:$A562&gt;=Party_Statement!$B$6)*($A$3:$A562&lt;=Party_Statement!$D$6)),""))</f>
        <v/>
      </c>
    </row>
    <row r="563" spans="1:10" x14ac:dyDescent="0.2">
      <c r="A563" s="147" t="str">
        <f>Sales_Entry!A369</f>
        <v>2083/03/32</v>
      </c>
      <c r="B563" s="175" t="str">
        <f>Sales_Entry!C369</f>
        <v xml:space="preserve">AAMOSH KIRANA </v>
      </c>
      <c r="C563" s="151" t="s">
        <v>984</v>
      </c>
      <c r="D563" s="151" t="str">
        <f>Sales_Entry!B369</f>
        <v>BILL-6302</v>
      </c>
      <c r="E563" s="151" t="str">
        <f>Sales_Entry!D369</f>
        <v>Mix Milk</v>
      </c>
      <c r="F563" s="153">
        <f>N(Sales_Entry!I369)</f>
        <v>4250</v>
      </c>
      <c r="G563" s="153">
        <v>0</v>
      </c>
      <c r="H563" s="153">
        <f t="shared" si="8"/>
        <v>7690</v>
      </c>
      <c r="I563" s="151"/>
      <c r="J563" t="str">
        <f>IF($B563="","",IF(AND($B563=Party_Statement!$B$5,$A563&gt;=Party_Statement!$B$6,$A563&lt;=Party_Statement!$D$6),SUMPRODUCT(($B$3:$B563=Party_Statement!$B$5)*($A$3:$A563&gt;=Party_Statement!$B$6)*($A$3:$A563&lt;=Party_Statement!$D$6)),""))</f>
        <v/>
      </c>
    </row>
    <row r="564" spans="1:10" x14ac:dyDescent="0.2">
      <c r="A564" s="147" t="str">
        <f>Sales_Entry!A370</f>
        <v>2083/03/32</v>
      </c>
      <c r="B564" s="175" t="str">
        <f>Sales_Entry!C370</f>
        <v xml:space="preserve">AAMOSH KIRANA </v>
      </c>
      <c r="C564" s="151" t="s">
        <v>984</v>
      </c>
      <c r="D564" s="151" t="str">
        <f>Sales_Entry!B370</f>
        <v>BILL-6302</v>
      </c>
      <c r="E564" s="151" t="str">
        <f>Sales_Entry!D370</f>
        <v>Cow Milk</v>
      </c>
      <c r="F564" s="153">
        <f>N(Sales_Entry!I370)</f>
        <v>80</v>
      </c>
      <c r="G564" s="153">
        <v>0</v>
      </c>
      <c r="H564" s="153">
        <f t="shared" si="8"/>
        <v>7770</v>
      </c>
      <c r="I564" s="151"/>
      <c r="J564" t="str">
        <f>IF($B564="","",IF(AND($B564=Party_Statement!$B$5,$A564&gt;=Party_Statement!$B$6,$A564&lt;=Party_Statement!$D$6),SUMPRODUCT(($B$3:$B564=Party_Statement!$B$5)*($A$3:$A564&gt;=Party_Statement!$B$6)*($A$3:$A564&lt;=Party_Statement!$D$6)),""))</f>
        <v/>
      </c>
    </row>
    <row r="565" spans="1:10" x14ac:dyDescent="0.2">
      <c r="A565" s="147" t="str">
        <f>Sales_Entry!A371</f>
        <v>2083/03/32</v>
      </c>
      <c r="B565" s="175" t="str">
        <f>Sales_Entry!C371</f>
        <v xml:space="preserve">SOBHA BHATTARAI </v>
      </c>
      <c r="C565" s="151" t="s">
        <v>984</v>
      </c>
      <c r="D565" s="151" t="str">
        <f>Sales_Entry!B371</f>
        <v>BILL-6303</v>
      </c>
      <c r="E565" s="151" t="str">
        <f>Sales_Entry!D371</f>
        <v>Mix Milk</v>
      </c>
      <c r="F565" s="153">
        <f>N(Sales_Entry!I371)</f>
        <v>2975</v>
      </c>
      <c r="G565" s="153">
        <v>0</v>
      </c>
      <c r="H565" s="153">
        <f t="shared" si="8"/>
        <v>2975</v>
      </c>
      <c r="I565" s="151"/>
      <c r="J565" t="str">
        <f>IF($B565="","",IF(AND($B565=Party_Statement!$B$5,$A565&gt;=Party_Statement!$B$6,$A565&lt;=Party_Statement!$D$6),SUMPRODUCT(($B$3:$B565=Party_Statement!$B$5)*($A$3:$A565&gt;=Party_Statement!$B$6)*($A$3:$A565&lt;=Party_Statement!$D$6)),""))</f>
        <v/>
      </c>
    </row>
    <row r="566" spans="1:10" x14ac:dyDescent="0.2">
      <c r="A566" s="147" t="str">
        <f>Sales_Entry!A372</f>
        <v>2083/03/32</v>
      </c>
      <c r="B566" s="175" t="str">
        <f>Sales_Entry!C372</f>
        <v>CHHATRABHUMI</v>
      </c>
      <c r="C566" s="151" t="s">
        <v>984</v>
      </c>
      <c r="D566" s="151" t="str">
        <f>Sales_Entry!B372</f>
        <v>BILL-6304</v>
      </c>
      <c r="E566" s="151" t="str">
        <f>Sales_Entry!D372</f>
        <v>Mix Milk</v>
      </c>
      <c r="F566" s="153">
        <f>N(Sales_Entry!I372)</f>
        <v>2150</v>
      </c>
      <c r="G566" s="153">
        <v>0</v>
      </c>
      <c r="H566" s="153">
        <f t="shared" si="8"/>
        <v>2150</v>
      </c>
      <c r="I566" s="151"/>
      <c r="J566" t="str">
        <f>IF($B566="","",IF(AND($B566=Party_Statement!$B$5,$A566&gt;=Party_Statement!$B$6,$A566&lt;=Party_Statement!$D$6),SUMPRODUCT(($B$3:$B566=Party_Statement!$B$5)*($A$3:$A566&gt;=Party_Statement!$B$6)*($A$3:$A566&lt;=Party_Statement!$D$6)),""))</f>
        <v/>
      </c>
    </row>
    <row r="567" spans="1:10" x14ac:dyDescent="0.2">
      <c r="A567" s="147" t="str">
        <f>Sales_Entry!A373</f>
        <v>2083/03/32</v>
      </c>
      <c r="B567" s="175" t="str">
        <f>Sales_Entry!C373</f>
        <v>KRISHNA KHAREL</v>
      </c>
      <c r="C567" s="151" t="s">
        <v>984</v>
      </c>
      <c r="D567" s="151" t="str">
        <f>Sales_Entry!B373</f>
        <v>BILL-6305</v>
      </c>
      <c r="E567" s="151" t="str">
        <f>Sales_Entry!D373</f>
        <v>Mix Milk</v>
      </c>
      <c r="F567" s="153">
        <f>N(Sales_Entry!I373)</f>
        <v>387</v>
      </c>
      <c r="G567" s="153">
        <v>0</v>
      </c>
      <c r="H567" s="153">
        <f t="shared" si="8"/>
        <v>387</v>
      </c>
      <c r="I567" s="151"/>
      <c r="J567" t="str">
        <f>IF($B567="","",IF(AND($B567=Party_Statement!$B$5,$A567&gt;=Party_Statement!$B$6,$A567&lt;=Party_Statement!$D$6),SUMPRODUCT(($B$3:$B567=Party_Statement!$B$5)*($A$3:$A567&gt;=Party_Statement!$B$6)*($A$3:$A567&lt;=Party_Statement!$D$6)),""))</f>
        <v/>
      </c>
    </row>
    <row r="568" spans="1:10" x14ac:dyDescent="0.2">
      <c r="A568" s="147" t="str">
        <f>Sales_Entry!A374</f>
        <v>2083/03/32</v>
      </c>
      <c r="B568" s="175" t="str">
        <f>Sales_Entry!C374</f>
        <v>KRISHNA KHAREL</v>
      </c>
      <c r="C568" s="151" t="s">
        <v>984</v>
      </c>
      <c r="D568" s="151" t="str">
        <f>Sales_Entry!B374</f>
        <v>BILL-6305</v>
      </c>
      <c r="E568" s="151" t="str">
        <f>Sales_Entry!D374</f>
        <v>NAUNI</v>
      </c>
      <c r="F568" s="153">
        <f>N(Sales_Entry!I374)</f>
        <v>800</v>
      </c>
      <c r="G568" s="153">
        <v>0</v>
      </c>
      <c r="H568" s="153">
        <f t="shared" si="8"/>
        <v>1187</v>
      </c>
      <c r="I568" s="151"/>
      <c r="J568" t="str">
        <f>IF($B568="","",IF(AND($B568=Party_Statement!$B$5,$A568&gt;=Party_Statement!$B$6,$A568&lt;=Party_Statement!$D$6),SUMPRODUCT(($B$3:$B568=Party_Statement!$B$5)*($A$3:$A568&gt;=Party_Statement!$B$6)*($A$3:$A568&lt;=Party_Statement!$D$6)),""))</f>
        <v/>
      </c>
    </row>
    <row r="569" spans="1:10" x14ac:dyDescent="0.2">
      <c r="A569" s="147" t="str">
        <f>Sales_Entry!A375</f>
        <v>2083/03/32</v>
      </c>
      <c r="B569" s="175" t="str">
        <f>Sales_Entry!C375</f>
        <v xml:space="preserve">SAMIKSHYA </v>
      </c>
      <c r="C569" s="151" t="s">
        <v>984</v>
      </c>
      <c r="D569" s="151" t="str">
        <f>Sales_Entry!B375</f>
        <v>BILL-6306</v>
      </c>
      <c r="E569" s="151" t="str">
        <f>Sales_Entry!D375</f>
        <v>Mix Milk</v>
      </c>
      <c r="F569" s="153">
        <f>N(Sales_Entry!I375)</f>
        <v>680</v>
      </c>
      <c r="G569" s="153">
        <v>0</v>
      </c>
      <c r="H569" s="153">
        <f t="shared" si="8"/>
        <v>680</v>
      </c>
      <c r="I569" s="151"/>
      <c r="J569" t="str">
        <f>IF($B569="","",IF(AND($B569=Party_Statement!$B$5,$A569&gt;=Party_Statement!$B$6,$A569&lt;=Party_Statement!$D$6),SUMPRODUCT(($B$3:$B569=Party_Statement!$B$5)*($A$3:$A569&gt;=Party_Statement!$B$6)*($A$3:$A569&lt;=Party_Statement!$D$6)),""))</f>
        <v/>
      </c>
    </row>
    <row r="570" spans="1:10" x14ac:dyDescent="0.2">
      <c r="A570" s="147" t="str">
        <f>Sales_Entry!A376</f>
        <v>2083/03/32</v>
      </c>
      <c r="B570" s="175" t="str">
        <f>Sales_Entry!C376</f>
        <v>MANAKAMANA DAIRY</v>
      </c>
      <c r="C570" s="151" t="s">
        <v>984</v>
      </c>
      <c r="D570" s="151" t="str">
        <f>Sales_Entry!B376</f>
        <v>BILL-6307</v>
      </c>
      <c r="E570" s="151" t="str">
        <f>Sales_Entry!D376</f>
        <v>Mix Milk</v>
      </c>
      <c r="F570" s="153">
        <f>N(Sales_Entry!I376)</f>
        <v>425</v>
      </c>
      <c r="G570" s="153">
        <v>0</v>
      </c>
      <c r="H570" s="153">
        <f t="shared" si="8"/>
        <v>425</v>
      </c>
      <c r="I570" s="151"/>
      <c r="J570" t="str">
        <f>IF($B570="","",IF(AND($B570=Party_Statement!$B$5,$A570&gt;=Party_Statement!$B$6,$A570&lt;=Party_Statement!$D$6),SUMPRODUCT(($B$3:$B570=Party_Statement!$B$5)*($A$3:$A570&gt;=Party_Statement!$B$6)*($A$3:$A570&lt;=Party_Statement!$D$6)),""))</f>
        <v/>
      </c>
    </row>
    <row r="571" spans="1:10" x14ac:dyDescent="0.2">
      <c r="A571" s="147" t="str">
        <f>Sales_Entry!A377</f>
        <v>2083/03/32</v>
      </c>
      <c r="B571" s="175" t="str">
        <f>Sales_Entry!C377</f>
        <v xml:space="preserve">KRITIKA KIRANA </v>
      </c>
      <c r="C571" s="151" t="s">
        <v>984</v>
      </c>
      <c r="D571" s="151" t="str">
        <f>Sales_Entry!B377</f>
        <v>BILL-6308</v>
      </c>
      <c r="E571" s="151" t="str">
        <f>Sales_Entry!D377</f>
        <v>Mix Milk</v>
      </c>
      <c r="F571" s="153">
        <f>N(Sales_Entry!I377)</f>
        <v>860</v>
      </c>
      <c r="G571" s="153">
        <v>0</v>
      </c>
      <c r="H571" s="153">
        <f t="shared" si="8"/>
        <v>860</v>
      </c>
      <c r="I571" s="151"/>
      <c r="J571" t="str">
        <f>IF($B571="","",IF(AND($B571=Party_Statement!$B$5,$A571&gt;=Party_Statement!$B$6,$A571&lt;=Party_Statement!$D$6),SUMPRODUCT(($B$3:$B571=Party_Statement!$B$5)*($A$3:$A571&gt;=Party_Statement!$B$6)*($A$3:$A571&lt;=Party_Statement!$D$6)),""))</f>
        <v/>
      </c>
    </row>
    <row r="572" spans="1:10" x14ac:dyDescent="0.2">
      <c r="A572" s="147" t="str">
        <f>Sales_Entry!A378</f>
        <v>2083/03/32</v>
      </c>
      <c r="B572" s="175" t="str">
        <f>Sales_Entry!C378</f>
        <v xml:space="preserve">KRITIKA KIRANA </v>
      </c>
      <c r="C572" s="151" t="s">
        <v>984</v>
      </c>
      <c r="D572" s="151" t="str">
        <f>Sales_Entry!B378</f>
        <v>BILL-6308</v>
      </c>
      <c r="E572" s="151" t="str">
        <f>Sales_Entry!D378</f>
        <v>Ghee</v>
      </c>
      <c r="F572" s="153">
        <f>N(Sales_Entry!I378)</f>
        <v>2200</v>
      </c>
      <c r="G572" s="153">
        <v>0</v>
      </c>
      <c r="H572" s="153">
        <f t="shared" si="8"/>
        <v>3060</v>
      </c>
      <c r="I572" s="151"/>
      <c r="J572" t="str">
        <f>IF($B572="","",IF(AND($B572=Party_Statement!$B$5,$A572&gt;=Party_Statement!$B$6,$A572&lt;=Party_Statement!$D$6),SUMPRODUCT(($B$3:$B572=Party_Statement!$B$5)*($A$3:$A572&gt;=Party_Statement!$B$6)*($A$3:$A572&lt;=Party_Statement!$D$6)),""))</f>
        <v/>
      </c>
    </row>
    <row r="573" spans="1:10" x14ac:dyDescent="0.2">
      <c r="A573" s="147" t="str">
        <f>Sales_Entry!A379</f>
        <v>2083/03/32</v>
      </c>
      <c r="B573" s="175" t="str">
        <f>Sales_Entry!C379</f>
        <v xml:space="preserve">AAYUSH AAYUSHMA </v>
      </c>
      <c r="C573" s="151" t="s">
        <v>984</v>
      </c>
      <c r="D573" s="151" t="str">
        <f>Sales_Entry!B379</f>
        <v>BILL-6309</v>
      </c>
      <c r="E573" s="151" t="str">
        <f>Sales_Entry!D379</f>
        <v>Mix Milk</v>
      </c>
      <c r="F573" s="153">
        <f>N(Sales_Entry!I379)</f>
        <v>425</v>
      </c>
      <c r="G573" s="153">
        <v>0</v>
      </c>
      <c r="H573" s="153">
        <f t="shared" si="8"/>
        <v>425</v>
      </c>
      <c r="I573" s="151"/>
      <c r="J573" t="str">
        <f>IF($B573="","",IF(AND($B573=Party_Statement!$B$5,$A573&gt;=Party_Statement!$B$6,$A573&lt;=Party_Statement!$D$6),SUMPRODUCT(($B$3:$B573=Party_Statement!$B$5)*($A$3:$A573&gt;=Party_Statement!$B$6)*($A$3:$A573&lt;=Party_Statement!$D$6)),""))</f>
        <v/>
      </c>
    </row>
    <row r="574" spans="1:10" x14ac:dyDescent="0.2">
      <c r="A574" s="147" t="str">
        <f>Sales_Entry!A380</f>
        <v>2083/03/32</v>
      </c>
      <c r="B574" s="175" t="str">
        <f>Sales_Entry!C380</f>
        <v xml:space="preserve">AAYUSH AAYUSHMA </v>
      </c>
      <c r="C574" s="151" t="s">
        <v>984</v>
      </c>
      <c r="D574" s="151" t="str">
        <f>Sales_Entry!B380</f>
        <v>BILL-6310</v>
      </c>
      <c r="E574" s="151" t="str">
        <f>Sales_Entry!D380</f>
        <v>Mix Milk</v>
      </c>
      <c r="F574" s="153">
        <f>N(Sales_Entry!I380)</f>
        <v>1275</v>
      </c>
      <c r="G574" s="153">
        <v>0</v>
      </c>
      <c r="H574" s="153">
        <f t="shared" si="8"/>
        <v>1700</v>
      </c>
      <c r="I574" s="151"/>
      <c r="J574" t="str">
        <f>IF($B574="","",IF(AND($B574=Party_Statement!$B$5,$A574&gt;=Party_Statement!$B$6,$A574&lt;=Party_Statement!$D$6),SUMPRODUCT(($B$3:$B574=Party_Statement!$B$5)*($A$3:$A574&gt;=Party_Statement!$B$6)*($A$3:$A574&lt;=Party_Statement!$D$6)),""))</f>
        <v/>
      </c>
    </row>
    <row r="575" spans="1:10" x14ac:dyDescent="0.2">
      <c r="A575" s="147" t="str">
        <f>Sales_Entry!A381</f>
        <v>2083/03/32</v>
      </c>
      <c r="B575" s="175" t="str">
        <f>Sales_Entry!C381</f>
        <v>PALPALI</v>
      </c>
      <c r="C575" s="151" t="s">
        <v>984</v>
      </c>
      <c r="D575" s="151" t="str">
        <f>Sales_Entry!B381</f>
        <v>BILL-6311</v>
      </c>
      <c r="E575" s="151" t="str">
        <f>Sales_Entry!D381</f>
        <v>Mix Milk</v>
      </c>
      <c r="F575" s="153">
        <f>N(Sales_Entry!I381)</f>
        <v>2550</v>
      </c>
      <c r="G575" s="153">
        <v>0</v>
      </c>
      <c r="H575" s="153">
        <f t="shared" si="8"/>
        <v>2550</v>
      </c>
      <c r="I575" s="151"/>
      <c r="J575" t="str">
        <f>IF($B575="","",IF(AND($B575=Party_Statement!$B$5,$A575&gt;=Party_Statement!$B$6,$A575&lt;=Party_Statement!$D$6),SUMPRODUCT(($B$3:$B575=Party_Statement!$B$5)*($A$3:$A575&gt;=Party_Statement!$B$6)*($A$3:$A575&lt;=Party_Statement!$D$6)),""))</f>
        <v/>
      </c>
    </row>
    <row r="576" spans="1:10" x14ac:dyDescent="0.2">
      <c r="A576" s="147" t="str">
        <f>Sales_Entry!A382</f>
        <v>2083/03/32</v>
      </c>
      <c r="B576" s="175" t="str">
        <f>Sales_Entry!C382</f>
        <v xml:space="preserve">DEURALI KIRANA </v>
      </c>
      <c r="C576" s="151" t="s">
        <v>984</v>
      </c>
      <c r="D576" s="151" t="str">
        <f>Sales_Entry!B382</f>
        <v>BILL-6312</v>
      </c>
      <c r="E576" s="151" t="str">
        <f>Sales_Entry!D382</f>
        <v>Mix Milk</v>
      </c>
      <c r="F576" s="153">
        <f>N(Sales_Entry!I382)</f>
        <v>850</v>
      </c>
      <c r="G576" s="153">
        <v>0</v>
      </c>
      <c r="H576" s="153">
        <f t="shared" si="8"/>
        <v>850</v>
      </c>
      <c r="I576" s="151"/>
      <c r="J576" t="str">
        <f>IF($B576="","",IF(AND($B576=Party_Statement!$B$5,$A576&gt;=Party_Statement!$B$6,$A576&lt;=Party_Statement!$D$6),SUMPRODUCT(($B$3:$B576=Party_Statement!$B$5)*($A$3:$A576&gt;=Party_Statement!$B$6)*($A$3:$A576&lt;=Party_Statement!$D$6)),""))</f>
        <v/>
      </c>
    </row>
    <row r="577" spans="1:10" x14ac:dyDescent="0.2">
      <c r="A577" s="147" t="str">
        <f>Sales_Entry!A383</f>
        <v>2083/03/32</v>
      </c>
      <c r="B577" s="175" t="str">
        <f>Sales_Entry!C383</f>
        <v xml:space="preserve">GIRI KIRANA </v>
      </c>
      <c r="C577" s="151" t="s">
        <v>984</v>
      </c>
      <c r="D577" s="151" t="str">
        <f>Sales_Entry!B383</f>
        <v>BILL-6313</v>
      </c>
      <c r="E577" s="151" t="str">
        <f>Sales_Entry!D383</f>
        <v>Mix Milk</v>
      </c>
      <c r="F577" s="153">
        <f>N(Sales_Entry!I383)</f>
        <v>1275</v>
      </c>
      <c r="G577" s="153">
        <v>0</v>
      </c>
      <c r="H577" s="153">
        <f t="shared" si="8"/>
        <v>1275</v>
      </c>
      <c r="I577" s="151"/>
      <c r="J577" t="str">
        <f>IF($B577="","",IF(AND($B577=Party_Statement!$B$5,$A577&gt;=Party_Statement!$B$6,$A577&lt;=Party_Statement!$D$6),SUMPRODUCT(($B$3:$B577=Party_Statement!$B$5)*($A$3:$A577&gt;=Party_Statement!$B$6)*($A$3:$A577&lt;=Party_Statement!$D$6)),""))</f>
        <v/>
      </c>
    </row>
    <row r="578" spans="1:10" x14ac:dyDescent="0.2">
      <c r="A578" s="147" t="str">
        <f>Sales_Entry!A384</f>
        <v>2083/03/32</v>
      </c>
      <c r="B578" s="175" t="str">
        <f>Sales_Entry!C384</f>
        <v>SITA MALLA</v>
      </c>
      <c r="C578" s="151" t="s">
        <v>984</v>
      </c>
      <c r="D578" s="151" t="str">
        <f>Sales_Entry!B384</f>
        <v>BILL-6314</v>
      </c>
      <c r="E578" s="151" t="str">
        <f>Sales_Entry!D384</f>
        <v>Mix Milk</v>
      </c>
      <c r="F578" s="153">
        <f>N(Sales_Entry!I384)</f>
        <v>5100</v>
      </c>
      <c r="G578" s="153">
        <v>0</v>
      </c>
      <c r="H578" s="153">
        <f t="shared" si="8"/>
        <v>5100</v>
      </c>
      <c r="I578" s="151"/>
      <c r="J578" t="str">
        <f>IF($B578="","",IF(AND($B578=Party_Statement!$B$5,$A578&gt;=Party_Statement!$B$6,$A578&lt;=Party_Statement!$D$6),SUMPRODUCT(($B$3:$B578=Party_Statement!$B$5)*($A$3:$A578&gt;=Party_Statement!$B$6)*($A$3:$A578&lt;=Party_Statement!$D$6)),""))</f>
        <v/>
      </c>
    </row>
    <row r="579" spans="1:10" x14ac:dyDescent="0.2">
      <c r="A579" s="147" t="str">
        <f>Sales_Entry!A385</f>
        <v>2083/03/32</v>
      </c>
      <c r="B579" s="175" t="str">
        <f>Sales_Entry!C385</f>
        <v>SITA MALLA</v>
      </c>
      <c r="C579" s="151" t="s">
        <v>984</v>
      </c>
      <c r="D579" s="151" t="str">
        <f>Sales_Entry!B385</f>
        <v>BILL-6314</v>
      </c>
      <c r="E579" s="151" t="str">
        <f>Sales_Entry!D385</f>
        <v>PANEER</v>
      </c>
      <c r="F579" s="153">
        <f>N(Sales_Entry!I385)</f>
        <v>5600</v>
      </c>
      <c r="G579" s="153">
        <v>0</v>
      </c>
      <c r="H579" s="153">
        <f t="shared" si="8"/>
        <v>10700</v>
      </c>
      <c r="I579" s="151"/>
      <c r="J579" t="str">
        <f>IF($B579="","",IF(AND($B579=Party_Statement!$B$5,$A579&gt;=Party_Statement!$B$6,$A579&lt;=Party_Statement!$D$6),SUMPRODUCT(($B$3:$B579=Party_Statement!$B$5)*($A$3:$A579&gt;=Party_Statement!$B$6)*($A$3:$A579&lt;=Party_Statement!$D$6)),""))</f>
        <v/>
      </c>
    </row>
    <row r="580" spans="1:10" x14ac:dyDescent="0.2">
      <c r="A580" s="147" t="str">
        <f>Sales_Entry!A386</f>
        <v>2083/03/32</v>
      </c>
      <c r="B580" s="175" t="str">
        <f>Sales_Entry!C386</f>
        <v>ORGANIC TARKALI</v>
      </c>
      <c r="C580" s="151" t="s">
        <v>984</v>
      </c>
      <c r="D580" s="151" t="str">
        <f>Sales_Entry!B386</f>
        <v>BILL-6315</v>
      </c>
      <c r="E580" s="151" t="str">
        <f>Sales_Entry!D386</f>
        <v>Mix Milk</v>
      </c>
      <c r="F580" s="153">
        <f>N(Sales_Entry!I386)</f>
        <v>1900</v>
      </c>
      <c r="G580" s="153">
        <v>0</v>
      </c>
      <c r="H580" s="153">
        <f t="shared" ref="H580:H643" si="9">IF($B580="","",IF($B580=$B579,$H579+$F580-$G580,$F580-$G580))</f>
        <v>1900</v>
      </c>
      <c r="I580" s="151"/>
      <c r="J580" t="str">
        <f>IF($B580="","",IF(AND($B580=Party_Statement!$B$5,$A580&gt;=Party_Statement!$B$6,$A580&lt;=Party_Statement!$D$6),SUMPRODUCT(($B$3:$B580=Party_Statement!$B$5)*($A$3:$A580&gt;=Party_Statement!$B$6)*($A$3:$A580&lt;=Party_Statement!$D$6)),""))</f>
        <v/>
      </c>
    </row>
    <row r="581" spans="1:10" x14ac:dyDescent="0.2">
      <c r="A581" s="147" t="str">
        <f>Sales_Entry!A387</f>
        <v>2083/03/32</v>
      </c>
      <c r="B581" s="175" t="str">
        <f>Sales_Entry!C387</f>
        <v>ORGANIC TARKALI</v>
      </c>
      <c r="C581" s="151" t="s">
        <v>984</v>
      </c>
      <c r="D581" s="151" t="str">
        <f>Sales_Entry!B387</f>
        <v>BILL-6315</v>
      </c>
      <c r="E581" s="151" t="str">
        <f>Sales_Entry!D387</f>
        <v>Ghee</v>
      </c>
      <c r="F581" s="153">
        <f>N(Sales_Entry!I387)</f>
        <v>1100</v>
      </c>
      <c r="G581" s="153">
        <v>0</v>
      </c>
      <c r="H581" s="153">
        <f t="shared" si="9"/>
        <v>3000</v>
      </c>
      <c r="I581" s="151"/>
      <c r="J581" t="str">
        <f>IF($B581="","",IF(AND($B581=Party_Statement!$B$5,$A581&gt;=Party_Statement!$B$6,$A581&lt;=Party_Statement!$D$6),SUMPRODUCT(($B$3:$B581=Party_Statement!$B$5)*($A$3:$A581&gt;=Party_Statement!$B$6)*($A$3:$A581&lt;=Party_Statement!$D$6)),""))</f>
        <v/>
      </c>
    </row>
    <row r="582" spans="1:10" x14ac:dyDescent="0.2">
      <c r="A582" s="147" t="str">
        <f>Sales_Entry!A388</f>
        <v>2083/03/32</v>
      </c>
      <c r="B582" s="175" t="str">
        <f>Sales_Entry!C388</f>
        <v>ORGANIC TARKALI</v>
      </c>
      <c r="C582" s="151" t="s">
        <v>984</v>
      </c>
      <c r="D582" s="151" t="str">
        <f>Sales_Entry!B388</f>
        <v>BILL-6315</v>
      </c>
      <c r="E582" s="151" t="str">
        <f>Sales_Entry!D388</f>
        <v>PANEER</v>
      </c>
      <c r="F582" s="153">
        <f>N(Sales_Entry!I388)</f>
        <v>800</v>
      </c>
      <c r="G582" s="153">
        <v>0</v>
      </c>
      <c r="H582" s="153">
        <f t="shared" si="9"/>
        <v>3800</v>
      </c>
      <c r="I582" s="151"/>
      <c r="J582" t="str">
        <f>IF($B582="","",IF(AND($B582=Party_Statement!$B$5,$A582&gt;=Party_Statement!$B$6,$A582&lt;=Party_Statement!$D$6),SUMPRODUCT(($B$3:$B582=Party_Statement!$B$5)*($A$3:$A582&gt;=Party_Statement!$B$6)*($A$3:$A582&lt;=Party_Statement!$D$6)),""))</f>
        <v/>
      </c>
    </row>
    <row r="583" spans="1:10" x14ac:dyDescent="0.2">
      <c r="A583" s="147" t="str">
        <f>Sales_Entry!A389</f>
        <v>2083/03/32</v>
      </c>
      <c r="B583" s="175" t="str">
        <f>Sales_Entry!C389</f>
        <v>SHARMA DAI</v>
      </c>
      <c r="C583" s="151" t="s">
        <v>984</v>
      </c>
      <c r="D583" s="151" t="str">
        <f>Sales_Entry!B389</f>
        <v>BILL-6316</v>
      </c>
      <c r="E583" s="151" t="str">
        <f>Sales_Entry!D389</f>
        <v>Mix Milk</v>
      </c>
      <c r="F583" s="153">
        <f>N(Sales_Entry!I389)</f>
        <v>2100</v>
      </c>
      <c r="G583" s="153">
        <v>0</v>
      </c>
      <c r="H583" s="153">
        <f t="shared" si="9"/>
        <v>2100</v>
      </c>
      <c r="I583" s="151"/>
      <c r="J583" t="str">
        <f>IF($B583="","",IF(AND($B583=Party_Statement!$B$5,$A583&gt;=Party_Statement!$B$6,$A583&lt;=Party_Statement!$D$6),SUMPRODUCT(($B$3:$B583=Party_Statement!$B$5)*($A$3:$A583&gt;=Party_Statement!$B$6)*($A$3:$A583&lt;=Party_Statement!$D$6)),""))</f>
        <v/>
      </c>
    </row>
    <row r="584" spans="1:10" x14ac:dyDescent="0.2">
      <c r="A584" s="147" t="str">
        <f>Sales_Entry!A390</f>
        <v>2083/03/32</v>
      </c>
      <c r="B584" s="175" t="str">
        <f>Sales_Entry!C390</f>
        <v>GANGA NEUPANE</v>
      </c>
      <c r="C584" s="151" t="s">
        <v>984</v>
      </c>
      <c r="D584" s="151" t="str">
        <f>Sales_Entry!B390</f>
        <v>BILL-6317</v>
      </c>
      <c r="E584" s="151" t="str">
        <f>Sales_Entry!D390</f>
        <v>Mix Milk</v>
      </c>
      <c r="F584" s="153">
        <f>N(Sales_Entry!I390)</f>
        <v>510</v>
      </c>
      <c r="G584" s="153">
        <v>0</v>
      </c>
      <c r="H584" s="153">
        <f t="shared" si="9"/>
        <v>510</v>
      </c>
      <c r="I584" s="151"/>
      <c r="J584" t="str">
        <f>IF($B584="","",IF(AND($B584=Party_Statement!$B$5,$A584&gt;=Party_Statement!$B$6,$A584&lt;=Party_Statement!$D$6),SUMPRODUCT(($B$3:$B584=Party_Statement!$B$5)*($A$3:$A584&gt;=Party_Statement!$B$6)*($A$3:$A584&lt;=Party_Statement!$D$6)),""))</f>
        <v/>
      </c>
    </row>
    <row r="585" spans="1:10" x14ac:dyDescent="0.2">
      <c r="A585" s="147" t="str">
        <f>Sales_Entry!A391</f>
        <v>2083/03/32</v>
      </c>
      <c r="B585" s="175" t="str">
        <f>Sales_Entry!C391</f>
        <v xml:space="preserve">NAR BAHADUR RANA </v>
      </c>
      <c r="C585" s="151" t="s">
        <v>984</v>
      </c>
      <c r="D585" s="151" t="str">
        <f>Sales_Entry!B391</f>
        <v>BILL-6318</v>
      </c>
      <c r="E585" s="151" t="str">
        <f>Sales_Entry!D391</f>
        <v>Mix Milk</v>
      </c>
      <c r="F585" s="153">
        <f>N(Sales_Entry!I391)</f>
        <v>550</v>
      </c>
      <c r="G585" s="153">
        <v>0</v>
      </c>
      <c r="H585" s="153">
        <f t="shared" si="9"/>
        <v>550</v>
      </c>
      <c r="I585" s="151"/>
      <c r="J585" t="str">
        <f>IF($B585="","",IF(AND($B585=Party_Statement!$B$5,$A585&gt;=Party_Statement!$B$6,$A585&lt;=Party_Statement!$D$6),SUMPRODUCT(($B$3:$B585=Party_Statement!$B$5)*($A$3:$A585&gt;=Party_Statement!$B$6)*($A$3:$A585&lt;=Party_Statement!$D$6)),""))</f>
        <v/>
      </c>
    </row>
    <row r="586" spans="1:10" x14ac:dyDescent="0.2">
      <c r="A586" s="147" t="str">
        <f>Sales_Entry!A392</f>
        <v>2083/03/32</v>
      </c>
      <c r="B586" s="175" t="str">
        <f>Sales_Entry!C392</f>
        <v>LOCAL</v>
      </c>
      <c r="C586" s="151" t="s">
        <v>984</v>
      </c>
      <c r="D586" s="151" t="str">
        <f>Sales_Entry!B392</f>
        <v>BILL-6319</v>
      </c>
      <c r="E586" s="151" t="str">
        <f>Sales_Entry!D392</f>
        <v>Mix Milk</v>
      </c>
      <c r="F586" s="153">
        <f>N(Sales_Entry!I392)</f>
        <v>235</v>
      </c>
      <c r="G586" s="153">
        <v>0</v>
      </c>
      <c r="H586" s="153">
        <f t="shared" si="9"/>
        <v>235</v>
      </c>
      <c r="I586" s="151"/>
      <c r="J586" t="str">
        <f>IF($B586="","",IF(AND($B586=Party_Statement!$B$5,$A586&gt;=Party_Statement!$B$6,$A586&lt;=Party_Statement!$D$6),SUMPRODUCT(($B$3:$B586=Party_Statement!$B$5)*($A$3:$A586&gt;=Party_Statement!$B$6)*($A$3:$A586&lt;=Party_Statement!$D$6)),""))</f>
        <v/>
      </c>
    </row>
    <row r="587" spans="1:10" x14ac:dyDescent="0.2">
      <c r="A587" s="147" t="str">
        <f>Sales_Entry!A393</f>
        <v>2083/03/32</v>
      </c>
      <c r="B587" s="175" t="str">
        <f>Sales_Entry!C393</f>
        <v>NEUPANE KIRANA</v>
      </c>
      <c r="C587" s="151" t="s">
        <v>984</v>
      </c>
      <c r="D587" s="151" t="str">
        <f>Sales_Entry!B393</f>
        <v>BILL-6338</v>
      </c>
      <c r="E587" s="151" t="str">
        <f>Sales_Entry!D393</f>
        <v>Mix Milk</v>
      </c>
      <c r="F587" s="153">
        <f>N(Sales_Entry!I393)</f>
        <v>180</v>
      </c>
      <c r="G587" s="153">
        <v>0</v>
      </c>
      <c r="H587" s="153">
        <f t="shared" si="9"/>
        <v>180</v>
      </c>
      <c r="I587" s="151"/>
      <c r="J587" t="str">
        <f>IF($B587="","",IF(AND($B587=Party_Statement!$B$5,$A587&gt;=Party_Statement!$B$6,$A587&lt;=Party_Statement!$D$6),SUMPRODUCT(($B$3:$B587=Party_Statement!$B$5)*($A$3:$A587&gt;=Party_Statement!$B$6)*($A$3:$A587&lt;=Party_Statement!$D$6)),""))</f>
        <v/>
      </c>
    </row>
    <row r="588" spans="1:10" x14ac:dyDescent="0.2">
      <c r="A588" s="147" t="str">
        <f>Sales_Entry!A394</f>
        <v>2083/03/32</v>
      </c>
      <c r="B588" s="175" t="str">
        <f>Sales_Entry!C394</f>
        <v xml:space="preserve">KAMALA </v>
      </c>
      <c r="C588" s="151" t="s">
        <v>984</v>
      </c>
      <c r="D588" s="151" t="str">
        <f>Sales_Entry!B394</f>
        <v>BILL-6339</v>
      </c>
      <c r="E588" s="151" t="str">
        <f>Sales_Entry!D394</f>
        <v>Mix Milk</v>
      </c>
      <c r="F588" s="153">
        <f>N(Sales_Entry!I394)</f>
        <v>1100</v>
      </c>
      <c r="G588" s="153">
        <v>0</v>
      </c>
      <c r="H588" s="153">
        <f t="shared" si="9"/>
        <v>1100</v>
      </c>
      <c r="I588" s="151"/>
      <c r="J588" t="str">
        <f>IF($B588="","",IF(AND($B588=Party_Statement!$B$5,$A588&gt;=Party_Statement!$B$6,$A588&lt;=Party_Statement!$D$6),SUMPRODUCT(($B$3:$B588=Party_Statement!$B$5)*($A$3:$A588&gt;=Party_Statement!$B$6)*($A$3:$A588&lt;=Party_Statement!$D$6)),""))</f>
        <v/>
      </c>
    </row>
    <row r="589" spans="1:10" x14ac:dyDescent="0.2">
      <c r="A589" s="147" t="str">
        <f>Sales_Entry!A395</f>
        <v>2083/03/32</v>
      </c>
      <c r="B589" s="175" t="str">
        <f>Sales_Entry!C395</f>
        <v xml:space="preserve">SHANKAR KHAREL </v>
      </c>
      <c r="C589" s="151" t="s">
        <v>984</v>
      </c>
      <c r="D589" s="151" t="str">
        <f>Sales_Entry!B395</f>
        <v>BILL-6340</v>
      </c>
      <c r="E589" s="151" t="str">
        <f>Sales_Entry!D395</f>
        <v>Mix Milk</v>
      </c>
      <c r="F589" s="153">
        <f>N(Sales_Entry!I395)</f>
        <v>3150</v>
      </c>
      <c r="G589" s="153">
        <v>0</v>
      </c>
      <c r="H589" s="153">
        <f t="shared" si="9"/>
        <v>3150</v>
      </c>
      <c r="I589" s="151"/>
      <c r="J589" t="str">
        <f>IF($B589="","",IF(AND($B589=Party_Statement!$B$5,$A589&gt;=Party_Statement!$B$6,$A589&lt;=Party_Statement!$D$6),SUMPRODUCT(($B$3:$B589=Party_Statement!$B$5)*($A$3:$A589&gt;=Party_Statement!$B$6)*($A$3:$A589&lt;=Party_Statement!$D$6)),""))</f>
        <v/>
      </c>
    </row>
    <row r="590" spans="1:10" x14ac:dyDescent="0.2">
      <c r="A590" s="147">
        <f>Purchase_Entry!A3</f>
        <v>66915</v>
      </c>
      <c r="B590" s="175" t="str">
        <f>Purchase_Entry!C3</f>
        <v>SAI KRIPA KSS LTD</v>
      </c>
      <c r="C590" s="151" t="s">
        <v>986</v>
      </c>
      <c r="D590" s="151" t="str">
        <f>Purchase_Entry!B3</f>
        <v>S 5956</v>
      </c>
      <c r="E590" s="151" t="str">
        <f>Purchase_Entry!D3</f>
        <v>Mix Milk</v>
      </c>
      <c r="F590" s="153">
        <v>0</v>
      </c>
      <c r="G590" s="153">
        <f>N(Purchase_Entry!N3)</f>
        <v>16520</v>
      </c>
      <c r="H590" s="153">
        <f t="shared" si="9"/>
        <v>-16520</v>
      </c>
      <c r="I590" s="151"/>
      <c r="J590" t="str">
        <f>IF($B590="","",IF(AND($B590=Party_Statement!$B$5,$A590&gt;=Party_Statement!$B$6,$A590&lt;=Party_Statement!$D$6),SUMPRODUCT(($B$3:$B590=Party_Statement!$B$5)*($A$3:$A590&gt;=Party_Statement!$B$6)*($A$3:$A590&lt;=Party_Statement!$D$6)),""))</f>
        <v/>
      </c>
    </row>
    <row r="591" spans="1:10" x14ac:dyDescent="0.2">
      <c r="A591" s="147">
        <f>Purchase_Entry!A4</f>
        <v>66915</v>
      </c>
      <c r="B591" s="175" t="str">
        <f>Purchase_Entry!C4</f>
        <v>SAI KRIPA KSS LTD</v>
      </c>
      <c r="C591" s="151" t="s">
        <v>986</v>
      </c>
      <c r="D591" s="151" t="str">
        <f>Purchase_Entry!B4</f>
        <v>S 5956</v>
      </c>
      <c r="E591" s="151" t="str">
        <f>Purchase_Entry!D4</f>
        <v>NAUNI</v>
      </c>
      <c r="F591" s="153">
        <v>0</v>
      </c>
      <c r="G591" s="153">
        <f>N(Purchase_Entry!N4)</f>
        <v>4550</v>
      </c>
      <c r="H591" s="153">
        <f t="shared" si="9"/>
        <v>-21070</v>
      </c>
      <c r="I591" s="151"/>
      <c r="J591" t="str">
        <f>IF($B591="","",IF(AND($B591=Party_Statement!$B$5,$A591&gt;=Party_Statement!$B$6,$A591&lt;=Party_Statement!$D$6),SUMPRODUCT(($B$3:$B591=Party_Statement!$B$5)*($A$3:$A591&gt;=Party_Statement!$B$6)*($A$3:$A591&lt;=Party_Statement!$D$6)),""))</f>
        <v/>
      </c>
    </row>
    <row r="592" spans="1:10" x14ac:dyDescent="0.2">
      <c r="A592" s="147">
        <f>Purchase_Entry!A5</f>
        <v>66915</v>
      </c>
      <c r="B592" s="175" t="str">
        <f>Purchase_Entry!C5</f>
        <v>SAI KRIPA KSS LTD</v>
      </c>
      <c r="C592" s="151" t="s">
        <v>986</v>
      </c>
      <c r="D592" s="151" t="str">
        <f>Purchase_Entry!B5</f>
        <v>S 5956</v>
      </c>
      <c r="E592" s="151" t="str">
        <f>Purchase_Entry!D5</f>
        <v>Ghee</v>
      </c>
      <c r="F592" s="153">
        <v>0</v>
      </c>
      <c r="G592" s="153">
        <f>N(Purchase_Entry!N5)</f>
        <v>17100</v>
      </c>
      <c r="H592" s="153">
        <f t="shared" si="9"/>
        <v>-38170</v>
      </c>
      <c r="I592" s="151"/>
      <c r="J592" t="str">
        <f>IF($B592="","",IF(AND($B592=Party_Statement!$B$5,$A592&gt;=Party_Statement!$B$6,$A592&lt;=Party_Statement!$D$6),SUMPRODUCT(($B$3:$B592=Party_Statement!$B$5)*($A$3:$A592&gt;=Party_Statement!$B$6)*($A$3:$A592&lt;=Party_Statement!$D$6)),""))</f>
        <v/>
      </c>
    </row>
    <row r="593" spans="1:10" x14ac:dyDescent="0.2">
      <c r="A593" s="147">
        <f>Purchase_Entry!A6</f>
        <v>66915</v>
      </c>
      <c r="B593" s="175" t="str">
        <f>Purchase_Entry!C6</f>
        <v>SAI KRIPA KSS LTD</v>
      </c>
      <c r="C593" s="151" t="s">
        <v>986</v>
      </c>
      <c r="D593" s="151" t="str">
        <f>Purchase_Entry!B6</f>
        <v>S 5956</v>
      </c>
      <c r="E593" s="151" t="str">
        <f>Purchase_Entry!D6</f>
        <v>Paneer</v>
      </c>
      <c r="F593" s="153">
        <v>0</v>
      </c>
      <c r="G593" s="153">
        <f>N(Purchase_Entry!N6)</f>
        <v>720</v>
      </c>
      <c r="H593" s="153">
        <f t="shared" si="9"/>
        <v>-38890</v>
      </c>
      <c r="I593" s="151"/>
      <c r="J593" t="str">
        <f>IF($B593="","",IF(AND($B593=Party_Statement!$B$5,$A593&gt;=Party_Statement!$B$6,$A593&lt;=Party_Statement!$D$6),SUMPRODUCT(($B$3:$B593=Party_Statement!$B$5)*($A$3:$A593&gt;=Party_Statement!$B$6)*($A$3:$A593&lt;=Party_Statement!$D$6)),""))</f>
        <v/>
      </c>
    </row>
    <row r="594" spans="1:10" x14ac:dyDescent="0.2">
      <c r="A594" s="147">
        <f>Purchase_Entry!A7</f>
        <v>66915</v>
      </c>
      <c r="B594" s="175" t="str">
        <f>Purchase_Entry!C7</f>
        <v>SAI KRIPA KSS LTD</v>
      </c>
      <c r="C594" s="151" t="s">
        <v>986</v>
      </c>
      <c r="D594" s="151" t="str">
        <f>Purchase_Entry!B7</f>
        <v>S 5956</v>
      </c>
      <c r="E594" s="151" t="str">
        <f>Purchase_Entry!D7</f>
        <v>Cream</v>
      </c>
      <c r="F594" s="153">
        <v>0</v>
      </c>
      <c r="G594" s="153">
        <f>N(Purchase_Entry!N7)</f>
        <v>66150</v>
      </c>
      <c r="H594" s="153">
        <f t="shared" si="9"/>
        <v>-105040</v>
      </c>
      <c r="I594" s="151"/>
      <c r="J594" t="str">
        <f>IF($B594="","",IF(AND($B594=Party_Statement!$B$5,$A594&gt;=Party_Statement!$B$6,$A594&lt;=Party_Statement!$D$6),SUMPRODUCT(($B$3:$B594=Party_Statement!$B$5)*($A$3:$A594&gt;=Party_Statement!$B$6)*($A$3:$A594&lt;=Party_Statement!$D$6)),""))</f>
        <v/>
      </c>
    </row>
    <row r="595" spans="1:10" x14ac:dyDescent="0.2">
      <c r="A595" s="147">
        <f>Purchase_Entry!A8</f>
        <v>66915</v>
      </c>
      <c r="B595" s="175" t="str">
        <f>Purchase_Entry!C8</f>
        <v>SAI KRIPA KSS LTD</v>
      </c>
      <c r="C595" s="151" t="s">
        <v>986</v>
      </c>
      <c r="D595" s="151" t="str">
        <f>Purchase_Entry!B8</f>
        <v>S 5963</v>
      </c>
      <c r="E595" s="151" t="str">
        <f>Purchase_Entry!D8</f>
        <v>Dana</v>
      </c>
      <c r="F595" s="153">
        <v>0</v>
      </c>
      <c r="G595" s="153">
        <f>N(Purchase_Entry!N8)</f>
        <v>1645</v>
      </c>
      <c r="H595" s="153">
        <f t="shared" si="9"/>
        <v>-106685</v>
      </c>
      <c r="I595" s="151"/>
      <c r="J595" t="str">
        <f>IF($B595="","",IF(AND($B595=Party_Statement!$B$5,$A595&gt;=Party_Statement!$B$6,$A595&lt;=Party_Statement!$D$6),SUMPRODUCT(($B$3:$B595=Party_Statement!$B$5)*($A$3:$A595&gt;=Party_Statement!$B$6)*($A$3:$A595&lt;=Party_Statement!$D$6)),""))</f>
        <v/>
      </c>
    </row>
    <row r="596" spans="1:10" x14ac:dyDescent="0.2">
      <c r="A596" s="147" t="e">
        <f>Purchase_Entry!#REF!</f>
        <v>#REF!</v>
      </c>
      <c r="B596" s="175" t="e">
        <f>Purchase_Entry!#REF!</f>
        <v>#REF!</v>
      </c>
      <c r="C596" s="151" t="s">
        <v>986</v>
      </c>
      <c r="D596" s="151" t="e">
        <f>Purchase_Entry!#REF!</f>
        <v>#REF!</v>
      </c>
      <c r="E596" s="151" t="e">
        <f>Purchase_Entry!#REF!</f>
        <v>#REF!</v>
      </c>
      <c r="F596" s="153">
        <v>0</v>
      </c>
      <c r="G596" s="153" t="e">
        <f>N(Purchase_Entry!#REF!)</f>
        <v>#REF!</v>
      </c>
      <c r="H596" s="153" t="e">
        <f t="shared" si="9"/>
        <v>#REF!</v>
      </c>
      <c r="I596" s="151"/>
      <c r="J596" t="e">
        <f>IF($B596="","",IF(AND($B596=Party_Statement!$B$5,$A596&gt;=Party_Statement!$B$6,$A596&lt;=Party_Statement!$D$6),SUMPRODUCT(($B$3:$B596=Party_Statement!$B$5)*($A$3:$A596&gt;=Party_Statement!$B$6)*($A$3:$A596&lt;=Party_Statement!$D$6)),""))</f>
        <v>#REF!</v>
      </c>
    </row>
    <row r="597" spans="1:10" x14ac:dyDescent="0.2">
      <c r="A597" s="147">
        <f>Purchase_Entry!A9</f>
        <v>66916</v>
      </c>
      <c r="B597" s="175" t="str">
        <f>Purchase_Entry!C9</f>
        <v xml:space="preserve">MODERN AGRO  -315 </v>
      </c>
      <c r="C597" s="151" t="s">
        <v>986</v>
      </c>
      <c r="D597" s="151" t="str">
        <f>Purchase_Entry!B9</f>
        <v>BILL-5001</v>
      </c>
      <c r="E597" s="151" t="str">
        <f>Purchase_Entry!D9</f>
        <v>Cow Milk</v>
      </c>
      <c r="F597" s="153">
        <v>0</v>
      </c>
      <c r="G597" s="153">
        <f>N(Purchase_Entry!N9)</f>
        <v>5125.9180000000006</v>
      </c>
      <c r="H597" s="153" t="e">
        <f t="shared" si="9"/>
        <v>#REF!</v>
      </c>
      <c r="I597" s="151"/>
      <c r="J597" t="str">
        <f>IF($B597="","",IF(AND($B597=Party_Statement!$B$5,$A597&gt;=Party_Statement!$B$6,$A597&lt;=Party_Statement!$D$6),SUMPRODUCT(($B$3:$B597=Party_Statement!$B$5)*($A$3:$A597&gt;=Party_Statement!$B$6)*($A$3:$A597&lt;=Party_Statement!$D$6)),""))</f>
        <v/>
      </c>
    </row>
    <row r="598" spans="1:10" x14ac:dyDescent="0.2">
      <c r="A598" s="147">
        <f>Purchase_Entry!A10</f>
        <v>66916</v>
      </c>
      <c r="B598" s="175" t="str">
        <f>Purchase_Entry!C10</f>
        <v xml:space="preserve">MODERN AGRO  -315 </v>
      </c>
      <c r="C598" s="151" t="s">
        <v>986</v>
      </c>
      <c r="D598" s="151" t="str">
        <f>Purchase_Entry!B10</f>
        <v>BILL-5002</v>
      </c>
      <c r="E598" s="151" t="str">
        <f>Purchase_Entry!D10</f>
        <v>Buffalo Milk</v>
      </c>
      <c r="F598" s="153">
        <v>0</v>
      </c>
      <c r="G598" s="153">
        <f>N(Purchase_Entry!N10)</f>
        <v>3019.1840000000007</v>
      </c>
      <c r="H598" s="153" t="e">
        <f t="shared" si="9"/>
        <v>#REF!</v>
      </c>
      <c r="I598" s="151"/>
      <c r="J598" t="str">
        <f>IF($B598="","",IF(AND($B598=Party_Statement!$B$5,$A598&gt;=Party_Statement!$B$6,$A598&lt;=Party_Statement!$D$6),SUMPRODUCT(($B$3:$B598=Party_Statement!$B$5)*($A$3:$A598&gt;=Party_Statement!$B$6)*($A$3:$A598&lt;=Party_Statement!$D$6)),""))</f>
        <v/>
      </c>
    </row>
    <row r="599" spans="1:10" x14ac:dyDescent="0.2">
      <c r="A599" s="147">
        <f>Purchase_Entry!A11</f>
        <v>66916</v>
      </c>
      <c r="B599" s="175" t="str">
        <f>Purchase_Entry!C11</f>
        <v>NAWA DURGA -317</v>
      </c>
      <c r="C599" s="151" t="s">
        <v>986</v>
      </c>
      <c r="D599" s="151" t="str">
        <f>Purchase_Entry!B11</f>
        <v>BILL-5003</v>
      </c>
      <c r="E599" s="151" t="str">
        <f>Purchase_Entry!D11</f>
        <v>Cow Milk</v>
      </c>
      <c r="F599" s="153">
        <v>0</v>
      </c>
      <c r="G599" s="153">
        <f>N(Purchase_Entry!N11)</f>
        <v>2304.2075</v>
      </c>
      <c r="H599" s="153">
        <f t="shared" si="9"/>
        <v>-2304.2075</v>
      </c>
      <c r="I599" s="151"/>
      <c r="J599" t="str">
        <f>IF($B599="","",IF(AND($B599=Party_Statement!$B$5,$A599&gt;=Party_Statement!$B$6,$A599&lt;=Party_Statement!$D$6),SUMPRODUCT(($B$3:$B599=Party_Statement!$B$5)*($A$3:$A599&gt;=Party_Statement!$B$6)*($A$3:$A599&lt;=Party_Statement!$D$6)),""))</f>
        <v/>
      </c>
    </row>
    <row r="600" spans="1:10" x14ac:dyDescent="0.2">
      <c r="A600" s="147">
        <f>Purchase_Entry!A12</f>
        <v>66916</v>
      </c>
      <c r="B600" s="175" t="str">
        <f>Purchase_Entry!C12</f>
        <v>PARSURAM THARU -333</v>
      </c>
      <c r="C600" s="151" t="s">
        <v>986</v>
      </c>
      <c r="D600" s="151" t="str">
        <f>Purchase_Entry!B12</f>
        <v>BILL-5004</v>
      </c>
      <c r="E600" s="151" t="str">
        <f>Purchase_Entry!D12</f>
        <v>Cow Milk</v>
      </c>
      <c r="F600" s="153">
        <v>0</v>
      </c>
      <c r="G600" s="153">
        <f>N(Purchase_Entry!N12)</f>
        <v>607.00799999999992</v>
      </c>
      <c r="H600" s="153">
        <f t="shared" si="9"/>
        <v>-607.00799999999992</v>
      </c>
      <c r="I600" s="151"/>
      <c r="J600" t="str">
        <f>IF($B600="","",IF(AND($B600=Party_Statement!$B$5,$A600&gt;=Party_Statement!$B$6,$A600&lt;=Party_Statement!$D$6),SUMPRODUCT(($B$3:$B600=Party_Statement!$B$5)*($A$3:$A600&gt;=Party_Statement!$B$6)*($A$3:$A600&lt;=Party_Statement!$D$6)),""))</f>
        <v/>
      </c>
    </row>
    <row r="601" spans="1:10" x14ac:dyDescent="0.2">
      <c r="A601" s="147">
        <f>Purchase_Entry!A13</f>
        <v>66916</v>
      </c>
      <c r="B601" s="175" t="str">
        <f>Purchase_Entry!C13</f>
        <v>MINA LAMICHHANE 322</v>
      </c>
      <c r="C601" s="151" t="s">
        <v>986</v>
      </c>
      <c r="D601" s="151" t="str">
        <f>Purchase_Entry!B13</f>
        <v>BILL-5005</v>
      </c>
      <c r="E601" s="151" t="str">
        <f>Purchase_Entry!D13</f>
        <v>Cow Milk</v>
      </c>
      <c r="F601" s="153">
        <v>0</v>
      </c>
      <c r="G601" s="153">
        <f>N(Purchase_Entry!N13)</f>
        <v>481.73669999999998</v>
      </c>
      <c r="H601" s="153">
        <f t="shared" si="9"/>
        <v>-481.73669999999998</v>
      </c>
      <c r="I601" s="151"/>
      <c r="J601" t="str">
        <f>IF($B601="","",IF(AND($B601=Party_Statement!$B$5,$A601&gt;=Party_Statement!$B$6,$A601&lt;=Party_Statement!$D$6),SUMPRODUCT(($B$3:$B601=Party_Statement!$B$5)*($A$3:$A601&gt;=Party_Statement!$B$6)*($A$3:$A601&lt;=Party_Statement!$D$6)),""))</f>
        <v/>
      </c>
    </row>
    <row r="602" spans="1:10" x14ac:dyDescent="0.2">
      <c r="A602" s="147">
        <f>Purchase_Entry!A14</f>
        <v>66916</v>
      </c>
      <c r="B602" s="175" t="str">
        <f>Purchase_Entry!C14</f>
        <v>BASUDEV DAIRY 316</v>
      </c>
      <c r="C602" s="151" t="s">
        <v>986</v>
      </c>
      <c r="D602" s="151" t="str">
        <f>Purchase_Entry!B14</f>
        <v>BILL-5006</v>
      </c>
      <c r="E602" s="151" t="str">
        <f>Purchase_Entry!D14</f>
        <v>Buffalo Milk</v>
      </c>
      <c r="F602" s="153">
        <v>0</v>
      </c>
      <c r="G602" s="153">
        <f>N(Purchase_Entry!N14)</f>
        <v>21948</v>
      </c>
      <c r="H602" s="153">
        <f t="shared" si="9"/>
        <v>-21948</v>
      </c>
      <c r="I602" s="151"/>
      <c r="J602" t="str">
        <f>IF($B602="","",IF(AND($B602=Party_Statement!$B$5,$A602&gt;=Party_Statement!$B$6,$A602&lt;=Party_Statement!$D$6),SUMPRODUCT(($B$3:$B602=Party_Statement!$B$5)*($A$3:$A602&gt;=Party_Statement!$B$6)*($A$3:$A602&lt;=Party_Statement!$D$6)),""))</f>
        <v/>
      </c>
    </row>
    <row r="603" spans="1:10" x14ac:dyDescent="0.2">
      <c r="A603" s="147">
        <f>Purchase_Entry!A15</f>
        <v>66916</v>
      </c>
      <c r="B603" s="175" t="str">
        <f>Purchase_Entry!C15</f>
        <v>SANA KISAN -311</v>
      </c>
      <c r="C603" s="151" t="s">
        <v>986</v>
      </c>
      <c r="D603" s="151" t="str">
        <f>Purchase_Entry!B15</f>
        <v>BILL-5007</v>
      </c>
      <c r="E603" s="151" t="str">
        <f>Purchase_Entry!D15</f>
        <v>Mix Milk</v>
      </c>
      <c r="F603" s="153">
        <v>0</v>
      </c>
      <c r="G603" s="153">
        <f>N(Purchase_Entry!N15)</f>
        <v>10080</v>
      </c>
      <c r="H603" s="153">
        <f t="shared" si="9"/>
        <v>-10080</v>
      </c>
      <c r="I603" s="151"/>
      <c r="J603" t="str">
        <f>IF($B603="","",IF(AND($B603=Party_Statement!$B$5,$A603&gt;=Party_Statement!$B$6,$A603&lt;=Party_Statement!$D$6),SUMPRODUCT(($B$3:$B603=Party_Statement!$B$5)*($A$3:$A603&gt;=Party_Statement!$B$6)*($A$3:$A603&lt;=Party_Statement!$D$6)),""))</f>
        <v/>
      </c>
    </row>
    <row r="604" spans="1:10" x14ac:dyDescent="0.2">
      <c r="A604" s="147">
        <f>Purchase_Entry!A16</f>
        <v>66917</v>
      </c>
      <c r="B604" s="175" t="str">
        <f>Purchase_Entry!C16</f>
        <v xml:space="preserve">MODERN AGRO  -315 </v>
      </c>
      <c r="C604" s="151" t="s">
        <v>986</v>
      </c>
      <c r="D604" s="151" t="str">
        <f>Purchase_Entry!B16</f>
        <v>BILL-5008</v>
      </c>
      <c r="E604" s="151" t="str">
        <f>Purchase_Entry!D16</f>
        <v>Cow Milk</v>
      </c>
      <c r="F604" s="153">
        <v>0</v>
      </c>
      <c r="G604" s="153">
        <f>N(Purchase_Entry!N16)</f>
        <v>5743.808</v>
      </c>
      <c r="H604" s="153">
        <f t="shared" si="9"/>
        <v>-5743.808</v>
      </c>
      <c r="I604" s="151"/>
      <c r="J604" t="str">
        <f>IF($B604="","",IF(AND($B604=Party_Statement!$B$5,$A604&gt;=Party_Statement!$B$6,$A604&lt;=Party_Statement!$D$6),SUMPRODUCT(($B$3:$B604=Party_Statement!$B$5)*($A$3:$A604&gt;=Party_Statement!$B$6)*($A$3:$A604&lt;=Party_Statement!$D$6)),""))</f>
        <v/>
      </c>
    </row>
    <row r="605" spans="1:10" x14ac:dyDescent="0.2">
      <c r="A605" s="147">
        <f>Purchase_Entry!A17</f>
        <v>66917</v>
      </c>
      <c r="B605" s="175" t="str">
        <f>Purchase_Entry!C17</f>
        <v xml:space="preserve">MODERN AGRO  -315 </v>
      </c>
      <c r="C605" s="151" t="s">
        <v>986</v>
      </c>
      <c r="D605" s="151" t="str">
        <f>Purchase_Entry!B17</f>
        <v>BILL-5009</v>
      </c>
      <c r="E605" s="151" t="str">
        <f>Purchase_Entry!D17</f>
        <v>Buffalo Milk</v>
      </c>
      <c r="F605" s="153">
        <v>0</v>
      </c>
      <c r="G605" s="153">
        <f>N(Purchase_Entry!N17)</f>
        <v>2824.6416000000008</v>
      </c>
      <c r="H605" s="153">
        <f t="shared" si="9"/>
        <v>-8568.4495999999999</v>
      </c>
      <c r="I605" s="151"/>
      <c r="J605" t="str">
        <f>IF($B605="","",IF(AND($B605=Party_Statement!$B$5,$A605&gt;=Party_Statement!$B$6,$A605&lt;=Party_Statement!$D$6),SUMPRODUCT(($B$3:$B605=Party_Statement!$B$5)*($A$3:$A605&gt;=Party_Statement!$B$6)*($A$3:$A605&lt;=Party_Statement!$D$6)),""))</f>
        <v/>
      </c>
    </row>
    <row r="606" spans="1:10" x14ac:dyDescent="0.2">
      <c r="A606" s="147">
        <f>Purchase_Entry!A18</f>
        <v>66917</v>
      </c>
      <c r="B606" s="175" t="str">
        <f>Purchase_Entry!C18</f>
        <v>NAWA DURGA -317</v>
      </c>
      <c r="C606" s="151" t="s">
        <v>986</v>
      </c>
      <c r="D606" s="151" t="str">
        <f>Purchase_Entry!B18</f>
        <v>BILL-5010</v>
      </c>
      <c r="E606" s="151" t="str">
        <f>Purchase_Entry!D18</f>
        <v>Cow Milk</v>
      </c>
      <c r="F606" s="153">
        <v>0</v>
      </c>
      <c r="G606" s="153">
        <f>N(Purchase_Entry!N18)</f>
        <v>2573.6099999999997</v>
      </c>
      <c r="H606" s="153">
        <f t="shared" si="9"/>
        <v>-2573.6099999999997</v>
      </c>
      <c r="I606" s="151"/>
      <c r="J606" t="str">
        <f>IF($B606="","",IF(AND($B606=Party_Statement!$B$5,$A606&gt;=Party_Statement!$B$6,$A606&lt;=Party_Statement!$D$6),SUMPRODUCT(($B$3:$B606=Party_Statement!$B$5)*($A$3:$A606&gt;=Party_Statement!$B$6)*($A$3:$A606&lt;=Party_Statement!$D$6)),""))</f>
        <v/>
      </c>
    </row>
    <row r="607" spans="1:10" x14ac:dyDescent="0.2">
      <c r="A607" s="147">
        <f>Purchase_Entry!A19</f>
        <v>66917</v>
      </c>
      <c r="B607" s="175" t="str">
        <f>Purchase_Entry!C19</f>
        <v>PARSURAM THARU -333</v>
      </c>
      <c r="C607" s="151" t="s">
        <v>986</v>
      </c>
      <c r="D607" s="151" t="str">
        <f>Purchase_Entry!B19</f>
        <v>BILL-5011</v>
      </c>
      <c r="E607" s="151" t="str">
        <f>Purchase_Entry!D19</f>
        <v>Cow Milk</v>
      </c>
      <c r="F607" s="153">
        <v>0</v>
      </c>
      <c r="G607" s="153">
        <f>N(Purchase_Entry!N19)</f>
        <v>573.75000000000011</v>
      </c>
      <c r="H607" s="153">
        <f t="shared" si="9"/>
        <v>-573.75000000000011</v>
      </c>
      <c r="I607" s="151"/>
      <c r="J607" t="str">
        <f>IF($B607="","",IF(AND($B607=Party_Statement!$B$5,$A607&gt;=Party_Statement!$B$6,$A607&lt;=Party_Statement!$D$6),SUMPRODUCT(($B$3:$B607=Party_Statement!$B$5)*($A$3:$A607&gt;=Party_Statement!$B$6)*($A$3:$A607&lt;=Party_Statement!$D$6)),""))</f>
        <v/>
      </c>
    </row>
    <row r="608" spans="1:10" x14ac:dyDescent="0.2">
      <c r="A608" s="147">
        <f>Purchase_Entry!A20</f>
        <v>66917</v>
      </c>
      <c r="B608" s="175" t="str">
        <f>Purchase_Entry!C20</f>
        <v>MINA LAMICHHANE 322</v>
      </c>
      <c r="C608" s="151" t="s">
        <v>986</v>
      </c>
      <c r="D608" s="151" t="str">
        <f>Purchase_Entry!B20</f>
        <v>BILL-5012</v>
      </c>
      <c r="E608" s="151" t="str">
        <f>Purchase_Entry!D20</f>
        <v>Cow Milk</v>
      </c>
      <c r="F608" s="153">
        <v>0</v>
      </c>
      <c r="G608" s="153">
        <f>N(Purchase_Entry!N20)</f>
        <v>193.0095</v>
      </c>
      <c r="H608" s="153">
        <f t="shared" si="9"/>
        <v>-193.0095</v>
      </c>
      <c r="I608" s="151"/>
      <c r="J608" t="str">
        <f>IF($B608="","",IF(AND($B608=Party_Statement!$B$5,$A608&gt;=Party_Statement!$B$6,$A608&lt;=Party_Statement!$D$6),SUMPRODUCT(($B$3:$B608=Party_Statement!$B$5)*($A$3:$A608&gt;=Party_Statement!$B$6)*($A$3:$A608&lt;=Party_Statement!$D$6)),""))</f>
        <v/>
      </c>
    </row>
    <row r="609" spans="1:10" x14ac:dyDescent="0.2">
      <c r="A609" s="147">
        <f>Purchase_Entry!A21</f>
        <v>66917</v>
      </c>
      <c r="B609" s="175" t="str">
        <f>Purchase_Entry!C21</f>
        <v>BASUDEV DAIRY 316</v>
      </c>
      <c r="C609" s="151" t="s">
        <v>986</v>
      </c>
      <c r="D609" s="151" t="str">
        <f>Purchase_Entry!B21</f>
        <v>BILL-5013</v>
      </c>
      <c r="E609" s="151" t="str">
        <f>Purchase_Entry!D21</f>
        <v>Buffalo Milk</v>
      </c>
      <c r="F609" s="153">
        <v>0</v>
      </c>
      <c r="G609" s="153">
        <f>N(Purchase_Entry!N21)</f>
        <v>0</v>
      </c>
      <c r="H609" s="153">
        <f t="shared" si="9"/>
        <v>0</v>
      </c>
      <c r="I609" s="151"/>
      <c r="J609" t="str">
        <f>IF($B609="","",IF(AND($B609=Party_Statement!$B$5,$A609&gt;=Party_Statement!$B$6,$A609&lt;=Party_Statement!$D$6),SUMPRODUCT(($B$3:$B609=Party_Statement!$B$5)*($A$3:$A609&gt;=Party_Statement!$B$6)*($A$3:$A609&lt;=Party_Statement!$D$6)),""))</f>
        <v/>
      </c>
    </row>
    <row r="610" spans="1:10" x14ac:dyDescent="0.2">
      <c r="A610" s="147">
        <f>Purchase_Entry!A22</f>
        <v>66917</v>
      </c>
      <c r="B610" s="175" t="str">
        <f>Purchase_Entry!C22</f>
        <v>SANA KISAN -311</v>
      </c>
      <c r="C610" s="151" t="s">
        <v>986</v>
      </c>
      <c r="D610" s="151" t="str">
        <f>Purchase_Entry!B22</f>
        <v>BILL-5014</v>
      </c>
      <c r="E610" s="151" t="str">
        <f>Purchase_Entry!D22</f>
        <v>Mix Milk</v>
      </c>
      <c r="F610" s="153">
        <v>0</v>
      </c>
      <c r="G610" s="153">
        <f>N(Purchase_Entry!N22)</f>
        <v>6720</v>
      </c>
      <c r="H610" s="153">
        <f t="shared" si="9"/>
        <v>-6720</v>
      </c>
      <c r="I610" s="151"/>
      <c r="J610" t="str">
        <f>IF($B610="","",IF(AND($B610=Party_Statement!$B$5,$A610&gt;=Party_Statement!$B$6,$A610&lt;=Party_Statement!$D$6),SUMPRODUCT(($B$3:$B610=Party_Statement!$B$5)*($A$3:$A610&gt;=Party_Statement!$B$6)*($A$3:$A610&lt;=Party_Statement!$D$6)),""))</f>
        <v/>
      </c>
    </row>
    <row r="611" spans="1:10" x14ac:dyDescent="0.2">
      <c r="A611" s="147">
        <f>Purchase_Entry!A23</f>
        <v>66918</v>
      </c>
      <c r="B611" s="175" t="str">
        <f>Purchase_Entry!C23</f>
        <v xml:space="preserve">MODERN AGRO  -315 </v>
      </c>
      <c r="C611" s="151" t="s">
        <v>986</v>
      </c>
      <c r="D611" s="151" t="str">
        <f>Purchase_Entry!B23</f>
        <v>BILL-5015</v>
      </c>
      <c r="E611" s="151" t="str">
        <f>Purchase_Entry!D23</f>
        <v>Cow Milk</v>
      </c>
      <c r="F611" s="153">
        <v>0</v>
      </c>
      <c r="G611" s="153">
        <f>N(Purchase_Entry!N23)</f>
        <v>5578.32</v>
      </c>
      <c r="H611" s="153">
        <f t="shared" si="9"/>
        <v>-5578.32</v>
      </c>
      <c r="I611" s="151"/>
      <c r="J611" t="str">
        <f>IF($B611="","",IF(AND($B611=Party_Statement!$B$5,$A611&gt;=Party_Statement!$B$6,$A611&lt;=Party_Statement!$D$6),SUMPRODUCT(($B$3:$B611=Party_Statement!$B$5)*($A$3:$A611&gt;=Party_Statement!$B$6)*($A$3:$A611&lt;=Party_Statement!$D$6)),""))</f>
        <v/>
      </c>
    </row>
    <row r="612" spans="1:10" x14ac:dyDescent="0.2">
      <c r="A612" s="147">
        <f>Purchase_Entry!A24</f>
        <v>66918</v>
      </c>
      <c r="B612" s="175" t="str">
        <f>Purchase_Entry!C24</f>
        <v xml:space="preserve">MODERN AGRO  -315 </v>
      </c>
      <c r="C612" s="151" t="s">
        <v>986</v>
      </c>
      <c r="D612" s="151" t="str">
        <f>Purchase_Entry!B24</f>
        <v>BILL-5016</v>
      </c>
      <c r="E612" s="151" t="str">
        <f>Purchase_Entry!D24</f>
        <v>Buffalo Milk</v>
      </c>
      <c r="F612" s="153">
        <v>0</v>
      </c>
      <c r="G612" s="153">
        <f>N(Purchase_Entry!N24)</f>
        <v>2984.0115999999998</v>
      </c>
      <c r="H612" s="153">
        <f t="shared" si="9"/>
        <v>-8562.3315999999995</v>
      </c>
      <c r="I612" s="151"/>
      <c r="J612" t="str">
        <f>IF($B612="","",IF(AND($B612=Party_Statement!$B$5,$A612&gt;=Party_Statement!$B$6,$A612&lt;=Party_Statement!$D$6),SUMPRODUCT(($B$3:$B612=Party_Statement!$B$5)*($A$3:$A612&gt;=Party_Statement!$B$6)*($A$3:$A612&lt;=Party_Statement!$D$6)),""))</f>
        <v/>
      </c>
    </row>
    <row r="613" spans="1:10" x14ac:dyDescent="0.2">
      <c r="A613" s="147">
        <f>Purchase_Entry!A25</f>
        <v>66918</v>
      </c>
      <c r="B613" s="175" t="str">
        <f>Purchase_Entry!C25</f>
        <v>NAWA DURGA -317</v>
      </c>
      <c r="C613" s="151" t="s">
        <v>986</v>
      </c>
      <c r="D613" s="151" t="str">
        <f>Purchase_Entry!B25</f>
        <v>BILL-5017</v>
      </c>
      <c r="E613" s="151" t="str">
        <f>Purchase_Entry!D25</f>
        <v>Cow Milk</v>
      </c>
      <c r="F613" s="153">
        <v>0</v>
      </c>
      <c r="G613" s="153">
        <f>N(Purchase_Entry!N25)</f>
        <v>2434.7575000000002</v>
      </c>
      <c r="H613" s="153">
        <f t="shared" si="9"/>
        <v>-2434.7575000000002</v>
      </c>
      <c r="I613" s="151"/>
      <c r="J613" t="str">
        <f>IF($B613="","",IF(AND($B613=Party_Statement!$B$5,$A613&gt;=Party_Statement!$B$6,$A613&lt;=Party_Statement!$D$6),SUMPRODUCT(($B$3:$B613=Party_Statement!$B$5)*($A$3:$A613&gt;=Party_Statement!$B$6)*($A$3:$A613&lt;=Party_Statement!$D$6)),""))</f>
        <v/>
      </c>
    </row>
    <row r="614" spans="1:10" x14ac:dyDescent="0.2">
      <c r="A614" s="147">
        <f>Purchase_Entry!A26</f>
        <v>66918</v>
      </c>
      <c r="B614" s="175" t="str">
        <f>Purchase_Entry!C26</f>
        <v>PARSURAM THARU -333</v>
      </c>
      <c r="C614" s="151" t="s">
        <v>986</v>
      </c>
      <c r="D614" s="151" t="str">
        <f>Purchase_Entry!B26</f>
        <v>BILL-5018</v>
      </c>
      <c r="E614" s="151" t="str">
        <f>Purchase_Entry!D26</f>
        <v>Cow Milk</v>
      </c>
      <c r="F614" s="153">
        <v>0</v>
      </c>
      <c r="G614" s="153">
        <f>N(Purchase_Entry!N26)</f>
        <v>635.30775000000006</v>
      </c>
      <c r="H614" s="153">
        <f t="shared" si="9"/>
        <v>-635.30775000000006</v>
      </c>
      <c r="I614" s="151"/>
      <c r="J614" t="str">
        <f>IF($B614="","",IF(AND($B614=Party_Statement!$B$5,$A614&gt;=Party_Statement!$B$6,$A614&lt;=Party_Statement!$D$6),SUMPRODUCT(($B$3:$B614=Party_Statement!$B$5)*($A$3:$A614&gt;=Party_Statement!$B$6)*($A$3:$A614&lt;=Party_Statement!$D$6)),""))</f>
        <v/>
      </c>
    </row>
    <row r="615" spans="1:10" x14ac:dyDescent="0.2">
      <c r="A615" s="147">
        <f>Purchase_Entry!A27</f>
        <v>66918</v>
      </c>
      <c r="B615" s="175" t="str">
        <f>Purchase_Entry!C27</f>
        <v>MINA LAMICHHANE 322</v>
      </c>
      <c r="C615" s="151" t="s">
        <v>986</v>
      </c>
      <c r="D615" s="151" t="str">
        <f>Purchase_Entry!B27</f>
        <v>BILL-5019</v>
      </c>
      <c r="E615" s="151" t="str">
        <f>Purchase_Entry!D27</f>
        <v>Cow Milk</v>
      </c>
      <c r="F615" s="153">
        <v>0</v>
      </c>
      <c r="G615" s="153">
        <f>N(Purchase_Entry!N27)</f>
        <v>445.30260000000004</v>
      </c>
      <c r="H615" s="153">
        <f t="shared" si="9"/>
        <v>-445.30260000000004</v>
      </c>
      <c r="I615" s="151"/>
      <c r="J615" t="str">
        <f>IF($B615="","",IF(AND($B615=Party_Statement!$B$5,$A615&gt;=Party_Statement!$B$6,$A615&lt;=Party_Statement!$D$6),SUMPRODUCT(($B$3:$B615=Party_Statement!$B$5)*($A$3:$A615&gt;=Party_Statement!$B$6)*($A$3:$A615&lt;=Party_Statement!$D$6)),""))</f>
        <v/>
      </c>
    </row>
    <row r="616" spans="1:10" x14ac:dyDescent="0.2">
      <c r="A616" s="147">
        <f>Purchase_Entry!A28</f>
        <v>66918</v>
      </c>
      <c r="B616" s="175" t="str">
        <f>Purchase_Entry!C28</f>
        <v>BASUDEV DAIRY 316</v>
      </c>
      <c r="C616" s="151" t="s">
        <v>986</v>
      </c>
      <c r="D616" s="151" t="str">
        <f>Purchase_Entry!B28</f>
        <v>BILL-5020</v>
      </c>
      <c r="E616" s="151" t="str">
        <f>Purchase_Entry!D28</f>
        <v>Buffalo Milk</v>
      </c>
      <c r="F616" s="153">
        <v>0</v>
      </c>
      <c r="G616" s="153">
        <f>N(Purchase_Entry!N28)</f>
        <v>23435.999999999996</v>
      </c>
      <c r="H616" s="153">
        <f t="shared" si="9"/>
        <v>-23435.999999999996</v>
      </c>
      <c r="I616" s="151"/>
      <c r="J616" t="str">
        <f>IF($B616="","",IF(AND($B616=Party_Statement!$B$5,$A616&gt;=Party_Statement!$B$6,$A616&lt;=Party_Statement!$D$6),SUMPRODUCT(($B$3:$B616=Party_Statement!$B$5)*($A$3:$A616&gt;=Party_Statement!$B$6)*($A$3:$A616&lt;=Party_Statement!$D$6)),""))</f>
        <v/>
      </c>
    </row>
    <row r="617" spans="1:10" x14ac:dyDescent="0.2">
      <c r="A617" s="147">
        <f>Purchase_Entry!A29</f>
        <v>66918</v>
      </c>
      <c r="B617" s="175" t="str">
        <f>Purchase_Entry!C29</f>
        <v>SANA KISAN -311</v>
      </c>
      <c r="C617" s="151" t="s">
        <v>986</v>
      </c>
      <c r="D617" s="151" t="str">
        <f>Purchase_Entry!B29</f>
        <v>BILL-5021</v>
      </c>
      <c r="E617" s="151" t="str">
        <f>Purchase_Entry!D29</f>
        <v>Mix Milk</v>
      </c>
      <c r="F617" s="153">
        <v>0</v>
      </c>
      <c r="G617" s="153">
        <f>N(Purchase_Entry!N29)</f>
        <v>16800</v>
      </c>
      <c r="H617" s="153">
        <f t="shared" si="9"/>
        <v>-16800</v>
      </c>
      <c r="I617" s="151"/>
      <c r="J617" t="str">
        <f>IF($B617="","",IF(AND($B617=Party_Statement!$B$5,$A617&gt;=Party_Statement!$B$6,$A617&lt;=Party_Statement!$D$6),SUMPRODUCT(($B$3:$B617=Party_Statement!$B$5)*($A$3:$A617&gt;=Party_Statement!$B$6)*($A$3:$A617&lt;=Party_Statement!$D$6)),""))</f>
        <v/>
      </c>
    </row>
    <row r="618" spans="1:10" x14ac:dyDescent="0.2">
      <c r="A618" s="147">
        <f>Purchase_Entry!A30</f>
        <v>66919</v>
      </c>
      <c r="B618" s="175" t="str">
        <f>Purchase_Entry!C30</f>
        <v xml:space="preserve">MODERN AGRO  -315 </v>
      </c>
      <c r="C618" s="151" t="s">
        <v>986</v>
      </c>
      <c r="D618" s="151" t="str">
        <f>Purchase_Entry!B30</f>
        <v>BILL-5022</v>
      </c>
      <c r="E618" s="151" t="str">
        <f>Purchase_Entry!D30</f>
        <v>Cow Milk</v>
      </c>
      <c r="F618" s="153">
        <v>0</v>
      </c>
      <c r="G618" s="153">
        <f>N(Purchase_Entry!N30)</f>
        <v>5580.887200000001</v>
      </c>
      <c r="H618" s="153">
        <f t="shared" si="9"/>
        <v>-5580.887200000001</v>
      </c>
      <c r="I618" s="151"/>
      <c r="J618" t="str">
        <f>IF($B618="","",IF(AND($B618=Party_Statement!$B$5,$A618&gt;=Party_Statement!$B$6,$A618&lt;=Party_Statement!$D$6),SUMPRODUCT(($B$3:$B618=Party_Statement!$B$5)*($A$3:$A618&gt;=Party_Statement!$B$6)*($A$3:$A618&lt;=Party_Statement!$D$6)),""))</f>
        <v/>
      </c>
    </row>
    <row r="619" spans="1:10" x14ac:dyDescent="0.2">
      <c r="A619" s="147">
        <f>Purchase_Entry!A31</f>
        <v>66919</v>
      </c>
      <c r="B619" s="175" t="str">
        <f>Purchase_Entry!C31</f>
        <v xml:space="preserve">MODERN AGRO  -315 </v>
      </c>
      <c r="C619" s="151" t="s">
        <v>986</v>
      </c>
      <c r="D619" s="151" t="str">
        <f>Purchase_Entry!B31</f>
        <v>BILL-5023</v>
      </c>
      <c r="E619" s="151" t="str">
        <f>Purchase_Entry!D31</f>
        <v>Buffalo Milk</v>
      </c>
      <c r="F619" s="153">
        <v>0</v>
      </c>
      <c r="G619" s="153">
        <f>N(Purchase_Entry!N31)</f>
        <v>2991.7422000000001</v>
      </c>
      <c r="H619" s="153">
        <f t="shared" si="9"/>
        <v>-8572.6294000000016</v>
      </c>
      <c r="I619" s="151"/>
      <c r="J619" t="str">
        <f>IF($B619="","",IF(AND($B619=Party_Statement!$B$5,$A619&gt;=Party_Statement!$B$6,$A619&lt;=Party_Statement!$D$6),SUMPRODUCT(($B$3:$B619=Party_Statement!$B$5)*($A$3:$A619&gt;=Party_Statement!$B$6)*($A$3:$A619&lt;=Party_Statement!$D$6)),""))</f>
        <v/>
      </c>
    </row>
    <row r="620" spans="1:10" x14ac:dyDescent="0.2">
      <c r="A620" s="147">
        <f>Purchase_Entry!A32</f>
        <v>66919</v>
      </c>
      <c r="B620" s="175" t="str">
        <f>Purchase_Entry!C32</f>
        <v>NAWA DURGA -317</v>
      </c>
      <c r="C620" s="151" t="s">
        <v>986</v>
      </c>
      <c r="D620" s="151" t="str">
        <f>Purchase_Entry!B32</f>
        <v>BILL-5024</v>
      </c>
      <c r="E620" s="151" t="str">
        <f>Purchase_Entry!D32</f>
        <v>Cow Milk</v>
      </c>
      <c r="F620" s="153">
        <v>0</v>
      </c>
      <c r="G620" s="153">
        <f>N(Purchase_Entry!N32)</f>
        <v>1880.7149999999999</v>
      </c>
      <c r="H620" s="153">
        <f t="shared" si="9"/>
        <v>-1880.7149999999999</v>
      </c>
      <c r="I620" s="151"/>
      <c r="J620" t="str">
        <f>IF($B620="","",IF(AND($B620=Party_Statement!$B$5,$A620&gt;=Party_Statement!$B$6,$A620&lt;=Party_Statement!$D$6),SUMPRODUCT(($B$3:$B620=Party_Statement!$B$5)*($A$3:$A620&gt;=Party_Statement!$B$6)*($A$3:$A620&lt;=Party_Statement!$D$6)),""))</f>
        <v/>
      </c>
    </row>
    <row r="621" spans="1:10" x14ac:dyDescent="0.2">
      <c r="A621" s="147">
        <f>Purchase_Entry!A33</f>
        <v>66919</v>
      </c>
      <c r="B621" s="175" t="str">
        <f>Purchase_Entry!C33</f>
        <v>PARSURAM THARU -333</v>
      </c>
      <c r="C621" s="151" t="s">
        <v>986</v>
      </c>
      <c r="D621" s="151" t="str">
        <f>Purchase_Entry!B33</f>
        <v>BILL-5025</v>
      </c>
      <c r="E621" s="151" t="str">
        <f>Purchase_Entry!D33</f>
        <v>Cow Milk</v>
      </c>
      <c r="F621" s="153">
        <v>0</v>
      </c>
      <c r="G621" s="153">
        <f>N(Purchase_Entry!N33)</f>
        <v>646.27199999999993</v>
      </c>
      <c r="H621" s="153">
        <f t="shared" si="9"/>
        <v>-646.27199999999993</v>
      </c>
      <c r="I621" s="151"/>
      <c r="J621" t="str">
        <f>IF($B621="","",IF(AND($B621=Party_Statement!$B$5,$A621&gt;=Party_Statement!$B$6,$A621&lt;=Party_Statement!$D$6),SUMPRODUCT(($B$3:$B621=Party_Statement!$B$5)*($A$3:$A621&gt;=Party_Statement!$B$6)*($A$3:$A621&lt;=Party_Statement!$D$6)),""))</f>
        <v/>
      </c>
    </row>
    <row r="622" spans="1:10" x14ac:dyDescent="0.2">
      <c r="A622" s="147">
        <f>Purchase_Entry!A34</f>
        <v>66919</v>
      </c>
      <c r="B622" s="175" t="str">
        <f>Purchase_Entry!C34</f>
        <v>MINA LAMICHHANE 322</v>
      </c>
      <c r="C622" s="151" t="s">
        <v>986</v>
      </c>
      <c r="D622" s="151" t="str">
        <f>Purchase_Entry!B34</f>
        <v>BILL-5026</v>
      </c>
      <c r="E622" s="151" t="str">
        <f>Purchase_Entry!D34</f>
        <v>Cow Milk</v>
      </c>
      <c r="F622" s="153">
        <v>0</v>
      </c>
      <c r="G622" s="153">
        <f>N(Purchase_Entry!N34)</f>
        <v>440.97509999999994</v>
      </c>
      <c r="H622" s="153">
        <f t="shared" si="9"/>
        <v>-440.97509999999994</v>
      </c>
      <c r="I622" s="151"/>
      <c r="J622" t="str">
        <f>IF($B622="","",IF(AND($B622=Party_Statement!$B$5,$A622&gt;=Party_Statement!$B$6,$A622&lt;=Party_Statement!$D$6),SUMPRODUCT(($B$3:$B622=Party_Statement!$B$5)*($A$3:$A622&gt;=Party_Statement!$B$6)*($A$3:$A622&lt;=Party_Statement!$D$6)),""))</f>
        <v/>
      </c>
    </row>
    <row r="623" spans="1:10" x14ac:dyDescent="0.2">
      <c r="A623" s="147">
        <f>Purchase_Entry!A35</f>
        <v>66919</v>
      </c>
      <c r="B623" s="175" t="str">
        <f>Purchase_Entry!C35</f>
        <v>BASUDEV DAIRY 316</v>
      </c>
      <c r="C623" s="151" t="s">
        <v>986</v>
      </c>
      <c r="D623" s="151" t="str">
        <f>Purchase_Entry!B35</f>
        <v>BILL-5027</v>
      </c>
      <c r="E623" s="151" t="str">
        <f>Purchase_Entry!D35</f>
        <v>Buffalo Milk</v>
      </c>
      <c r="F623" s="153">
        <v>0</v>
      </c>
      <c r="G623" s="153">
        <f>N(Purchase_Entry!N35)</f>
        <v>0</v>
      </c>
      <c r="H623" s="153">
        <f t="shared" si="9"/>
        <v>0</v>
      </c>
      <c r="I623" s="151"/>
      <c r="J623" t="str">
        <f>IF($B623="","",IF(AND($B623=Party_Statement!$B$5,$A623&gt;=Party_Statement!$B$6,$A623&lt;=Party_Statement!$D$6),SUMPRODUCT(($B$3:$B623=Party_Statement!$B$5)*($A$3:$A623&gt;=Party_Statement!$B$6)*($A$3:$A623&lt;=Party_Statement!$D$6)),""))</f>
        <v/>
      </c>
    </row>
    <row r="624" spans="1:10" x14ac:dyDescent="0.2">
      <c r="A624" s="147">
        <f>Purchase_Entry!A36</f>
        <v>66919</v>
      </c>
      <c r="B624" s="175" t="str">
        <f>Purchase_Entry!C36</f>
        <v>SANA KISAN -311</v>
      </c>
      <c r="C624" s="151" t="s">
        <v>986</v>
      </c>
      <c r="D624" s="151" t="str">
        <f>Purchase_Entry!B36</f>
        <v>BILL-5028</v>
      </c>
      <c r="E624" s="151" t="str">
        <f>Purchase_Entry!D36</f>
        <v>Mix Milk</v>
      </c>
      <c r="F624" s="153">
        <v>0</v>
      </c>
      <c r="G624" s="153">
        <f>N(Purchase_Entry!N36)</f>
        <v>10080</v>
      </c>
      <c r="H624" s="153">
        <f t="shared" si="9"/>
        <v>-10080</v>
      </c>
      <c r="I624" s="151"/>
      <c r="J624" t="str">
        <f>IF($B624="","",IF(AND($B624=Party_Statement!$B$5,$A624&gt;=Party_Statement!$B$6,$A624&lt;=Party_Statement!$D$6),SUMPRODUCT(($B$3:$B624=Party_Statement!$B$5)*($A$3:$A624&gt;=Party_Statement!$B$6)*($A$3:$A624&lt;=Party_Statement!$D$6)),""))</f>
        <v/>
      </c>
    </row>
    <row r="625" spans="1:10" x14ac:dyDescent="0.2">
      <c r="A625" s="147">
        <f>Purchase_Entry!A37</f>
        <v>66920</v>
      </c>
      <c r="B625" s="175" t="str">
        <f>Purchase_Entry!C37</f>
        <v xml:space="preserve">MODERN AGRO  -315 </v>
      </c>
      <c r="C625" s="151" t="s">
        <v>986</v>
      </c>
      <c r="D625" s="151" t="str">
        <f>Purchase_Entry!B37</f>
        <v>BILL-5029</v>
      </c>
      <c r="E625" s="151" t="str">
        <f>Purchase_Entry!D37</f>
        <v>Cow Milk</v>
      </c>
      <c r="F625" s="153">
        <v>0</v>
      </c>
      <c r="G625" s="153">
        <f>N(Purchase_Entry!N37)</f>
        <v>5182.168200000001</v>
      </c>
      <c r="H625" s="153">
        <f t="shared" si="9"/>
        <v>-5182.168200000001</v>
      </c>
      <c r="I625" s="151"/>
      <c r="J625" t="str">
        <f>IF($B625="","",IF(AND($B625=Party_Statement!$B$5,$A625&gt;=Party_Statement!$B$6,$A625&lt;=Party_Statement!$D$6),SUMPRODUCT(($B$3:$B625=Party_Statement!$B$5)*($A$3:$A625&gt;=Party_Statement!$B$6)*($A$3:$A625&lt;=Party_Statement!$D$6)),""))</f>
        <v/>
      </c>
    </row>
    <row r="626" spans="1:10" x14ac:dyDescent="0.2">
      <c r="A626" s="147">
        <f>Purchase_Entry!A38</f>
        <v>66920</v>
      </c>
      <c r="B626" s="175" t="str">
        <f>Purchase_Entry!C38</f>
        <v xml:space="preserve">MODERN AGRO  -315 </v>
      </c>
      <c r="C626" s="151" t="s">
        <v>986</v>
      </c>
      <c r="D626" s="151" t="str">
        <f>Purchase_Entry!B38</f>
        <v>BILL-5030</v>
      </c>
      <c r="E626" s="151" t="str">
        <f>Purchase_Entry!D38</f>
        <v>Buffalo Milk</v>
      </c>
      <c r="F626" s="153">
        <v>0</v>
      </c>
      <c r="G626" s="153">
        <f>N(Purchase_Entry!N38)</f>
        <v>3128.9396000000006</v>
      </c>
      <c r="H626" s="153">
        <f t="shared" si="9"/>
        <v>-8311.1078000000016</v>
      </c>
      <c r="I626" s="151"/>
      <c r="J626" t="str">
        <f>IF($B626="","",IF(AND($B626=Party_Statement!$B$5,$A626&gt;=Party_Statement!$B$6,$A626&lt;=Party_Statement!$D$6),SUMPRODUCT(($B$3:$B626=Party_Statement!$B$5)*($A$3:$A626&gt;=Party_Statement!$B$6)*($A$3:$A626&lt;=Party_Statement!$D$6)),""))</f>
        <v/>
      </c>
    </row>
    <row r="627" spans="1:10" x14ac:dyDescent="0.2">
      <c r="A627" s="147">
        <f>Purchase_Entry!A39</f>
        <v>66920</v>
      </c>
      <c r="B627" s="175" t="str">
        <f>Purchase_Entry!C39</f>
        <v>NAWA DURGA -317</v>
      </c>
      <c r="C627" s="151" t="s">
        <v>986</v>
      </c>
      <c r="D627" s="151" t="str">
        <f>Purchase_Entry!B39</f>
        <v>BILL-5031</v>
      </c>
      <c r="E627" s="151" t="str">
        <f>Purchase_Entry!D39</f>
        <v>Cow Milk</v>
      </c>
      <c r="F627" s="153">
        <v>0</v>
      </c>
      <c r="G627" s="153">
        <f>N(Purchase_Entry!N39)</f>
        <v>2173.6574999999998</v>
      </c>
      <c r="H627" s="153">
        <f t="shared" si="9"/>
        <v>-2173.6574999999998</v>
      </c>
      <c r="I627" s="151"/>
      <c r="J627" t="str">
        <f>IF($B627="","",IF(AND($B627=Party_Statement!$B$5,$A627&gt;=Party_Statement!$B$6,$A627&lt;=Party_Statement!$D$6),SUMPRODUCT(($B$3:$B627=Party_Statement!$B$5)*($A$3:$A627&gt;=Party_Statement!$B$6)*($A$3:$A627&lt;=Party_Statement!$D$6)),""))</f>
        <v/>
      </c>
    </row>
    <row r="628" spans="1:10" x14ac:dyDescent="0.2">
      <c r="A628" s="147">
        <f>Purchase_Entry!A40</f>
        <v>66920</v>
      </c>
      <c r="B628" s="175" t="str">
        <f>Purchase_Entry!C40</f>
        <v>PARSURAM THARU -333</v>
      </c>
      <c r="C628" s="151" t="s">
        <v>986</v>
      </c>
      <c r="D628" s="151" t="str">
        <f>Purchase_Entry!B40</f>
        <v>BILL-5032</v>
      </c>
      <c r="E628" s="151" t="str">
        <f>Purchase_Entry!D40</f>
        <v>Cow Milk</v>
      </c>
      <c r="F628" s="153">
        <v>0</v>
      </c>
      <c r="G628" s="153">
        <f>N(Purchase_Entry!N40)</f>
        <v>633.76334999999995</v>
      </c>
      <c r="H628" s="153">
        <f t="shared" si="9"/>
        <v>-633.76334999999995</v>
      </c>
      <c r="I628" s="151"/>
      <c r="J628" t="str">
        <f>IF($B628="","",IF(AND($B628=Party_Statement!$B$5,$A628&gt;=Party_Statement!$B$6,$A628&lt;=Party_Statement!$D$6),SUMPRODUCT(($B$3:$B628=Party_Statement!$B$5)*($A$3:$A628&gt;=Party_Statement!$B$6)*($A$3:$A628&lt;=Party_Statement!$D$6)),""))</f>
        <v/>
      </c>
    </row>
    <row r="629" spans="1:10" x14ac:dyDescent="0.2">
      <c r="A629" s="147">
        <f>Purchase_Entry!A41</f>
        <v>66920</v>
      </c>
      <c r="B629" s="175" t="str">
        <f>Purchase_Entry!C41</f>
        <v>MINA LAMICHHANE 322</v>
      </c>
      <c r="C629" s="151" t="s">
        <v>986</v>
      </c>
      <c r="D629" s="151" t="str">
        <f>Purchase_Entry!B41</f>
        <v>BILL-5033</v>
      </c>
      <c r="E629" s="151" t="str">
        <f>Purchase_Entry!D41</f>
        <v>Cow Milk</v>
      </c>
      <c r="F629" s="153">
        <v>0</v>
      </c>
      <c r="G629" s="153">
        <f>N(Purchase_Entry!N41)</f>
        <v>395.3125</v>
      </c>
      <c r="H629" s="153">
        <f t="shared" si="9"/>
        <v>-395.3125</v>
      </c>
      <c r="I629" s="151"/>
      <c r="J629" t="str">
        <f>IF($B629="","",IF(AND($B629=Party_Statement!$B$5,$A629&gt;=Party_Statement!$B$6,$A629&lt;=Party_Statement!$D$6),SUMPRODUCT(($B$3:$B629=Party_Statement!$B$5)*($A$3:$A629&gt;=Party_Statement!$B$6)*($A$3:$A629&lt;=Party_Statement!$D$6)),""))</f>
        <v/>
      </c>
    </row>
    <row r="630" spans="1:10" x14ac:dyDescent="0.2">
      <c r="A630" s="147">
        <f>Purchase_Entry!A42</f>
        <v>66920</v>
      </c>
      <c r="B630" s="175" t="str">
        <f>Purchase_Entry!C42</f>
        <v>BASUDEV DAIRY 316</v>
      </c>
      <c r="C630" s="151" t="s">
        <v>986</v>
      </c>
      <c r="D630" s="151" t="str">
        <f>Purchase_Entry!B42</f>
        <v>BILL-5034</v>
      </c>
      <c r="E630" s="151" t="str">
        <f>Purchase_Entry!D42</f>
        <v>Buffalo Milk</v>
      </c>
      <c r="F630" s="153">
        <v>0</v>
      </c>
      <c r="G630" s="153">
        <f>N(Purchase_Entry!N42)</f>
        <v>24180</v>
      </c>
      <c r="H630" s="153">
        <f t="shared" si="9"/>
        <v>-24180</v>
      </c>
      <c r="I630" s="151"/>
      <c r="J630" t="str">
        <f>IF($B630="","",IF(AND($B630=Party_Statement!$B$5,$A630&gt;=Party_Statement!$B$6,$A630&lt;=Party_Statement!$D$6),SUMPRODUCT(($B$3:$B630=Party_Statement!$B$5)*($A$3:$A630&gt;=Party_Statement!$B$6)*($A$3:$A630&lt;=Party_Statement!$D$6)),""))</f>
        <v/>
      </c>
    </row>
    <row r="631" spans="1:10" x14ac:dyDescent="0.2">
      <c r="A631" s="147">
        <f>Purchase_Entry!A43</f>
        <v>66920</v>
      </c>
      <c r="B631" s="175" t="str">
        <f>Purchase_Entry!C43</f>
        <v>SANA KISAN -311</v>
      </c>
      <c r="C631" s="151" t="s">
        <v>986</v>
      </c>
      <c r="D631" s="151" t="str">
        <f>Purchase_Entry!B43</f>
        <v>BILL-5035</v>
      </c>
      <c r="E631" s="151" t="str">
        <f>Purchase_Entry!D43</f>
        <v>Mix Milk</v>
      </c>
      <c r="F631" s="153">
        <v>0</v>
      </c>
      <c r="G631" s="153">
        <f>N(Purchase_Entry!N43)</f>
        <v>6720</v>
      </c>
      <c r="H631" s="153">
        <f t="shared" si="9"/>
        <v>-6720</v>
      </c>
      <c r="I631" s="151"/>
      <c r="J631" t="str">
        <f>IF($B631="","",IF(AND($B631=Party_Statement!$B$5,$A631&gt;=Party_Statement!$B$6,$A631&lt;=Party_Statement!$D$6),SUMPRODUCT(($B$3:$B631=Party_Statement!$B$5)*($A$3:$A631&gt;=Party_Statement!$B$6)*($A$3:$A631&lt;=Party_Statement!$D$6)),""))</f>
        <v/>
      </c>
    </row>
    <row r="632" spans="1:10" x14ac:dyDescent="0.2">
      <c r="A632" s="147">
        <f>Purchase_Entry!A44</f>
        <v>66921</v>
      </c>
      <c r="B632" s="175" t="str">
        <f>Purchase_Entry!C44</f>
        <v xml:space="preserve">MODERN AGRO  -315 </v>
      </c>
      <c r="C632" s="151" t="s">
        <v>986</v>
      </c>
      <c r="D632" s="151" t="str">
        <f>Purchase_Entry!B44</f>
        <v>BILL-5036</v>
      </c>
      <c r="E632" s="151" t="str">
        <f>Purchase_Entry!D44</f>
        <v>Cow Milk</v>
      </c>
      <c r="F632" s="153">
        <v>0</v>
      </c>
      <c r="G632" s="153">
        <f>N(Purchase_Entry!N44)</f>
        <v>5616.2232000000004</v>
      </c>
      <c r="H632" s="153">
        <f t="shared" si="9"/>
        <v>-5616.2232000000004</v>
      </c>
      <c r="I632" s="151"/>
      <c r="J632" t="str">
        <f>IF($B632="","",IF(AND($B632=Party_Statement!$B$5,$A632&gt;=Party_Statement!$B$6,$A632&lt;=Party_Statement!$D$6),SUMPRODUCT(($B$3:$B632=Party_Statement!$B$5)*($A$3:$A632&gt;=Party_Statement!$B$6)*($A$3:$A632&lt;=Party_Statement!$D$6)),""))</f>
        <v/>
      </c>
    </row>
    <row r="633" spans="1:10" x14ac:dyDescent="0.2">
      <c r="A633" s="147">
        <f>Purchase_Entry!A45</f>
        <v>66921</v>
      </c>
      <c r="B633" s="175" t="str">
        <f>Purchase_Entry!C45</f>
        <v xml:space="preserve">MODERN AGRO  -315 </v>
      </c>
      <c r="C633" s="151" t="s">
        <v>986</v>
      </c>
      <c r="D633" s="151" t="str">
        <f>Purchase_Entry!B45</f>
        <v>BILL-5037</v>
      </c>
      <c r="E633" s="151" t="str">
        <f>Purchase_Entry!D45</f>
        <v>Buffalo Milk</v>
      </c>
      <c r="F633" s="153">
        <v>0</v>
      </c>
      <c r="G633" s="153">
        <f>N(Purchase_Entry!N45)</f>
        <v>3157.8200000000006</v>
      </c>
      <c r="H633" s="153">
        <f t="shared" si="9"/>
        <v>-8774.0432000000001</v>
      </c>
      <c r="I633" s="151"/>
      <c r="J633" t="str">
        <f>IF($B633="","",IF(AND($B633=Party_Statement!$B$5,$A633&gt;=Party_Statement!$B$6,$A633&lt;=Party_Statement!$D$6),SUMPRODUCT(($B$3:$B633=Party_Statement!$B$5)*($A$3:$A633&gt;=Party_Statement!$B$6)*($A$3:$A633&lt;=Party_Statement!$D$6)),""))</f>
        <v/>
      </c>
    </row>
    <row r="634" spans="1:10" x14ac:dyDescent="0.2">
      <c r="A634" s="147">
        <f>Purchase_Entry!A46</f>
        <v>66921</v>
      </c>
      <c r="B634" s="175" t="str">
        <f>Purchase_Entry!C46</f>
        <v>NAWA DURGA -317</v>
      </c>
      <c r="C634" s="151" t="s">
        <v>986</v>
      </c>
      <c r="D634" s="151" t="str">
        <f>Purchase_Entry!B46</f>
        <v>BILL-5038</v>
      </c>
      <c r="E634" s="151" t="str">
        <f>Purchase_Entry!D46</f>
        <v>Cow Milk</v>
      </c>
      <c r="F634" s="153">
        <v>0</v>
      </c>
      <c r="G634" s="153">
        <f>N(Purchase_Entry!N46)</f>
        <v>1997.4150000000002</v>
      </c>
      <c r="H634" s="153">
        <f t="shared" si="9"/>
        <v>-1997.4150000000002</v>
      </c>
      <c r="I634" s="151"/>
      <c r="J634" t="str">
        <f>IF($B634="","",IF(AND($B634=Party_Statement!$B$5,$A634&gt;=Party_Statement!$B$6,$A634&lt;=Party_Statement!$D$6),SUMPRODUCT(($B$3:$B634=Party_Statement!$B$5)*($A$3:$A634&gt;=Party_Statement!$B$6)*($A$3:$A634&lt;=Party_Statement!$D$6)),""))</f>
        <v/>
      </c>
    </row>
    <row r="635" spans="1:10" x14ac:dyDescent="0.2">
      <c r="A635" s="147">
        <f>Purchase_Entry!A47</f>
        <v>66921</v>
      </c>
      <c r="B635" s="175" t="str">
        <f>Purchase_Entry!C47</f>
        <v>PARSURAM THARU -333</v>
      </c>
      <c r="C635" s="151" t="s">
        <v>986</v>
      </c>
      <c r="D635" s="151" t="str">
        <f>Purchase_Entry!B47</f>
        <v>BILL-5039</v>
      </c>
      <c r="E635" s="151" t="str">
        <f>Purchase_Entry!D47</f>
        <v>Cow Milk</v>
      </c>
      <c r="F635" s="153">
        <v>0</v>
      </c>
      <c r="G635" s="153">
        <f>N(Purchase_Entry!N47)</f>
        <v>564.71800000000007</v>
      </c>
      <c r="H635" s="153">
        <f t="shared" si="9"/>
        <v>-564.71800000000007</v>
      </c>
      <c r="I635" s="151"/>
      <c r="J635" t="str">
        <f>IF($B635="","",IF(AND($B635=Party_Statement!$B$5,$A635&gt;=Party_Statement!$B$6,$A635&lt;=Party_Statement!$D$6),SUMPRODUCT(($B$3:$B635=Party_Statement!$B$5)*($A$3:$A635&gt;=Party_Statement!$B$6)*($A$3:$A635&lt;=Party_Statement!$D$6)),""))</f>
        <v/>
      </c>
    </row>
    <row r="636" spans="1:10" x14ac:dyDescent="0.2">
      <c r="A636" s="147">
        <f>Purchase_Entry!A48</f>
        <v>66921</v>
      </c>
      <c r="B636" s="175" t="str">
        <f>Purchase_Entry!C48</f>
        <v>MINA LAMICHHANE 322</v>
      </c>
      <c r="C636" s="151" t="s">
        <v>986</v>
      </c>
      <c r="D636" s="151" t="str">
        <f>Purchase_Entry!B48</f>
        <v>BILL-5040</v>
      </c>
      <c r="E636" s="151" t="str">
        <f>Purchase_Entry!D48</f>
        <v>Cow Milk</v>
      </c>
      <c r="F636" s="153">
        <v>0</v>
      </c>
      <c r="G636" s="153">
        <f>N(Purchase_Entry!N48)</f>
        <v>366.5625</v>
      </c>
      <c r="H636" s="153">
        <f t="shared" si="9"/>
        <v>-366.5625</v>
      </c>
      <c r="I636" s="151"/>
      <c r="J636" t="str">
        <f>IF($B636="","",IF(AND($B636=Party_Statement!$B$5,$A636&gt;=Party_Statement!$B$6,$A636&lt;=Party_Statement!$D$6),SUMPRODUCT(($B$3:$B636=Party_Statement!$B$5)*($A$3:$A636&gt;=Party_Statement!$B$6)*($A$3:$A636&lt;=Party_Statement!$D$6)),""))</f>
        <v/>
      </c>
    </row>
    <row r="637" spans="1:10" x14ac:dyDescent="0.2">
      <c r="A637" s="147">
        <f>Purchase_Entry!A49</f>
        <v>66921</v>
      </c>
      <c r="B637" s="175" t="str">
        <f>Purchase_Entry!C49</f>
        <v>BASUDEV DAIRY 316</v>
      </c>
      <c r="C637" s="151" t="s">
        <v>986</v>
      </c>
      <c r="D637" s="151" t="str">
        <f>Purchase_Entry!B49</f>
        <v>BILL-5041</v>
      </c>
      <c r="E637" s="151" t="str">
        <f>Purchase_Entry!D49</f>
        <v>Buffalo Milk</v>
      </c>
      <c r="F637" s="153">
        <v>0</v>
      </c>
      <c r="G637" s="153">
        <f>N(Purchase_Entry!N49)</f>
        <v>0</v>
      </c>
      <c r="H637" s="153">
        <f t="shared" si="9"/>
        <v>0</v>
      </c>
      <c r="I637" s="151"/>
      <c r="J637" t="str">
        <f>IF($B637="","",IF(AND($B637=Party_Statement!$B$5,$A637&gt;=Party_Statement!$B$6,$A637&lt;=Party_Statement!$D$6),SUMPRODUCT(($B$3:$B637=Party_Statement!$B$5)*($A$3:$A637&gt;=Party_Statement!$B$6)*($A$3:$A637&lt;=Party_Statement!$D$6)),""))</f>
        <v/>
      </c>
    </row>
    <row r="638" spans="1:10" x14ac:dyDescent="0.2">
      <c r="A638" s="147">
        <f>Purchase_Entry!A50</f>
        <v>66921</v>
      </c>
      <c r="B638" s="175" t="str">
        <f>Purchase_Entry!C50</f>
        <v>SANA KISAN -311</v>
      </c>
      <c r="C638" s="151" t="s">
        <v>986</v>
      </c>
      <c r="D638" s="151" t="str">
        <f>Purchase_Entry!B50</f>
        <v>BILL-5042</v>
      </c>
      <c r="E638" s="151" t="str">
        <f>Purchase_Entry!D50</f>
        <v>Mix Milk</v>
      </c>
      <c r="F638" s="153">
        <v>0</v>
      </c>
      <c r="G638" s="153">
        <f>N(Purchase_Entry!N50)</f>
        <v>6720</v>
      </c>
      <c r="H638" s="153">
        <f t="shared" si="9"/>
        <v>-6720</v>
      </c>
      <c r="I638" s="151"/>
      <c r="J638" t="str">
        <f>IF($B638="","",IF(AND($B638=Party_Statement!$B$5,$A638&gt;=Party_Statement!$B$6,$A638&lt;=Party_Statement!$D$6),SUMPRODUCT(($B$3:$B638=Party_Statement!$B$5)*($A$3:$A638&gt;=Party_Statement!$B$6)*($A$3:$A638&lt;=Party_Statement!$D$6)),""))</f>
        <v/>
      </c>
    </row>
    <row r="639" spans="1:10" x14ac:dyDescent="0.2">
      <c r="A639" s="147">
        <f>Purchase_Entry!A51</f>
        <v>66922</v>
      </c>
      <c r="B639" s="175" t="str">
        <f>Purchase_Entry!C51</f>
        <v xml:space="preserve">MODERN AGRO  -315 </v>
      </c>
      <c r="C639" s="151" t="s">
        <v>986</v>
      </c>
      <c r="D639" s="151" t="str">
        <f>Purchase_Entry!B51</f>
        <v>BILL-5043</v>
      </c>
      <c r="E639" s="151" t="str">
        <f>Purchase_Entry!D51</f>
        <v>Cow Milk</v>
      </c>
      <c r="F639" s="153">
        <v>0</v>
      </c>
      <c r="G639" s="153">
        <f>N(Purchase_Entry!N51)</f>
        <v>5064.8610000000008</v>
      </c>
      <c r="H639" s="153">
        <f t="shared" si="9"/>
        <v>-5064.8610000000008</v>
      </c>
      <c r="I639" s="151"/>
      <c r="J639" t="str">
        <f>IF($B639="","",IF(AND($B639=Party_Statement!$B$5,$A639&gt;=Party_Statement!$B$6,$A639&lt;=Party_Statement!$D$6),SUMPRODUCT(($B$3:$B639=Party_Statement!$B$5)*($A$3:$A639&gt;=Party_Statement!$B$6)*($A$3:$A639&lt;=Party_Statement!$D$6)),""))</f>
        <v/>
      </c>
    </row>
    <row r="640" spans="1:10" x14ac:dyDescent="0.2">
      <c r="A640" s="147">
        <f>Purchase_Entry!A52</f>
        <v>66922</v>
      </c>
      <c r="B640" s="175" t="str">
        <f>Purchase_Entry!C52</f>
        <v xml:space="preserve">MODERN AGRO  -315 </v>
      </c>
      <c r="C640" s="151" t="s">
        <v>986</v>
      </c>
      <c r="D640" s="151" t="str">
        <f>Purchase_Entry!B52</f>
        <v>BILL-5044</v>
      </c>
      <c r="E640" s="151" t="str">
        <f>Purchase_Entry!D52</f>
        <v>Buffalo Milk</v>
      </c>
      <c r="F640" s="153">
        <v>0</v>
      </c>
      <c r="G640" s="153">
        <f>N(Purchase_Entry!N52)</f>
        <v>2987.7174</v>
      </c>
      <c r="H640" s="153">
        <f t="shared" si="9"/>
        <v>-8052.5784000000003</v>
      </c>
      <c r="I640" s="151"/>
      <c r="J640" t="str">
        <f>IF($B640="","",IF(AND($B640=Party_Statement!$B$5,$A640&gt;=Party_Statement!$B$6,$A640&lt;=Party_Statement!$D$6),SUMPRODUCT(($B$3:$B640=Party_Statement!$B$5)*($A$3:$A640&gt;=Party_Statement!$B$6)*($A$3:$A640&lt;=Party_Statement!$D$6)),""))</f>
        <v/>
      </c>
    </row>
    <row r="641" spans="1:10" x14ac:dyDescent="0.2">
      <c r="A641" s="147">
        <f>Purchase_Entry!A53</f>
        <v>66922</v>
      </c>
      <c r="B641" s="175" t="str">
        <f>Purchase_Entry!C53</f>
        <v>NAWA DURGA -317</v>
      </c>
      <c r="C641" s="151" t="s">
        <v>986</v>
      </c>
      <c r="D641" s="151" t="str">
        <f>Purchase_Entry!B53</f>
        <v>BILL-5045</v>
      </c>
      <c r="E641" s="151" t="str">
        <f>Purchase_Entry!D53</f>
        <v>Cow Milk</v>
      </c>
      <c r="F641" s="153">
        <v>0</v>
      </c>
      <c r="G641" s="153">
        <f>N(Purchase_Entry!N53)</f>
        <v>1754.9909999999998</v>
      </c>
      <c r="H641" s="153">
        <f t="shared" si="9"/>
        <v>-1754.9909999999998</v>
      </c>
      <c r="I641" s="151"/>
      <c r="J641" t="str">
        <f>IF($B641="","",IF(AND($B641=Party_Statement!$B$5,$A641&gt;=Party_Statement!$B$6,$A641&lt;=Party_Statement!$D$6),SUMPRODUCT(($B$3:$B641=Party_Statement!$B$5)*($A$3:$A641&gt;=Party_Statement!$B$6)*($A$3:$A641&lt;=Party_Statement!$D$6)),""))</f>
        <v/>
      </c>
    </row>
    <row r="642" spans="1:10" x14ac:dyDescent="0.2">
      <c r="A642" s="147">
        <f>Purchase_Entry!A54</f>
        <v>66922</v>
      </c>
      <c r="B642" s="175" t="str">
        <f>Purchase_Entry!C54</f>
        <v>PARSURAM THARU -333</v>
      </c>
      <c r="C642" s="151" t="s">
        <v>986</v>
      </c>
      <c r="D642" s="151" t="str">
        <f>Purchase_Entry!B54</f>
        <v>BILL-5046</v>
      </c>
      <c r="E642" s="151" t="str">
        <f>Purchase_Entry!D54</f>
        <v>Cow Milk</v>
      </c>
      <c r="F642" s="153">
        <v>0</v>
      </c>
      <c r="G642" s="153">
        <f>N(Purchase_Entry!N54)</f>
        <v>588.41359999999997</v>
      </c>
      <c r="H642" s="153">
        <f t="shared" si="9"/>
        <v>-588.41359999999997</v>
      </c>
      <c r="I642" s="151"/>
      <c r="J642" t="str">
        <f>IF($B642="","",IF(AND($B642=Party_Statement!$B$5,$A642&gt;=Party_Statement!$B$6,$A642&lt;=Party_Statement!$D$6),SUMPRODUCT(($B$3:$B642=Party_Statement!$B$5)*($A$3:$A642&gt;=Party_Statement!$B$6)*($A$3:$A642&lt;=Party_Statement!$D$6)),""))</f>
        <v/>
      </c>
    </row>
    <row r="643" spans="1:10" x14ac:dyDescent="0.2">
      <c r="A643" s="147">
        <f>Purchase_Entry!A55</f>
        <v>66922</v>
      </c>
      <c r="B643" s="175" t="str">
        <f>Purchase_Entry!C55</f>
        <v>MINA LAMICHHANE 322</v>
      </c>
      <c r="C643" s="151" t="s">
        <v>986</v>
      </c>
      <c r="D643" s="151" t="str">
        <f>Purchase_Entry!B55</f>
        <v>BILL-5047</v>
      </c>
      <c r="E643" s="151" t="str">
        <f>Purchase_Entry!D55</f>
        <v>Cow Milk</v>
      </c>
      <c r="F643" s="153">
        <v>0</v>
      </c>
      <c r="G643" s="153">
        <f>N(Purchase_Entry!N55)</f>
        <v>401.226</v>
      </c>
      <c r="H643" s="153">
        <f t="shared" si="9"/>
        <v>-401.226</v>
      </c>
      <c r="I643" s="151"/>
      <c r="J643" t="str">
        <f>IF($B643="","",IF(AND($B643=Party_Statement!$B$5,$A643&gt;=Party_Statement!$B$6,$A643&lt;=Party_Statement!$D$6),SUMPRODUCT(($B$3:$B643=Party_Statement!$B$5)*($A$3:$A643&gt;=Party_Statement!$B$6)*($A$3:$A643&lt;=Party_Statement!$D$6)),""))</f>
        <v/>
      </c>
    </row>
    <row r="644" spans="1:10" x14ac:dyDescent="0.2">
      <c r="A644" s="147">
        <f>Purchase_Entry!A56</f>
        <v>66922</v>
      </c>
      <c r="B644" s="175" t="str">
        <f>Purchase_Entry!C56</f>
        <v>BASUDEV DAIRY 316</v>
      </c>
      <c r="C644" s="151" t="s">
        <v>986</v>
      </c>
      <c r="D644" s="151" t="str">
        <f>Purchase_Entry!B56</f>
        <v>BILL-5048</v>
      </c>
      <c r="E644" s="151" t="str">
        <f>Purchase_Entry!D56</f>
        <v>Buffalo Milk</v>
      </c>
      <c r="F644" s="153">
        <v>0</v>
      </c>
      <c r="G644" s="153">
        <f>N(Purchase_Entry!N56)</f>
        <v>23064.000000000004</v>
      </c>
      <c r="H644" s="153">
        <f t="shared" ref="H644:H707" si="10">IF($B644="","",IF($B644=$B643,$H643+$F644-$G644,$F644-$G644))</f>
        <v>-23064.000000000004</v>
      </c>
      <c r="I644" s="151"/>
      <c r="J644" t="str">
        <f>IF($B644="","",IF(AND($B644=Party_Statement!$B$5,$A644&gt;=Party_Statement!$B$6,$A644&lt;=Party_Statement!$D$6),SUMPRODUCT(($B$3:$B644=Party_Statement!$B$5)*($A$3:$A644&gt;=Party_Statement!$B$6)*($A$3:$A644&lt;=Party_Statement!$D$6)),""))</f>
        <v/>
      </c>
    </row>
    <row r="645" spans="1:10" x14ac:dyDescent="0.2">
      <c r="A645" s="147">
        <f>Purchase_Entry!A57</f>
        <v>66922</v>
      </c>
      <c r="B645" s="175" t="str">
        <f>Purchase_Entry!C57</f>
        <v>SANA KISAN -311</v>
      </c>
      <c r="C645" s="151" t="s">
        <v>986</v>
      </c>
      <c r="D645" s="151" t="str">
        <f>Purchase_Entry!B57</f>
        <v>BILL-5049</v>
      </c>
      <c r="E645" s="151" t="str">
        <f>Purchase_Entry!D57</f>
        <v>Mix Milk</v>
      </c>
      <c r="F645" s="153">
        <v>0</v>
      </c>
      <c r="G645" s="153">
        <f>N(Purchase_Entry!N57)</f>
        <v>6720</v>
      </c>
      <c r="H645" s="153">
        <f t="shared" si="10"/>
        <v>-6720</v>
      </c>
      <c r="I645" s="151"/>
      <c r="J645" t="str">
        <f>IF($B645="","",IF(AND($B645=Party_Statement!$B$5,$A645&gt;=Party_Statement!$B$6,$A645&lt;=Party_Statement!$D$6),SUMPRODUCT(($B$3:$B645=Party_Statement!$B$5)*($A$3:$A645&gt;=Party_Statement!$B$6)*($A$3:$A645&lt;=Party_Statement!$D$6)),""))</f>
        <v/>
      </c>
    </row>
    <row r="646" spans="1:10" x14ac:dyDescent="0.2">
      <c r="A646" s="147">
        <f>Purchase_Entry!A58</f>
        <v>66923</v>
      </c>
      <c r="B646" s="175" t="str">
        <f>Purchase_Entry!C58</f>
        <v xml:space="preserve">MODERN AGRO  -315 </v>
      </c>
      <c r="C646" s="151" t="s">
        <v>986</v>
      </c>
      <c r="D646" s="151" t="str">
        <f>Purchase_Entry!B58</f>
        <v>BILL-5050</v>
      </c>
      <c r="E646" s="151" t="str">
        <f>Purchase_Entry!D58</f>
        <v>Cow Milk</v>
      </c>
      <c r="F646" s="153">
        <v>0</v>
      </c>
      <c r="G646" s="153">
        <f>N(Purchase_Entry!N58)</f>
        <v>5533.1073000000006</v>
      </c>
      <c r="H646" s="153">
        <f t="shared" si="10"/>
        <v>-5533.1073000000006</v>
      </c>
      <c r="I646" s="151"/>
      <c r="J646" t="str">
        <f>IF($B646="","",IF(AND($B646=Party_Statement!$B$5,$A646&gt;=Party_Statement!$B$6,$A646&lt;=Party_Statement!$D$6),SUMPRODUCT(($B$3:$B646=Party_Statement!$B$5)*($A$3:$A646&gt;=Party_Statement!$B$6)*($A$3:$A646&lt;=Party_Statement!$D$6)),""))</f>
        <v/>
      </c>
    </row>
    <row r="647" spans="1:10" x14ac:dyDescent="0.2">
      <c r="A647" s="147">
        <f>Purchase_Entry!A59</f>
        <v>66923</v>
      </c>
      <c r="B647" s="175" t="str">
        <f>Purchase_Entry!C59</f>
        <v xml:space="preserve">MODERN AGRO  -315 </v>
      </c>
      <c r="C647" s="151" t="s">
        <v>986</v>
      </c>
      <c r="D647" s="151" t="str">
        <f>Purchase_Entry!B59</f>
        <v>BILL-5051</v>
      </c>
      <c r="E647" s="151" t="str">
        <f>Purchase_Entry!D59</f>
        <v>Buffalo Milk</v>
      </c>
      <c r="F647" s="153">
        <v>0</v>
      </c>
      <c r="G647" s="153">
        <f>N(Purchase_Entry!N59)</f>
        <v>2942.1640000000007</v>
      </c>
      <c r="H647" s="153">
        <f t="shared" si="10"/>
        <v>-8475.2713000000003</v>
      </c>
      <c r="I647" s="151"/>
      <c r="J647" t="str">
        <f>IF($B647="","",IF(AND($B647=Party_Statement!$B$5,$A647&gt;=Party_Statement!$B$6,$A647&lt;=Party_Statement!$D$6),SUMPRODUCT(($B$3:$B647=Party_Statement!$B$5)*($A$3:$A647&gt;=Party_Statement!$B$6)*($A$3:$A647&lt;=Party_Statement!$D$6)),""))</f>
        <v/>
      </c>
    </row>
    <row r="648" spans="1:10" x14ac:dyDescent="0.2">
      <c r="A648" s="147">
        <f>Purchase_Entry!A60</f>
        <v>66923</v>
      </c>
      <c r="B648" s="175" t="str">
        <f>Purchase_Entry!C60</f>
        <v>NAWA DURGA -317</v>
      </c>
      <c r="C648" s="151" t="s">
        <v>986</v>
      </c>
      <c r="D648" s="151" t="str">
        <f>Purchase_Entry!B60</f>
        <v>BILL-5052</v>
      </c>
      <c r="E648" s="151" t="str">
        <f>Purchase_Entry!D60</f>
        <v>Cow Milk</v>
      </c>
      <c r="F648" s="153">
        <v>0</v>
      </c>
      <c r="G648" s="153">
        <f>N(Purchase_Entry!N60)</f>
        <v>2346.5609999999997</v>
      </c>
      <c r="H648" s="153">
        <f t="shared" si="10"/>
        <v>-2346.5609999999997</v>
      </c>
      <c r="I648" s="151"/>
      <c r="J648" t="str">
        <f>IF($B648="","",IF(AND($B648=Party_Statement!$B$5,$A648&gt;=Party_Statement!$B$6,$A648&lt;=Party_Statement!$D$6),SUMPRODUCT(($B$3:$B648=Party_Statement!$B$5)*($A$3:$A648&gt;=Party_Statement!$B$6)*($A$3:$A648&lt;=Party_Statement!$D$6)),""))</f>
        <v/>
      </c>
    </row>
    <row r="649" spans="1:10" x14ac:dyDescent="0.2">
      <c r="A649" s="147">
        <f>Purchase_Entry!A61</f>
        <v>66923</v>
      </c>
      <c r="B649" s="175" t="str">
        <f>Purchase_Entry!C61</f>
        <v>PARSURAM THARU -333</v>
      </c>
      <c r="C649" s="151" t="s">
        <v>986</v>
      </c>
      <c r="D649" s="151" t="str">
        <f>Purchase_Entry!B61</f>
        <v>BILL-5053</v>
      </c>
      <c r="E649" s="151" t="str">
        <f>Purchase_Entry!D61</f>
        <v>Cow Milk</v>
      </c>
      <c r="F649" s="153">
        <v>0</v>
      </c>
      <c r="G649" s="153">
        <f>N(Purchase_Entry!N61)</f>
        <v>606.24249999999995</v>
      </c>
      <c r="H649" s="153">
        <f t="shared" si="10"/>
        <v>-606.24249999999995</v>
      </c>
      <c r="I649" s="151"/>
      <c r="J649" t="str">
        <f>IF($B649="","",IF(AND($B649=Party_Statement!$B$5,$A649&gt;=Party_Statement!$B$6,$A649&lt;=Party_Statement!$D$6),SUMPRODUCT(($B$3:$B649=Party_Statement!$B$5)*($A$3:$A649&gt;=Party_Statement!$B$6)*($A$3:$A649&lt;=Party_Statement!$D$6)),""))</f>
        <v/>
      </c>
    </row>
    <row r="650" spans="1:10" x14ac:dyDescent="0.2">
      <c r="A650" s="147">
        <f>Purchase_Entry!A62</f>
        <v>66923</v>
      </c>
      <c r="B650" s="175" t="str">
        <f>Purchase_Entry!C62</f>
        <v>MINA LAMICHHANE 322</v>
      </c>
      <c r="C650" s="151" t="s">
        <v>986</v>
      </c>
      <c r="D650" s="151" t="str">
        <f>Purchase_Entry!B62</f>
        <v>BILL-5054</v>
      </c>
      <c r="E650" s="151" t="str">
        <f>Purchase_Entry!D62</f>
        <v>Cow Milk</v>
      </c>
      <c r="F650" s="153">
        <v>0</v>
      </c>
      <c r="G650" s="153">
        <f>N(Purchase_Entry!N62)</f>
        <v>432.61499999999995</v>
      </c>
      <c r="H650" s="153">
        <f t="shared" si="10"/>
        <v>-432.61499999999995</v>
      </c>
      <c r="I650" s="151"/>
      <c r="J650" t="str">
        <f>IF($B650="","",IF(AND($B650=Party_Statement!$B$5,$A650&gt;=Party_Statement!$B$6,$A650&lt;=Party_Statement!$D$6),SUMPRODUCT(($B$3:$B650=Party_Statement!$B$5)*($A$3:$A650&gt;=Party_Statement!$B$6)*($A$3:$A650&lt;=Party_Statement!$D$6)),""))</f>
        <v/>
      </c>
    </row>
    <row r="651" spans="1:10" x14ac:dyDescent="0.2">
      <c r="A651" s="147">
        <f>Purchase_Entry!A63</f>
        <v>66923</v>
      </c>
      <c r="B651" s="175" t="str">
        <f>Purchase_Entry!C63</f>
        <v>BASUDEV DAIRY 316</v>
      </c>
      <c r="C651" s="151" t="s">
        <v>986</v>
      </c>
      <c r="D651" s="151" t="str">
        <f>Purchase_Entry!B63</f>
        <v>BILL-5055</v>
      </c>
      <c r="E651" s="151" t="str">
        <f>Purchase_Entry!D63</f>
        <v>Buffalo Milk</v>
      </c>
      <c r="F651" s="153">
        <v>0</v>
      </c>
      <c r="G651" s="153">
        <f>N(Purchase_Entry!N63)</f>
        <v>0</v>
      </c>
      <c r="H651" s="153">
        <f t="shared" si="10"/>
        <v>0</v>
      </c>
      <c r="I651" s="151"/>
      <c r="J651" t="str">
        <f>IF($B651="","",IF(AND($B651=Party_Statement!$B$5,$A651&gt;=Party_Statement!$B$6,$A651&lt;=Party_Statement!$D$6),SUMPRODUCT(($B$3:$B651=Party_Statement!$B$5)*($A$3:$A651&gt;=Party_Statement!$B$6)*($A$3:$A651&lt;=Party_Statement!$D$6)),""))</f>
        <v/>
      </c>
    </row>
    <row r="652" spans="1:10" x14ac:dyDescent="0.2">
      <c r="A652" s="147">
        <f>Purchase_Entry!A64</f>
        <v>66923</v>
      </c>
      <c r="B652" s="175" t="str">
        <f>Purchase_Entry!C64</f>
        <v>SANA KISAN -311</v>
      </c>
      <c r="C652" s="151" t="s">
        <v>986</v>
      </c>
      <c r="D652" s="151" t="str">
        <f>Purchase_Entry!B64</f>
        <v>BILL-5056</v>
      </c>
      <c r="E652" s="151" t="str">
        <f>Purchase_Entry!D64</f>
        <v>Mix Milk</v>
      </c>
      <c r="F652" s="153">
        <v>0</v>
      </c>
      <c r="G652" s="153">
        <f>N(Purchase_Entry!N64)</f>
        <v>13440</v>
      </c>
      <c r="H652" s="153">
        <f t="shared" si="10"/>
        <v>-13440</v>
      </c>
      <c r="I652" s="151"/>
      <c r="J652" t="str">
        <f>IF($B652="","",IF(AND($B652=Party_Statement!$B$5,$A652&gt;=Party_Statement!$B$6,$A652&lt;=Party_Statement!$D$6),SUMPRODUCT(($B$3:$B652=Party_Statement!$B$5)*($A$3:$A652&gt;=Party_Statement!$B$6)*($A$3:$A652&lt;=Party_Statement!$D$6)),""))</f>
        <v/>
      </c>
    </row>
    <row r="653" spans="1:10" x14ac:dyDescent="0.2">
      <c r="A653" s="147">
        <f>Purchase_Entry!A65</f>
        <v>66924</v>
      </c>
      <c r="B653" s="175" t="str">
        <f>Purchase_Entry!C65</f>
        <v xml:space="preserve">MODERN AGRO  -315 </v>
      </c>
      <c r="C653" s="151" t="s">
        <v>986</v>
      </c>
      <c r="D653" s="151" t="str">
        <f>Purchase_Entry!B65</f>
        <v>BILL-5057</v>
      </c>
      <c r="E653" s="151" t="str">
        <f>Purchase_Entry!D65</f>
        <v>Cow Milk</v>
      </c>
      <c r="F653" s="153">
        <v>0</v>
      </c>
      <c r="G653" s="153">
        <f>N(Purchase_Entry!N65)</f>
        <v>5083.9454999999998</v>
      </c>
      <c r="H653" s="153">
        <f t="shared" si="10"/>
        <v>-5083.9454999999998</v>
      </c>
      <c r="I653" s="151"/>
      <c r="J653" t="str">
        <f>IF($B653="","",IF(AND($B653=Party_Statement!$B$5,$A653&gt;=Party_Statement!$B$6,$A653&lt;=Party_Statement!$D$6),SUMPRODUCT(($B$3:$B653=Party_Statement!$B$5)*($A$3:$A653&gt;=Party_Statement!$B$6)*($A$3:$A653&lt;=Party_Statement!$D$6)),""))</f>
        <v/>
      </c>
    </row>
    <row r="654" spans="1:10" x14ac:dyDescent="0.2">
      <c r="A654" s="147">
        <f>Purchase_Entry!A66</f>
        <v>66924</v>
      </c>
      <c r="B654" s="175" t="str">
        <f>Purchase_Entry!C66</f>
        <v xml:space="preserve">MODERN AGRO  -315 </v>
      </c>
      <c r="C654" s="151" t="s">
        <v>986</v>
      </c>
      <c r="D654" s="151" t="str">
        <f>Purchase_Entry!B66</f>
        <v>BILL-5058</v>
      </c>
      <c r="E654" s="151" t="str">
        <f>Purchase_Entry!D66</f>
        <v>Buffalo Milk</v>
      </c>
      <c r="F654" s="153">
        <v>0</v>
      </c>
      <c r="G654" s="153">
        <f>N(Purchase_Entry!N66)</f>
        <v>3201.0597499999999</v>
      </c>
      <c r="H654" s="153">
        <f t="shared" si="10"/>
        <v>-8285.0052500000002</v>
      </c>
      <c r="I654" s="151"/>
      <c r="J654" t="str">
        <f>IF($B654="","",IF(AND($B654=Party_Statement!$B$5,$A654&gt;=Party_Statement!$B$6,$A654&lt;=Party_Statement!$D$6),SUMPRODUCT(($B$3:$B654=Party_Statement!$B$5)*($A$3:$A654&gt;=Party_Statement!$B$6)*($A$3:$A654&lt;=Party_Statement!$D$6)),""))</f>
        <v/>
      </c>
    </row>
    <row r="655" spans="1:10" x14ac:dyDescent="0.2">
      <c r="A655" s="147">
        <f>Purchase_Entry!A67</f>
        <v>66924</v>
      </c>
      <c r="B655" s="175" t="str">
        <f>Purchase_Entry!C67</f>
        <v>NAWA DURGA -317</v>
      </c>
      <c r="C655" s="151" t="s">
        <v>986</v>
      </c>
      <c r="D655" s="151" t="str">
        <f>Purchase_Entry!B67</f>
        <v>BILL-5059</v>
      </c>
      <c r="E655" s="151" t="str">
        <f>Purchase_Entry!D67</f>
        <v>Cow Milk</v>
      </c>
      <c r="F655" s="153">
        <v>0</v>
      </c>
      <c r="G655" s="153">
        <f>N(Purchase_Entry!N67)</f>
        <v>2088.8000000000002</v>
      </c>
      <c r="H655" s="153">
        <f t="shared" si="10"/>
        <v>-2088.8000000000002</v>
      </c>
      <c r="I655" s="151"/>
      <c r="J655" t="str">
        <f>IF($B655="","",IF(AND($B655=Party_Statement!$B$5,$A655&gt;=Party_Statement!$B$6,$A655&lt;=Party_Statement!$D$6),SUMPRODUCT(($B$3:$B655=Party_Statement!$B$5)*($A$3:$A655&gt;=Party_Statement!$B$6)*($A$3:$A655&lt;=Party_Statement!$D$6)),""))</f>
        <v/>
      </c>
    </row>
    <row r="656" spans="1:10" x14ac:dyDescent="0.2">
      <c r="A656" s="147">
        <f>Purchase_Entry!A68</f>
        <v>66924</v>
      </c>
      <c r="B656" s="175" t="str">
        <f>Purchase_Entry!C68</f>
        <v>PARSURAM THARU -333</v>
      </c>
      <c r="C656" s="151" t="s">
        <v>986</v>
      </c>
      <c r="D656" s="151" t="str">
        <f>Purchase_Entry!B68</f>
        <v>BILL-5060</v>
      </c>
      <c r="E656" s="151" t="str">
        <f>Purchase_Entry!D68</f>
        <v>Cow Milk</v>
      </c>
      <c r="F656" s="153">
        <v>0</v>
      </c>
      <c r="G656" s="153">
        <f>N(Purchase_Entry!N68)</f>
        <v>598.67819999999995</v>
      </c>
      <c r="H656" s="153">
        <f t="shared" si="10"/>
        <v>-598.67819999999995</v>
      </c>
      <c r="I656" s="151"/>
      <c r="J656" t="str">
        <f>IF($B656="","",IF(AND($B656=Party_Statement!$B$5,$A656&gt;=Party_Statement!$B$6,$A656&lt;=Party_Statement!$D$6),SUMPRODUCT(($B$3:$B656=Party_Statement!$B$5)*($A$3:$A656&gt;=Party_Statement!$B$6)*($A$3:$A656&lt;=Party_Statement!$D$6)),""))</f>
        <v/>
      </c>
    </row>
    <row r="657" spans="1:10" x14ac:dyDescent="0.2">
      <c r="A657" s="147">
        <f>Purchase_Entry!A69</f>
        <v>66924</v>
      </c>
      <c r="B657" s="175" t="str">
        <f>Purchase_Entry!C69</f>
        <v>MINA LAMICHHANE 322</v>
      </c>
      <c r="C657" s="151" t="s">
        <v>986</v>
      </c>
      <c r="D657" s="151" t="str">
        <f>Purchase_Entry!B69</f>
        <v>BILL-5061</v>
      </c>
      <c r="E657" s="151" t="str">
        <f>Purchase_Entry!D69</f>
        <v>Cow Milk</v>
      </c>
      <c r="F657" s="153">
        <v>0</v>
      </c>
      <c r="G657" s="153">
        <f>N(Purchase_Entry!N69)</f>
        <v>431.25</v>
      </c>
      <c r="H657" s="153">
        <f t="shared" si="10"/>
        <v>-431.25</v>
      </c>
      <c r="I657" s="151"/>
      <c r="J657" t="str">
        <f>IF($B657="","",IF(AND($B657=Party_Statement!$B$5,$A657&gt;=Party_Statement!$B$6,$A657&lt;=Party_Statement!$D$6),SUMPRODUCT(($B$3:$B657=Party_Statement!$B$5)*($A$3:$A657&gt;=Party_Statement!$B$6)*($A$3:$A657&lt;=Party_Statement!$D$6)),""))</f>
        <v/>
      </c>
    </row>
    <row r="658" spans="1:10" x14ac:dyDescent="0.2">
      <c r="A658" s="147">
        <f>Purchase_Entry!A70</f>
        <v>66924</v>
      </c>
      <c r="B658" s="175" t="str">
        <f>Purchase_Entry!C70</f>
        <v>BASUDEV DAIRY 316</v>
      </c>
      <c r="C658" s="151" t="s">
        <v>986</v>
      </c>
      <c r="D658" s="151" t="str">
        <f>Purchase_Entry!B70</f>
        <v>BILL-5062</v>
      </c>
      <c r="E658" s="151" t="str">
        <f>Purchase_Entry!D70</f>
        <v>Buffalo Milk</v>
      </c>
      <c r="F658" s="153">
        <v>0</v>
      </c>
      <c r="G658" s="153">
        <f>N(Purchase_Entry!N70)</f>
        <v>23435.999999999996</v>
      </c>
      <c r="H658" s="153">
        <f t="shared" si="10"/>
        <v>-23435.999999999996</v>
      </c>
      <c r="I658" s="151"/>
      <c r="J658" t="str">
        <f>IF($B658="","",IF(AND($B658=Party_Statement!$B$5,$A658&gt;=Party_Statement!$B$6,$A658&lt;=Party_Statement!$D$6),SUMPRODUCT(($B$3:$B658=Party_Statement!$B$5)*($A$3:$A658&gt;=Party_Statement!$B$6)*($A$3:$A658&lt;=Party_Statement!$D$6)),""))</f>
        <v/>
      </c>
    </row>
    <row r="659" spans="1:10" x14ac:dyDescent="0.2">
      <c r="A659" s="147">
        <f>Purchase_Entry!A71</f>
        <v>66924</v>
      </c>
      <c r="B659" s="175" t="str">
        <f>Purchase_Entry!C71</f>
        <v>SANA KISAN -311</v>
      </c>
      <c r="C659" s="151" t="s">
        <v>986</v>
      </c>
      <c r="D659" s="151" t="str">
        <f>Purchase_Entry!B71</f>
        <v>BILL-5063</v>
      </c>
      <c r="E659" s="151" t="str">
        <f>Purchase_Entry!D71</f>
        <v>Mix Milk</v>
      </c>
      <c r="F659" s="153">
        <v>0</v>
      </c>
      <c r="G659" s="153">
        <f>N(Purchase_Entry!N71)</f>
        <v>13440</v>
      </c>
      <c r="H659" s="153">
        <f t="shared" si="10"/>
        <v>-13440</v>
      </c>
      <c r="I659" s="151"/>
      <c r="J659" t="str">
        <f>IF($B659="","",IF(AND($B659=Party_Statement!$B$5,$A659&gt;=Party_Statement!$B$6,$A659&lt;=Party_Statement!$D$6),SUMPRODUCT(($B$3:$B659=Party_Statement!$B$5)*($A$3:$A659&gt;=Party_Statement!$B$6)*($A$3:$A659&lt;=Party_Statement!$D$6)),""))</f>
        <v/>
      </c>
    </row>
    <row r="660" spans="1:10" x14ac:dyDescent="0.2">
      <c r="A660" s="147">
        <f>Purchase_Entry!A72</f>
        <v>66925</v>
      </c>
      <c r="B660" s="175" t="str">
        <f>Purchase_Entry!C72</f>
        <v xml:space="preserve">MODERN AGRO  -315 </v>
      </c>
      <c r="C660" s="151" t="s">
        <v>986</v>
      </c>
      <c r="D660" s="151" t="str">
        <f>Purchase_Entry!B72</f>
        <v>BILL-5064</v>
      </c>
      <c r="E660" s="151" t="str">
        <f>Purchase_Entry!D72</f>
        <v>Cow Milk</v>
      </c>
      <c r="F660" s="153">
        <v>0</v>
      </c>
      <c r="G660" s="153">
        <f>N(Purchase_Entry!N72)</f>
        <v>5350.116</v>
      </c>
      <c r="H660" s="153">
        <f t="shared" si="10"/>
        <v>-5350.116</v>
      </c>
      <c r="I660" s="151"/>
      <c r="J660" t="str">
        <f>IF($B660="","",IF(AND($B660=Party_Statement!$B$5,$A660&gt;=Party_Statement!$B$6,$A660&lt;=Party_Statement!$D$6),SUMPRODUCT(($B$3:$B660=Party_Statement!$B$5)*($A$3:$A660&gt;=Party_Statement!$B$6)*($A$3:$A660&lt;=Party_Statement!$D$6)),""))</f>
        <v/>
      </c>
    </row>
    <row r="661" spans="1:10" x14ac:dyDescent="0.2">
      <c r="A661" s="147">
        <f>Purchase_Entry!A73</f>
        <v>66925</v>
      </c>
      <c r="B661" s="175" t="str">
        <f>Purchase_Entry!C73</f>
        <v xml:space="preserve">MODERN AGRO  -315 </v>
      </c>
      <c r="C661" s="151" t="s">
        <v>986</v>
      </c>
      <c r="D661" s="151" t="str">
        <f>Purchase_Entry!B73</f>
        <v>BILL-5065</v>
      </c>
      <c r="E661" s="151" t="str">
        <f>Purchase_Entry!D73</f>
        <v>Buffalo Milk</v>
      </c>
      <c r="F661" s="153">
        <v>0</v>
      </c>
      <c r="G661" s="153">
        <f>N(Purchase_Entry!N73)</f>
        <v>2914.4362000000001</v>
      </c>
      <c r="H661" s="153">
        <f t="shared" si="10"/>
        <v>-8264.5522000000001</v>
      </c>
      <c r="I661" s="151"/>
      <c r="J661" t="str">
        <f>IF($B661="","",IF(AND($B661=Party_Statement!$B$5,$A661&gt;=Party_Statement!$B$6,$A661&lt;=Party_Statement!$D$6),SUMPRODUCT(($B$3:$B661=Party_Statement!$B$5)*($A$3:$A661&gt;=Party_Statement!$B$6)*($A$3:$A661&lt;=Party_Statement!$D$6)),""))</f>
        <v/>
      </c>
    </row>
    <row r="662" spans="1:10" x14ac:dyDescent="0.2">
      <c r="A662" s="147">
        <f>Purchase_Entry!A74</f>
        <v>66925</v>
      </c>
      <c r="B662" s="175" t="str">
        <f>Purchase_Entry!C74</f>
        <v>NAWA DURGA -317</v>
      </c>
      <c r="C662" s="151" t="s">
        <v>986</v>
      </c>
      <c r="D662" s="151" t="str">
        <f>Purchase_Entry!B74</f>
        <v>BILL-5066</v>
      </c>
      <c r="E662" s="151" t="str">
        <f>Purchase_Entry!D74</f>
        <v>Cow Milk</v>
      </c>
      <c r="F662" s="153">
        <v>0</v>
      </c>
      <c r="G662" s="153">
        <f>N(Purchase_Entry!N74)</f>
        <v>1979.6999999999998</v>
      </c>
      <c r="H662" s="153">
        <f t="shared" si="10"/>
        <v>-1979.6999999999998</v>
      </c>
      <c r="I662" s="151"/>
      <c r="J662" t="str">
        <f>IF($B662="","",IF(AND($B662=Party_Statement!$B$5,$A662&gt;=Party_Statement!$B$6,$A662&lt;=Party_Statement!$D$6),SUMPRODUCT(($B$3:$B662=Party_Statement!$B$5)*($A$3:$A662&gt;=Party_Statement!$B$6)*($A$3:$A662&lt;=Party_Statement!$D$6)),""))</f>
        <v/>
      </c>
    </row>
    <row r="663" spans="1:10" x14ac:dyDescent="0.2">
      <c r="A663" s="147">
        <f>Purchase_Entry!A75</f>
        <v>66925</v>
      </c>
      <c r="B663" s="175" t="str">
        <f>Purchase_Entry!C75</f>
        <v>PARSURAM THARU -333</v>
      </c>
      <c r="C663" s="151" t="s">
        <v>986</v>
      </c>
      <c r="D663" s="151" t="str">
        <f>Purchase_Entry!B75</f>
        <v>BILL-5067</v>
      </c>
      <c r="E663" s="151" t="str">
        <f>Purchase_Entry!D75</f>
        <v>Cow Milk</v>
      </c>
      <c r="F663" s="153">
        <v>0</v>
      </c>
      <c r="G663" s="153">
        <f>N(Purchase_Entry!N75)</f>
        <v>563.97439999999995</v>
      </c>
      <c r="H663" s="153">
        <f t="shared" si="10"/>
        <v>-563.97439999999995</v>
      </c>
      <c r="I663" s="151"/>
      <c r="J663" t="str">
        <f>IF($B663="","",IF(AND($B663=Party_Statement!$B$5,$A663&gt;=Party_Statement!$B$6,$A663&lt;=Party_Statement!$D$6),SUMPRODUCT(($B$3:$B663=Party_Statement!$B$5)*($A$3:$A663&gt;=Party_Statement!$B$6)*($A$3:$A663&lt;=Party_Statement!$D$6)),""))</f>
        <v/>
      </c>
    </row>
    <row r="664" spans="1:10" x14ac:dyDescent="0.2">
      <c r="A664" s="147">
        <f>Purchase_Entry!A76</f>
        <v>66925</v>
      </c>
      <c r="B664" s="175" t="str">
        <f>Purchase_Entry!C76</f>
        <v>MINA LAMICHHANE 322</v>
      </c>
      <c r="C664" s="151" t="s">
        <v>986</v>
      </c>
      <c r="D664" s="151" t="str">
        <f>Purchase_Entry!B76</f>
        <v>BILL-5068</v>
      </c>
      <c r="E664" s="151" t="str">
        <f>Purchase_Entry!D76</f>
        <v>Cow Milk</v>
      </c>
      <c r="F664" s="153">
        <v>0</v>
      </c>
      <c r="G664" s="153">
        <f>N(Purchase_Entry!N76)</f>
        <v>447.84150000000011</v>
      </c>
      <c r="H664" s="153">
        <f t="shared" si="10"/>
        <v>-447.84150000000011</v>
      </c>
      <c r="I664" s="151"/>
      <c r="J664" t="str">
        <f>IF($B664="","",IF(AND($B664=Party_Statement!$B$5,$A664&gt;=Party_Statement!$B$6,$A664&lt;=Party_Statement!$D$6),SUMPRODUCT(($B$3:$B664=Party_Statement!$B$5)*($A$3:$A664&gt;=Party_Statement!$B$6)*($A$3:$A664&lt;=Party_Statement!$D$6)),""))</f>
        <v/>
      </c>
    </row>
    <row r="665" spans="1:10" x14ac:dyDescent="0.2">
      <c r="A665" s="147">
        <f>Purchase_Entry!A77</f>
        <v>66925</v>
      </c>
      <c r="B665" s="175" t="str">
        <f>Purchase_Entry!C77</f>
        <v>BASUDEV DAIRY 316</v>
      </c>
      <c r="C665" s="151" t="s">
        <v>986</v>
      </c>
      <c r="D665" s="151" t="str">
        <f>Purchase_Entry!B77</f>
        <v>BILL-5069</v>
      </c>
      <c r="E665" s="151" t="str">
        <f>Purchase_Entry!D77</f>
        <v>Buffalo Milk</v>
      </c>
      <c r="F665" s="153">
        <v>0</v>
      </c>
      <c r="G665" s="153">
        <f>N(Purchase_Entry!N77)</f>
        <v>0</v>
      </c>
      <c r="H665" s="153">
        <f t="shared" si="10"/>
        <v>0</v>
      </c>
      <c r="I665" s="151"/>
      <c r="J665" t="str">
        <f>IF($B665="","",IF(AND($B665=Party_Statement!$B$5,$A665&gt;=Party_Statement!$B$6,$A665&lt;=Party_Statement!$D$6),SUMPRODUCT(($B$3:$B665=Party_Statement!$B$5)*($A$3:$A665&gt;=Party_Statement!$B$6)*($A$3:$A665&lt;=Party_Statement!$D$6)),""))</f>
        <v/>
      </c>
    </row>
    <row r="666" spans="1:10" x14ac:dyDescent="0.2">
      <c r="A666" s="147">
        <f>Purchase_Entry!A78</f>
        <v>66925</v>
      </c>
      <c r="B666" s="175" t="str">
        <f>Purchase_Entry!C78</f>
        <v>SANA KISAN -311</v>
      </c>
      <c r="C666" s="151" t="s">
        <v>986</v>
      </c>
      <c r="D666" s="151" t="str">
        <f>Purchase_Entry!B78</f>
        <v>BILL-5070</v>
      </c>
      <c r="E666" s="151" t="str">
        <f>Purchase_Entry!D78</f>
        <v>Mix Milk</v>
      </c>
      <c r="F666" s="153">
        <v>0</v>
      </c>
      <c r="G666" s="153">
        <f>N(Purchase_Entry!N78)</f>
        <v>16800</v>
      </c>
      <c r="H666" s="153">
        <f t="shared" si="10"/>
        <v>-16800</v>
      </c>
      <c r="I666" s="151"/>
      <c r="J666" t="str">
        <f>IF($B666="","",IF(AND($B666=Party_Statement!$B$5,$A666&gt;=Party_Statement!$B$6,$A666&lt;=Party_Statement!$D$6),SUMPRODUCT(($B$3:$B666=Party_Statement!$B$5)*($A$3:$A666&gt;=Party_Statement!$B$6)*($A$3:$A666&lt;=Party_Statement!$D$6)),""))</f>
        <v/>
      </c>
    </row>
    <row r="667" spans="1:10" x14ac:dyDescent="0.2">
      <c r="A667" s="147">
        <f>Purchase_Entry!A79</f>
        <v>66926</v>
      </c>
      <c r="B667" s="175" t="str">
        <f>Purchase_Entry!C79</f>
        <v xml:space="preserve">MODERN AGRO  -315 </v>
      </c>
      <c r="C667" s="151" t="s">
        <v>986</v>
      </c>
      <c r="D667" s="151" t="str">
        <f>Purchase_Entry!B79</f>
        <v>BILL-5071</v>
      </c>
      <c r="E667" s="151" t="str">
        <f>Purchase_Entry!D79</f>
        <v>Cow Milk</v>
      </c>
      <c r="F667" s="153">
        <v>0</v>
      </c>
      <c r="G667" s="153">
        <f>N(Purchase_Entry!N79)</f>
        <v>5033.1660000000002</v>
      </c>
      <c r="H667" s="153">
        <f t="shared" si="10"/>
        <v>-5033.1660000000002</v>
      </c>
      <c r="I667" s="151"/>
      <c r="J667" t="str">
        <f>IF($B667="","",IF(AND($B667=Party_Statement!$B$5,$A667&gt;=Party_Statement!$B$6,$A667&lt;=Party_Statement!$D$6),SUMPRODUCT(($B$3:$B667=Party_Statement!$B$5)*($A$3:$A667&gt;=Party_Statement!$B$6)*($A$3:$A667&lt;=Party_Statement!$D$6)),""))</f>
        <v/>
      </c>
    </row>
    <row r="668" spans="1:10" x14ac:dyDescent="0.2">
      <c r="A668" s="147">
        <f>Purchase_Entry!A80</f>
        <v>66926</v>
      </c>
      <c r="B668" s="175" t="str">
        <f>Purchase_Entry!C80</f>
        <v xml:space="preserve">MODERN AGRO  -315 </v>
      </c>
      <c r="C668" s="151" t="s">
        <v>986</v>
      </c>
      <c r="D668" s="151" t="str">
        <f>Purchase_Entry!B80</f>
        <v>BILL-5072</v>
      </c>
      <c r="E668" s="151" t="str">
        <f>Purchase_Entry!D80</f>
        <v>Buffalo Milk</v>
      </c>
      <c r="F668" s="153">
        <v>0</v>
      </c>
      <c r="G668" s="153">
        <f>N(Purchase_Entry!N80)</f>
        <v>2967.2924999999996</v>
      </c>
      <c r="H668" s="153">
        <f t="shared" si="10"/>
        <v>-8000.4584999999997</v>
      </c>
      <c r="I668" s="151"/>
      <c r="J668" t="str">
        <f>IF($B668="","",IF(AND($B668=Party_Statement!$B$5,$A668&gt;=Party_Statement!$B$6,$A668&lt;=Party_Statement!$D$6),SUMPRODUCT(($B$3:$B668=Party_Statement!$B$5)*($A$3:$A668&gt;=Party_Statement!$B$6)*($A$3:$A668&lt;=Party_Statement!$D$6)),""))</f>
        <v/>
      </c>
    </row>
    <row r="669" spans="1:10" x14ac:dyDescent="0.2">
      <c r="A669" s="147">
        <f>Purchase_Entry!A81</f>
        <v>66926</v>
      </c>
      <c r="B669" s="175" t="str">
        <f>Purchase_Entry!C81</f>
        <v>NAWA DURGA -317</v>
      </c>
      <c r="C669" s="151" t="s">
        <v>986</v>
      </c>
      <c r="D669" s="151" t="str">
        <f>Purchase_Entry!B81</f>
        <v>BILL-5073</v>
      </c>
      <c r="E669" s="151" t="str">
        <f>Purchase_Entry!D81</f>
        <v>Cow Milk</v>
      </c>
      <c r="F669" s="153">
        <v>0</v>
      </c>
      <c r="G669" s="153">
        <f>N(Purchase_Entry!N81)</f>
        <v>1939.0349999999996</v>
      </c>
      <c r="H669" s="153">
        <f t="shared" si="10"/>
        <v>-1939.0349999999996</v>
      </c>
      <c r="I669" s="151"/>
      <c r="J669" t="str">
        <f>IF($B669="","",IF(AND($B669=Party_Statement!$B$5,$A669&gt;=Party_Statement!$B$6,$A669&lt;=Party_Statement!$D$6),SUMPRODUCT(($B$3:$B669=Party_Statement!$B$5)*($A$3:$A669&gt;=Party_Statement!$B$6)*($A$3:$A669&lt;=Party_Statement!$D$6)),""))</f>
        <v/>
      </c>
    </row>
    <row r="670" spans="1:10" x14ac:dyDescent="0.2">
      <c r="A670" s="147">
        <f>Purchase_Entry!A82</f>
        <v>66926</v>
      </c>
      <c r="B670" s="175" t="str">
        <f>Purchase_Entry!C82</f>
        <v>PARSURAM THARU -333</v>
      </c>
      <c r="C670" s="151" t="s">
        <v>986</v>
      </c>
      <c r="D670" s="151" t="str">
        <f>Purchase_Entry!B82</f>
        <v>BILL-5074</v>
      </c>
      <c r="E670" s="151" t="str">
        <f>Purchase_Entry!D82</f>
        <v>Cow Milk</v>
      </c>
      <c r="F670" s="153">
        <v>0</v>
      </c>
      <c r="G670" s="153">
        <f>N(Purchase_Entry!N82)</f>
        <v>495.9824999999999</v>
      </c>
      <c r="H670" s="153">
        <f t="shared" si="10"/>
        <v>-495.9824999999999</v>
      </c>
      <c r="I670" s="151"/>
      <c r="J670" t="str">
        <f>IF($B670="","",IF(AND($B670=Party_Statement!$B$5,$A670&gt;=Party_Statement!$B$6,$A670&lt;=Party_Statement!$D$6),SUMPRODUCT(($B$3:$B670=Party_Statement!$B$5)*($A$3:$A670&gt;=Party_Statement!$B$6)*($A$3:$A670&lt;=Party_Statement!$D$6)),""))</f>
        <v/>
      </c>
    </row>
    <row r="671" spans="1:10" x14ac:dyDescent="0.2">
      <c r="A671" s="147">
        <f>Purchase_Entry!A83</f>
        <v>66926</v>
      </c>
      <c r="B671" s="175" t="str">
        <f>Purchase_Entry!C83</f>
        <v>MINA LAMICHHANE 322</v>
      </c>
      <c r="C671" s="151" t="s">
        <v>986</v>
      </c>
      <c r="D671" s="151" t="str">
        <f>Purchase_Entry!B83</f>
        <v>BILL-5075</v>
      </c>
      <c r="E671" s="151" t="str">
        <f>Purchase_Entry!D83</f>
        <v>Cow Milk</v>
      </c>
      <c r="F671" s="153">
        <v>0</v>
      </c>
      <c r="G671" s="153">
        <f>N(Purchase_Entry!N83)</f>
        <v>452.8125</v>
      </c>
      <c r="H671" s="153">
        <f t="shared" si="10"/>
        <v>-452.8125</v>
      </c>
      <c r="I671" s="151"/>
      <c r="J671" t="str">
        <f>IF($B671="","",IF(AND($B671=Party_Statement!$B$5,$A671&gt;=Party_Statement!$B$6,$A671&lt;=Party_Statement!$D$6),SUMPRODUCT(($B$3:$B671=Party_Statement!$B$5)*($A$3:$A671&gt;=Party_Statement!$B$6)*($A$3:$A671&lt;=Party_Statement!$D$6)),""))</f>
        <v/>
      </c>
    </row>
    <row r="672" spans="1:10" x14ac:dyDescent="0.2">
      <c r="A672" s="147">
        <f>Purchase_Entry!A84</f>
        <v>66926</v>
      </c>
      <c r="B672" s="175" t="str">
        <f>Purchase_Entry!C84</f>
        <v>BASUDEV DAIRY 316</v>
      </c>
      <c r="C672" s="151" t="s">
        <v>986</v>
      </c>
      <c r="D672" s="151" t="str">
        <f>Purchase_Entry!B84</f>
        <v>BILL-5076</v>
      </c>
      <c r="E672" s="151" t="str">
        <f>Purchase_Entry!D84</f>
        <v>Buffalo Milk</v>
      </c>
      <c r="F672" s="153">
        <v>0</v>
      </c>
      <c r="G672" s="153">
        <f>N(Purchase_Entry!N84)</f>
        <v>23435.999999999996</v>
      </c>
      <c r="H672" s="153">
        <f t="shared" si="10"/>
        <v>-23435.999999999996</v>
      </c>
      <c r="I672" s="151"/>
      <c r="J672" t="str">
        <f>IF($B672="","",IF(AND($B672=Party_Statement!$B$5,$A672&gt;=Party_Statement!$B$6,$A672&lt;=Party_Statement!$D$6),SUMPRODUCT(($B$3:$B672=Party_Statement!$B$5)*($A$3:$A672&gt;=Party_Statement!$B$6)*($A$3:$A672&lt;=Party_Statement!$D$6)),""))</f>
        <v/>
      </c>
    </row>
    <row r="673" spans="1:10" x14ac:dyDescent="0.2">
      <c r="A673" s="147">
        <f>Purchase_Entry!A85</f>
        <v>66926</v>
      </c>
      <c r="B673" s="175" t="str">
        <f>Purchase_Entry!C85</f>
        <v>SANA KISAN -311</v>
      </c>
      <c r="C673" s="151" t="s">
        <v>986</v>
      </c>
      <c r="D673" s="151" t="str">
        <f>Purchase_Entry!B85</f>
        <v>BILL-5077</v>
      </c>
      <c r="E673" s="151" t="str">
        <f>Purchase_Entry!D85</f>
        <v>Mix Milk</v>
      </c>
      <c r="F673" s="153">
        <v>0</v>
      </c>
      <c r="G673" s="153">
        <f>N(Purchase_Entry!N85)</f>
        <v>0</v>
      </c>
      <c r="H673" s="153">
        <f t="shared" si="10"/>
        <v>0</v>
      </c>
      <c r="I673" s="151"/>
      <c r="J673" t="str">
        <f>IF($B673="","",IF(AND($B673=Party_Statement!$B$5,$A673&gt;=Party_Statement!$B$6,$A673&lt;=Party_Statement!$D$6),SUMPRODUCT(($B$3:$B673=Party_Statement!$B$5)*($A$3:$A673&gt;=Party_Statement!$B$6)*($A$3:$A673&lt;=Party_Statement!$D$6)),""))</f>
        <v/>
      </c>
    </row>
    <row r="674" spans="1:10" x14ac:dyDescent="0.2">
      <c r="A674" s="147">
        <f>Purchase_Entry!A86</f>
        <v>66916</v>
      </c>
      <c r="B674" s="175" t="str">
        <f>Purchase_Entry!C86</f>
        <v>BODESH 310</v>
      </c>
      <c r="C674" s="151" t="s">
        <v>986</v>
      </c>
      <c r="D674" s="151" t="str">
        <f>Purchase_Entry!B86</f>
        <v>BILL-5078</v>
      </c>
      <c r="E674" s="151" t="str">
        <f>Purchase_Entry!D86</f>
        <v>Buffalo Milk</v>
      </c>
      <c r="F674" s="153">
        <v>0</v>
      </c>
      <c r="G674" s="153">
        <f>N(Purchase_Entry!N86)</f>
        <v>3000</v>
      </c>
      <c r="H674" s="153">
        <f t="shared" si="10"/>
        <v>-3000</v>
      </c>
      <c r="I674" s="151"/>
      <c r="J674" t="str">
        <f>IF($B674="","",IF(AND($B674=Party_Statement!$B$5,$A674&gt;=Party_Statement!$B$6,$A674&lt;=Party_Statement!$D$6),SUMPRODUCT(($B$3:$B674=Party_Statement!$B$5)*($A$3:$A674&gt;=Party_Statement!$B$6)*($A$3:$A674&lt;=Party_Statement!$D$6)),""))</f>
        <v/>
      </c>
    </row>
    <row r="675" spans="1:10" x14ac:dyDescent="0.2">
      <c r="A675" s="147">
        <f>Purchase_Entry!A87</f>
        <v>66927</v>
      </c>
      <c r="B675" s="175" t="str">
        <f>Purchase_Entry!C87</f>
        <v xml:space="preserve">MODERN AGRO  -315 </v>
      </c>
      <c r="C675" s="151" t="s">
        <v>986</v>
      </c>
      <c r="D675" s="151" t="str">
        <f>Purchase_Entry!B87</f>
        <v>BILL-5079</v>
      </c>
      <c r="E675" s="151" t="str">
        <f>Purchase_Entry!D87</f>
        <v>Cow Milk</v>
      </c>
      <c r="F675" s="153">
        <v>0</v>
      </c>
      <c r="G675" s="153">
        <f>N(Purchase_Entry!N87)</f>
        <v>5086.3743000000004</v>
      </c>
      <c r="H675" s="153">
        <f t="shared" si="10"/>
        <v>-5086.3743000000004</v>
      </c>
      <c r="I675" s="151"/>
      <c r="J675" t="str">
        <f>IF($B675="","",IF(AND($B675=Party_Statement!$B$5,$A675&gt;=Party_Statement!$B$6,$A675&lt;=Party_Statement!$D$6),SUMPRODUCT(($B$3:$B675=Party_Statement!$B$5)*($A$3:$A675&gt;=Party_Statement!$B$6)*($A$3:$A675&lt;=Party_Statement!$D$6)),""))</f>
        <v/>
      </c>
    </row>
    <row r="676" spans="1:10" x14ac:dyDescent="0.2">
      <c r="A676" s="147">
        <f>Purchase_Entry!A88</f>
        <v>66927</v>
      </c>
      <c r="B676" s="175" t="str">
        <f>Purchase_Entry!C88</f>
        <v xml:space="preserve">MODERN AGRO  -315 </v>
      </c>
      <c r="C676" s="151" t="s">
        <v>986</v>
      </c>
      <c r="D676" s="151" t="str">
        <f>Purchase_Entry!B88</f>
        <v>BILL-5080</v>
      </c>
      <c r="E676" s="151" t="str">
        <f>Purchase_Entry!D88</f>
        <v>Buffalo Milk</v>
      </c>
      <c r="F676" s="153">
        <v>0</v>
      </c>
      <c r="G676" s="153">
        <f>N(Purchase_Entry!N88)</f>
        <v>2880.1101000000003</v>
      </c>
      <c r="H676" s="153">
        <f t="shared" si="10"/>
        <v>-7966.4844000000012</v>
      </c>
      <c r="I676" s="151"/>
      <c r="J676" t="str">
        <f>IF($B676="","",IF(AND($B676=Party_Statement!$B$5,$A676&gt;=Party_Statement!$B$6,$A676&lt;=Party_Statement!$D$6),SUMPRODUCT(($B$3:$B676=Party_Statement!$B$5)*($A$3:$A676&gt;=Party_Statement!$B$6)*($A$3:$A676&lt;=Party_Statement!$D$6)),""))</f>
        <v/>
      </c>
    </row>
    <row r="677" spans="1:10" x14ac:dyDescent="0.2">
      <c r="A677" s="147">
        <f>Purchase_Entry!A89</f>
        <v>66927</v>
      </c>
      <c r="B677" s="175" t="str">
        <f>Purchase_Entry!C89</f>
        <v>NAWA DURGA -317</v>
      </c>
      <c r="C677" s="151" t="s">
        <v>986</v>
      </c>
      <c r="D677" s="151" t="str">
        <f>Purchase_Entry!B89</f>
        <v>BILL-5081</v>
      </c>
      <c r="E677" s="151" t="str">
        <f>Purchase_Entry!D89</f>
        <v>Cow Milk</v>
      </c>
      <c r="F677" s="153">
        <v>0</v>
      </c>
      <c r="G677" s="153">
        <f>N(Purchase_Entry!N89)</f>
        <v>1939.0349999999996</v>
      </c>
      <c r="H677" s="153">
        <f t="shared" si="10"/>
        <v>-1939.0349999999996</v>
      </c>
      <c r="I677" s="151"/>
      <c r="J677" t="str">
        <f>IF($B677="","",IF(AND($B677=Party_Statement!$B$5,$A677&gt;=Party_Statement!$B$6,$A677&lt;=Party_Statement!$D$6),SUMPRODUCT(($B$3:$B677=Party_Statement!$B$5)*($A$3:$A677&gt;=Party_Statement!$B$6)*($A$3:$A677&lt;=Party_Statement!$D$6)),""))</f>
        <v/>
      </c>
    </row>
    <row r="678" spans="1:10" x14ac:dyDescent="0.2">
      <c r="A678" s="147">
        <f>Purchase_Entry!A90</f>
        <v>66927</v>
      </c>
      <c r="B678" s="175" t="str">
        <f>Purchase_Entry!C90</f>
        <v>PARSURAM THARU -333</v>
      </c>
      <c r="C678" s="151" t="s">
        <v>986</v>
      </c>
      <c r="D678" s="151" t="str">
        <f>Purchase_Entry!B90</f>
        <v>BILL-5082</v>
      </c>
      <c r="E678" s="151" t="str">
        <f>Purchase_Entry!D90</f>
        <v>Cow Milk</v>
      </c>
      <c r="F678" s="153">
        <v>0</v>
      </c>
      <c r="G678" s="153">
        <f>N(Purchase_Entry!N90)</f>
        <v>620.26649999999984</v>
      </c>
      <c r="H678" s="153">
        <f t="shared" si="10"/>
        <v>-620.26649999999984</v>
      </c>
      <c r="I678" s="151"/>
      <c r="J678" t="str">
        <f>IF($B678="","",IF(AND($B678=Party_Statement!$B$5,$A678&gt;=Party_Statement!$B$6,$A678&lt;=Party_Statement!$D$6),SUMPRODUCT(($B$3:$B678=Party_Statement!$B$5)*($A$3:$A678&gt;=Party_Statement!$B$6)*($A$3:$A678&lt;=Party_Statement!$D$6)),""))</f>
        <v/>
      </c>
    </row>
    <row r="679" spans="1:10" x14ac:dyDescent="0.2">
      <c r="A679" s="147">
        <f>Purchase_Entry!A91</f>
        <v>66927</v>
      </c>
      <c r="B679" s="175" t="str">
        <f>Purchase_Entry!C91</f>
        <v>MINA LAMICHHANE 322</v>
      </c>
      <c r="C679" s="151" t="s">
        <v>986</v>
      </c>
      <c r="D679" s="151" t="str">
        <f>Purchase_Entry!B91</f>
        <v>BILL-5083</v>
      </c>
      <c r="E679" s="151" t="str">
        <f>Purchase_Entry!D91</f>
        <v>Cow Milk</v>
      </c>
      <c r="F679" s="153">
        <v>0</v>
      </c>
      <c r="G679" s="153">
        <f>N(Purchase_Entry!N91)</f>
        <v>452.8125</v>
      </c>
      <c r="H679" s="153">
        <f t="shared" si="10"/>
        <v>-452.8125</v>
      </c>
      <c r="I679" s="151"/>
      <c r="J679" t="str">
        <f>IF($B679="","",IF(AND($B679=Party_Statement!$B$5,$A679&gt;=Party_Statement!$B$6,$A679&lt;=Party_Statement!$D$6),SUMPRODUCT(($B$3:$B679=Party_Statement!$B$5)*($A$3:$A679&gt;=Party_Statement!$B$6)*($A$3:$A679&lt;=Party_Statement!$D$6)),""))</f>
        <v/>
      </c>
    </row>
    <row r="680" spans="1:10" x14ac:dyDescent="0.2">
      <c r="A680" s="147">
        <f>Purchase_Entry!A92</f>
        <v>66927</v>
      </c>
      <c r="B680" s="175" t="str">
        <f>Purchase_Entry!C92</f>
        <v>BASUDEV DAIRY 316</v>
      </c>
      <c r="C680" s="151" t="s">
        <v>986</v>
      </c>
      <c r="D680" s="151" t="str">
        <f>Purchase_Entry!B92</f>
        <v>BILL-5084</v>
      </c>
      <c r="E680" s="151" t="str">
        <f>Purchase_Entry!D92</f>
        <v>Buffalo Milk</v>
      </c>
      <c r="F680" s="153">
        <v>0</v>
      </c>
      <c r="G680" s="153">
        <f>N(Purchase_Entry!N92)</f>
        <v>0</v>
      </c>
      <c r="H680" s="153">
        <f t="shared" si="10"/>
        <v>0</v>
      </c>
      <c r="I680" s="151"/>
      <c r="J680" t="str">
        <f>IF($B680="","",IF(AND($B680=Party_Statement!$B$5,$A680&gt;=Party_Statement!$B$6,$A680&lt;=Party_Statement!$D$6),SUMPRODUCT(($B$3:$B680=Party_Statement!$B$5)*($A$3:$A680&gt;=Party_Statement!$B$6)*($A$3:$A680&lt;=Party_Statement!$D$6)),""))</f>
        <v/>
      </c>
    </row>
    <row r="681" spans="1:10" x14ac:dyDescent="0.2">
      <c r="A681" s="147">
        <f>Purchase_Entry!A93</f>
        <v>66927</v>
      </c>
      <c r="B681" s="175" t="str">
        <f>Purchase_Entry!C93</f>
        <v>SANA KISAN -311</v>
      </c>
      <c r="C681" s="151" t="s">
        <v>986</v>
      </c>
      <c r="D681" s="151" t="str">
        <f>Purchase_Entry!B93</f>
        <v>BILL-5085</v>
      </c>
      <c r="E681" s="151" t="str">
        <f>Purchase_Entry!D93</f>
        <v>Mix Milk</v>
      </c>
      <c r="F681" s="153">
        <v>0</v>
      </c>
      <c r="G681" s="153">
        <f>N(Purchase_Entry!N93)</f>
        <v>13440</v>
      </c>
      <c r="H681" s="153">
        <f t="shared" si="10"/>
        <v>-13440</v>
      </c>
      <c r="I681" s="151"/>
      <c r="J681" t="str">
        <f>IF($B681="","",IF(AND($B681=Party_Statement!$B$5,$A681&gt;=Party_Statement!$B$6,$A681&lt;=Party_Statement!$D$6),SUMPRODUCT(($B$3:$B681=Party_Statement!$B$5)*($A$3:$A681&gt;=Party_Statement!$B$6)*($A$3:$A681&lt;=Party_Statement!$D$6)),""))</f>
        <v/>
      </c>
    </row>
    <row r="682" spans="1:10" x14ac:dyDescent="0.2">
      <c r="A682" s="147">
        <f>Purchase_Entry!A94</f>
        <v>66927</v>
      </c>
      <c r="B682" s="175" t="str">
        <f>Purchase_Entry!C94</f>
        <v>BODESH 310</v>
      </c>
      <c r="C682" s="151" t="s">
        <v>986</v>
      </c>
      <c r="D682" s="151" t="str">
        <f>Purchase_Entry!B94</f>
        <v>BILL-5086</v>
      </c>
      <c r="E682" s="151" t="str">
        <f>Purchase_Entry!D94</f>
        <v>Buffalo Milk</v>
      </c>
      <c r="F682" s="153">
        <v>0</v>
      </c>
      <c r="G682" s="153">
        <f>N(Purchase_Entry!N94)</f>
        <v>6000</v>
      </c>
      <c r="H682" s="153">
        <f t="shared" si="10"/>
        <v>-6000</v>
      </c>
      <c r="I682" s="151"/>
      <c r="J682" t="str">
        <f>IF($B682="","",IF(AND($B682=Party_Statement!$B$5,$A682&gt;=Party_Statement!$B$6,$A682&lt;=Party_Statement!$D$6),SUMPRODUCT(($B$3:$B682=Party_Statement!$B$5)*($A$3:$A682&gt;=Party_Statement!$B$6)*($A$3:$A682&lt;=Party_Statement!$D$6)),""))</f>
        <v/>
      </c>
    </row>
    <row r="683" spans="1:10" x14ac:dyDescent="0.2">
      <c r="A683" s="147">
        <f>Purchase_Entry!A95</f>
        <v>66928</v>
      </c>
      <c r="B683" s="175" t="str">
        <f>Purchase_Entry!C95</f>
        <v xml:space="preserve">MODERN AGRO  -315 </v>
      </c>
      <c r="C683" s="151" t="s">
        <v>986</v>
      </c>
      <c r="D683" s="151" t="str">
        <f>Purchase_Entry!B95</f>
        <v>BILL-5087</v>
      </c>
      <c r="E683" s="151" t="str">
        <f>Purchase_Entry!D95</f>
        <v>Cow Milk</v>
      </c>
      <c r="F683" s="153">
        <v>0</v>
      </c>
      <c r="G683" s="153">
        <f>N(Purchase_Entry!N95)</f>
        <v>4997.5455000000002</v>
      </c>
      <c r="H683" s="153">
        <f t="shared" si="10"/>
        <v>-4997.5455000000002</v>
      </c>
      <c r="I683" s="151"/>
      <c r="J683" t="str">
        <f>IF($B683="","",IF(AND($B683=Party_Statement!$B$5,$A683&gt;=Party_Statement!$B$6,$A683&lt;=Party_Statement!$D$6),SUMPRODUCT(($B$3:$B683=Party_Statement!$B$5)*($A$3:$A683&gt;=Party_Statement!$B$6)*($A$3:$A683&lt;=Party_Statement!$D$6)),""))</f>
        <v/>
      </c>
    </row>
    <row r="684" spans="1:10" x14ac:dyDescent="0.2">
      <c r="A684" s="147">
        <f>Purchase_Entry!A96</f>
        <v>66928</v>
      </c>
      <c r="B684" s="175" t="str">
        <f>Purchase_Entry!C96</f>
        <v xml:space="preserve">MODERN AGRO  -315 </v>
      </c>
      <c r="C684" s="151" t="s">
        <v>986</v>
      </c>
      <c r="D684" s="151" t="str">
        <f>Purchase_Entry!B96</f>
        <v>BILL-5088</v>
      </c>
      <c r="E684" s="151" t="str">
        <f>Purchase_Entry!D96</f>
        <v>Buffalo Milk</v>
      </c>
      <c r="F684" s="153">
        <v>0</v>
      </c>
      <c r="G684" s="153">
        <f>N(Purchase_Entry!N96)</f>
        <v>2996.0780000000004</v>
      </c>
      <c r="H684" s="153">
        <f t="shared" si="10"/>
        <v>-7993.6235000000006</v>
      </c>
      <c r="I684" s="151"/>
      <c r="J684" t="str">
        <f>IF($B684="","",IF(AND($B684=Party_Statement!$B$5,$A684&gt;=Party_Statement!$B$6,$A684&lt;=Party_Statement!$D$6),SUMPRODUCT(($B$3:$B684=Party_Statement!$B$5)*($A$3:$A684&gt;=Party_Statement!$B$6)*($A$3:$A684&lt;=Party_Statement!$D$6)),""))</f>
        <v/>
      </c>
    </row>
    <row r="685" spans="1:10" x14ac:dyDescent="0.2">
      <c r="A685" s="147">
        <f>Purchase_Entry!A97</f>
        <v>66928</v>
      </c>
      <c r="B685" s="175" t="str">
        <f>Purchase_Entry!C97</f>
        <v>NAWA DURGA -317</v>
      </c>
      <c r="C685" s="151" t="s">
        <v>986</v>
      </c>
      <c r="D685" s="151" t="str">
        <f>Purchase_Entry!B97</f>
        <v>BILL-5089</v>
      </c>
      <c r="E685" s="151" t="str">
        <f>Purchase_Entry!D97</f>
        <v>Cow Milk</v>
      </c>
      <c r="F685" s="153">
        <v>0</v>
      </c>
      <c r="G685" s="153">
        <f>N(Purchase_Entry!N97)</f>
        <v>1997.4150000000002</v>
      </c>
      <c r="H685" s="153">
        <f t="shared" si="10"/>
        <v>-1997.4150000000002</v>
      </c>
      <c r="I685" s="151"/>
      <c r="J685" t="str">
        <f>IF($B685="","",IF(AND($B685=Party_Statement!$B$5,$A685&gt;=Party_Statement!$B$6,$A685&lt;=Party_Statement!$D$6),SUMPRODUCT(($B$3:$B685=Party_Statement!$B$5)*($A$3:$A685&gt;=Party_Statement!$B$6)*($A$3:$A685&lt;=Party_Statement!$D$6)),""))</f>
        <v/>
      </c>
    </row>
    <row r="686" spans="1:10" x14ac:dyDescent="0.2">
      <c r="A686" s="147">
        <f>Purchase_Entry!A98</f>
        <v>66928</v>
      </c>
      <c r="B686" s="175" t="str">
        <f>Purchase_Entry!C98</f>
        <v>PARSURAM THARU -333</v>
      </c>
      <c r="C686" s="151" t="s">
        <v>986</v>
      </c>
      <c r="D686" s="151" t="str">
        <f>Purchase_Entry!B98</f>
        <v>BILL-5090</v>
      </c>
      <c r="E686" s="151" t="str">
        <f>Purchase_Entry!D98</f>
        <v>Cow Milk</v>
      </c>
      <c r="F686" s="153">
        <v>0</v>
      </c>
      <c r="G686" s="153">
        <f>N(Purchase_Entry!N98)</f>
        <v>571.54020000000003</v>
      </c>
      <c r="H686" s="153">
        <f t="shared" si="10"/>
        <v>-571.54020000000003</v>
      </c>
      <c r="I686" s="151"/>
      <c r="J686" t="str">
        <f>IF($B686="","",IF(AND($B686=Party_Statement!$B$5,$A686&gt;=Party_Statement!$B$6,$A686&lt;=Party_Statement!$D$6),SUMPRODUCT(($B$3:$B686=Party_Statement!$B$5)*($A$3:$A686&gt;=Party_Statement!$B$6)*($A$3:$A686&lt;=Party_Statement!$D$6)),""))</f>
        <v/>
      </c>
    </row>
    <row r="687" spans="1:10" x14ac:dyDescent="0.2">
      <c r="A687" s="147">
        <f>Purchase_Entry!A99</f>
        <v>66928</v>
      </c>
      <c r="B687" s="175" t="str">
        <f>Purchase_Entry!C99</f>
        <v>MINA LAMICHHANE 322</v>
      </c>
      <c r="C687" s="151" t="s">
        <v>986</v>
      </c>
      <c r="D687" s="151" t="str">
        <f>Purchase_Entry!B99</f>
        <v>BILL-5091</v>
      </c>
      <c r="E687" s="151" t="str">
        <f>Purchase_Entry!D99</f>
        <v>Cow Milk</v>
      </c>
      <c r="F687" s="153">
        <v>0</v>
      </c>
      <c r="G687" s="153">
        <f>N(Purchase_Entry!N99)</f>
        <v>445.625</v>
      </c>
      <c r="H687" s="153">
        <f t="shared" si="10"/>
        <v>-445.625</v>
      </c>
      <c r="I687" s="151"/>
      <c r="J687" t="str">
        <f>IF($B687="","",IF(AND($B687=Party_Statement!$B$5,$A687&gt;=Party_Statement!$B$6,$A687&lt;=Party_Statement!$D$6),SUMPRODUCT(($B$3:$B687=Party_Statement!$B$5)*($A$3:$A687&gt;=Party_Statement!$B$6)*($A$3:$A687&lt;=Party_Statement!$D$6)),""))</f>
        <v/>
      </c>
    </row>
    <row r="688" spans="1:10" x14ac:dyDescent="0.2">
      <c r="A688" s="147">
        <f>Purchase_Entry!A100</f>
        <v>66928</v>
      </c>
      <c r="B688" s="175" t="str">
        <f>Purchase_Entry!C100</f>
        <v>BASUDEV DAIRY 316</v>
      </c>
      <c r="C688" s="151" t="s">
        <v>986</v>
      </c>
      <c r="D688" s="151" t="str">
        <f>Purchase_Entry!B100</f>
        <v>BILL-5092</v>
      </c>
      <c r="E688" s="151" t="str">
        <f>Purchase_Entry!D100</f>
        <v>Buffalo Milk</v>
      </c>
      <c r="F688" s="153">
        <v>0</v>
      </c>
      <c r="G688" s="153">
        <f>N(Purchase_Entry!N100)</f>
        <v>20088</v>
      </c>
      <c r="H688" s="153">
        <f t="shared" si="10"/>
        <v>-20088</v>
      </c>
      <c r="I688" s="151"/>
      <c r="J688" t="str">
        <f>IF($B688="","",IF(AND($B688=Party_Statement!$B$5,$A688&gt;=Party_Statement!$B$6,$A688&lt;=Party_Statement!$D$6),SUMPRODUCT(($B$3:$B688=Party_Statement!$B$5)*($A$3:$A688&gt;=Party_Statement!$B$6)*($A$3:$A688&lt;=Party_Statement!$D$6)),""))</f>
        <v/>
      </c>
    </row>
    <row r="689" spans="1:10" x14ac:dyDescent="0.2">
      <c r="A689" s="147">
        <f>Purchase_Entry!A101</f>
        <v>66928</v>
      </c>
      <c r="B689" s="175" t="str">
        <f>Purchase_Entry!C101</f>
        <v>SANA KISAN -311</v>
      </c>
      <c r="C689" s="151" t="s">
        <v>986</v>
      </c>
      <c r="D689" s="151" t="str">
        <f>Purchase_Entry!B101</f>
        <v>BILL-5093</v>
      </c>
      <c r="E689" s="151" t="str">
        <f>Purchase_Entry!D101</f>
        <v>Mix Milk</v>
      </c>
      <c r="F689" s="153">
        <v>0</v>
      </c>
      <c r="G689" s="153">
        <f>N(Purchase_Entry!N101)</f>
        <v>13440</v>
      </c>
      <c r="H689" s="153">
        <f t="shared" si="10"/>
        <v>-13440</v>
      </c>
      <c r="I689" s="151"/>
      <c r="J689" t="str">
        <f>IF($B689="","",IF(AND($B689=Party_Statement!$B$5,$A689&gt;=Party_Statement!$B$6,$A689&lt;=Party_Statement!$D$6),SUMPRODUCT(($B$3:$B689=Party_Statement!$B$5)*($A$3:$A689&gt;=Party_Statement!$B$6)*($A$3:$A689&lt;=Party_Statement!$D$6)),""))</f>
        <v/>
      </c>
    </row>
    <row r="690" spans="1:10" x14ac:dyDescent="0.2">
      <c r="A690" s="147">
        <f>Purchase_Entry!A102</f>
        <v>66928</v>
      </c>
      <c r="B690" s="175" t="str">
        <f>Purchase_Entry!C102</f>
        <v>BODESH 310</v>
      </c>
      <c r="C690" s="151" t="s">
        <v>986</v>
      </c>
      <c r="D690" s="151" t="str">
        <f>Purchase_Entry!B102</f>
        <v>BILL-5094</v>
      </c>
      <c r="E690" s="151" t="str">
        <f>Purchase_Entry!D102</f>
        <v>Buffalo Milk</v>
      </c>
      <c r="F690" s="153">
        <v>0</v>
      </c>
      <c r="G690" s="153">
        <f>N(Purchase_Entry!N102)</f>
        <v>11250</v>
      </c>
      <c r="H690" s="153">
        <f t="shared" si="10"/>
        <v>-11250</v>
      </c>
      <c r="I690" s="151"/>
      <c r="J690" t="str">
        <f>IF($B690="","",IF(AND($B690=Party_Statement!$B$5,$A690&gt;=Party_Statement!$B$6,$A690&lt;=Party_Statement!$D$6),SUMPRODUCT(($B$3:$B690=Party_Statement!$B$5)*($A$3:$A690&gt;=Party_Statement!$B$6)*($A$3:$A690&lt;=Party_Statement!$D$6)),""))</f>
        <v/>
      </c>
    </row>
    <row r="691" spans="1:10" x14ac:dyDescent="0.2">
      <c r="A691" s="147">
        <f>Purchase_Entry!A103</f>
        <v>66929</v>
      </c>
      <c r="B691" s="175" t="str">
        <f>Purchase_Entry!C103</f>
        <v xml:space="preserve">MODERN AGRO  -315 </v>
      </c>
      <c r="C691" s="151" t="s">
        <v>986</v>
      </c>
      <c r="D691" s="151" t="str">
        <f>Purchase_Entry!B103</f>
        <v>BILL-5095</v>
      </c>
      <c r="E691" s="151" t="str">
        <f>Purchase_Entry!D103</f>
        <v>Cow Milk</v>
      </c>
      <c r="F691" s="153">
        <v>0</v>
      </c>
      <c r="G691" s="153">
        <f>N(Purchase_Entry!N103)</f>
        <v>2503.9050000000002</v>
      </c>
      <c r="H691" s="153">
        <f t="shared" si="10"/>
        <v>-2503.9050000000002</v>
      </c>
      <c r="I691" s="151"/>
      <c r="J691" t="str">
        <f>IF($B691="","",IF(AND($B691=Party_Statement!$B$5,$A691&gt;=Party_Statement!$B$6,$A691&lt;=Party_Statement!$D$6),SUMPRODUCT(($B$3:$B691=Party_Statement!$B$5)*($A$3:$A691&gt;=Party_Statement!$B$6)*($A$3:$A691&lt;=Party_Statement!$D$6)),""))</f>
        <v/>
      </c>
    </row>
    <row r="692" spans="1:10" x14ac:dyDescent="0.2">
      <c r="A692" s="147">
        <f>Purchase_Entry!A104</f>
        <v>66929</v>
      </c>
      <c r="B692" s="175" t="str">
        <f>Purchase_Entry!C104</f>
        <v xml:space="preserve">MODERN AGRO  -315 </v>
      </c>
      <c r="C692" s="151" t="s">
        <v>986</v>
      </c>
      <c r="D692" s="151" t="str">
        <f>Purchase_Entry!B104</f>
        <v>BILL-5096</v>
      </c>
      <c r="E692" s="151" t="str">
        <f>Purchase_Entry!D104</f>
        <v>Buffalo Milk</v>
      </c>
      <c r="F692" s="153">
        <v>0</v>
      </c>
      <c r="G692" s="153">
        <f>N(Purchase_Entry!N104)</f>
        <v>5712.9134000000004</v>
      </c>
      <c r="H692" s="153">
        <f t="shared" si="10"/>
        <v>-8216.8184000000001</v>
      </c>
      <c r="I692" s="151"/>
      <c r="J692" t="str">
        <f>IF($B692="","",IF(AND($B692=Party_Statement!$B$5,$A692&gt;=Party_Statement!$B$6,$A692&lt;=Party_Statement!$D$6),SUMPRODUCT(($B$3:$B692=Party_Statement!$B$5)*($A$3:$A692&gt;=Party_Statement!$B$6)*($A$3:$A692&lt;=Party_Statement!$D$6)),""))</f>
        <v/>
      </c>
    </row>
    <row r="693" spans="1:10" x14ac:dyDescent="0.2">
      <c r="A693" s="147">
        <f>Purchase_Entry!A105</f>
        <v>66929</v>
      </c>
      <c r="B693" s="175" t="str">
        <f>Purchase_Entry!C105</f>
        <v>NAWA DURGA -317</v>
      </c>
      <c r="C693" s="151" t="s">
        <v>986</v>
      </c>
      <c r="D693" s="151" t="str">
        <f>Purchase_Entry!B105</f>
        <v>BILL-5097</v>
      </c>
      <c r="E693" s="151" t="str">
        <f>Purchase_Entry!D105</f>
        <v>Cow Milk</v>
      </c>
      <c r="F693" s="153">
        <v>0</v>
      </c>
      <c r="G693" s="153">
        <f>N(Purchase_Entry!N105)</f>
        <v>2111.6799999999998</v>
      </c>
      <c r="H693" s="153">
        <f t="shared" si="10"/>
        <v>-2111.6799999999998</v>
      </c>
      <c r="I693" s="151"/>
      <c r="J693" t="str">
        <f>IF($B693="","",IF(AND($B693=Party_Statement!$B$5,$A693&gt;=Party_Statement!$B$6,$A693&lt;=Party_Statement!$D$6),SUMPRODUCT(($B$3:$B693=Party_Statement!$B$5)*($A$3:$A693&gt;=Party_Statement!$B$6)*($A$3:$A693&lt;=Party_Statement!$D$6)),""))</f>
        <v/>
      </c>
    </row>
    <row r="694" spans="1:10" x14ac:dyDescent="0.2">
      <c r="A694" s="147">
        <f>Purchase_Entry!A106</f>
        <v>66929</v>
      </c>
      <c r="B694" s="175" t="str">
        <f>Purchase_Entry!C106</f>
        <v>PARSURAM THARU -333</v>
      </c>
      <c r="C694" s="151" t="s">
        <v>986</v>
      </c>
      <c r="D694" s="151" t="str">
        <f>Purchase_Entry!B106</f>
        <v>BILL-5098</v>
      </c>
      <c r="E694" s="151" t="str">
        <f>Purchase_Entry!D106</f>
        <v>Cow Milk</v>
      </c>
      <c r="F694" s="153">
        <v>0</v>
      </c>
      <c r="G694" s="153">
        <f>N(Purchase_Entry!N106)</f>
        <v>572.17655000000002</v>
      </c>
      <c r="H694" s="153">
        <f t="shared" si="10"/>
        <v>-572.17655000000002</v>
      </c>
      <c r="I694" s="151"/>
      <c r="J694" t="str">
        <f>IF($B694="","",IF(AND($B694=Party_Statement!$B$5,$A694&gt;=Party_Statement!$B$6,$A694&lt;=Party_Statement!$D$6),SUMPRODUCT(($B$3:$B694=Party_Statement!$B$5)*($A$3:$A694&gt;=Party_Statement!$B$6)*($A$3:$A694&lt;=Party_Statement!$D$6)),""))</f>
        <v/>
      </c>
    </row>
    <row r="695" spans="1:10" x14ac:dyDescent="0.2">
      <c r="A695" s="147">
        <f>Purchase_Entry!A107</f>
        <v>66929</v>
      </c>
      <c r="B695" s="175" t="str">
        <f>Purchase_Entry!C107</f>
        <v>MINA LAMICHHANE 322</v>
      </c>
      <c r="C695" s="151" t="s">
        <v>986</v>
      </c>
      <c r="D695" s="151" t="str">
        <f>Purchase_Entry!B107</f>
        <v>BILL-5099</v>
      </c>
      <c r="E695" s="151" t="str">
        <f>Purchase_Entry!D107</f>
        <v>Cow Milk</v>
      </c>
      <c r="F695" s="153">
        <v>0</v>
      </c>
      <c r="G695" s="153">
        <f>N(Purchase_Entry!N107)</f>
        <v>418.45839999999998</v>
      </c>
      <c r="H695" s="153">
        <f t="shared" si="10"/>
        <v>-418.45839999999998</v>
      </c>
      <c r="I695" s="151"/>
      <c r="J695" t="str">
        <f>IF($B695="","",IF(AND($B695=Party_Statement!$B$5,$A695&gt;=Party_Statement!$B$6,$A695&lt;=Party_Statement!$D$6),SUMPRODUCT(($B$3:$B695=Party_Statement!$B$5)*($A$3:$A695&gt;=Party_Statement!$B$6)*($A$3:$A695&lt;=Party_Statement!$D$6)),""))</f>
        <v/>
      </c>
    </row>
    <row r="696" spans="1:10" x14ac:dyDescent="0.2">
      <c r="A696" s="147">
        <f>Purchase_Entry!A108</f>
        <v>66929</v>
      </c>
      <c r="B696" s="175" t="str">
        <f>Purchase_Entry!C108</f>
        <v>BASUDEV DAIRY 316</v>
      </c>
      <c r="C696" s="151" t="s">
        <v>986</v>
      </c>
      <c r="D696" s="151" t="str">
        <f>Purchase_Entry!B108</f>
        <v>BILL-5100</v>
      </c>
      <c r="E696" s="151" t="str">
        <f>Purchase_Entry!D108</f>
        <v>Buffalo Milk</v>
      </c>
      <c r="F696" s="153">
        <v>0</v>
      </c>
      <c r="G696" s="153">
        <f>N(Purchase_Entry!N108)</f>
        <v>0</v>
      </c>
      <c r="H696" s="153">
        <f t="shared" si="10"/>
        <v>0</v>
      </c>
      <c r="I696" s="151"/>
      <c r="J696" t="str">
        <f>IF($B696="","",IF(AND($B696=Party_Statement!$B$5,$A696&gt;=Party_Statement!$B$6,$A696&lt;=Party_Statement!$D$6),SUMPRODUCT(($B$3:$B696=Party_Statement!$B$5)*($A$3:$A696&gt;=Party_Statement!$B$6)*($A$3:$A696&lt;=Party_Statement!$D$6)),""))</f>
        <v/>
      </c>
    </row>
    <row r="697" spans="1:10" x14ac:dyDescent="0.2">
      <c r="A697" s="147">
        <f>Purchase_Entry!A109</f>
        <v>66929</v>
      </c>
      <c r="B697" s="175" t="str">
        <f>Purchase_Entry!C109</f>
        <v>SANA KISAN -311</v>
      </c>
      <c r="C697" s="151" t="s">
        <v>986</v>
      </c>
      <c r="D697" s="151" t="str">
        <f>Purchase_Entry!B109</f>
        <v>BILL-5101</v>
      </c>
      <c r="E697" s="151" t="str">
        <f>Purchase_Entry!D109</f>
        <v>Mix Milk</v>
      </c>
      <c r="F697" s="153">
        <v>0</v>
      </c>
      <c r="G697" s="153">
        <f>N(Purchase_Entry!N109)</f>
        <v>0</v>
      </c>
      <c r="H697" s="153">
        <f t="shared" si="10"/>
        <v>0</v>
      </c>
      <c r="I697" s="151"/>
      <c r="J697" t="str">
        <f>IF($B697="","",IF(AND($B697=Party_Statement!$B$5,$A697&gt;=Party_Statement!$B$6,$A697&lt;=Party_Statement!$D$6),SUMPRODUCT(($B$3:$B697=Party_Statement!$B$5)*($A$3:$A697&gt;=Party_Statement!$B$6)*($A$3:$A697&lt;=Party_Statement!$D$6)),""))</f>
        <v/>
      </c>
    </row>
    <row r="698" spans="1:10" x14ac:dyDescent="0.2">
      <c r="A698" s="147">
        <f>Purchase_Entry!A110</f>
        <v>66929</v>
      </c>
      <c r="B698" s="175" t="str">
        <f>Purchase_Entry!C110</f>
        <v>BODESH 310</v>
      </c>
      <c r="C698" s="151" t="s">
        <v>986</v>
      </c>
      <c r="D698" s="151" t="str">
        <f>Purchase_Entry!B110</f>
        <v>BILL-5102</v>
      </c>
      <c r="E698" s="151" t="str">
        <f>Purchase_Entry!D110</f>
        <v>Buffalo Milk</v>
      </c>
      <c r="F698" s="153">
        <v>0</v>
      </c>
      <c r="G698" s="153">
        <f>N(Purchase_Entry!N110)</f>
        <v>9000</v>
      </c>
      <c r="H698" s="153">
        <f t="shared" si="10"/>
        <v>-9000</v>
      </c>
      <c r="I698" s="151"/>
      <c r="J698" t="str">
        <f>IF($B698="","",IF(AND($B698=Party_Statement!$B$5,$A698&gt;=Party_Statement!$B$6,$A698&lt;=Party_Statement!$D$6),SUMPRODUCT(($B$3:$B698=Party_Statement!$B$5)*($A$3:$A698&gt;=Party_Statement!$B$6)*($A$3:$A698&lt;=Party_Statement!$D$6)),""))</f>
        <v/>
      </c>
    </row>
    <row r="699" spans="1:10" x14ac:dyDescent="0.2">
      <c r="A699" s="147">
        <f>Purchase_Entry!A111</f>
        <v>66930</v>
      </c>
      <c r="B699" s="175" t="str">
        <f>Purchase_Entry!C111</f>
        <v xml:space="preserve">MODERN AGRO  -315 </v>
      </c>
      <c r="C699" s="151" t="s">
        <v>986</v>
      </c>
      <c r="D699" s="151" t="str">
        <f>Purchase_Entry!B111</f>
        <v>BILL-5103</v>
      </c>
      <c r="E699" s="151" t="str">
        <f>Purchase_Entry!D111</f>
        <v>Cow Milk</v>
      </c>
      <c r="F699" s="153">
        <v>0</v>
      </c>
      <c r="G699" s="153">
        <f>N(Purchase_Entry!N111)</f>
        <v>4735.2330000000002</v>
      </c>
      <c r="H699" s="153">
        <f t="shared" si="10"/>
        <v>-4735.2330000000002</v>
      </c>
      <c r="I699" s="151"/>
      <c r="J699" t="str">
        <f>IF($B699="","",IF(AND($B699=Party_Statement!$B$5,$A699&gt;=Party_Statement!$B$6,$A699&lt;=Party_Statement!$D$6),SUMPRODUCT(($B$3:$B699=Party_Statement!$B$5)*($A$3:$A699&gt;=Party_Statement!$B$6)*($A$3:$A699&lt;=Party_Statement!$D$6)),""))</f>
        <v/>
      </c>
    </row>
    <row r="700" spans="1:10" x14ac:dyDescent="0.2">
      <c r="A700" s="147">
        <f>Purchase_Entry!A112</f>
        <v>66930</v>
      </c>
      <c r="B700" s="175" t="str">
        <f>Purchase_Entry!C112</f>
        <v xml:space="preserve">MODERN AGRO  -315 </v>
      </c>
      <c r="C700" s="151" t="s">
        <v>986</v>
      </c>
      <c r="D700" s="151" t="str">
        <f>Purchase_Entry!B112</f>
        <v>BILL-5104</v>
      </c>
      <c r="E700" s="151" t="str">
        <f>Purchase_Entry!D112</f>
        <v>Buffalo Milk</v>
      </c>
      <c r="F700" s="153">
        <v>0</v>
      </c>
      <c r="G700" s="153">
        <f>N(Purchase_Entry!N112)</f>
        <v>2999.4727999999996</v>
      </c>
      <c r="H700" s="153">
        <f t="shared" si="10"/>
        <v>-7734.7057999999997</v>
      </c>
      <c r="I700" s="151"/>
      <c r="J700" t="str">
        <f>IF($B700="","",IF(AND($B700=Party_Statement!$B$5,$A700&gt;=Party_Statement!$B$6,$A700&lt;=Party_Statement!$D$6),SUMPRODUCT(($B$3:$B700=Party_Statement!$B$5)*($A$3:$A700&gt;=Party_Statement!$B$6)*($A$3:$A700&lt;=Party_Statement!$D$6)),""))</f>
        <v/>
      </c>
    </row>
    <row r="701" spans="1:10" x14ac:dyDescent="0.2">
      <c r="A701" s="147">
        <f>Purchase_Entry!A113</f>
        <v>66930</v>
      </c>
      <c r="B701" s="175" t="str">
        <f>Purchase_Entry!C113</f>
        <v>NAWA DURGA -317</v>
      </c>
      <c r="C701" s="151" t="s">
        <v>986</v>
      </c>
      <c r="D701" s="151" t="str">
        <f>Purchase_Entry!B113</f>
        <v>BILL-5105</v>
      </c>
      <c r="E701" s="151" t="str">
        <f>Purchase_Entry!D113</f>
        <v>Cow Milk</v>
      </c>
      <c r="F701" s="153">
        <v>0</v>
      </c>
      <c r="G701" s="153">
        <f>N(Purchase_Entry!N113)</f>
        <v>2284.625</v>
      </c>
      <c r="H701" s="153">
        <f t="shared" si="10"/>
        <v>-2284.625</v>
      </c>
      <c r="I701" s="151"/>
      <c r="J701" t="str">
        <f>IF($B701="","",IF(AND($B701=Party_Statement!$B$5,$A701&gt;=Party_Statement!$B$6,$A701&lt;=Party_Statement!$D$6),SUMPRODUCT(($B$3:$B701=Party_Statement!$B$5)*($A$3:$A701&gt;=Party_Statement!$B$6)*($A$3:$A701&lt;=Party_Statement!$D$6)),""))</f>
        <v/>
      </c>
    </row>
    <row r="702" spans="1:10" x14ac:dyDescent="0.2">
      <c r="A702" s="147">
        <f>Purchase_Entry!A114</f>
        <v>66930</v>
      </c>
      <c r="B702" s="175" t="str">
        <f>Purchase_Entry!C114</f>
        <v>PARSURAM THARU -333</v>
      </c>
      <c r="C702" s="151" t="s">
        <v>986</v>
      </c>
      <c r="D702" s="151" t="str">
        <f>Purchase_Entry!B114</f>
        <v>BILL-5106</v>
      </c>
      <c r="E702" s="151" t="str">
        <f>Purchase_Entry!D114</f>
        <v>Cow Milk</v>
      </c>
      <c r="F702" s="153">
        <v>0</v>
      </c>
      <c r="G702" s="153">
        <f>N(Purchase_Entry!N114)</f>
        <v>527.76019999999994</v>
      </c>
      <c r="H702" s="153">
        <f t="shared" si="10"/>
        <v>-527.76019999999994</v>
      </c>
      <c r="I702" s="151"/>
      <c r="J702" t="str">
        <f>IF($B702="","",IF(AND($B702=Party_Statement!$B$5,$A702&gt;=Party_Statement!$B$6,$A702&lt;=Party_Statement!$D$6),SUMPRODUCT(($B$3:$B702=Party_Statement!$B$5)*($A$3:$A702&gt;=Party_Statement!$B$6)*($A$3:$A702&lt;=Party_Statement!$D$6)),""))</f>
        <v/>
      </c>
    </row>
    <row r="703" spans="1:10" x14ac:dyDescent="0.2">
      <c r="A703" s="147">
        <f>Purchase_Entry!A115</f>
        <v>66930</v>
      </c>
      <c r="B703" s="175" t="str">
        <f>Purchase_Entry!C115</f>
        <v>MINA LAMICHHANE 322</v>
      </c>
      <c r="C703" s="151" t="s">
        <v>986</v>
      </c>
      <c r="D703" s="151" t="str">
        <f>Purchase_Entry!B115</f>
        <v>BILL-5107</v>
      </c>
      <c r="E703" s="151" t="str">
        <f>Purchase_Entry!D115</f>
        <v>Cow Milk</v>
      </c>
      <c r="F703" s="153">
        <v>0</v>
      </c>
      <c r="G703" s="153">
        <f>N(Purchase_Entry!N115)</f>
        <v>404.7568</v>
      </c>
      <c r="H703" s="153">
        <f t="shared" si="10"/>
        <v>-404.7568</v>
      </c>
      <c r="I703" s="151"/>
      <c r="J703" t="str">
        <f>IF($B703="","",IF(AND($B703=Party_Statement!$B$5,$A703&gt;=Party_Statement!$B$6,$A703&lt;=Party_Statement!$D$6),SUMPRODUCT(($B$3:$B703=Party_Statement!$B$5)*($A$3:$A703&gt;=Party_Statement!$B$6)*($A$3:$A703&lt;=Party_Statement!$D$6)),""))</f>
        <v/>
      </c>
    </row>
    <row r="704" spans="1:10" x14ac:dyDescent="0.2">
      <c r="A704" s="147">
        <f>Purchase_Entry!A116</f>
        <v>66930</v>
      </c>
      <c r="B704" s="175" t="str">
        <f>Purchase_Entry!C116</f>
        <v>BASUDEV DAIRY 316</v>
      </c>
      <c r="C704" s="151" t="s">
        <v>986</v>
      </c>
      <c r="D704" s="151" t="str">
        <f>Purchase_Entry!B116</f>
        <v>BILL-5108</v>
      </c>
      <c r="E704" s="151" t="str">
        <f>Purchase_Entry!D116</f>
        <v>Buffalo Milk</v>
      </c>
      <c r="F704" s="153">
        <v>0</v>
      </c>
      <c r="G704" s="153">
        <f>N(Purchase_Entry!N116)</f>
        <v>22320</v>
      </c>
      <c r="H704" s="153">
        <f t="shared" si="10"/>
        <v>-22320</v>
      </c>
      <c r="I704" s="151"/>
      <c r="J704" t="str">
        <f>IF($B704="","",IF(AND($B704=Party_Statement!$B$5,$A704&gt;=Party_Statement!$B$6,$A704&lt;=Party_Statement!$D$6),SUMPRODUCT(($B$3:$B704=Party_Statement!$B$5)*($A$3:$A704&gt;=Party_Statement!$B$6)*($A$3:$A704&lt;=Party_Statement!$D$6)),""))</f>
        <v/>
      </c>
    </row>
    <row r="705" spans="1:10" x14ac:dyDescent="0.2">
      <c r="A705" s="147">
        <f>Purchase_Entry!A117</f>
        <v>66930</v>
      </c>
      <c r="B705" s="175" t="str">
        <f>Purchase_Entry!C117</f>
        <v>SANA KISAN -311</v>
      </c>
      <c r="C705" s="151" t="s">
        <v>986</v>
      </c>
      <c r="D705" s="151" t="str">
        <f>Purchase_Entry!B117</f>
        <v>BILL-5109</v>
      </c>
      <c r="E705" s="151" t="str">
        <f>Purchase_Entry!D117</f>
        <v>Mix Milk</v>
      </c>
      <c r="F705" s="153">
        <v>0</v>
      </c>
      <c r="G705" s="153">
        <f>N(Purchase_Entry!N117)</f>
        <v>0</v>
      </c>
      <c r="H705" s="153">
        <f t="shared" si="10"/>
        <v>0</v>
      </c>
      <c r="I705" s="151"/>
      <c r="J705" t="str">
        <f>IF($B705="","",IF(AND($B705=Party_Statement!$B$5,$A705&gt;=Party_Statement!$B$6,$A705&lt;=Party_Statement!$D$6),SUMPRODUCT(($B$3:$B705=Party_Statement!$B$5)*($A$3:$A705&gt;=Party_Statement!$B$6)*($A$3:$A705&lt;=Party_Statement!$D$6)),""))</f>
        <v/>
      </c>
    </row>
    <row r="706" spans="1:10" x14ac:dyDescent="0.2">
      <c r="A706" s="147">
        <f>Purchase_Entry!A118</f>
        <v>66930</v>
      </c>
      <c r="B706" s="175" t="str">
        <f>Purchase_Entry!C118</f>
        <v>BODESH 310</v>
      </c>
      <c r="C706" s="151" t="s">
        <v>986</v>
      </c>
      <c r="D706" s="151" t="str">
        <f>Purchase_Entry!B118</f>
        <v>BILL-5110</v>
      </c>
      <c r="E706" s="151" t="str">
        <f>Purchase_Entry!D118</f>
        <v>Buffalo Milk</v>
      </c>
      <c r="F706" s="153">
        <v>0</v>
      </c>
      <c r="G706" s="153">
        <f>N(Purchase_Entry!N118)</f>
        <v>8250</v>
      </c>
      <c r="H706" s="153">
        <f t="shared" si="10"/>
        <v>-8250</v>
      </c>
      <c r="I706" s="151"/>
      <c r="J706" t="str">
        <f>IF($B706="","",IF(AND($B706=Party_Statement!$B$5,$A706&gt;=Party_Statement!$B$6,$A706&lt;=Party_Statement!$D$6),SUMPRODUCT(($B$3:$B706=Party_Statement!$B$5)*($A$3:$A706&gt;=Party_Statement!$B$6)*($A$3:$A706&lt;=Party_Statement!$D$6)),""))</f>
        <v/>
      </c>
    </row>
    <row r="707" spans="1:10" x14ac:dyDescent="0.2">
      <c r="A707" s="147">
        <f>Purchase_Entry!A119</f>
        <v>66931</v>
      </c>
      <c r="B707" s="175" t="str">
        <f>Purchase_Entry!C119</f>
        <v xml:space="preserve">MODERN AGRO  -315 </v>
      </c>
      <c r="C707" s="151" t="s">
        <v>986</v>
      </c>
      <c r="D707" s="151" t="str">
        <f>Purchase_Entry!B119</f>
        <v>BILL-5111</v>
      </c>
      <c r="E707" s="151" t="str">
        <f>Purchase_Entry!D119</f>
        <v>Cow Milk</v>
      </c>
      <c r="F707" s="153">
        <v>0</v>
      </c>
      <c r="G707" s="153">
        <f>N(Purchase_Entry!N119)</f>
        <v>4829.4960000000001</v>
      </c>
      <c r="H707" s="153">
        <f t="shared" si="10"/>
        <v>-4829.4960000000001</v>
      </c>
      <c r="I707" s="151"/>
      <c r="J707" t="str">
        <f>IF($B707="","",IF(AND($B707=Party_Statement!$B$5,$A707&gt;=Party_Statement!$B$6,$A707&lt;=Party_Statement!$D$6),SUMPRODUCT(($B$3:$B707=Party_Statement!$B$5)*($A$3:$A707&gt;=Party_Statement!$B$6)*($A$3:$A707&lt;=Party_Statement!$D$6)),""))</f>
        <v/>
      </c>
    </row>
    <row r="708" spans="1:10" x14ac:dyDescent="0.2">
      <c r="A708" s="147">
        <f>Purchase_Entry!A120</f>
        <v>66931</v>
      </c>
      <c r="B708" s="175" t="str">
        <f>Purchase_Entry!C120</f>
        <v xml:space="preserve">MODERN AGRO  -315 </v>
      </c>
      <c r="C708" s="151" t="s">
        <v>986</v>
      </c>
      <c r="D708" s="151" t="str">
        <f>Purchase_Entry!B120</f>
        <v>BILL-5112</v>
      </c>
      <c r="E708" s="151" t="str">
        <f>Purchase_Entry!D120</f>
        <v>Buffalo Milk</v>
      </c>
      <c r="F708" s="153">
        <v>0</v>
      </c>
      <c r="G708" s="153">
        <f>N(Purchase_Entry!N120)</f>
        <v>3111.6080000000002</v>
      </c>
      <c r="H708" s="153">
        <f t="shared" ref="H708:H771" si="11">IF($B708="","",IF($B708=$B707,$H707+$F708-$G708,$F708-$G708))</f>
        <v>-7941.1040000000003</v>
      </c>
      <c r="I708" s="151"/>
      <c r="J708" t="str">
        <f>IF($B708="","",IF(AND($B708=Party_Statement!$B$5,$A708&gt;=Party_Statement!$B$6,$A708&lt;=Party_Statement!$D$6),SUMPRODUCT(($B$3:$B708=Party_Statement!$B$5)*($A$3:$A708&gt;=Party_Statement!$B$6)*($A$3:$A708&lt;=Party_Statement!$D$6)),""))</f>
        <v/>
      </c>
    </row>
    <row r="709" spans="1:10" x14ac:dyDescent="0.2">
      <c r="A709" s="147">
        <f>Purchase_Entry!A121</f>
        <v>66931</v>
      </c>
      <c r="B709" s="175" t="str">
        <f>Purchase_Entry!C121</f>
        <v>NAWA DURGA -317</v>
      </c>
      <c r="C709" s="151" t="s">
        <v>986</v>
      </c>
      <c r="D709" s="151" t="str">
        <f>Purchase_Entry!B121</f>
        <v>BILL-5113</v>
      </c>
      <c r="E709" s="151" t="str">
        <f>Purchase_Entry!D121</f>
        <v>Cow Milk</v>
      </c>
      <c r="F709" s="153">
        <v>0</v>
      </c>
      <c r="G709" s="153">
        <f>N(Purchase_Entry!N121)</f>
        <v>2097.12</v>
      </c>
      <c r="H709" s="153">
        <f t="shared" si="11"/>
        <v>-2097.12</v>
      </c>
      <c r="I709" s="151"/>
      <c r="J709" t="str">
        <f>IF($B709="","",IF(AND($B709=Party_Statement!$B$5,$A709&gt;=Party_Statement!$B$6,$A709&lt;=Party_Statement!$D$6),SUMPRODUCT(($B$3:$B709=Party_Statement!$B$5)*($A$3:$A709&gt;=Party_Statement!$B$6)*($A$3:$A709&lt;=Party_Statement!$D$6)),""))</f>
        <v/>
      </c>
    </row>
    <row r="710" spans="1:10" x14ac:dyDescent="0.2">
      <c r="A710" s="147">
        <f>Purchase_Entry!A122</f>
        <v>66931</v>
      </c>
      <c r="B710" s="175" t="str">
        <f>Purchase_Entry!C122</f>
        <v>PARSURAM THARU -333</v>
      </c>
      <c r="C710" s="151" t="s">
        <v>986</v>
      </c>
      <c r="D710" s="151" t="str">
        <f>Purchase_Entry!B122</f>
        <v>BILL-5114</v>
      </c>
      <c r="E710" s="151" t="str">
        <f>Purchase_Entry!D122</f>
        <v>Cow Milk</v>
      </c>
      <c r="F710" s="153">
        <v>0</v>
      </c>
      <c r="G710" s="153">
        <f>N(Purchase_Entry!N122)</f>
        <v>646.56664999999987</v>
      </c>
      <c r="H710" s="153">
        <f t="shared" si="11"/>
        <v>-646.56664999999987</v>
      </c>
      <c r="I710" s="151"/>
      <c r="J710" t="str">
        <f>IF($B710="","",IF(AND($B710=Party_Statement!$B$5,$A710&gt;=Party_Statement!$B$6,$A710&lt;=Party_Statement!$D$6),SUMPRODUCT(($B$3:$B710=Party_Statement!$B$5)*($A$3:$A710&gt;=Party_Statement!$B$6)*($A$3:$A710&lt;=Party_Statement!$D$6)),""))</f>
        <v/>
      </c>
    </row>
    <row r="711" spans="1:10" x14ac:dyDescent="0.2">
      <c r="A711" s="147">
        <f>Purchase_Entry!A123</f>
        <v>66931</v>
      </c>
      <c r="B711" s="175" t="str">
        <f>Purchase_Entry!C123</f>
        <v>MINA LAMICHHANE 322</v>
      </c>
      <c r="C711" s="151" t="s">
        <v>986</v>
      </c>
      <c r="D711" s="151" t="str">
        <f>Purchase_Entry!B123</f>
        <v>BILL-5115</v>
      </c>
      <c r="E711" s="151" t="str">
        <f>Purchase_Entry!D123</f>
        <v>Cow Milk</v>
      </c>
      <c r="F711" s="153">
        <v>0</v>
      </c>
      <c r="G711" s="153">
        <f>N(Purchase_Entry!N123)</f>
        <v>433.3950000000001</v>
      </c>
      <c r="H711" s="153">
        <f t="shared" si="11"/>
        <v>-433.3950000000001</v>
      </c>
      <c r="I711" s="151"/>
      <c r="J711" t="str">
        <f>IF($B711="","",IF(AND($B711=Party_Statement!$B$5,$A711&gt;=Party_Statement!$B$6,$A711&lt;=Party_Statement!$D$6),SUMPRODUCT(($B$3:$B711=Party_Statement!$B$5)*($A$3:$A711&gt;=Party_Statement!$B$6)*($A$3:$A711&lt;=Party_Statement!$D$6)),""))</f>
        <v/>
      </c>
    </row>
    <row r="712" spans="1:10" x14ac:dyDescent="0.2">
      <c r="A712" s="147">
        <f>Purchase_Entry!A124</f>
        <v>66931</v>
      </c>
      <c r="B712" s="175" t="str">
        <f>Purchase_Entry!C124</f>
        <v>BASUDEV DAIRY 316</v>
      </c>
      <c r="C712" s="151" t="s">
        <v>986</v>
      </c>
      <c r="D712" s="151" t="str">
        <f>Purchase_Entry!B124</f>
        <v>BILL-5116</v>
      </c>
      <c r="E712" s="151" t="str">
        <f>Purchase_Entry!D124</f>
        <v>Buffalo Milk</v>
      </c>
      <c r="F712" s="153">
        <v>0</v>
      </c>
      <c r="G712" s="153">
        <f>N(Purchase_Entry!N124)</f>
        <v>0</v>
      </c>
      <c r="H712" s="153">
        <f t="shared" si="11"/>
        <v>0</v>
      </c>
      <c r="I712" s="151"/>
      <c r="J712" t="str">
        <f>IF($B712="","",IF(AND($B712=Party_Statement!$B$5,$A712&gt;=Party_Statement!$B$6,$A712&lt;=Party_Statement!$D$6),SUMPRODUCT(($B$3:$B712=Party_Statement!$B$5)*($A$3:$A712&gt;=Party_Statement!$B$6)*($A$3:$A712&lt;=Party_Statement!$D$6)),""))</f>
        <v/>
      </c>
    </row>
    <row r="713" spans="1:10" x14ac:dyDescent="0.2">
      <c r="A713" s="147">
        <f>Purchase_Entry!A125</f>
        <v>66931</v>
      </c>
      <c r="B713" s="175" t="str">
        <f>Purchase_Entry!C125</f>
        <v>SANA KISAN -311</v>
      </c>
      <c r="C713" s="151" t="s">
        <v>986</v>
      </c>
      <c r="D713" s="151" t="str">
        <f>Purchase_Entry!B125</f>
        <v>BILL-5117</v>
      </c>
      <c r="E713" s="151" t="str">
        <f>Purchase_Entry!D125</f>
        <v>Mix Milk</v>
      </c>
      <c r="F713" s="153">
        <v>0</v>
      </c>
      <c r="G713" s="153">
        <f>N(Purchase_Entry!N125)</f>
        <v>0</v>
      </c>
      <c r="H713" s="153">
        <f t="shared" si="11"/>
        <v>0</v>
      </c>
      <c r="I713" s="151"/>
      <c r="J713" t="str">
        <f>IF($B713="","",IF(AND($B713=Party_Statement!$B$5,$A713&gt;=Party_Statement!$B$6,$A713&lt;=Party_Statement!$D$6),SUMPRODUCT(($B$3:$B713=Party_Statement!$B$5)*($A$3:$A713&gt;=Party_Statement!$B$6)*($A$3:$A713&lt;=Party_Statement!$D$6)),""))</f>
        <v/>
      </c>
    </row>
    <row r="714" spans="1:10" x14ac:dyDescent="0.2">
      <c r="A714" s="147">
        <f>Purchase_Entry!A126</f>
        <v>66931</v>
      </c>
      <c r="B714" s="175" t="str">
        <f>Purchase_Entry!C126</f>
        <v>BODESH 310</v>
      </c>
      <c r="C714" s="151" t="s">
        <v>986</v>
      </c>
      <c r="D714" s="151" t="str">
        <f>Purchase_Entry!B126</f>
        <v>BILL-5118</v>
      </c>
      <c r="E714" s="151" t="str">
        <f>Purchase_Entry!D126</f>
        <v>Buffalo Milk</v>
      </c>
      <c r="F714" s="153">
        <v>0</v>
      </c>
      <c r="G714" s="153">
        <f>N(Purchase_Entry!N126)</f>
        <v>3000</v>
      </c>
      <c r="H714" s="153">
        <f t="shared" si="11"/>
        <v>-3000</v>
      </c>
      <c r="I714" s="151"/>
      <c r="J714" t="str">
        <f>IF($B714="","",IF(AND($B714=Party_Statement!$B$5,$A714&gt;=Party_Statement!$B$6,$A714&lt;=Party_Statement!$D$6),SUMPRODUCT(($B$3:$B714=Party_Statement!$B$5)*($A$3:$A714&gt;=Party_Statement!$B$6)*($A$3:$A714&lt;=Party_Statement!$D$6)),""))</f>
        <v/>
      </c>
    </row>
    <row r="715" spans="1:10" x14ac:dyDescent="0.2">
      <c r="A715" s="147" t="str">
        <f>Purchase_Entry!A127</f>
        <v>2083/03/32</v>
      </c>
      <c r="B715" s="175" t="str">
        <f>Purchase_Entry!C127</f>
        <v xml:space="preserve">MODERN AGRO  -315 </v>
      </c>
      <c r="C715" s="151" t="s">
        <v>986</v>
      </c>
      <c r="D715" s="151" t="str">
        <f>Purchase_Entry!B127</f>
        <v>BILL-5119</v>
      </c>
      <c r="E715" s="151" t="str">
        <f>Purchase_Entry!D127</f>
        <v>Cow Milk</v>
      </c>
      <c r="F715" s="153">
        <v>0</v>
      </c>
      <c r="G715" s="153">
        <f>N(Purchase_Entry!N127)</f>
        <v>2564.2000000000003</v>
      </c>
      <c r="H715" s="153">
        <f t="shared" si="11"/>
        <v>-2564.2000000000003</v>
      </c>
      <c r="I715" s="151"/>
      <c r="J715" t="str">
        <f>IF($B715="","",IF(AND($B715=Party_Statement!$B$5,$A715&gt;=Party_Statement!$B$6,$A715&lt;=Party_Statement!$D$6),SUMPRODUCT(($B$3:$B715=Party_Statement!$B$5)*($A$3:$A715&gt;=Party_Statement!$B$6)*($A$3:$A715&lt;=Party_Statement!$D$6)),""))</f>
        <v/>
      </c>
    </row>
    <row r="716" spans="1:10" x14ac:dyDescent="0.2">
      <c r="A716" s="147" t="str">
        <f>Purchase_Entry!A128</f>
        <v>2083/03/32</v>
      </c>
      <c r="B716" s="175" t="str">
        <f>Purchase_Entry!C128</f>
        <v xml:space="preserve">MODERN AGRO  -315 </v>
      </c>
      <c r="C716" s="151" t="s">
        <v>986</v>
      </c>
      <c r="D716" s="151" t="str">
        <f>Purchase_Entry!B128</f>
        <v>BILL-5120</v>
      </c>
      <c r="E716" s="151" t="str">
        <f>Purchase_Entry!D128</f>
        <v>Buffalo Milk</v>
      </c>
      <c r="F716" s="153">
        <v>0</v>
      </c>
      <c r="G716" s="153">
        <f>N(Purchase_Entry!N128)</f>
        <v>1943.3750000000005</v>
      </c>
      <c r="H716" s="153">
        <f t="shared" si="11"/>
        <v>-4507.5750000000007</v>
      </c>
      <c r="I716" s="151"/>
      <c r="J716" t="str">
        <f>IF($B716="","",IF(AND($B716=Party_Statement!$B$5,$A716&gt;=Party_Statement!$B$6,$A716&lt;=Party_Statement!$D$6),SUMPRODUCT(($B$3:$B716=Party_Statement!$B$5)*($A$3:$A716&gt;=Party_Statement!$B$6)*($A$3:$A716&lt;=Party_Statement!$D$6)),""))</f>
        <v/>
      </c>
    </row>
    <row r="717" spans="1:10" x14ac:dyDescent="0.2">
      <c r="A717" s="147" t="str">
        <f>Purchase_Entry!A129</f>
        <v>2083/03/32</v>
      </c>
      <c r="B717" s="175" t="str">
        <f>Purchase_Entry!C129</f>
        <v>NAWA DURGA -317</v>
      </c>
      <c r="C717" s="151" t="s">
        <v>986</v>
      </c>
      <c r="D717" s="151" t="str">
        <f>Purchase_Entry!B129</f>
        <v>BILL-5121</v>
      </c>
      <c r="E717" s="151" t="str">
        <f>Purchase_Entry!D129</f>
        <v>Cow Milk</v>
      </c>
      <c r="F717" s="153">
        <v>0</v>
      </c>
      <c r="G717" s="153">
        <f>N(Purchase_Entry!N129)</f>
        <v>2020.7280000000001</v>
      </c>
      <c r="H717" s="153">
        <f t="shared" si="11"/>
        <v>-2020.7280000000001</v>
      </c>
      <c r="I717" s="151"/>
      <c r="J717" t="str">
        <f>IF($B717="","",IF(AND($B717=Party_Statement!$B$5,$A717&gt;=Party_Statement!$B$6,$A717&lt;=Party_Statement!$D$6),SUMPRODUCT(($B$3:$B717=Party_Statement!$B$5)*($A$3:$A717&gt;=Party_Statement!$B$6)*($A$3:$A717&lt;=Party_Statement!$D$6)),""))</f>
        <v/>
      </c>
    </row>
    <row r="718" spans="1:10" x14ac:dyDescent="0.2">
      <c r="A718" s="147" t="str">
        <f>Purchase_Entry!A130</f>
        <v>2083/03/32</v>
      </c>
      <c r="B718" s="175" t="str">
        <f>Purchase_Entry!C130</f>
        <v>PARSURAM THARU -333</v>
      </c>
      <c r="C718" s="151" t="s">
        <v>986</v>
      </c>
      <c r="D718" s="151" t="str">
        <f>Purchase_Entry!B130</f>
        <v>BILL-5122</v>
      </c>
      <c r="E718" s="151" t="str">
        <f>Purchase_Entry!D130</f>
        <v>Cow Milk</v>
      </c>
      <c r="F718" s="153">
        <v>0</v>
      </c>
      <c r="G718" s="153">
        <f>N(Purchase_Entry!N130)</f>
        <v>628.06240000000003</v>
      </c>
      <c r="H718" s="153">
        <f t="shared" si="11"/>
        <v>-628.06240000000003</v>
      </c>
      <c r="I718" s="151"/>
      <c r="J718" t="str">
        <f>IF($B718="","",IF(AND($B718=Party_Statement!$B$5,$A718&gt;=Party_Statement!$B$6,$A718&lt;=Party_Statement!$D$6),SUMPRODUCT(($B$3:$B718=Party_Statement!$B$5)*($A$3:$A718&gt;=Party_Statement!$B$6)*($A$3:$A718&lt;=Party_Statement!$D$6)),""))</f>
        <v/>
      </c>
    </row>
    <row r="719" spans="1:10" x14ac:dyDescent="0.2">
      <c r="A719" s="147" t="str">
        <f>Purchase_Entry!A131</f>
        <v>2083/03/32</v>
      </c>
      <c r="B719" s="175" t="str">
        <f>Purchase_Entry!C131</f>
        <v>MINA LAMICHHANE 322</v>
      </c>
      <c r="C719" s="151" t="s">
        <v>986</v>
      </c>
      <c r="D719" s="151" t="str">
        <f>Purchase_Entry!B131</f>
        <v>BILL-5123</v>
      </c>
      <c r="E719" s="151" t="str">
        <f>Purchase_Entry!D131</f>
        <v>Cow Milk</v>
      </c>
      <c r="F719" s="153">
        <v>0</v>
      </c>
      <c r="G719" s="153">
        <f>N(Purchase_Entry!N131)</f>
        <v>460</v>
      </c>
      <c r="H719" s="153">
        <f t="shared" si="11"/>
        <v>-460</v>
      </c>
      <c r="I719" s="151"/>
      <c r="J719" t="str">
        <f>IF($B719="","",IF(AND($B719=Party_Statement!$B$5,$A719&gt;=Party_Statement!$B$6,$A719&lt;=Party_Statement!$D$6),SUMPRODUCT(($B$3:$B719=Party_Statement!$B$5)*($A$3:$A719&gt;=Party_Statement!$B$6)*($A$3:$A719&lt;=Party_Statement!$D$6)),""))</f>
        <v/>
      </c>
    </row>
    <row r="720" spans="1:10" x14ac:dyDescent="0.2">
      <c r="A720" s="147" t="str">
        <f>Purchase_Entry!A132</f>
        <v>2083/03/32</v>
      </c>
      <c r="B720" s="175" t="str">
        <f>Purchase_Entry!C132</f>
        <v>BASUDEV DAIRY 316</v>
      </c>
      <c r="C720" s="151" t="s">
        <v>986</v>
      </c>
      <c r="D720" s="151" t="str">
        <f>Purchase_Entry!B132</f>
        <v>BILL-5124</v>
      </c>
      <c r="E720" s="151" t="str">
        <f>Purchase_Entry!D132</f>
        <v>Buffalo Milk</v>
      </c>
      <c r="F720" s="153">
        <v>0</v>
      </c>
      <c r="G720" s="153">
        <f>N(Purchase_Entry!N132)</f>
        <v>20832</v>
      </c>
      <c r="H720" s="153">
        <f t="shared" si="11"/>
        <v>-20832</v>
      </c>
      <c r="I720" s="151"/>
      <c r="J720" t="str">
        <f>IF($B720="","",IF(AND($B720=Party_Statement!$B$5,$A720&gt;=Party_Statement!$B$6,$A720&lt;=Party_Statement!$D$6),SUMPRODUCT(($B$3:$B720=Party_Statement!$B$5)*($A$3:$A720&gt;=Party_Statement!$B$6)*($A$3:$A720&lt;=Party_Statement!$D$6)),""))</f>
        <v/>
      </c>
    </row>
    <row r="721" spans="1:10" x14ac:dyDescent="0.2">
      <c r="A721" s="147" t="str">
        <f>Purchase_Entry!A133</f>
        <v>2083/03/32</v>
      </c>
      <c r="B721" s="175" t="str">
        <f>Purchase_Entry!C133</f>
        <v>SANA KISAN -311</v>
      </c>
      <c r="C721" s="151" t="s">
        <v>986</v>
      </c>
      <c r="D721" s="151" t="str">
        <f>Purchase_Entry!B133</f>
        <v>BILL-5125</v>
      </c>
      <c r="E721" s="151" t="str">
        <f>Purchase_Entry!D133</f>
        <v>Mix Milk</v>
      </c>
      <c r="F721" s="153">
        <v>0</v>
      </c>
      <c r="G721" s="153">
        <f>N(Purchase_Entry!N133)</f>
        <v>16800</v>
      </c>
      <c r="H721" s="153">
        <f t="shared" si="11"/>
        <v>-16800</v>
      </c>
      <c r="I721" s="151"/>
      <c r="J721" t="str">
        <f>IF($B721="","",IF(AND($B721=Party_Statement!$B$5,$A721&gt;=Party_Statement!$B$6,$A721&lt;=Party_Statement!$D$6),SUMPRODUCT(($B$3:$B721=Party_Statement!$B$5)*($A$3:$A721&gt;=Party_Statement!$B$6)*($A$3:$A721&lt;=Party_Statement!$D$6)),""))</f>
        <v/>
      </c>
    </row>
    <row r="722" spans="1:10" x14ac:dyDescent="0.2">
      <c r="A722" s="147" t="str">
        <f>Purchase_Entry!A134</f>
        <v>2083/03/32</v>
      </c>
      <c r="B722" s="175" t="str">
        <f>Purchase_Entry!C134</f>
        <v>BODESH 310</v>
      </c>
      <c r="C722" s="151" t="s">
        <v>986</v>
      </c>
      <c r="D722" s="151" t="str">
        <f>Purchase_Entry!B134</f>
        <v>BILL-5126</v>
      </c>
      <c r="E722" s="151" t="str">
        <f>Purchase_Entry!D134</f>
        <v>Buffalo Milk</v>
      </c>
      <c r="F722" s="153">
        <v>0</v>
      </c>
      <c r="G722" s="153">
        <f>N(Purchase_Entry!N134)</f>
        <v>3000</v>
      </c>
      <c r="H722" s="153">
        <f t="shared" si="11"/>
        <v>-3000</v>
      </c>
      <c r="I722" s="151"/>
      <c r="J722" t="str">
        <f>IF($B722="","",IF(AND($B722=Party_Statement!$B$5,$A722&gt;=Party_Statement!$B$6,$A722&lt;=Party_Statement!$D$6),SUMPRODUCT(($B$3:$B722=Party_Statement!$B$5)*($A$3:$A722&gt;=Party_Statement!$B$6)*($A$3:$A722&lt;=Party_Statement!$D$6)),""))</f>
        <v/>
      </c>
    </row>
    <row r="723" spans="1:10" x14ac:dyDescent="0.2">
      <c r="A723" s="155" t="str">
        <f>Collection!A3</f>
        <v>2083/03/16</v>
      </c>
      <c r="B723" s="176" t="str">
        <f>Collection!C3</f>
        <v>SRIJANA DAIRY</v>
      </c>
      <c r="C723" s="156" t="str">
        <f>IF(Collection!E3="Payment","Payment","Collection")</f>
        <v>Collection</v>
      </c>
      <c r="D723" s="156">
        <f>Collection!B3</f>
        <v>3701</v>
      </c>
      <c r="E723" s="156" t="str">
        <f>Collection!I3</f>
        <v>Cash</v>
      </c>
      <c r="F723" s="157">
        <f>IF(Collection!E3="Payment",N(Collection!H3),0)</f>
        <v>0</v>
      </c>
      <c r="G723" s="157">
        <f>IF(Collection!E3="Collection",N(Collection!G3),0)</f>
        <v>10200</v>
      </c>
      <c r="H723" s="157">
        <f t="shared" si="11"/>
        <v>-10200</v>
      </c>
      <c r="I723" s="151"/>
      <c r="J723" t="str">
        <f>IF($B723="","",IF(AND($B723=Party_Statement!$B$5,$A723&gt;=Party_Statement!$B$6,$A723&lt;=Party_Statement!$D$6),SUMPRODUCT(($B$3:$B723=Party_Statement!$B$5)*($A$3:$A723&gt;=Party_Statement!$B$6)*($A$3:$A723&lt;=Party_Statement!$D$6)),""))</f>
        <v/>
      </c>
    </row>
    <row r="724" spans="1:10" x14ac:dyDescent="0.2">
      <c r="A724" s="155" t="str">
        <f>Collection!A4</f>
        <v>2083/03/16</v>
      </c>
      <c r="B724" s="176" t="str">
        <f>Collection!C4</f>
        <v>SOBHA BHATTARAI</v>
      </c>
      <c r="C724" s="156" t="str">
        <f>IF(Collection!E4="Payment","Payment","Collection")</f>
        <v>Collection</v>
      </c>
      <c r="D724" s="156">
        <f>Collection!B4</f>
        <v>3702</v>
      </c>
      <c r="E724" s="156" t="str">
        <f>Collection!I4</f>
        <v>Cash</v>
      </c>
      <c r="F724" s="157">
        <f>IF(Collection!E4="Payment",N(Collection!H4),0)</f>
        <v>0</v>
      </c>
      <c r="G724" s="157">
        <f>IF(Collection!E4="Collection",N(Collection!G4),0)</f>
        <v>1275</v>
      </c>
      <c r="H724" s="157">
        <f t="shared" si="11"/>
        <v>-1275</v>
      </c>
      <c r="I724" s="151"/>
      <c r="J724" t="str">
        <f>IF($B724="","",IF(AND($B724=Party_Statement!$B$5,$A724&gt;=Party_Statement!$B$6,$A724&lt;=Party_Statement!$D$6),SUMPRODUCT(($B$3:$B724=Party_Statement!$B$5)*($A$3:$A724&gt;=Party_Statement!$B$6)*($A$3:$A724&lt;=Party_Statement!$D$6)),""))</f>
        <v/>
      </c>
    </row>
    <row r="725" spans="1:10" x14ac:dyDescent="0.2">
      <c r="A725" s="155" t="str">
        <f>Collection!A5</f>
        <v>2083/03/16</v>
      </c>
      <c r="B725" s="176" t="str">
        <f>Collection!C5</f>
        <v>PALPALI KIRANA</v>
      </c>
      <c r="C725" s="156" t="str">
        <f>IF(Collection!E5="Payment","Payment","Collection")</f>
        <v>Collection</v>
      </c>
      <c r="D725" s="156">
        <f>Collection!B5</f>
        <v>3703</v>
      </c>
      <c r="E725" s="156" t="str">
        <f>Collection!I5</f>
        <v>Cash</v>
      </c>
      <c r="F725" s="157">
        <f>IF(Collection!E5="Payment",N(Collection!H5),0)</f>
        <v>0</v>
      </c>
      <c r="G725" s="157">
        <f>IF(Collection!E5="Collection",N(Collection!G5),0)</f>
        <v>2125</v>
      </c>
      <c r="H725" s="157">
        <f t="shared" si="11"/>
        <v>-2125</v>
      </c>
      <c r="I725" s="151"/>
      <c r="J725" t="str">
        <f>IF($B725="","",IF(AND($B725=Party_Statement!$B$5,$A725&gt;=Party_Statement!$B$6,$A725&lt;=Party_Statement!$D$6),SUMPRODUCT(($B$3:$B725=Party_Statement!$B$5)*($A$3:$A725&gt;=Party_Statement!$B$6)*($A$3:$A725&lt;=Party_Statement!$D$6)),""))</f>
        <v/>
      </c>
    </row>
    <row r="726" spans="1:10" x14ac:dyDescent="0.2">
      <c r="A726" s="155" t="str">
        <f>Collection!A6</f>
        <v>2083/03/16</v>
      </c>
      <c r="B726" s="176" t="str">
        <f>Collection!C6</f>
        <v>AAMOSH KIRANA</v>
      </c>
      <c r="C726" s="156" t="str">
        <f>IF(Collection!E6="Payment","Payment","Collection")</f>
        <v>Collection</v>
      </c>
      <c r="D726" s="156">
        <f>Collection!B6</f>
        <v>3704</v>
      </c>
      <c r="E726" s="156" t="str">
        <f>Collection!I6</f>
        <v>Cash</v>
      </c>
      <c r="F726" s="157">
        <f>IF(Collection!E6="Payment",N(Collection!H6),0)</f>
        <v>0</v>
      </c>
      <c r="G726" s="157">
        <f>IF(Collection!E6="Collection",N(Collection!G6),0)</f>
        <v>10000</v>
      </c>
      <c r="H726" s="157">
        <f t="shared" si="11"/>
        <v>-10000</v>
      </c>
      <c r="I726" s="151"/>
      <c r="J726" t="str">
        <f>IF($B726="","",IF(AND($B726=Party_Statement!$B$5,$A726&gt;=Party_Statement!$B$6,$A726&lt;=Party_Statement!$D$6),SUMPRODUCT(($B$3:$B726=Party_Statement!$B$5)*($A$3:$A726&gt;=Party_Statement!$B$6)*($A$3:$A726&lt;=Party_Statement!$D$6)),""))</f>
        <v/>
      </c>
    </row>
    <row r="727" spans="1:10" x14ac:dyDescent="0.2">
      <c r="A727" s="155" t="str">
        <f>Collection!A7</f>
        <v>2083/03/16</v>
      </c>
      <c r="B727" s="176" t="str">
        <f>Collection!C7</f>
        <v>AAYUSH AND AAYUSHMA</v>
      </c>
      <c r="C727" s="156" t="str">
        <f>IF(Collection!E7="Payment","Payment","Collection")</f>
        <v>Collection</v>
      </c>
      <c r="D727" s="156">
        <f>Collection!B7</f>
        <v>3705</v>
      </c>
      <c r="E727" s="156" t="str">
        <f>Collection!I7</f>
        <v>Cash</v>
      </c>
      <c r="F727" s="157">
        <f>IF(Collection!E7="Payment",N(Collection!H7),0)</f>
        <v>0</v>
      </c>
      <c r="G727" s="157">
        <f>IF(Collection!E7="Collection",N(Collection!G7),0)</f>
        <v>595</v>
      </c>
      <c r="H727" s="157">
        <f t="shared" si="11"/>
        <v>-595</v>
      </c>
      <c r="I727" s="151"/>
      <c r="J727" t="str">
        <f>IF($B727="","",IF(AND($B727=Party_Statement!$B$5,$A727&gt;=Party_Statement!$B$6,$A727&lt;=Party_Statement!$D$6),SUMPRODUCT(($B$3:$B727=Party_Statement!$B$5)*($A$3:$A727&gt;=Party_Statement!$B$6)*($A$3:$A727&lt;=Party_Statement!$D$6)),""))</f>
        <v/>
      </c>
    </row>
    <row r="728" spans="1:10" x14ac:dyDescent="0.2">
      <c r="A728" s="155" t="str">
        <f>Collection!A8</f>
        <v>2083/03/16</v>
      </c>
      <c r="B728" s="176" t="str">
        <f>Collection!C8</f>
        <v>YUBARAJ AND SAMRAT</v>
      </c>
      <c r="C728" s="156" t="str">
        <f>IF(Collection!E8="Payment","Payment","Collection")</f>
        <v>Collection</v>
      </c>
      <c r="D728" s="156">
        <f>Collection!B8</f>
        <v>3706</v>
      </c>
      <c r="E728" s="156" t="str">
        <f>Collection!I8</f>
        <v>Cash</v>
      </c>
      <c r="F728" s="157">
        <f>IF(Collection!E8="Payment",N(Collection!H8),0)</f>
        <v>0</v>
      </c>
      <c r="G728" s="157">
        <f>IF(Collection!E8="Collection",N(Collection!G8),0)</f>
        <v>1700</v>
      </c>
      <c r="H728" s="157">
        <f t="shared" si="11"/>
        <v>-1700</v>
      </c>
      <c r="I728" s="151"/>
      <c r="J728" t="str">
        <f>IF($B728="","",IF(AND($B728=Party_Statement!$B$5,$A728&gt;=Party_Statement!$B$6,$A728&lt;=Party_Statement!$D$6),SUMPRODUCT(($B$3:$B728=Party_Statement!$B$5)*($A$3:$A728&gt;=Party_Statement!$B$6)*($A$3:$A728&lt;=Party_Statement!$D$6)),""))</f>
        <v/>
      </c>
    </row>
    <row r="729" spans="1:10" x14ac:dyDescent="0.2">
      <c r="A729" s="155" t="str">
        <f>Collection!A9</f>
        <v>2083/03/16</v>
      </c>
      <c r="B729" s="176" t="str">
        <f>Collection!C9</f>
        <v>SAMIKSHYA KIRANA</v>
      </c>
      <c r="C729" s="156" t="str">
        <f>IF(Collection!E9="Payment","Payment","Collection")</f>
        <v>Collection</v>
      </c>
      <c r="D729" s="156">
        <f>Collection!B9</f>
        <v>3707</v>
      </c>
      <c r="E729" s="156" t="str">
        <f>Collection!I9</f>
        <v>Cash</v>
      </c>
      <c r="F729" s="157">
        <f>IF(Collection!E9="Payment",N(Collection!H9),0)</f>
        <v>0</v>
      </c>
      <c r="G729" s="157">
        <f>IF(Collection!E9="Collection",N(Collection!G9),0)</f>
        <v>850</v>
      </c>
      <c r="H729" s="157">
        <f t="shared" si="11"/>
        <v>-850</v>
      </c>
      <c r="I729" s="151"/>
      <c r="J729" t="str">
        <f>IF($B729="","",IF(AND($B729=Party_Statement!$B$5,$A729&gt;=Party_Statement!$B$6,$A729&lt;=Party_Statement!$D$6),SUMPRODUCT(($B$3:$B729=Party_Statement!$B$5)*($A$3:$A729&gt;=Party_Statement!$B$6)*($A$3:$A729&lt;=Party_Statement!$D$6)),""))</f>
        <v/>
      </c>
    </row>
    <row r="730" spans="1:10" x14ac:dyDescent="0.2">
      <c r="A730" s="155" t="str">
        <f>Collection!A10</f>
        <v>2083/03/16</v>
      </c>
      <c r="B730" s="176" t="str">
        <f>Collection!C10</f>
        <v>DEURALI KIRANA</v>
      </c>
      <c r="C730" s="156" t="str">
        <f>IF(Collection!E10="Payment","Payment","Collection")</f>
        <v>Collection</v>
      </c>
      <c r="D730" s="156">
        <f>Collection!B10</f>
        <v>3708</v>
      </c>
      <c r="E730" s="156" t="str">
        <f>Collection!I10</f>
        <v>Cash</v>
      </c>
      <c r="F730" s="157">
        <f>IF(Collection!E10="Payment",N(Collection!H10),0)</f>
        <v>0</v>
      </c>
      <c r="G730" s="157">
        <f>IF(Collection!E10="Collection",N(Collection!G10),0)</f>
        <v>425</v>
      </c>
      <c r="H730" s="157">
        <f t="shared" si="11"/>
        <v>-425</v>
      </c>
      <c r="I730" s="151"/>
      <c r="J730" t="str">
        <f>IF($B730="","",IF(AND($B730=Party_Statement!$B$5,$A730&gt;=Party_Statement!$B$6,$A730&lt;=Party_Statement!$D$6),SUMPRODUCT(($B$3:$B730=Party_Statement!$B$5)*($A$3:$A730&gt;=Party_Statement!$B$6)*($A$3:$A730&lt;=Party_Statement!$D$6)),""))</f>
        <v/>
      </c>
    </row>
    <row r="731" spans="1:10" x14ac:dyDescent="0.2">
      <c r="A731" s="155" t="str">
        <f>Collection!A11</f>
        <v>2083/03/16</v>
      </c>
      <c r="B731" s="176" t="str">
        <f>Collection!C11</f>
        <v>GIRI KIRANA</v>
      </c>
      <c r="C731" s="156" t="str">
        <f>IF(Collection!E11="Payment","Payment","Collection")</f>
        <v>Collection</v>
      </c>
      <c r="D731" s="156">
        <f>Collection!B11</f>
        <v>3709</v>
      </c>
      <c r="E731" s="156" t="str">
        <f>Collection!I11</f>
        <v>Cash</v>
      </c>
      <c r="F731" s="157">
        <f>IF(Collection!E11="Payment",N(Collection!H11),0)</f>
        <v>0</v>
      </c>
      <c r="G731" s="157">
        <f>IF(Collection!E11="Collection",N(Collection!G11),0)</f>
        <v>2550</v>
      </c>
      <c r="H731" s="157">
        <f t="shared" si="11"/>
        <v>-2550</v>
      </c>
      <c r="I731" s="151"/>
      <c r="J731" t="str">
        <f>IF($B731="","",IF(AND($B731=Party_Statement!$B$5,$A731&gt;=Party_Statement!$B$6,$A731&lt;=Party_Statement!$D$6),SUMPRODUCT(($B$3:$B731=Party_Statement!$B$5)*($A$3:$A731&gt;=Party_Statement!$B$6)*($A$3:$A731&lt;=Party_Statement!$D$6)),""))</f>
        <v/>
      </c>
    </row>
    <row r="732" spans="1:10" x14ac:dyDescent="0.2">
      <c r="A732" s="155" t="str">
        <f>Collection!A12</f>
        <v>2083/03/16</v>
      </c>
      <c r="B732" s="176" t="str">
        <f>Collection!C12</f>
        <v>ORGANIC TARKALI</v>
      </c>
      <c r="C732" s="156" t="str">
        <f>IF(Collection!E12="Payment","Payment","Collection")</f>
        <v>Collection</v>
      </c>
      <c r="D732" s="156">
        <f>Collection!B12</f>
        <v>3710</v>
      </c>
      <c r="E732" s="156" t="str">
        <f>Collection!I12</f>
        <v>Cash</v>
      </c>
      <c r="F732" s="157">
        <f>IF(Collection!E12="Payment",N(Collection!H12),0)</f>
        <v>0</v>
      </c>
      <c r="G732" s="157">
        <f>IF(Collection!E12="Collection",N(Collection!G12),0)</f>
        <v>3800</v>
      </c>
      <c r="H732" s="157">
        <f t="shared" si="11"/>
        <v>-3800</v>
      </c>
      <c r="I732" s="151"/>
      <c r="J732" t="str">
        <f>IF($B732="","",IF(AND($B732=Party_Statement!$B$5,$A732&gt;=Party_Statement!$B$6,$A732&lt;=Party_Statement!$D$6),SUMPRODUCT(($B$3:$B732=Party_Statement!$B$5)*($A$3:$A732&gt;=Party_Statement!$B$6)*($A$3:$A732&lt;=Party_Statement!$D$6)),""))</f>
        <v/>
      </c>
    </row>
    <row r="733" spans="1:10" x14ac:dyDescent="0.2">
      <c r="A733" s="155" t="str">
        <f>Collection!A13</f>
        <v>2083/03/16</v>
      </c>
      <c r="B733" s="176" t="str">
        <f>Collection!C13</f>
        <v>BHUSAL JANARAJ STORE</v>
      </c>
      <c r="C733" s="156" t="str">
        <f>IF(Collection!E13="Payment","Payment","Collection")</f>
        <v>Collection</v>
      </c>
      <c r="D733" s="156">
        <f>Collection!B13</f>
        <v>3711</v>
      </c>
      <c r="E733" s="156" t="str">
        <f>Collection!I13</f>
        <v>Cash</v>
      </c>
      <c r="F733" s="157">
        <f>IF(Collection!E13="Payment",N(Collection!H13),0)</f>
        <v>0</v>
      </c>
      <c r="G733" s="157">
        <f>IF(Collection!E13="Collection",N(Collection!G13),0)</f>
        <v>430</v>
      </c>
      <c r="H733" s="157">
        <f t="shared" si="11"/>
        <v>-430</v>
      </c>
      <c r="I733" s="151"/>
      <c r="J733" t="str">
        <f>IF($B733="","",IF(AND($B733=Party_Statement!$B$5,$A733&gt;=Party_Statement!$B$6,$A733&lt;=Party_Statement!$D$6),SUMPRODUCT(($B$3:$B733=Party_Statement!$B$5)*($A$3:$A733&gt;=Party_Statement!$B$6)*($A$3:$A733&lt;=Party_Statement!$D$6)),""))</f>
        <v/>
      </c>
    </row>
    <row r="734" spans="1:10" x14ac:dyDescent="0.2">
      <c r="A734" s="155" t="str">
        <f>Collection!A15</f>
        <v>2083/03/16</v>
      </c>
      <c r="B734" s="176" t="str">
        <f>Collection!C15</f>
        <v>LILADHAR GAUTAM</v>
      </c>
      <c r="C734" s="156" t="str">
        <f>IF(Collection!E15="Payment","Payment","Collection")</f>
        <v>Collection</v>
      </c>
      <c r="D734" s="156">
        <f>Collection!B15</f>
        <v>0</v>
      </c>
      <c r="E734" s="156" t="str">
        <f>Collection!I15</f>
        <v>Cash</v>
      </c>
      <c r="F734" s="157">
        <f>IF(Collection!E15="Payment",N(Collection!H15),0)</f>
        <v>0</v>
      </c>
      <c r="G734" s="157">
        <f>IF(Collection!E15="Collection",N(Collection!G15),0)</f>
        <v>0</v>
      </c>
      <c r="H734" s="157">
        <f t="shared" si="11"/>
        <v>0</v>
      </c>
      <c r="I734" s="151"/>
      <c r="J734" t="str">
        <f>IF($B734="","",IF(AND($B734=Party_Statement!$B$5,$A734&gt;=Party_Statement!$B$6,$A734&lt;=Party_Statement!$D$6),SUMPRODUCT(($B$3:$B734=Party_Statement!$B$5)*($A$3:$A734&gt;=Party_Statement!$B$6)*($A$3:$A734&lt;=Party_Statement!$D$6)),""))</f>
        <v/>
      </c>
    </row>
    <row r="735" spans="1:10" x14ac:dyDescent="0.2">
      <c r="A735" s="155" t="str">
        <f>Collection!A16</f>
        <v>2083/03/17</v>
      </c>
      <c r="B735" s="176" t="str">
        <f>Collection!C16</f>
        <v>SRIJANA DAIRY</v>
      </c>
      <c r="C735" s="156" t="str">
        <f>IF(Collection!E16="Payment","Payment","Collection")</f>
        <v>Collection</v>
      </c>
      <c r="D735" s="156">
        <f>Collection!B16</f>
        <v>3712</v>
      </c>
      <c r="E735" s="156" t="str">
        <f>Collection!I16</f>
        <v>Cash</v>
      </c>
      <c r="F735" s="157">
        <f>IF(Collection!E16="Payment",N(Collection!H16),0)</f>
        <v>0</v>
      </c>
      <c r="G735" s="157">
        <f>IF(Collection!E16="Collection",N(Collection!G16),0)</f>
        <v>5100</v>
      </c>
      <c r="H735" s="157">
        <f t="shared" si="11"/>
        <v>-5100</v>
      </c>
      <c r="I735" s="151"/>
      <c r="J735" t="str">
        <f>IF($B735="","",IF(AND($B735=Party_Statement!$B$5,$A735&gt;=Party_Statement!$B$6,$A735&lt;=Party_Statement!$D$6),SUMPRODUCT(($B$3:$B735=Party_Statement!$B$5)*($A$3:$A735&gt;=Party_Statement!$B$6)*($A$3:$A735&lt;=Party_Statement!$D$6)),""))</f>
        <v/>
      </c>
    </row>
    <row r="736" spans="1:10" x14ac:dyDescent="0.2">
      <c r="A736" s="155" t="str">
        <f>Collection!A17</f>
        <v>2083/03/17</v>
      </c>
      <c r="B736" s="176" t="str">
        <f>Collection!C17</f>
        <v>SOBHA BHATTARAI</v>
      </c>
      <c r="C736" s="156" t="str">
        <f>IF(Collection!E17="Payment","Payment","Collection")</f>
        <v>Collection</v>
      </c>
      <c r="D736" s="156">
        <f>Collection!B17</f>
        <v>3713</v>
      </c>
      <c r="E736" s="156" t="str">
        <f>Collection!I17</f>
        <v>Cash</v>
      </c>
      <c r="F736" s="157">
        <f>IF(Collection!E17="Payment",N(Collection!H17),0)</f>
        <v>0</v>
      </c>
      <c r="G736" s="157">
        <f>IF(Collection!E17="Collection",N(Collection!G17),0)</f>
        <v>2125</v>
      </c>
      <c r="H736" s="157">
        <f t="shared" si="11"/>
        <v>-2125</v>
      </c>
      <c r="I736" s="151"/>
      <c r="J736" t="str">
        <f>IF($B736="","",IF(AND($B736=Party_Statement!$B$5,$A736&gt;=Party_Statement!$B$6,$A736&lt;=Party_Statement!$D$6),SUMPRODUCT(($B$3:$B736=Party_Statement!$B$5)*($A$3:$A736&gt;=Party_Statement!$B$6)*($A$3:$A736&lt;=Party_Statement!$D$6)),""))</f>
        <v/>
      </c>
    </row>
    <row r="737" spans="1:10" x14ac:dyDescent="0.2">
      <c r="A737" s="155" t="str">
        <f>Collection!A18</f>
        <v>2083/03/17</v>
      </c>
      <c r="B737" s="176" t="str">
        <f>Collection!C18</f>
        <v>MANAKAMANA DAIRY</v>
      </c>
      <c r="C737" s="156" t="str">
        <f>IF(Collection!E18="Payment","Payment","Collection")</f>
        <v>Collection</v>
      </c>
      <c r="D737" s="156">
        <f>Collection!B18</f>
        <v>3714</v>
      </c>
      <c r="E737" s="156" t="str">
        <f>Collection!I18</f>
        <v>Cash</v>
      </c>
      <c r="F737" s="157">
        <f>IF(Collection!E18="Payment",N(Collection!H18),0)</f>
        <v>0</v>
      </c>
      <c r="G737" s="157">
        <f>IF(Collection!E18="Collection",N(Collection!G18),0)</f>
        <v>2125</v>
      </c>
      <c r="H737" s="157">
        <f t="shared" si="11"/>
        <v>-2125</v>
      </c>
      <c r="I737" s="151"/>
      <c r="J737" t="str">
        <f>IF($B737="","",IF(AND($B737=Party_Statement!$B$5,$A737&gt;=Party_Statement!$B$6,$A737&lt;=Party_Statement!$D$6),SUMPRODUCT(($B$3:$B737=Party_Statement!$B$5)*($A$3:$A737&gt;=Party_Statement!$B$6)*($A$3:$A737&lt;=Party_Statement!$D$6)),""))</f>
        <v/>
      </c>
    </row>
    <row r="738" spans="1:10" x14ac:dyDescent="0.2">
      <c r="A738" s="155" t="str">
        <f>Collection!A19</f>
        <v>2083/03/17</v>
      </c>
      <c r="B738" s="176" t="str">
        <f>Collection!C19</f>
        <v>SAMIKSHYA KIRANA</v>
      </c>
      <c r="C738" s="156" t="str">
        <f>IF(Collection!E19="Payment","Payment","Collection")</f>
        <v>Collection</v>
      </c>
      <c r="D738" s="156">
        <f>Collection!B19</f>
        <v>3715</v>
      </c>
      <c r="E738" s="156" t="str">
        <f>Collection!I19</f>
        <v>Cash</v>
      </c>
      <c r="F738" s="157">
        <f>IF(Collection!E19="Payment",N(Collection!H19),0)</f>
        <v>0</v>
      </c>
      <c r="G738" s="157">
        <f>IF(Collection!E19="Collection",N(Collection!G19),0)</f>
        <v>850</v>
      </c>
      <c r="H738" s="157">
        <f t="shared" si="11"/>
        <v>-850</v>
      </c>
      <c r="I738" s="151"/>
      <c r="J738" t="str">
        <f>IF($B738="","",IF(AND($B738=Party_Statement!$B$5,$A738&gt;=Party_Statement!$B$6,$A738&lt;=Party_Statement!$D$6),SUMPRODUCT(($B$3:$B738=Party_Statement!$B$5)*($A$3:$A738&gt;=Party_Statement!$B$6)*($A$3:$A738&lt;=Party_Statement!$D$6)),""))</f>
        <v/>
      </c>
    </row>
    <row r="739" spans="1:10" x14ac:dyDescent="0.2">
      <c r="A739" s="155" t="str">
        <f>Collection!A20</f>
        <v>2083/03/17</v>
      </c>
      <c r="B739" s="176" t="str">
        <f>Collection!C20</f>
        <v>PALPALI KIRANA</v>
      </c>
      <c r="C739" s="156" t="str">
        <f>IF(Collection!E20="Payment","Payment","Collection")</f>
        <v>Collection</v>
      </c>
      <c r="D739" s="156">
        <f>Collection!B20</f>
        <v>3716</v>
      </c>
      <c r="E739" s="156" t="str">
        <f>Collection!I20</f>
        <v>Cash</v>
      </c>
      <c r="F739" s="157">
        <f>IF(Collection!E20="Payment",N(Collection!H20),0)</f>
        <v>0</v>
      </c>
      <c r="G739" s="157">
        <f>IF(Collection!E20="Collection",N(Collection!G20),0)</f>
        <v>1700</v>
      </c>
      <c r="H739" s="157">
        <f t="shared" si="11"/>
        <v>-1700</v>
      </c>
      <c r="I739" s="151"/>
      <c r="J739" t="str">
        <f>IF($B739="","",IF(AND($B739=Party_Statement!$B$5,$A739&gt;=Party_Statement!$B$6,$A739&lt;=Party_Statement!$D$6),SUMPRODUCT(($B$3:$B739=Party_Statement!$B$5)*($A$3:$A739&gt;=Party_Statement!$B$6)*($A$3:$A739&lt;=Party_Statement!$D$6)),""))</f>
        <v/>
      </c>
    </row>
    <row r="740" spans="1:10" x14ac:dyDescent="0.2">
      <c r="A740" s="155" t="str">
        <f>Collection!A21</f>
        <v>2083/03/17</v>
      </c>
      <c r="B740" s="176" t="str">
        <f>Collection!C21</f>
        <v>AAMOSH KIRANA</v>
      </c>
      <c r="C740" s="156" t="str">
        <f>IF(Collection!E21="Payment","Payment","Collection")</f>
        <v>Collection</v>
      </c>
      <c r="D740" s="156">
        <f>Collection!B21</f>
        <v>3717</v>
      </c>
      <c r="E740" s="156" t="str">
        <f>Collection!I21</f>
        <v>Cash</v>
      </c>
      <c r="F740" s="157">
        <f>IF(Collection!E21="Payment",N(Collection!H21),0)</f>
        <v>0</v>
      </c>
      <c r="G740" s="157">
        <f>IF(Collection!E21="Collection",N(Collection!G21),0)</f>
        <v>4400</v>
      </c>
      <c r="H740" s="157">
        <f t="shared" si="11"/>
        <v>-4400</v>
      </c>
      <c r="I740" s="151"/>
      <c r="J740" t="str">
        <f>IF($B740="","",IF(AND($B740=Party_Statement!$B$5,$A740&gt;=Party_Statement!$B$6,$A740&lt;=Party_Statement!$D$6),SUMPRODUCT(($B$3:$B740=Party_Statement!$B$5)*($A$3:$A740&gt;=Party_Statement!$B$6)*($A$3:$A740&lt;=Party_Statement!$D$6)),""))</f>
        <v/>
      </c>
    </row>
    <row r="741" spans="1:10" x14ac:dyDescent="0.2">
      <c r="A741" s="155" t="str">
        <f>Collection!A22</f>
        <v>2083/03/17</v>
      </c>
      <c r="B741" s="176" t="str">
        <f>Collection!C22</f>
        <v>DEURALI KIRANA</v>
      </c>
      <c r="C741" s="156" t="str">
        <f>IF(Collection!E22="Payment","Payment","Collection")</f>
        <v>Collection</v>
      </c>
      <c r="D741" s="156">
        <f>Collection!B22</f>
        <v>3718</v>
      </c>
      <c r="E741" s="156" t="str">
        <f>Collection!I22</f>
        <v>Cash</v>
      </c>
      <c r="F741" s="157">
        <f>IF(Collection!E22="Payment",N(Collection!H22),0)</f>
        <v>0</v>
      </c>
      <c r="G741" s="157">
        <f>IF(Collection!E22="Collection",N(Collection!G22),0)</f>
        <v>425</v>
      </c>
      <c r="H741" s="157">
        <f t="shared" si="11"/>
        <v>-425</v>
      </c>
      <c r="I741" s="151"/>
      <c r="J741" t="str">
        <f>IF($B741="","",IF(AND($B741=Party_Statement!$B$5,$A741&gt;=Party_Statement!$B$6,$A741&lt;=Party_Statement!$D$6),SUMPRODUCT(($B$3:$B741=Party_Statement!$B$5)*($A$3:$A741&gt;=Party_Statement!$B$6)*($A$3:$A741&lt;=Party_Statement!$D$6)),""))</f>
        <v/>
      </c>
    </row>
    <row r="742" spans="1:10" x14ac:dyDescent="0.2">
      <c r="A742" s="155" t="str">
        <f>Collection!A23</f>
        <v>2083/03/17</v>
      </c>
      <c r="B742" s="176" t="str">
        <f>Collection!C23</f>
        <v>GIRI KIRANA</v>
      </c>
      <c r="C742" s="156" t="str">
        <f>IF(Collection!E23="Payment","Payment","Collection")</f>
        <v>Collection</v>
      </c>
      <c r="D742" s="156">
        <f>Collection!B23</f>
        <v>3719</v>
      </c>
      <c r="E742" s="156" t="str">
        <f>Collection!I23</f>
        <v>Cash</v>
      </c>
      <c r="F742" s="157">
        <f>IF(Collection!E23="Payment",N(Collection!H23),0)</f>
        <v>0</v>
      </c>
      <c r="G742" s="157">
        <f>IF(Collection!E23="Collection",N(Collection!G23),0)</f>
        <v>1275</v>
      </c>
      <c r="H742" s="157">
        <f t="shared" si="11"/>
        <v>-1275</v>
      </c>
      <c r="I742" s="151"/>
      <c r="J742" t="str">
        <f>IF($B742="","",IF(AND($B742=Party_Statement!$B$5,$A742&gt;=Party_Statement!$B$6,$A742&lt;=Party_Statement!$D$6),SUMPRODUCT(($B$3:$B742=Party_Statement!$B$5)*($A$3:$A742&gt;=Party_Statement!$B$6)*($A$3:$A742&lt;=Party_Statement!$D$6)),""))</f>
        <v/>
      </c>
    </row>
    <row r="743" spans="1:10" x14ac:dyDescent="0.2">
      <c r="A743" s="155" t="str">
        <f>Collection!A24</f>
        <v>2083/03/17</v>
      </c>
      <c r="B743" s="176" t="str">
        <f>Collection!C24</f>
        <v>YUBARAJ AND SAMRAT</v>
      </c>
      <c r="C743" s="156" t="str">
        <f>IF(Collection!E24="Payment","Payment","Collection")</f>
        <v>Collection</v>
      </c>
      <c r="D743" s="156">
        <f>Collection!B24</f>
        <v>3720</v>
      </c>
      <c r="E743" s="156" t="str">
        <f>Collection!I24</f>
        <v>Cash</v>
      </c>
      <c r="F743" s="157">
        <f>IF(Collection!E24="Payment",N(Collection!H24),0)</f>
        <v>0</v>
      </c>
      <c r="G743" s="157">
        <f>IF(Collection!E24="Collection",N(Collection!G24),0)</f>
        <v>1275</v>
      </c>
      <c r="H743" s="157">
        <f t="shared" si="11"/>
        <v>-1275</v>
      </c>
      <c r="I743" s="151"/>
      <c r="J743" t="str">
        <f>IF($B743="","",IF(AND($B743=Party_Statement!$B$5,$A743&gt;=Party_Statement!$B$6,$A743&lt;=Party_Statement!$D$6),SUMPRODUCT(($B$3:$B743=Party_Statement!$B$5)*($A$3:$A743&gt;=Party_Statement!$B$6)*($A$3:$A743&lt;=Party_Statement!$D$6)),""))</f>
        <v/>
      </c>
    </row>
    <row r="744" spans="1:10" x14ac:dyDescent="0.2">
      <c r="A744" s="155" t="str">
        <f>Collection!A25</f>
        <v>2083/03/17</v>
      </c>
      <c r="B744" s="176" t="str">
        <f>Collection!C25</f>
        <v>AAYUSH AND AAYUSHMA</v>
      </c>
      <c r="C744" s="156" t="str">
        <f>IF(Collection!E25="Payment","Payment","Collection")</f>
        <v>Collection</v>
      </c>
      <c r="D744" s="156">
        <f>Collection!B25</f>
        <v>3721</v>
      </c>
      <c r="E744" s="156" t="str">
        <f>Collection!I25</f>
        <v>Cash</v>
      </c>
      <c r="F744" s="157">
        <f>IF(Collection!E25="Payment",N(Collection!H25),0)</f>
        <v>0</v>
      </c>
      <c r="G744" s="157">
        <f>IF(Collection!E25="Collection",N(Collection!G25),0)</f>
        <v>425</v>
      </c>
      <c r="H744" s="157">
        <f t="shared" si="11"/>
        <v>-425</v>
      </c>
      <c r="I744" s="151"/>
      <c r="J744" t="str">
        <f>IF($B744="","",IF(AND($B744=Party_Statement!$B$5,$A744&gt;=Party_Statement!$B$6,$A744&lt;=Party_Statement!$D$6),SUMPRODUCT(($B$3:$B744=Party_Statement!$B$5)*($A$3:$A744&gt;=Party_Statement!$B$6)*($A$3:$A744&lt;=Party_Statement!$D$6)),""))</f>
        <v/>
      </c>
    </row>
    <row r="745" spans="1:10" x14ac:dyDescent="0.2">
      <c r="A745" s="155" t="str">
        <f>Collection!A26</f>
        <v>2083/03/17</v>
      </c>
      <c r="B745" s="176" t="str">
        <f>Collection!C26</f>
        <v>KALIKA CANTEEN A</v>
      </c>
      <c r="C745" s="156" t="str">
        <f>IF(Collection!E26="Payment","Payment","Collection")</f>
        <v>Collection</v>
      </c>
      <c r="D745" s="156">
        <f>Collection!B26</f>
        <v>3722</v>
      </c>
      <c r="E745" s="156" t="str">
        <f>Collection!I26</f>
        <v>Cash</v>
      </c>
      <c r="F745" s="157">
        <f>IF(Collection!E26="Payment",N(Collection!H26),0)</f>
        <v>0</v>
      </c>
      <c r="G745" s="157">
        <f>IF(Collection!E26="Collection",N(Collection!G26),0)</f>
        <v>2975</v>
      </c>
      <c r="H745" s="157">
        <f t="shared" si="11"/>
        <v>-2975</v>
      </c>
      <c r="I745" s="151"/>
      <c r="J745" t="e">
        <f>IF($B745="","",IF(AND($B745=Party_Statement!$B$5,$A745&gt;=Party_Statement!$B$6,$A745&lt;=Party_Statement!$D$6),SUMPRODUCT(($B$3:$B745=Party_Statement!$B$5)*($A$3:$A745&gt;=Party_Statement!$B$6)*($A$3:$A745&lt;=Party_Statement!$D$6)),""))</f>
        <v>#REF!</v>
      </c>
    </row>
    <row r="746" spans="1:10" x14ac:dyDescent="0.2">
      <c r="A746" s="155" t="str">
        <f>Collection!A27</f>
        <v>2083/03/17</v>
      </c>
      <c r="B746" s="176" t="str">
        <f>Collection!C27</f>
        <v>ORGANIC TARKALI</v>
      </c>
      <c r="C746" s="156" t="str">
        <f>IF(Collection!E27="Payment","Payment","Collection")</f>
        <v>Collection</v>
      </c>
      <c r="D746" s="156">
        <f>Collection!B27</f>
        <v>3723</v>
      </c>
      <c r="E746" s="156" t="str">
        <f>Collection!I27</f>
        <v>Cash</v>
      </c>
      <c r="F746" s="157">
        <f>IF(Collection!E27="Payment",N(Collection!H27),0)</f>
        <v>0</v>
      </c>
      <c r="G746" s="157">
        <f>IF(Collection!E27="Collection",N(Collection!G27),0)</f>
        <v>2850</v>
      </c>
      <c r="H746" s="157">
        <f t="shared" si="11"/>
        <v>-2850</v>
      </c>
      <c r="I746" s="151"/>
      <c r="J746" t="str">
        <f>IF($B746="","",IF(AND($B746=Party_Statement!$B$5,$A746&gt;=Party_Statement!$B$6,$A746&lt;=Party_Statement!$D$6),SUMPRODUCT(($B$3:$B746=Party_Statement!$B$5)*($A$3:$A746&gt;=Party_Statement!$B$6)*($A$3:$A746&lt;=Party_Statement!$D$6)),""))</f>
        <v/>
      </c>
    </row>
    <row r="747" spans="1:10" x14ac:dyDescent="0.2">
      <c r="A747" s="155" t="str">
        <f>Collection!A28</f>
        <v>2083/03/17</v>
      </c>
      <c r="B747" s="176" t="str">
        <f>Collection!C28</f>
        <v>SHARMA DAI</v>
      </c>
      <c r="C747" s="156" t="str">
        <f>IF(Collection!E28="Payment","Payment","Collection")</f>
        <v>Collection</v>
      </c>
      <c r="D747" s="156">
        <f>Collection!B28</f>
        <v>3724</v>
      </c>
      <c r="E747" s="156" t="str">
        <f>Collection!I28</f>
        <v>Cash</v>
      </c>
      <c r="F747" s="157">
        <f>IF(Collection!E28="Payment",N(Collection!H28),0)</f>
        <v>0</v>
      </c>
      <c r="G747" s="157">
        <f>IF(Collection!E28="Collection",N(Collection!G28),0)</f>
        <v>10000</v>
      </c>
      <c r="H747" s="157">
        <f t="shared" si="11"/>
        <v>-10000</v>
      </c>
      <c r="I747" s="151"/>
      <c r="J747" t="str">
        <f>IF($B747="","",IF(AND($B747=Party_Statement!$B$5,$A747&gt;=Party_Statement!$B$6,$A747&lt;=Party_Statement!$D$6),SUMPRODUCT(($B$3:$B747=Party_Statement!$B$5)*($A$3:$A747&gt;=Party_Statement!$B$6)*($A$3:$A747&lt;=Party_Statement!$D$6)),""))</f>
        <v/>
      </c>
    </row>
    <row r="748" spans="1:10" x14ac:dyDescent="0.2">
      <c r="A748" s="155" t="str">
        <f>Collection!A29</f>
        <v>2083/03/17</v>
      </c>
      <c r="B748" s="176" t="str">
        <f>Collection!C29</f>
        <v>LOCAL</v>
      </c>
      <c r="C748" s="156" t="str">
        <f>IF(Collection!E29="Payment","Payment","Collection")</f>
        <v>Collection</v>
      </c>
      <c r="D748" s="156">
        <f>Collection!B29</f>
        <v>6038</v>
      </c>
      <c r="E748" s="156" t="str">
        <f>Collection!I29</f>
        <v>Cash</v>
      </c>
      <c r="F748" s="157">
        <f>IF(Collection!E29="Payment",N(Collection!H29),0)</f>
        <v>0</v>
      </c>
      <c r="G748" s="157">
        <f>IF(Collection!E29="Collection",N(Collection!G29),0)</f>
        <v>1440</v>
      </c>
      <c r="H748" s="157">
        <f t="shared" si="11"/>
        <v>-1440</v>
      </c>
      <c r="I748" s="151"/>
      <c r="J748" t="str">
        <f>IF($B748="","",IF(AND($B748=Party_Statement!$B$5,$A748&gt;=Party_Statement!$B$6,$A748&lt;=Party_Statement!$D$6),SUMPRODUCT(($B$3:$B748=Party_Statement!$B$5)*($A$3:$A748&gt;=Party_Statement!$B$6)*($A$3:$A748&lt;=Party_Statement!$D$6)),""))</f>
        <v/>
      </c>
    </row>
    <row r="749" spans="1:10" x14ac:dyDescent="0.2">
      <c r="A749" s="155" t="str">
        <f>Collection!A30</f>
        <v>2083/03/18</v>
      </c>
      <c r="B749" s="176" t="str">
        <f>Collection!C30</f>
        <v>YUBARAJ AND SAMRAT</v>
      </c>
      <c r="C749" s="156" t="str">
        <f>IF(Collection!E30="Payment","Payment","Collection")</f>
        <v>Collection</v>
      </c>
      <c r="D749" s="156">
        <f>Collection!B30</f>
        <v>3725</v>
      </c>
      <c r="E749" s="156" t="str">
        <f>Collection!I30</f>
        <v>Cash</v>
      </c>
      <c r="F749" s="157">
        <f>IF(Collection!E30="Payment",N(Collection!H30),0)</f>
        <v>0</v>
      </c>
      <c r="G749" s="157">
        <f>IF(Collection!E30="Collection",N(Collection!G30),0)</f>
        <v>1700</v>
      </c>
      <c r="H749" s="157">
        <f t="shared" si="11"/>
        <v>-1700</v>
      </c>
      <c r="I749" s="151"/>
      <c r="J749" t="str">
        <f>IF($B749="","",IF(AND($B749=Party_Statement!$B$5,$A749&gt;=Party_Statement!$B$6,$A749&lt;=Party_Statement!$D$6),SUMPRODUCT(($B$3:$B749=Party_Statement!$B$5)*($A$3:$A749&gt;=Party_Statement!$B$6)*($A$3:$A749&lt;=Party_Statement!$D$6)),""))</f>
        <v/>
      </c>
    </row>
    <row r="750" spans="1:10" x14ac:dyDescent="0.2">
      <c r="A750" s="155" t="str">
        <f>Collection!A31</f>
        <v>2083/03/18</v>
      </c>
      <c r="B750" s="176" t="str">
        <f>Collection!C31</f>
        <v>AAMOSH KIRANA</v>
      </c>
      <c r="C750" s="156" t="str">
        <f>IF(Collection!E31="Payment","Payment","Collection")</f>
        <v>Collection</v>
      </c>
      <c r="D750" s="156">
        <f>Collection!B31</f>
        <v>3726</v>
      </c>
      <c r="E750" s="156" t="str">
        <f>Collection!I31</f>
        <v>Cash</v>
      </c>
      <c r="F750" s="157">
        <f>IF(Collection!E31="Payment",N(Collection!H31),0)</f>
        <v>0</v>
      </c>
      <c r="G750" s="157">
        <f>IF(Collection!E31="Collection",N(Collection!G31),0)</f>
        <v>5000</v>
      </c>
      <c r="H750" s="157">
        <f t="shared" si="11"/>
        <v>-5000</v>
      </c>
      <c r="I750" s="151"/>
      <c r="J750" t="str">
        <f>IF($B750="","",IF(AND($B750=Party_Statement!$B$5,$A750&gt;=Party_Statement!$B$6,$A750&lt;=Party_Statement!$D$6),SUMPRODUCT(($B$3:$B750=Party_Statement!$B$5)*($A$3:$A750&gt;=Party_Statement!$B$6)*($A$3:$A750&lt;=Party_Statement!$D$6)),""))</f>
        <v/>
      </c>
    </row>
    <row r="751" spans="1:10" x14ac:dyDescent="0.2">
      <c r="A751" s="155" t="str">
        <f>Collection!A32</f>
        <v>2083/03/18</v>
      </c>
      <c r="B751" s="176" t="str">
        <f>Collection!C32</f>
        <v>SOBHA BHATTARAI</v>
      </c>
      <c r="C751" s="156" t="str">
        <f>IF(Collection!E32="Payment","Payment","Collection")</f>
        <v>Collection</v>
      </c>
      <c r="D751" s="156">
        <f>Collection!B32</f>
        <v>3727</v>
      </c>
      <c r="E751" s="156" t="str">
        <f>Collection!I32</f>
        <v>Cash</v>
      </c>
      <c r="F751" s="157">
        <f>IF(Collection!E32="Payment",N(Collection!H32),0)</f>
        <v>0</v>
      </c>
      <c r="G751" s="157">
        <f>IF(Collection!E32="Collection",N(Collection!G32),0)</f>
        <v>2550</v>
      </c>
      <c r="H751" s="157">
        <f t="shared" si="11"/>
        <v>-2550</v>
      </c>
      <c r="I751" s="151"/>
      <c r="J751" t="str">
        <f>IF($B751="","",IF(AND($B751=Party_Statement!$B$5,$A751&gt;=Party_Statement!$B$6,$A751&lt;=Party_Statement!$D$6),SUMPRODUCT(($B$3:$B751=Party_Statement!$B$5)*($A$3:$A751&gt;=Party_Statement!$B$6)*($A$3:$A751&lt;=Party_Statement!$D$6)),""))</f>
        <v/>
      </c>
    </row>
    <row r="752" spans="1:10" x14ac:dyDescent="0.2">
      <c r="A752" s="155" t="str">
        <f>Collection!A33</f>
        <v>2083/03/18</v>
      </c>
      <c r="B752" s="176" t="str">
        <f>Collection!C33</f>
        <v>AAYUSH AND AAYUSHMA</v>
      </c>
      <c r="C752" s="156" t="str">
        <f>IF(Collection!E33="Payment","Payment","Collection")</f>
        <v>Collection</v>
      </c>
      <c r="D752" s="156">
        <f>Collection!B33</f>
        <v>3728</v>
      </c>
      <c r="E752" s="156" t="str">
        <f>Collection!I33</f>
        <v>Cash</v>
      </c>
      <c r="F752" s="157">
        <f>IF(Collection!E33="Payment",N(Collection!H33),0)</f>
        <v>0</v>
      </c>
      <c r="G752" s="157">
        <f>IF(Collection!E33="Collection",N(Collection!G33),0)</f>
        <v>425</v>
      </c>
      <c r="H752" s="157">
        <f t="shared" si="11"/>
        <v>-425</v>
      </c>
      <c r="I752" s="151"/>
      <c r="J752" t="str">
        <f>IF($B752="","",IF(AND($B752=Party_Statement!$B$5,$A752&gt;=Party_Statement!$B$6,$A752&lt;=Party_Statement!$D$6),SUMPRODUCT(($B$3:$B752=Party_Statement!$B$5)*($A$3:$A752&gt;=Party_Statement!$B$6)*($A$3:$A752&lt;=Party_Statement!$D$6)),""))</f>
        <v/>
      </c>
    </row>
    <row r="753" spans="1:10" x14ac:dyDescent="0.2">
      <c r="A753" s="155" t="str">
        <f>Collection!A34</f>
        <v>2083/03/18</v>
      </c>
      <c r="B753" s="176" t="str">
        <f>Collection!C34</f>
        <v>SAMIKSHYA KIRANA</v>
      </c>
      <c r="C753" s="156" t="str">
        <f>IF(Collection!E34="Payment","Payment","Collection")</f>
        <v>Collection</v>
      </c>
      <c r="D753" s="156">
        <f>Collection!B34</f>
        <v>3729</v>
      </c>
      <c r="E753" s="156" t="str">
        <f>Collection!I34</f>
        <v>Cash</v>
      </c>
      <c r="F753" s="157">
        <f>IF(Collection!E34="Payment",N(Collection!H34),0)</f>
        <v>0</v>
      </c>
      <c r="G753" s="157">
        <f>IF(Collection!E34="Collection",N(Collection!G34),0)</f>
        <v>850</v>
      </c>
      <c r="H753" s="157">
        <f t="shared" si="11"/>
        <v>-850</v>
      </c>
      <c r="I753" s="151"/>
      <c r="J753" t="str">
        <f>IF($B753="","",IF(AND($B753=Party_Statement!$B$5,$A753&gt;=Party_Statement!$B$6,$A753&lt;=Party_Statement!$D$6),SUMPRODUCT(($B$3:$B753=Party_Statement!$B$5)*($A$3:$A753&gt;=Party_Statement!$B$6)*($A$3:$A753&lt;=Party_Statement!$D$6)),""))</f>
        <v/>
      </c>
    </row>
    <row r="754" spans="1:10" x14ac:dyDescent="0.2">
      <c r="A754" s="155" t="str">
        <f>Collection!A35</f>
        <v>2083/03/18</v>
      </c>
      <c r="B754" s="176" t="str">
        <f>Collection!C35</f>
        <v>GIRI KIRANA</v>
      </c>
      <c r="C754" s="156" t="str">
        <f>IF(Collection!E35="Payment","Payment","Collection")</f>
        <v>Collection</v>
      </c>
      <c r="D754" s="156">
        <f>Collection!B35</f>
        <v>3730</v>
      </c>
      <c r="E754" s="156" t="str">
        <f>Collection!I35</f>
        <v>Cash</v>
      </c>
      <c r="F754" s="157">
        <f>IF(Collection!E35="Payment",N(Collection!H35),0)</f>
        <v>0</v>
      </c>
      <c r="G754" s="157">
        <f>IF(Collection!E35="Collection",N(Collection!G35),0)</f>
        <v>1275</v>
      </c>
      <c r="H754" s="157">
        <f t="shared" si="11"/>
        <v>-1275</v>
      </c>
      <c r="I754" s="151"/>
      <c r="J754" t="str">
        <f>IF($B754="","",IF(AND($B754=Party_Statement!$B$5,$A754&gt;=Party_Statement!$B$6,$A754&lt;=Party_Statement!$D$6),SUMPRODUCT(($B$3:$B754=Party_Statement!$B$5)*($A$3:$A754&gt;=Party_Statement!$B$6)*($A$3:$A754&lt;=Party_Statement!$D$6)),""))</f>
        <v/>
      </c>
    </row>
    <row r="755" spans="1:10" x14ac:dyDescent="0.2">
      <c r="A755" s="155" t="str">
        <f>Collection!A36</f>
        <v>2083/03/18</v>
      </c>
      <c r="B755" s="176" t="str">
        <f>Collection!C36</f>
        <v>DEURALI KIRANA</v>
      </c>
      <c r="C755" s="156" t="str">
        <f>IF(Collection!E36="Payment","Payment","Collection")</f>
        <v>Collection</v>
      </c>
      <c r="D755" s="156">
        <f>Collection!B36</f>
        <v>3731</v>
      </c>
      <c r="E755" s="156" t="str">
        <f>Collection!I36</f>
        <v>Cash</v>
      </c>
      <c r="F755" s="157">
        <f>IF(Collection!E36="Payment",N(Collection!H36),0)</f>
        <v>0</v>
      </c>
      <c r="G755" s="157">
        <f>IF(Collection!E36="Collection",N(Collection!G36),0)</f>
        <v>425</v>
      </c>
      <c r="H755" s="157">
        <f t="shared" si="11"/>
        <v>-425</v>
      </c>
      <c r="I755" s="151"/>
      <c r="J755" t="str">
        <f>IF($B755="","",IF(AND($B755=Party_Statement!$B$5,$A755&gt;=Party_Statement!$B$6,$A755&lt;=Party_Statement!$D$6),SUMPRODUCT(($B$3:$B755=Party_Statement!$B$5)*($A$3:$A755&gt;=Party_Statement!$B$6)*($A$3:$A755&lt;=Party_Statement!$D$6)),""))</f>
        <v/>
      </c>
    </row>
    <row r="756" spans="1:10" x14ac:dyDescent="0.2">
      <c r="A756" s="155" t="str">
        <f>Collection!A37</f>
        <v>2083/03/18</v>
      </c>
      <c r="B756" s="176" t="str">
        <f>Collection!C37</f>
        <v>PALPALI KIRANA</v>
      </c>
      <c r="C756" s="156" t="str">
        <f>IF(Collection!E37="Payment","Payment","Collection")</f>
        <v>Collection</v>
      </c>
      <c r="D756" s="156">
        <f>Collection!B37</f>
        <v>3732</v>
      </c>
      <c r="E756" s="156" t="str">
        <f>Collection!I37</f>
        <v>Cash</v>
      </c>
      <c r="F756" s="157">
        <f>IF(Collection!E37="Payment",N(Collection!H37),0)</f>
        <v>0</v>
      </c>
      <c r="G756" s="157">
        <f>IF(Collection!E37="Collection",N(Collection!G37),0)</f>
        <v>1700</v>
      </c>
      <c r="H756" s="157">
        <f t="shared" si="11"/>
        <v>-1700</v>
      </c>
      <c r="I756" s="151"/>
      <c r="J756" t="str">
        <f>IF($B756="","",IF(AND($B756=Party_Statement!$B$5,$A756&gt;=Party_Statement!$B$6,$A756&lt;=Party_Statement!$D$6),SUMPRODUCT(($B$3:$B756=Party_Statement!$B$5)*($A$3:$A756&gt;=Party_Statement!$B$6)*($A$3:$A756&lt;=Party_Statement!$D$6)),""))</f>
        <v/>
      </c>
    </row>
    <row r="757" spans="1:10" x14ac:dyDescent="0.2">
      <c r="A757" s="155" t="str">
        <f>Collection!A38</f>
        <v>2083/03/18</v>
      </c>
      <c r="B757" s="176" t="str">
        <f>Collection!C38</f>
        <v>ORGANIC TARKALI</v>
      </c>
      <c r="C757" s="156" t="str">
        <f>IF(Collection!E38="Payment","Payment","Collection")</f>
        <v>Collection</v>
      </c>
      <c r="D757" s="156">
        <f>Collection!B38</f>
        <v>3733</v>
      </c>
      <c r="E757" s="156" t="str">
        <f>Collection!I38</f>
        <v>Cash</v>
      </c>
      <c r="F757" s="157">
        <f>IF(Collection!E38="Payment",N(Collection!H38),0)</f>
        <v>0</v>
      </c>
      <c r="G757" s="157">
        <f>IF(Collection!E38="Collection",N(Collection!G38),0)</f>
        <v>4990</v>
      </c>
      <c r="H757" s="157">
        <f t="shared" si="11"/>
        <v>-4990</v>
      </c>
      <c r="I757" s="151"/>
      <c r="J757" t="str">
        <f>IF($B757="","",IF(AND($B757=Party_Statement!$B$5,$A757&gt;=Party_Statement!$B$6,$A757&lt;=Party_Statement!$D$6),SUMPRODUCT(($B$3:$B757=Party_Statement!$B$5)*($A$3:$A757&gt;=Party_Statement!$B$6)*($A$3:$A757&lt;=Party_Statement!$D$6)),""))</f>
        <v/>
      </c>
    </row>
    <row r="758" spans="1:10" x14ac:dyDescent="0.2">
      <c r="A758" s="155" t="str">
        <f>Collection!A39</f>
        <v>2083/03/18</v>
      </c>
      <c r="B758" s="176" t="str">
        <f>Collection!C39</f>
        <v>LOCAL</v>
      </c>
      <c r="C758" s="156" t="str">
        <f>IF(Collection!E39="Payment","Payment","Collection")</f>
        <v>Collection</v>
      </c>
      <c r="D758" s="156">
        <f>Collection!B39</f>
        <v>6055</v>
      </c>
      <c r="E758" s="156" t="str">
        <f>Collection!I39</f>
        <v>Cash</v>
      </c>
      <c r="F758" s="157">
        <f>IF(Collection!E39="Payment",N(Collection!H39),0)</f>
        <v>0</v>
      </c>
      <c r="G758" s="157">
        <f>IF(Collection!E39="Collection",N(Collection!G39),0)</f>
        <v>450</v>
      </c>
      <c r="H758" s="157">
        <f t="shared" si="11"/>
        <v>-450</v>
      </c>
      <c r="I758" s="151"/>
      <c r="J758" t="str">
        <f>IF($B758="","",IF(AND($B758=Party_Statement!$B$5,$A758&gt;=Party_Statement!$B$6,$A758&lt;=Party_Statement!$D$6),SUMPRODUCT(($B$3:$B758=Party_Statement!$B$5)*($A$3:$A758&gt;=Party_Statement!$B$6)*($A$3:$A758&lt;=Party_Statement!$D$6)),""))</f>
        <v/>
      </c>
    </row>
    <row r="759" spans="1:10" x14ac:dyDescent="0.2">
      <c r="A759" s="155" t="str">
        <f>Collection!A40</f>
        <v>2083/03/19</v>
      </c>
      <c r="B759" s="176" t="str">
        <f>Collection!C40</f>
        <v>SRIJANA DAIRY</v>
      </c>
      <c r="C759" s="156" t="str">
        <f>IF(Collection!E40="Payment","Payment","Collection")</f>
        <v>Collection</v>
      </c>
      <c r="D759" s="156">
        <f>Collection!B40</f>
        <v>3734</v>
      </c>
      <c r="E759" s="156" t="str">
        <f>Collection!I40</f>
        <v>Cash</v>
      </c>
      <c r="F759" s="157">
        <f>IF(Collection!E40="Payment",N(Collection!H40),0)</f>
        <v>0</v>
      </c>
      <c r="G759" s="157">
        <f>IF(Collection!E40="Collection",N(Collection!G40),0)</f>
        <v>5100</v>
      </c>
      <c r="H759" s="157">
        <f t="shared" si="11"/>
        <v>-5100</v>
      </c>
      <c r="I759" s="151"/>
      <c r="J759" t="str">
        <f>IF($B759="","",IF(AND($B759=Party_Statement!$B$5,$A759&gt;=Party_Statement!$B$6,$A759&lt;=Party_Statement!$D$6),SUMPRODUCT(($B$3:$B759=Party_Statement!$B$5)*($A$3:$A759&gt;=Party_Statement!$B$6)*($A$3:$A759&lt;=Party_Statement!$D$6)),""))</f>
        <v/>
      </c>
    </row>
    <row r="760" spans="1:10" x14ac:dyDescent="0.2">
      <c r="A760" s="155" t="str">
        <f>Collection!A41</f>
        <v>2083/03/19</v>
      </c>
      <c r="B760" s="176" t="str">
        <f>Collection!C41</f>
        <v>SOBHA BHATTARAI</v>
      </c>
      <c r="C760" s="156" t="str">
        <f>IF(Collection!E41="Payment","Payment","Collection")</f>
        <v>Collection</v>
      </c>
      <c r="D760" s="156">
        <f>Collection!B41</f>
        <v>3735</v>
      </c>
      <c r="E760" s="156" t="str">
        <f>Collection!I41</f>
        <v>Cash</v>
      </c>
      <c r="F760" s="157">
        <f>IF(Collection!E41="Payment",N(Collection!H41),0)</f>
        <v>0</v>
      </c>
      <c r="G760" s="157">
        <f>IF(Collection!E41="Collection",N(Collection!G41),0)</f>
        <v>2125</v>
      </c>
      <c r="H760" s="157">
        <f t="shared" si="11"/>
        <v>-2125</v>
      </c>
      <c r="I760" s="151"/>
      <c r="J760" t="str">
        <f>IF($B760="","",IF(AND($B760=Party_Statement!$B$5,$A760&gt;=Party_Statement!$B$6,$A760&lt;=Party_Statement!$D$6),SUMPRODUCT(($B$3:$B760=Party_Statement!$B$5)*($A$3:$A760&gt;=Party_Statement!$B$6)*($A$3:$A760&lt;=Party_Statement!$D$6)),""))</f>
        <v/>
      </c>
    </row>
    <row r="761" spans="1:10" x14ac:dyDescent="0.2">
      <c r="A761" s="155" t="str">
        <f>Collection!A42</f>
        <v>2083/03/19</v>
      </c>
      <c r="B761" s="176" t="str">
        <f>Collection!C42</f>
        <v>AAMOSH KIRANA</v>
      </c>
      <c r="C761" s="156" t="str">
        <f>IF(Collection!E42="Payment","Payment","Collection")</f>
        <v>Collection</v>
      </c>
      <c r="D761" s="156">
        <f>Collection!B42</f>
        <v>3736</v>
      </c>
      <c r="E761" s="156" t="str">
        <f>Collection!I42</f>
        <v>Cash</v>
      </c>
      <c r="F761" s="157">
        <f>IF(Collection!E42="Payment",N(Collection!H42),0)</f>
        <v>0</v>
      </c>
      <c r="G761" s="157">
        <f>IF(Collection!E42="Collection",N(Collection!G42),0)</f>
        <v>5000</v>
      </c>
      <c r="H761" s="157">
        <f t="shared" si="11"/>
        <v>-5000</v>
      </c>
      <c r="I761" s="151"/>
      <c r="J761" t="str">
        <f>IF($B761="","",IF(AND($B761=Party_Statement!$B$5,$A761&gt;=Party_Statement!$B$6,$A761&lt;=Party_Statement!$D$6),SUMPRODUCT(($B$3:$B761=Party_Statement!$B$5)*($A$3:$A761&gt;=Party_Statement!$B$6)*($A$3:$A761&lt;=Party_Statement!$D$6)),""))</f>
        <v/>
      </c>
    </row>
    <row r="762" spans="1:10" x14ac:dyDescent="0.2">
      <c r="A762" s="155" t="str">
        <f>Collection!A43</f>
        <v>2083/03/19</v>
      </c>
      <c r="B762" s="176" t="str">
        <f>Collection!C43</f>
        <v>PALPALI KIRANA</v>
      </c>
      <c r="C762" s="156" t="str">
        <f>IF(Collection!E43="Payment","Payment","Collection")</f>
        <v>Collection</v>
      </c>
      <c r="D762" s="156">
        <f>Collection!B43</f>
        <v>3737</v>
      </c>
      <c r="E762" s="156" t="str">
        <f>Collection!I43</f>
        <v>Cash</v>
      </c>
      <c r="F762" s="157">
        <f>IF(Collection!E43="Payment",N(Collection!H43),0)</f>
        <v>0</v>
      </c>
      <c r="G762" s="157">
        <f>IF(Collection!E43="Collection",N(Collection!G43),0)</f>
        <v>2125</v>
      </c>
      <c r="H762" s="157">
        <f t="shared" si="11"/>
        <v>-2125</v>
      </c>
      <c r="I762" s="151"/>
      <c r="J762" t="str">
        <f>IF($B762="","",IF(AND($B762=Party_Statement!$B$5,$A762&gt;=Party_Statement!$B$6,$A762&lt;=Party_Statement!$D$6),SUMPRODUCT(($B$3:$B762=Party_Statement!$B$5)*($A$3:$A762&gt;=Party_Statement!$B$6)*($A$3:$A762&lt;=Party_Statement!$D$6)),""))</f>
        <v/>
      </c>
    </row>
    <row r="763" spans="1:10" x14ac:dyDescent="0.2">
      <c r="A763" s="155" t="str">
        <f>Collection!A44</f>
        <v>2083/03/19</v>
      </c>
      <c r="B763" s="176" t="str">
        <f>Collection!C44</f>
        <v>DEURALI KIRANA</v>
      </c>
      <c r="C763" s="156" t="str">
        <f>IF(Collection!E44="Payment","Payment","Collection")</f>
        <v>Collection</v>
      </c>
      <c r="D763" s="156">
        <f>Collection!B44</f>
        <v>3738</v>
      </c>
      <c r="E763" s="156" t="str">
        <f>Collection!I44</f>
        <v>Cash</v>
      </c>
      <c r="F763" s="157">
        <f>IF(Collection!E44="Payment",N(Collection!H44),0)</f>
        <v>0</v>
      </c>
      <c r="G763" s="157">
        <f>IF(Collection!E44="Collection",N(Collection!G44),0)</f>
        <v>425</v>
      </c>
      <c r="H763" s="157">
        <f t="shared" si="11"/>
        <v>-425</v>
      </c>
      <c r="I763" s="151"/>
      <c r="J763" t="str">
        <f>IF($B763="","",IF(AND($B763=Party_Statement!$B$5,$A763&gt;=Party_Statement!$B$6,$A763&lt;=Party_Statement!$D$6),SUMPRODUCT(($B$3:$B763=Party_Statement!$B$5)*($A$3:$A763&gt;=Party_Statement!$B$6)*($A$3:$A763&lt;=Party_Statement!$D$6)),""))</f>
        <v/>
      </c>
    </row>
    <row r="764" spans="1:10" x14ac:dyDescent="0.2">
      <c r="A764" s="155" t="str">
        <f>Collection!A45</f>
        <v>2083/03/19</v>
      </c>
      <c r="B764" s="176" t="str">
        <f>Collection!C45</f>
        <v>GIRI KIRANA</v>
      </c>
      <c r="C764" s="156" t="str">
        <f>IF(Collection!E45="Payment","Payment","Collection")</f>
        <v>Collection</v>
      </c>
      <c r="D764" s="156">
        <f>Collection!B45</f>
        <v>3739</v>
      </c>
      <c r="E764" s="156" t="str">
        <f>Collection!I45</f>
        <v>Cash</v>
      </c>
      <c r="F764" s="157">
        <f>IF(Collection!E45="Payment",N(Collection!H45),0)</f>
        <v>0</v>
      </c>
      <c r="G764" s="157">
        <f>IF(Collection!E45="Collection",N(Collection!G45),0)</f>
        <v>1275</v>
      </c>
      <c r="H764" s="157">
        <f t="shared" si="11"/>
        <v>-1275</v>
      </c>
      <c r="I764" s="151"/>
      <c r="J764" t="str">
        <f>IF($B764="","",IF(AND($B764=Party_Statement!$B$5,$A764&gt;=Party_Statement!$B$6,$A764&lt;=Party_Statement!$D$6),SUMPRODUCT(($B$3:$B764=Party_Statement!$B$5)*($A$3:$A764&gt;=Party_Statement!$B$6)*($A$3:$A764&lt;=Party_Statement!$D$6)),""))</f>
        <v/>
      </c>
    </row>
    <row r="765" spans="1:10" x14ac:dyDescent="0.2">
      <c r="A765" s="155" t="str">
        <f>Collection!A46</f>
        <v>2083/03/19</v>
      </c>
      <c r="B765" s="176" t="str">
        <f>Collection!C46</f>
        <v>SAMIKSHYA KIRANA</v>
      </c>
      <c r="C765" s="156" t="str">
        <f>IF(Collection!E46="Payment","Payment","Collection")</f>
        <v>Collection</v>
      </c>
      <c r="D765" s="156">
        <f>Collection!B46</f>
        <v>3740</v>
      </c>
      <c r="E765" s="156" t="str">
        <f>Collection!I46</f>
        <v>Cash</v>
      </c>
      <c r="F765" s="157">
        <f>IF(Collection!E46="Payment",N(Collection!H46),0)</f>
        <v>0</v>
      </c>
      <c r="G765" s="157">
        <f>IF(Collection!E46="Collection",N(Collection!G46),0)</f>
        <v>850</v>
      </c>
      <c r="H765" s="157">
        <f t="shared" si="11"/>
        <v>-850</v>
      </c>
      <c r="I765" s="151"/>
      <c r="J765" t="str">
        <f>IF($B765="","",IF(AND($B765=Party_Statement!$B$5,$A765&gt;=Party_Statement!$B$6,$A765&lt;=Party_Statement!$D$6),SUMPRODUCT(($B$3:$B765=Party_Statement!$B$5)*($A$3:$A765&gt;=Party_Statement!$B$6)*($A$3:$A765&lt;=Party_Statement!$D$6)),""))</f>
        <v/>
      </c>
    </row>
    <row r="766" spans="1:10" x14ac:dyDescent="0.2">
      <c r="A766" s="155" t="str">
        <f>Collection!A47</f>
        <v>2083/03/19</v>
      </c>
      <c r="B766" s="176" t="str">
        <f>Collection!C47</f>
        <v>YUBARAJ AND SAMRAT</v>
      </c>
      <c r="C766" s="156" t="str">
        <f>IF(Collection!E47="Payment","Payment","Collection")</f>
        <v>Collection</v>
      </c>
      <c r="D766" s="156">
        <f>Collection!B47</f>
        <v>3741</v>
      </c>
      <c r="E766" s="156" t="str">
        <f>Collection!I47</f>
        <v>Cash</v>
      </c>
      <c r="F766" s="157">
        <f>IF(Collection!E47="Payment",N(Collection!H47),0)</f>
        <v>0</v>
      </c>
      <c r="G766" s="157">
        <f>IF(Collection!E47="Collection",N(Collection!G47),0)</f>
        <v>1275</v>
      </c>
      <c r="H766" s="157">
        <f t="shared" si="11"/>
        <v>-1275</v>
      </c>
      <c r="I766" s="151"/>
      <c r="J766" t="str">
        <f>IF($B766="","",IF(AND($B766=Party_Statement!$B$5,$A766&gt;=Party_Statement!$B$6,$A766&lt;=Party_Statement!$D$6),SUMPRODUCT(($B$3:$B766=Party_Statement!$B$5)*($A$3:$A766&gt;=Party_Statement!$B$6)*($A$3:$A766&lt;=Party_Statement!$D$6)),""))</f>
        <v/>
      </c>
    </row>
    <row r="767" spans="1:10" x14ac:dyDescent="0.2">
      <c r="A767" s="155" t="str">
        <f>Collection!A48</f>
        <v>2083/03/19</v>
      </c>
      <c r="B767" s="176" t="str">
        <f>Collection!C48</f>
        <v>MANAKAMANA DAIRY</v>
      </c>
      <c r="C767" s="156" t="str">
        <f>IF(Collection!E48="Payment","Payment","Collection")</f>
        <v>Collection</v>
      </c>
      <c r="D767" s="156">
        <f>Collection!B48</f>
        <v>3742</v>
      </c>
      <c r="E767" s="156" t="str">
        <f>Collection!I48</f>
        <v>Cash</v>
      </c>
      <c r="F767" s="157">
        <f>IF(Collection!E48="Payment",N(Collection!H48),0)</f>
        <v>0</v>
      </c>
      <c r="G767" s="157">
        <f>IF(Collection!E48="Collection",N(Collection!G48),0)</f>
        <v>1700</v>
      </c>
      <c r="H767" s="157">
        <f t="shared" si="11"/>
        <v>-1700</v>
      </c>
      <c r="I767" s="151"/>
      <c r="J767" t="str">
        <f>IF($B767="","",IF(AND($B767=Party_Statement!$B$5,$A767&gt;=Party_Statement!$B$6,$A767&lt;=Party_Statement!$D$6),SUMPRODUCT(($B$3:$B767=Party_Statement!$B$5)*($A$3:$A767&gt;=Party_Statement!$B$6)*($A$3:$A767&lt;=Party_Statement!$D$6)),""))</f>
        <v/>
      </c>
    </row>
    <row r="768" spans="1:10" x14ac:dyDescent="0.2">
      <c r="A768" s="155" t="str">
        <f>Collection!A49</f>
        <v>2083/03/19</v>
      </c>
      <c r="B768" s="176" t="str">
        <f>Collection!C49</f>
        <v>ORGANIC TARKALI</v>
      </c>
      <c r="C768" s="156" t="str">
        <f>IF(Collection!E49="Payment","Payment","Collection")</f>
        <v>Collection</v>
      </c>
      <c r="D768" s="156">
        <f>Collection!B49</f>
        <v>3743</v>
      </c>
      <c r="E768" s="156" t="str">
        <f>Collection!I49</f>
        <v>Cash</v>
      </c>
      <c r="F768" s="157">
        <f>IF(Collection!E49="Payment",N(Collection!H49),0)</f>
        <v>0</v>
      </c>
      <c r="G768" s="157">
        <f>IF(Collection!E49="Collection",N(Collection!G49),0)</f>
        <v>3795</v>
      </c>
      <c r="H768" s="157">
        <f t="shared" si="11"/>
        <v>-3795</v>
      </c>
      <c r="I768" s="151"/>
      <c r="J768" t="str">
        <f>IF($B768="","",IF(AND($B768=Party_Statement!$B$5,$A768&gt;=Party_Statement!$B$6,$A768&lt;=Party_Statement!$D$6),SUMPRODUCT(($B$3:$B768=Party_Statement!$B$5)*($A$3:$A768&gt;=Party_Statement!$B$6)*($A$3:$A768&lt;=Party_Statement!$D$6)),""))</f>
        <v/>
      </c>
    </row>
    <row r="769" spans="1:10" x14ac:dyDescent="0.2">
      <c r="A769" s="155" t="str">
        <f>Collection!A50</f>
        <v>2083/03/19</v>
      </c>
      <c r="B769" s="176" t="str">
        <f>Collection!C50</f>
        <v>LOCAL</v>
      </c>
      <c r="C769" s="156" t="str">
        <f>IF(Collection!E50="Payment","Payment","Collection")</f>
        <v>Collection</v>
      </c>
      <c r="D769" s="156">
        <f>Collection!B50</f>
        <v>6074</v>
      </c>
      <c r="E769" s="156" t="str">
        <f>Collection!I50</f>
        <v>Cash</v>
      </c>
      <c r="F769" s="157">
        <f>IF(Collection!E50="Payment",N(Collection!H50),0)</f>
        <v>0</v>
      </c>
      <c r="G769" s="157">
        <f>IF(Collection!E50="Collection",N(Collection!G50),0)</f>
        <v>820</v>
      </c>
      <c r="H769" s="157">
        <f t="shared" si="11"/>
        <v>-820</v>
      </c>
      <c r="I769" s="151"/>
      <c r="J769" t="str">
        <f>IF($B769="","",IF(AND($B769=Party_Statement!$B$5,$A769&gt;=Party_Statement!$B$6,$A769&lt;=Party_Statement!$D$6),SUMPRODUCT(($B$3:$B769=Party_Statement!$B$5)*($A$3:$A769&gt;=Party_Statement!$B$6)*($A$3:$A769&lt;=Party_Statement!$D$6)),""))</f>
        <v/>
      </c>
    </row>
    <row r="770" spans="1:10" x14ac:dyDescent="0.2">
      <c r="A770" s="155" t="str">
        <f>Collection!A51</f>
        <v>2083/03/20</v>
      </c>
      <c r="B770" s="176" t="str">
        <f>Collection!C51</f>
        <v>SRIJANA DAIRY</v>
      </c>
      <c r="C770" s="156" t="str">
        <f>IF(Collection!E51="Payment","Payment","Collection")</f>
        <v>Collection</v>
      </c>
      <c r="D770" s="156">
        <f>Collection!B51</f>
        <v>3745</v>
      </c>
      <c r="E770" s="156" t="str">
        <f>Collection!I51</f>
        <v>Cash</v>
      </c>
      <c r="F770" s="157">
        <f>IF(Collection!E51="Payment",N(Collection!H51),0)</f>
        <v>0</v>
      </c>
      <c r="G770" s="157">
        <f>IF(Collection!E51="Collection",N(Collection!G51),0)</f>
        <v>5100</v>
      </c>
      <c r="H770" s="157">
        <f t="shared" si="11"/>
        <v>-5100</v>
      </c>
      <c r="I770" s="151"/>
      <c r="J770" t="str">
        <f>IF($B770="","",IF(AND($B770=Party_Statement!$B$5,$A770&gt;=Party_Statement!$B$6,$A770&lt;=Party_Statement!$D$6),SUMPRODUCT(($B$3:$B770=Party_Statement!$B$5)*($A$3:$A770&gt;=Party_Statement!$B$6)*($A$3:$A770&lt;=Party_Statement!$D$6)),""))</f>
        <v/>
      </c>
    </row>
    <row r="771" spans="1:10" x14ac:dyDescent="0.2">
      <c r="A771" s="155" t="str">
        <f>Collection!A52</f>
        <v>2083/03/20</v>
      </c>
      <c r="B771" s="176" t="str">
        <f>Collection!C52</f>
        <v>SOBHA BHATTARAI</v>
      </c>
      <c r="C771" s="156" t="str">
        <f>IF(Collection!E52="Payment","Payment","Collection")</f>
        <v>Collection</v>
      </c>
      <c r="D771" s="156">
        <f>Collection!B52</f>
        <v>3746</v>
      </c>
      <c r="E771" s="156" t="str">
        <f>Collection!I52</f>
        <v>Cash</v>
      </c>
      <c r="F771" s="157">
        <f>IF(Collection!E52="Payment",N(Collection!H52),0)</f>
        <v>0</v>
      </c>
      <c r="G771" s="157">
        <f>IF(Collection!E52="Collection",N(Collection!G52),0)</f>
        <v>2550</v>
      </c>
      <c r="H771" s="157">
        <f t="shared" si="11"/>
        <v>-2550</v>
      </c>
      <c r="I771" s="151"/>
      <c r="J771" t="str">
        <f>IF($B771="","",IF(AND($B771=Party_Statement!$B$5,$A771&gt;=Party_Statement!$B$6,$A771&lt;=Party_Statement!$D$6),SUMPRODUCT(($B$3:$B771=Party_Statement!$B$5)*($A$3:$A771&gt;=Party_Statement!$B$6)*($A$3:$A771&lt;=Party_Statement!$D$6)),""))</f>
        <v/>
      </c>
    </row>
    <row r="772" spans="1:10" x14ac:dyDescent="0.2">
      <c r="A772" s="155" t="str">
        <f>Collection!A53</f>
        <v>2083/03/20</v>
      </c>
      <c r="B772" s="176" t="str">
        <f>Collection!C53</f>
        <v>SAMIKSHYA KIRANA</v>
      </c>
      <c r="C772" s="156" t="str">
        <f>IF(Collection!E53="Payment","Payment","Collection")</f>
        <v>Collection</v>
      </c>
      <c r="D772" s="156">
        <f>Collection!B53</f>
        <v>3747</v>
      </c>
      <c r="E772" s="156" t="str">
        <f>Collection!I53</f>
        <v>Cash</v>
      </c>
      <c r="F772" s="157">
        <f>IF(Collection!E53="Payment",N(Collection!H53),0)</f>
        <v>0</v>
      </c>
      <c r="G772" s="157">
        <f>IF(Collection!E53="Collection",N(Collection!G53),0)</f>
        <v>850</v>
      </c>
      <c r="H772" s="157">
        <f t="shared" ref="H772:H835" si="12">IF($B772="","",IF($B772=$B771,$H771+$F772-$G772,$F772-$G772))</f>
        <v>-850</v>
      </c>
      <c r="I772" s="151"/>
      <c r="J772" t="str">
        <f>IF($B772="","",IF(AND($B772=Party_Statement!$B$5,$A772&gt;=Party_Statement!$B$6,$A772&lt;=Party_Statement!$D$6),SUMPRODUCT(($B$3:$B772=Party_Statement!$B$5)*($A$3:$A772&gt;=Party_Statement!$B$6)*($A$3:$A772&lt;=Party_Statement!$D$6)),""))</f>
        <v/>
      </c>
    </row>
    <row r="773" spans="1:10" x14ac:dyDescent="0.2">
      <c r="A773" s="155" t="str">
        <f>Collection!A54</f>
        <v>2083/03/20</v>
      </c>
      <c r="B773" s="176" t="str">
        <f>Collection!C54</f>
        <v>PALPALI KIRANA</v>
      </c>
      <c r="C773" s="156" t="str">
        <f>IF(Collection!E54="Payment","Payment","Collection")</f>
        <v>Collection</v>
      </c>
      <c r="D773" s="156">
        <f>Collection!B54</f>
        <v>3748</v>
      </c>
      <c r="E773" s="156" t="str">
        <f>Collection!I54</f>
        <v>Cash</v>
      </c>
      <c r="F773" s="157">
        <f>IF(Collection!E54="Payment",N(Collection!H54),0)</f>
        <v>0</v>
      </c>
      <c r="G773" s="157">
        <f>IF(Collection!E54="Collection",N(Collection!G54),0)</f>
        <v>1700</v>
      </c>
      <c r="H773" s="157">
        <f t="shared" si="12"/>
        <v>-1700</v>
      </c>
      <c r="I773" s="151"/>
      <c r="J773" t="str">
        <f>IF($B773="","",IF(AND($B773=Party_Statement!$B$5,$A773&gt;=Party_Statement!$B$6,$A773&lt;=Party_Statement!$D$6),SUMPRODUCT(($B$3:$B773=Party_Statement!$B$5)*($A$3:$A773&gt;=Party_Statement!$B$6)*($A$3:$A773&lt;=Party_Statement!$D$6)),""))</f>
        <v/>
      </c>
    </row>
    <row r="774" spans="1:10" x14ac:dyDescent="0.2">
      <c r="A774" s="155" t="str">
        <f>Collection!A55</f>
        <v>2083/03/20</v>
      </c>
      <c r="B774" s="176" t="str">
        <f>Collection!C55</f>
        <v>AAMOSH KIRANA</v>
      </c>
      <c r="C774" s="156" t="str">
        <f>IF(Collection!E55="Payment","Payment","Collection")</f>
        <v>Collection</v>
      </c>
      <c r="D774" s="156">
        <f>Collection!B55</f>
        <v>3749</v>
      </c>
      <c r="E774" s="156" t="str">
        <f>Collection!I55</f>
        <v>Cash</v>
      </c>
      <c r="F774" s="157">
        <f>IF(Collection!E55="Payment",N(Collection!H55),0)</f>
        <v>0</v>
      </c>
      <c r="G774" s="157">
        <f>IF(Collection!E55="Collection",N(Collection!G55),0)</f>
        <v>9000</v>
      </c>
      <c r="H774" s="157">
        <f t="shared" si="12"/>
        <v>-9000</v>
      </c>
      <c r="I774" s="151"/>
      <c r="J774" t="str">
        <f>IF($B774="","",IF(AND($B774=Party_Statement!$B$5,$A774&gt;=Party_Statement!$B$6,$A774&lt;=Party_Statement!$D$6),SUMPRODUCT(($B$3:$B774=Party_Statement!$B$5)*($A$3:$A774&gt;=Party_Statement!$B$6)*($A$3:$A774&lt;=Party_Statement!$D$6)),""))</f>
        <v/>
      </c>
    </row>
    <row r="775" spans="1:10" x14ac:dyDescent="0.2">
      <c r="A775" s="155" t="str">
        <f>Collection!A56</f>
        <v>2083/03/20</v>
      </c>
      <c r="B775" s="176" t="str">
        <f>Collection!C56</f>
        <v>DEURALI KIRANA</v>
      </c>
      <c r="C775" s="156" t="str">
        <f>IF(Collection!E56="Payment","Payment","Collection")</f>
        <v>Collection</v>
      </c>
      <c r="D775" s="156">
        <f>Collection!B56</f>
        <v>3750</v>
      </c>
      <c r="E775" s="156" t="str">
        <f>Collection!I56</f>
        <v>Cash</v>
      </c>
      <c r="F775" s="157">
        <f>IF(Collection!E56="Payment",N(Collection!H56),0)</f>
        <v>0</v>
      </c>
      <c r="G775" s="157">
        <f>IF(Collection!E56="Collection",N(Collection!G56),0)</f>
        <v>425</v>
      </c>
      <c r="H775" s="157">
        <f t="shared" si="12"/>
        <v>-425</v>
      </c>
      <c r="I775" s="151"/>
      <c r="J775" t="str">
        <f>IF($B775="","",IF(AND($B775=Party_Statement!$B$5,$A775&gt;=Party_Statement!$B$6,$A775&lt;=Party_Statement!$D$6),SUMPRODUCT(($B$3:$B775=Party_Statement!$B$5)*($A$3:$A775&gt;=Party_Statement!$B$6)*($A$3:$A775&lt;=Party_Statement!$D$6)),""))</f>
        <v/>
      </c>
    </row>
    <row r="776" spans="1:10" x14ac:dyDescent="0.2">
      <c r="A776" s="155" t="str">
        <f>Collection!A57</f>
        <v>2083/03/20</v>
      </c>
      <c r="B776" s="176" t="str">
        <f>Collection!C57</f>
        <v>GIRI KIRANA</v>
      </c>
      <c r="C776" s="156" t="str">
        <f>IF(Collection!E57="Payment","Payment","Collection")</f>
        <v>Collection</v>
      </c>
      <c r="D776" s="156">
        <f>Collection!B57</f>
        <v>3751</v>
      </c>
      <c r="E776" s="156" t="str">
        <f>Collection!I57</f>
        <v>Cash</v>
      </c>
      <c r="F776" s="157">
        <f>IF(Collection!E57="Payment",N(Collection!H57),0)</f>
        <v>0</v>
      </c>
      <c r="G776" s="157">
        <f>IF(Collection!E57="Collection",N(Collection!G57),0)</f>
        <v>1275</v>
      </c>
      <c r="H776" s="157">
        <f t="shared" si="12"/>
        <v>-1275</v>
      </c>
      <c r="I776" s="151"/>
      <c r="J776" t="str">
        <f>IF($B776="","",IF(AND($B776=Party_Statement!$B$5,$A776&gt;=Party_Statement!$B$6,$A776&lt;=Party_Statement!$D$6),SUMPRODUCT(($B$3:$B776=Party_Statement!$B$5)*($A$3:$A776&gt;=Party_Statement!$B$6)*($A$3:$A776&lt;=Party_Statement!$D$6)),""))</f>
        <v/>
      </c>
    </row>
    <row r="777" spans="1:10" x14ac:dyDescent="0.2">
      <c r="A777" s="155" t="str">
        <f>Collection!A58</f>
        <v>2083/03/20</v>
      </c>
      <c r="B777" s="176" t="str">
        <f>Collection!C58</f>
        <v>AAYUSH AND AAYUSHMA</v>
      </c>
      <c r="C777" s="156" t="str">
        <f>IF(Collection!E58="Payment","Payment","Collection")</f>
        <v>Collection</v>
      </c>
      <c r="D777" s="156">
        <f>Collection!B58</f>
        <v>3752</v>
      </c>
      <c r="E777" s="156" t="str">
        <f>Collection!I58</f>
        <v>Cash</v>
      </c>
      <c r="F777" s="157">
        <f>IF(Collection!E58="Payment",N(Collection!H58),0)</f>
        <v>0</v>
      </c>
      <c r="G777" s="157">
        <f>IF(Collection!E58="Collection",N(Collection!G58),0)</f>
        <v>425</v>
      </c>
      <c r="H777" s="157">
        <f t="shared" si="12"/>
        <v>-425</v>
      </c>
      <c r="I777" s="151"/>
      <c r="J777" t="str">
        <f>IF($B777="","",IF(AND($B777=Party_Statement!$B$5,$A777&gt;=Party_Statement!$B$6,$A777&lt;=Party_Statement!$D$6),SUMPRODUCT(($B$3:$B777=Party_Statement!$B$5)*($A$3:$A777&gt;=Party_Statement!$B$6)*($A$3:$A777&lt;=Party_Statement!$D$6)),""))</f>
        <v/>
      </c>
    </row>
    <row r="778" spans="1:10" x14ac:dyDescent="0.2">
      <c r="A778" s="155" t="str">
        <f>Collection!A59</f>
        <v>2083/03/20</v>
      </c>
      <c r="B778" s="176" t="str">
        <f>Collection!C59</f>
        <v>YUBARAJ AND SAMRAT</v>
      </c>
      <c r="C778" s="156" t="str">
        <f>IF(Collection!E59="Payment","Payment","Collection")</f>
        <v>Collection</v>
      </c>
      <c r="D778" s="156">
        <f>Collection!B59</f>
        <v>3753</v>
      </c>
      <c r="E778" s="156" t="str">
        <f>Collection!I59</f>
        <v>Cash</v>
      </c>
      <c r="F778" s="157">
        <f>IF(Collection!E59="Payment",N(Collection!H59),0)</f>
        <v>0</v>
      </c>
      <c r="G778" s="157">
        <f>IF(Collection!E59="Collection",N(Collection!G59),0)</f>
        <v>1020</v>
      </c>
      <c r="H778" s="157">
        <f t="shared" si="12"/>
        <v>-1020</v>
      </c>
      <c r="I778" s="151"/>
      <c r="J778" t="str">
        <f>IF($B778="","",IF(AND($B778=Party_Statement!$B$5,$A778&gt;=Party_Statement!$B$6,$A778&lt;=Party_Statement!$D$6),SUMPRODUCT(($B$3:$B778=Party_Statement!$B$5)*($A$3:$A778&gt;=Party_Statement!$B$6)*($A$3:$A778&lt;=Party_Statement!$D$6)),""))</f>
        <v/>
      </c>
    </row>
    <row r="779" spans="1:10" x14ac:dyDescent="0.2">
      <c r="A779" s="155" t="str">
        <f>Collection!A60</f>
        <v>2083/03/20</v>
      </c>
      <c r="B779" s="176" t="str">
        <f>Collection!C60</f>
        <v>ORGANIC TARKALI</v>
      </c>
      <c r="C779" s="156" t="str">
        <f>IF(Collection!E60="Payment","Payment","Collection")</f>
        <v>Collection</v>
      </c>
      <c r="D779" s="156">
        <f>Collection!B60</f>
        <v>3754</v>
      </c>
      <c r="E779" s="156" t="str">
        <f>Collection!I60</f>
        <v>Cash</v>
      </c>
      <c r="F779" s="157">
        <f>IF(Collection!E60="Payment",N(Collection!H60),0)</f>
        <v>0</v>
      </c>
      <c r="G779" s="157">
        <f>IF(Collection!E60="Collection",N(Collection!G60),0)</f>
        <v>3395</v>
      </c>
      <c r="H779" s="157">
        <f t="shared" si="12"/>
        <v>-3395</v>
      </c>
      <c r="I779" s="151"/>
      <c r="J779" t="str">
        <f>IF($B779="","",IF(AND($B779=Party_Statement!$B$5,$A779&gt;=Party_Statement!$B$6,$A779&lt;=Party_Statement!$D$6),SUMPRODUCT(($B$3:$B779=Party_Statement!$B$5)*($A$3:$A779&gt;=Party_Statement!$B$6)*($A$3:$A779&lt;=Party_Statement!$D$6)),""))</f>
        <v/>
      </c>
    </row>
    <row r="780" spans="1:10" x14ac:dyDescent="0.2">
      <c r="A780" s="155" t="str">
        <f>Collection!A61</f>
        <v>2083/03/20</v>
      </c>
      <c r="B780" s="176" t="str">
        <f>Collection!C61</f>
        <v>LOCAL</v>
      </c>
      <c r="C780" s="156" t="str">
        <f>IF(Collection!E61="Payment","Payment","Collection")</f>
        <v>Collection</v>
      </c>
      <c r="D780" s="156">
        <f>Collection!B61</f>
        <v>6093</v>
      </c>
      <c r="E780" s="156" t="str">
        <f>Collection!I61</f>
        <v>Cash</v>
      </c>
      <c r="F780" s="157">
        <f>IF(Collection!E61="Payment",N(Collection!H61),0)</f>
        <v>0</v>
      </c>
      <c r="G780" s="157">
        <f>IF(Collection!E61="Collection",N(Collection!G61),0)</f>
        <v>1095</v>
      </c>
      <c r="H780" s="157">
        <f t="shared" si="12"/>
        <v>-1095</v>
      </c>
      <c r="I780" s="151"/>
      <c r="J780" t="str">
        <f>IF($B780="","",IF(AND($B780=Party_Statement!$B$5,$A780&gt;=Party_Statement!$B$6,$A780&lt;=Party_Statement!$D$6),SUMPRODUCT(($B$3:$B780=Party_Statement!$B$5)*($A$3:$A780&gt;=Party_Statement!$B$6)*($A$3:$A780&lt;=Party_Statement!$D$6)),""))</f>
        <v/>
      </c>
    </row>
    <row r="781" spans="1:10" x14ac:dyDescent="0.2">
      <c r="A781" s="155" t="str">
        <f>Collection!A62</f>
        <v>2083/03/21</v>
      </c>
      <c r="B781" s="176" t="str">
        <f>Collection!C62</f>
        <v>SRIJANA DAIRY</v>
      </c>
      <c r="C781" s="156" t="str">
        <f>IF(Collection!E62="Payment","Payment","Collection")</f>
        <v>Collection</v>
      </c>
      <c r="D781" s="156">
        <f>Collection!B62</f>
        <v>3755</v>
      </c>
      <c r="E781" s="156" t="str">
        <f>Collection!I62</f>
        <v>Cash</v>
      </c>
      <c r="F781" s="157">
        <f>IF(Collection!E62="Payment",N(Collection!H62),0)</f>
        <v>0</v>
      </c>
      <c r="G781" s="157">
        <f>IF(Collection!E62="Collection",N(Collection!G62),0)</f>
        <v>5100</v>
      </c>
      <c r="H781" s="157">
        <f t="shared" si="12"/>
        <v>-5100</v>
      </c>
      <c r="I781" s="151"/>
      <c r="J781" t="str">
        <f>IF($B781="","",IF(AND($B781=Party_Statement!$B$5,$A781&gt;=Party_Statement!$B$6,$A781&lt;=Party_Statement!$D$6),SUMPRODUCT(($B$3:$B781=Party_Statement!$B$5)*($A$3:$A781&gt;=Party_Statement!$B$6)*($A$3:$A781&lt;=Party_Statement!$D$6)),""))</f>
        <v/>
      </c>
    </row>
    <row r="782" spans="1:10" x14ac:dyDescent="0.2">
      <c r="A782" s="155" t="str">
        <f>Collection!A63</f>
        <v>2083/03/21</v>
      </c>
      <c r="B782" s="176" t="str">
        <f>Collection!C63</f>
        <v>SIBHA BHATTARAI</v>
      </c>
      <c r="C782" s="156" t="str">
        <f>IF(Collection!E63="Payment","Payment","Collection")</f>
        <v>Collection</v>
      </c>
      <c r="D782" s="156">
        <f>Collection!B63</f>
        <v>3756</v>
      </c>
      <c r="E782" s="156" t="str">
        <f>Collection!I63</f>
        <v>Cash</v>
      </c>
      <c r="F782" s="157">
        <f>IF(Collection!E63="Payment",N(Collection!H63),0)</f>
        <v>0</v>
      </c>
      <c r="G782" s="157">
        <f>IF(Collection!E63="Collection",N(Collection!G63),0)</f>
        <v>2550</v>
      </c>
      <c r="H782" s="157">
        <f t="shared" si="12"/>
        <v>-2550</v>
      </c>
      <c r="I782" s="151"/>
      <c r="J782" t="str">
        <f>IF($B782="","",IF(AND($B782=Party_Statement!$B$5,$A782&gt;=Party_Statement!$B$6,$A782&lt;=Party_Statement!$D$6),SUMPRODUCT(($B$3:$B782=Party_Statement!$B$5)*($A$3:$A782&gt;=Party_Statement!$B$6)*($A$3:$A782&lt;=Party_Statement!$D$6)),""))</f>
        <v/>
      </c>
    </row>
    <row r="783" spans="1:10" x14ac:dyDescent="0.2">
      <c r="A783" s="155" t="str">
        <f>Collection!A64</f>
        <v>2083/03/21</v>
      </c>
      <c r="B783" s="176" t="str">
        <f>Collection!C64</f>
        <v>MANAKAMANA DAIRY</v>
      </c>
      <c r="C783" s="156" t="str">
        <f>IF(Collection!E64="Payment","Payment","Collection")</f>
        <v>Collection</v>
      </c>
      <c r="D783" s="156">
        <f>Collection!B64</f>
        <v>3757</v>
      </c>
      <c r="E783" s="156" t="str">
        <f>Collection!I64</f>
        <v>Cash</v>
      </c>
      <c r="F783" s="157">
        <f>IF(Collection!E64="Payment",N(Collection!H64),0)</f>
        <v>0</v>
      </c>
      <c r="G783" s="157">
        <f>IF(Collection!E64="Collection",N(Collection!G64),0)</f>
        <v>1000</v>
      </c>
      <c r="H783" s="157">
        <f t="shared" si="12"/>
        <v>-1000</v>
      </c>
      <c r="I783" s="151"/>
      <c r="J783" t="str">
        <f>IF($B783="","",IF(AND($B783=Party_Statement!$B$5,$A783&gt;=Party_Statement!$B$6,$A783&lt;=Party_Statement!$D$6),SUMPRODUCT(($B$3:$B783=Party_Statement!$B$5)*($A$3:$A783&gt;=Party_Statement!$B$6)*($A$3:$A783&lt;=Party_Statement!$D$6)),""))</f>
        <v/>
      </c>
    </row>
    <row r="784" spans="1:10" x14ac:dyDescent="0.2">
      <c r="A784" s="155" t="str">
        <f>Collection!A65</f>
        <v>2083/03/21</v>
      </c>
      <c r="B784" s="176" t="str">
        <f>Collection!C65</f>
        <v>SAMIKSHYA KIRANA</v>
      </c>
      <c r="C784" s="156" t="str">
        <f>IF(Collection!E65="Payment","Payment","Collection")</f>
        <v>Collection</v>
      </c>
      <c r="D784" s="156">
        <f>Collection!B65</f>
        <v>3758</v>
      </c>
      <c r="E784" s="156" t="str">
        <f>Collection!I65</f>
        <v>Cash</v>
      </c>
      <c r="F784" s="157">
        <f>IF(Collection!E65="Payment",N(Collection!H65),0)</f>
        <v>0</v>
      </c>
      <c r="G784" s="157">
        <f>IF(Collection!E65="Collection",N(Collection!G65),0)</f>
        <v>850</v>
      </c>
      <c r="H784" s="157">
        <f t="shared" si="12"/>
        <v>-850</v>
      </c>
      <c r="I784" s="151"/>
      <c r="J784" t="str">
        <f>IF($B784="","",IF(AND($B784=Party_Statement!$B$5,$A784&gt;=Party_Statement!$B$6,$A784&lt;=Party_Statement!$D$6),SUMPRODUCT(($B$3:$B784=Party_Statement!$B$5)*($A$3:$A784&gt;=Party_Statement!$B$6)*($A$3:$A784&lt;=Party_Statement!$D$6)),""))</f>
        <v/>
      </c>
    </row>
    <row r="785" spans="1:10" x14ac:dyDescent="0.2">
      <c r="A785" s="155" t="str">
        <f>Collection!A66</f>
        <v>2083/03/21</v>
      </c>
      <c r="B785" s="176" t="str">
        <f>Collection!C66</f>
        <v>PALPALI KIRANA</v>
      </c>
      <c r="C785" s="156" t="str">
        <f>IF(Collection!E66="Payment","Payment","Collection")</f>
        <v>Collection</v>
      </c>
      <c r="D785" s="156">
        <f>Collection!B66</f>
        <v>3759</v>
      </c>
      <c r="E785" s="156" t="str">
        <f>Collection!I66</f>
        <v>Cash</v>
      </c>
      <c r="F785" s="157">
        <f>IF(Collection!E66="Payment",N(Collection!H66),0)</f>
        <v>0</v>
      </c>
      <c r="G785" s="157">
        <f>IF(Collection!E66="Collection",N(Collection!G66),0)</f>
        <v>2975</v>
      </c>
      <c r="H785" s="157">
        <f t="shared" si="12"/>
        <v>-2975</v>
      </c>
      <c r="I785" s="151"/>
      <c r="J785" t="str">
        <f>IF($B785="","",IF(AND($B785=Party_Statement!$B$5,$A785&gt;=Party_Statement!$B$6,$A785&lt;=Party_Statement!$D$6),SUMPRODUCT(($B$3:$B785=Party_Statement!$B$5)*($A$3:$A785&gt;=Party_Statement!$B$6)*($A$3:$A785&lt;=Party_Statement!$D$6)),""))</f>
        <v/>
      </c>
    </row>
    <row r="786" spans="1:10" x14ac:dyDescent="0.2">
      <c r="A786" s="155" t="str">
        <f>Collection!A67</f>
        <v>2083/03/21</v>
      </c>
      <c r="B786" s="176" t="str">
        <f>Collection!C67</f>
        <v>AAMOSH KIRANA</v>
      </c>
      <c r="C786" s="156" t="str">
        <f>IF(Collection!E67="Payment","Payment","Collection")</f>
        <v>Collection</v>
      </c>
      <c r="D786" s="156">
        <f>Collection!B67</f>
        <v>3760</v>
      </c>
      <c r="E786" s="156" t="str">
        <f>Collection!I67</f>
        <v>Cash</v>
      </c>
      <c r="F786" s="157">
        <f>IF(Collection!E67="Payment",N(Collection!H67),0)</f>
        <v>0</v>
      </c>
      <c r="G786" s="157">
        <f>IF(Collection!E67="Collection",N(Collection!G67),0)</f>
        <v>6500</v>
      </c>
      <c r="H786" s="157">
        <f t="shared" si="12"/>
        <v>-6500</v>
      </c>
      <c r="I786" s="151"/>
      <c r="J786" t="str">
        <f>IF($B786="","",IF(AND($B786=Party_Statement!$B$5,$A786&gt;=Party_Statement!$B$6,$A786&lt;=Party_Statement!$D$6),SUMPRODUCT(($B$3:$B786=Party_Statement!$B$5)*($A$3:$A786&gt;=Party_Statement!$B$6)*($A$3:$A786&lt;=Party_Statement!$D$6)),""))</f>
        <v/>
      </c>
    </row>
    <row r="787" spans="1:10" x14ac:dyDescent="0.2">
      <c r="A787" s="155" t="str">
        <f>Collection!A68</f>
        <v>2083/03/21</v>
      </c>
      <c r="B787" s="176" t="str">
        <f>Collection!C68</f>
        <v>DEURALI KIRANA</v>
      </c>
      <c r="C787" s="156" t="str">
        <f>IF(Collection!E68="Payment","Payment","Collection")</f>
        <v>Collection</v>
      </c>
      <c r="D787" s="156">
        <f>Collection!B68</f>
        <v>3761</v>
      </c>
      <c r="E787" s="156" t="str">
        <f>Collection!I68</f>
        <v>Cash</v>
      </c>
      <c r="F787" s="157">
        <f>IF(Collection!E68="Payment",N(Collection!H68),0)</f>
        <v>0</v>
      </c>
      <c r="G787" s="157">
        <f>IF(Collection!E68="Collection",N(Collection!G68),0)</f>
        <v>425</v>
      </c>
      <c r="H787" s="157">
        <f t="shared" si="12"/>
        <v>-425</v>
      </c>
      <c r="I787" s="151"/>
      <c r="J787" t="str">
        <f>IF($B787="","",IF(AND($B787=Party_Statement!$B$5,$A787&gt;=Party_Statement!$B$6,$A787&lt;=Party_Statement!$D$6),SUMPRODUCT(($B$3:$B787=Party_Statement!$B$5)*($A$3:$A787&gt;=Party_Statement!$B$6)*($A$3:$A787&lt;=Party_Statement!$D$6)),""))</f>
        <v/>
      </c>
    </row>
    <row r="788" spans="1:10" x14ac:dyDescent="0.2">
      <c r="A788" s="155" t="str">
        <f>Collection!A69</f>
        <v>2083/03/21</v>
      </c>
      <c r="B788" s="176" t="str">
        <f>Collection!C69</f>
        <v>GIRI KIRANA</v>
      </c>
      <c r="C788" s="156" t="str">
        <f>IF(Collection!E69="Payment","Payment","Collection")</f>
        <v>Collection</v>
      </c>
      <c r="D788" s="156">
        <f>Collection!B69</f>
        <v>3762</v>
      </c>
      <c r="E788" s="156" t="str">
        <f>Collection!I69</f>
        <v>Cash</v>
      </c>
      <c r="F788" s="157">
        <f>IF(Collection!E69="Payment",N(Collection!H69),0)</f>
        <v>0</v>
      </c>
      <c r="G788" s="157">
        <f>IF(Collection!E69="Collection",N(Collection!G69),0)</f>
        <v>1275</v>
      </c>
      <c r="H788" s="157">
        <f t="shared" si="12"/>
        <v>-1275</v>
      </c>
      <c r="I788" s="151"/>
      <c r="J788" t="str">
        <f>IF($B788="","",IF(AND($B788=Party_Statement!$B$5,$A788&gt;=Party_Statement!$B$6,$A788&lt;=Party_Statement!$D$6),SUMPRODUCT(($B$3:$B788=Party_Statement!$B$5)*($A$3:$A788&gt;=Party_Statement!$B$6)*($A$3:$A788&lt;=Party_Statement!$D$6)),""))</f>
        <v/>
      </c>
    </row>
    <row r="789" spans="1:10" x14ac:dyDescent="0.2">
      <c r="A789" s="155" t="str">
        <f>Collection!A70</f>
        <v>2083/03/21</v>
      </c>
      <c r="B789" s="176" t="str">
        <f>Collection!C70</f>
        <v>YUBARAJ AND SAMRAT</v>
      </c>
      <c r="C789" s="156" t="str">
        <f>IF(Collection!E70="Payment","Payment","Collection")</f>
        <v>Collection</v>
      </c>
      <c r="D789" s="156">
        <f>Collection!B70</f>
        <v>3763</v>
      </c>
      <c r="E789" s="156" t="str">
        <f>Collection!I70</f>
        <v>Cash</v>
      </c>
      <c r="F789" s="157">
        <f>IF(Collection!E70="Payment",N(Collection!H70),0)</f>
        <v>0</v>
      </c>
      <c r="G789" s="157">
        <f>IF(Collection!E70="Collection",N(Collection!G70),0)</f>
        <v>1700</v>
      </c>
      <c r="H789" s="157">
        <f t="shared" si="12"/>
        <v>-1700</v>
      </c>
      <c r="I789" s="151"/>
      <c r="J789" t="str">
        <f>IF($B789="","",IF(AND($B789=Party_Statement!$B$5,$A789&gt;=Party_Statement!$B$6,$A789&lt;=Party_Statement!$D$6),SUMPRODUCT(($B$3:$B789=Party_Statement!$B$5)*($A$3:$A789&gt;=Party_Statement!$B$6)*($A$3:$A789&lt;=Party_Statement!$D$6)),""))</f>
        <v/>
      </c>
    </row>
    <row r="790" spans="1:10" x14ac:dyDescent="0.2">
      <c r="A790" s="155" t="str">
        <f>Collection!A71</f>
        <v>2083/03/21</v>
      </c>
      <c r="B790" s="176" t="str">
        <f>Collection!C71</f>
        <v>AAYUSH AND AAYUSHMA</v>
      </c>
      <c r="C790" s="156" t="str">
        <f>IF(Collection!E71="Payment","Payment","Collection")</f>
        <v>Collection</v>
      </c>
      <c r="D790" s="156">
        <f>Collection!B71</f>
        <v>3764</v>
      </c>
      <c r="E790" s="156" t="str">
        <f>Collection!I71</f>
        <v>Cash</v>
      </c>
      <c r="F790" s="157">
        <f>IF(Collection!E71="Payment",N(Collection!H71),0)</f>
        <v>0</v>
      </c>
      <c r="G790" s="157">
        <f>IF(Collection!E71="Collection",N(Collection!G71),0)</f>
        <v>425</v>
      </c>
      <c r="H790" s="157">
        <f t="shared" si="12"/>
        <v>-425</v>
      </c>
      <c r="I790" s="151"/>
      <c r="J790" t="str">
        <f>IF($B790="","",IF(AND($B790=Party_Statement!$B$5,$A790&gt;=Party_Statement!$B$6,$A790&lt;=Party_Statement!$D$6),SUMPRODUCT(($B$3:$B790=Party_Statement!$B$5)*($A$3:$A790&gt;=Party_Statement!$B$6)*($A$3:$A790&lt;=Party_Statement!$D$6)),""))</f>
        <v/>
      </c>
    </row>
    <row r="791" spans="1:10" x14ac:dyDescent="0.2">
      <c r="A791" s="155" t="str">
        <f>Collection!A72</f>
        <v>2083/03/21</v>
      </c>
      <c r="B791" s="176" t="str">
        <f>Collection!C72</f>
        <v>ORGANIC TARKALI</v>
      </c>
      <c r="C791" s="156" t="str">
        <f>IF(Collection!E72="Payment","Payment","Collection")</f>
        <v>Collection</v>
      </c>
      <c r="D791" s="156">
        <f>Collection!B72</f>
        <v>3765</v>
      </c>
      <c r="E791" s="156" t="str">
        <f>Collection!I72</f>
        <v>Cash</v>
      </c>
      <c r="F791" s="157">
        <f>IF(Collection!E72="Payment",N(Collection!H72),0)</f>
        <v>0</v>
      </c>
      <c r="G791" s="157">
        <f>IF(Collection!E72="Collection",N(Collection!G72),0)</f>
        <v>4535</v>
      </c>
      <c r="H791" s="157">
        <f t="shared" si="12"/>
        <v>-4535</v>
      </c>
      <c r="I791" s="151"/>
      <c r="J791" t="str">
        <f>IF($B791="","",IF(AND($B791=Party_Statement!$B$5,$A791&gt;=Party_Statement!$B$6,$A791&lt;=Party_Statement!$D$6),SUMPRODUCT(($B$3:$B791=Party_Statement!$B$5)*($A$3:$A791&gt;=Party_Statement!$B$6)*($A$3:$A791&lt;=Party_Statement!$D$6)),""))</f>
        <v/>
      </c>
    </row>
    <row r="792" spans="1:10" x14ac:dyDescent="0.2">
      <c r="A792" s="155" t="str">
        <f>Collection!A73</f>
        <v>2083/03/21</v>
      </c>
      <c r="B792" s="176" t="str">
        <f>Collection!C73</f>
        <v>LOCAL</v>
      </c>
      <c r="C792" s="156" t="str">
        <f>IF(Collection!E73="Payment","Payment","Collection")</f>
        <v>Collection</v>
      </c>
      <c r="D792" s="156">
        <f>Collection!B73</f>
        <v>6114</v>
      </c>
      <c r="E792" s="156" t="str">
        <f>Collection!I73</f>
        <v>Cash</v>
      </c>
      <c r="F792" s="157">
        <f>IF(Collection!E73="Payment",N(Collection!H73),0)</f>
        <v>0</v>
      </c>
      <c r="G792" s="157">
        <f>IF(Collection!E73="Collection",N(Collection!G73),0)</f>
        <v>475</v>
      </c>
      <c r="H792" s="157">
        <f t="shared" si="12"/>
        <v>-475</v>
      </c>
      <c r="I792" s="151"/>
      <c r="J792" t="str">
        <f>IF($B792="","",IF(AND($B792=Party_Statement!$B$5,$A792&gt;=Party_Statement!$B$6,$A792&lt;=Party_Statement!$D$6),SUMPRODUCT(($B$3:$B792=Party_Statement!$B$5)*($A$3:$A792&gt;=Party_Statement!$B$6)*($A$3:$A792&lt;=Party_Statement!$D$6)),""))</f>
        <v/>
      </c>
    </row>
    <row r="793" spans="1:10" x14ac:dyDescent="0.2">
      <c r="A793" s="155" t="str">
        <f>Collection!A74</f>
        <v>2083/03/22</v>
      </c>
      <c r="B793" s="176" t="str">
        <f>Collection!C74</f>
        <v>SRIJANA DAIRY</v>
      </c>
      <c r="C793" s="156" t="str">
        <f>IF(Collection!E74="Payment","Payment","Collection")</f>
        <v>Collection</v>
      </c>
      <c r="D793" s="156">
        <f>Collection!B74</f>
        <v>3766</v>
      </c>
      <c r="E793" s="156" t="str">
        <f>Collection!I74</f>
        <v>Cash</v>
      </c>
      <c r="F793" s="157">
        <f>IF(Collection!E74="Payment",N(Collection!H74),0)</f>
        <v>0</v>
      </c>
      <c r="G793" s="157">
        <f>IF(Collection!E74="Collection",N(Collection!G74),0)</f>
        <v>5180</v>
      </c>
      <c r="H793" s="157">
        <f t="shared" si="12"/>
        <v>-5180</v>
      </c>
      <c r="I793" s="151"/>
      <c r="J793" t="str">
        <f>IF($B793="","",IF(AND($B793=Party_Statement!$B$5,$A793&gt;=Party_Statement!$B$6,$A793&lt;=Party_Statement!$D$6),SUMPRODUCT(($B$3:$B793=Party_Statement!$B$5)*($A$3:$A793&gt;=Party_Statement!$B$6)*($A$3:$A793&lt;=Party_Statement!$D$6)),""))</f>
        <v/>
      </c>
    </row>
    <row r="794" spans="1:10" x14ac:dyDescent="0.2">
      <c r="A794" s="155" t="str">
        <f>Collection!A75</f>
        <v>2083/03/22</v>
      </c>
      <c r="B794" s="176" t="str">
        <f>Collection!C75</f>
        <v>SOBHA BHATTARAI</v>
      </c>
      <c r="C794" s="156" t="str">
        <f>IF(Collection!E75="Payment","Payment","Collection")</f>
        <v>Collection</v>
      </c>
      <c r="D794" s="156">
        <f>Collection!B75</f>
        <v>3767</v>
      </c>
      <c r="E794" s="156" t="str">
        <f>Collection!I75</f>
        <v>Cash</v>
      </c>
      <c r="F794" s="157">
        <f>IF(Collection!E75="Payment",N(Collection!H75),0)</f>
        <v>0</v>
      </c>
      <c r="G794" s="157">
        <f>IF(Collection!E75="Collection",N(Collection!G75),0)</f>
        <v>3400</v>
      </c>
      <c r="H794" s="157">
        <f t="shared" si="12"/>
        <v>-3400</v>
      </c>
      <c r="I794" s="151"/>
      <c r="J794" t="str">
        <f>IF($B794="","",IF(AND($B794=Party_Statement!$B$5,$A794&gt;=Party_Statement!$B$6,$A794&lt;=Party_Statement!$D$6),SUMPRODUCT(($B$3:$B794=Party_Statement!$B$5)*($A$3:$A794&gt;=Party_Statement!$B$6)*($A$3:$A794&lt;=Party_Statement!$D$6)),""))</f>
        <v/>
      </c>
    </row>
    <row r="795" spans="1:10" x14ac:dyDescent="0.2">
      <c r="A795" s="155" t="str">
        <f>Collection!A76</f>
        <v>2083/03/22</v>
      </c>
      <c r="B795" s="176" t="str">
        <f>Collection!C76</f>
        <v>AAMOSH KIRANA</v>
      </c>
      <c r="C795" s="156" t="str">
        <f>IF(Collection!E76="Payment","Payment","Collection")</f>
        <v>Collection</v>
      </c>
      <c r="D795" s="156">
        <f>Collection!B76</f>
        <v>3768</v>
      </c>
      <c r="E795" s="156" t="str">
        <f>Collection!I76</f>
        <v>Cash</v>
      </c>
      <c r="F795" s="157">
        <f>IF(Collection!E76="Payment",N(Collection!H76),0)</f>
        <v>0</v>
      </c>
      <c r="G795" s="157">
        <f>IF(Collection!E76="Collection",N(Collection!G76),0)</f>
        <v>8300</v>
      </c>
      <c r="H795" s="157">
        <f t="shared" si="12"/>
        <v>-8300</v>
      </c>
      <c r="I795" s="151"/>
      <c r="J795" t="str">
        <f>IF($B795="","",IF(AND($B795=Party_Statement!$B$5,$A795&gt;=Party_Statement!$B$6,$A795&lt;=Party_Statement!$D$6),SUMPRODUCT(($B$3:$B795=Party_Statement!$B$5)*($A$3:$A795&gt;=Party_Statement!$B$6)*($A$3:$A795&lt;=Party_Statement!$D$6)),""))</f>
        <v/>
      </c>
    </row>
    <row r="796" spans="1:10" x14ac:dyDescent="0.2">
      <c r="A796" s="155" t="str">
        <f>Collection!A77</f>
        <v>2083/03/22</v>
      </c>
      <c r="B796" s="176" t="str">
        <f>Collection!C77</f>
        <v>DEURALI KIRANA</v>
      </c>
      <c r="C796" s="156" t="str">
        <f>IF(Collection!E77="Payment","Payment","Collection")</f>
        <v>Collection</v>
      </c>
      <c r="D796" s="156">
        <f>Collection!B77</f>
        <v>3769</v>
      </c>
      <c r="E796" s="156" t="str">
        <f>Collection!I77</f>
        <v>Cash</v>
      </c>
      <c r="F796" s="157">
        <f>IF(Collection!E77="Payment",N(Collection!H77),0)</f>
        <v>0</v>
      </c>
      <c r="G796" s="157">
        <f>IF(Collection!E77="Collection",N(Collection!G77),0)</f>
        <v>425</v>
      </c>
      <c r="H796" s="157">
        <f t="shared" si="12"/>
        <v>-425</v>
      </c>
      <c r="I796" s="151"/>
      <c r="J796" t="str">
        <f>IF($B796="","",IF(AND($B796=Party_Statement!$B$5,$A796&gt;=Party_Statement!$B$6,$A796&lt;=Party_Statement!$D$6),SUMPRODUCT(($B$3:$B796=Party_Statement!$B$5)*($A$3:$A796&gt;=Party_Statement!$B$6)*($A$3:$A796&lt;=Party_Statement!$D$6)),""))</f>
        <v/>
      </c>
    </row>
    <row r="797" spans="1:10" x14ac:dyDescent="0.2">
      <c r="A797" s="155" t="str">
        <f>Collection!A78</f>
        <v>2083/03/22</v>
      </c>
      <c r="B797" s="176" t="str">
        <f>Collection!C78</f>
        <v>SAMIKSHYA KIRANA</v>
      </c>
      <c r="C797" s="156" t="str">
        <f>IF(Collection!E78="Payment","Payment","Collection")</f>
        <v>Collection</v>
      </c>
      <c r="D797" s="156">
        <f>Collection!B78</f>
        <v>3770</v>
      </c>
      <c r="E797" s="156" t="str">
        <f>Collection!I78</f>
        <v>Cash</v>
      </c>
      <c r="F797" s="157">
        <f>IF(Collection!E78="Payment",N(Collection!H78),0)</f>
        <v>0</v>
      </c>
      <c r="G797" s="157">
        <f>IF(Collection!E78="Collection",N(Collection!G78),0)</f>
        <v>850</v>
      </c>
      <c r="H797" s="157">
        <f t="shared" si="12"/>
        <v>-850</v>
      </c>
      <c r="I797" s="151"/>
      <c r="J797" t="str">
        <f>IF($B797="","",IF(AND($B797=Party_Statement!$B$5,$A797&gt;=Party_Statement!$B$6,$A797&lt;=Party_Statement!$D$6),SUMPRODUCT(($B$3:$B797=Party_Statement!$B$5)*($A$3:$A797&gt;=Party_Statement!$B$6)*($A$3:$A797&lt;=Party_Statement!$D$6)),""))</f>
        <v/>
      </c>
    </row>
    <row r="798" spans="1:10" x14ac:dyDescent="0.2">
      <c r="A798" s="155" t="str">
        <f>Collection!A79</f>
        <v>2083/03/22</v>
      </c>
      <c r="B798" s="176" t="str">
        <f>Collection!C79</f>
        <v>MANAKAMANA DAIRY</v>
      </c>
      <c r="C798" s="156" t="str">
        <f>IF(Collection!E79="Payment","Payment","Collection")</f>
        <v>Collection</v>
      </c>
      <c r="D798" s="156">
        <f>Collection!B79</f>
        <v>3771</v>
      </c>
      <c r="E798" s="156" t="str">
        <f>Collection!I79</f>
        <v>Cash</v>
      </c>
      <c r="F798" s="157">
        <f>IF(Collection!E79="Payment",N(Collection!H79),0)</f>
        <v>0</v>
      </c>
      <c r="G798" s="157">
        <f>IF(Collection!E79="Collection",N(Collection!G79),0)</f>
        <v>700</v>
      </c>
      <c r="H798" s="157">
        <f t="shared" si="12"/>
        <v>-700</v>
      </c>
      <c r="I798" s="151"/>
      <c r="J798" t="str">
        <f>IF($B798="","",IF(AND($B798=Party_Statement!$B$5,$A798&gt;=Party_Statement!$B$6,$A798&lt;=Party_Statement!$D$6),SUMPRODUCT(($B$3:$B798=Party_Statement!$B$5)*($A$3:$A798&gt;=Party_Statement!$B$6)*($A$3:$A798&lt;=Party_Statement!$D$6)),""))</f>
        <v/>
      </c>
    </row>
    <row r="799" spans="1:10" x14ac:dyDescent="0.2">
      <c r="A799" s="155" t="str">
        <f>Collection!A80</f>
        <v>2083/03/22</v>
      </c>
      <c r="B799" s="176" t="str">
        <f>Collection!C80</f>
        <v>AAYUSH AND AAYUSHMA</v>
      </c>
      <c r="C799" s="156" t="str">
        <f>IF(Collection!E80="Payment","Payment","Collection")</f>
        <v>Collection</v>
      </c>
      <c r="D799" s="156">
        <f>Collection!B80</f>
        <v>3772</v>
      </c>
      <c r="E799" s="156" t="str">
        <f>Collection!I80</f>
        <v>Cash</v>
      </c>
      <c r="F799" s="157">
        <f>IF(Collection!E80="Payment",N(Collection!H80),0)</f>
        <v>0</v>
      </c>
      <c r="G799" s="157">
        <f>IF(Collection!E80="Collection",N(Collection!G80),0)</f>
        <v>255</v>
      </c>
      <c r="H799" s="157">
        <f t="shared" si="12"/>
        <v>-255</v>
      </c>
      <c r="I799" s="151"/>
      <c r="J799" t="str">
        <f>IF($B799="","",IF(AND($B799=Party_Statement!$B$5,$A799&gt;=Party_Statement!$B$6,$A799&lt;=Party_Statement!$D$6),SUMPRODUCT(($B$3:$B799=Party_Statement!$B$5)*($A$3:$A799&gt;=Party_Statement!$B$6)*($A$3:$A799&lt;=Party_Statement!$D$6)),""))</f>
        <v/>
      </c>
    </row>
    <row r="800" spans="1:10" x14ac:dyDescent="0.2">
      <c r="A800" s="155" t="str">
        <f>Collection!A81</f>
        <v>2083/03/22</v>
      </c>
      <c r="B800" s="176" t="str">
        <f>Collection!C81</f>
        <v>YUBARAJ AND SAMRAT</v>
      </c>
      <c r="C800" s="156" t="str">
        <f>IF(Collection!E81="Payment","Payment","Collection")</f>
        <v>Collection</v>
      </c>
      <c r="D800" s="156">
        <f>Collection!B81</f>
        <v>3773</v>
      </c>
      <c r="E800" s="156" t="str">
        <f>Collection!I81</f>
        <v>Cash</v>
      </c>
      <c r="F800" s="157">
        <f>IF(Collection!E81="Payment",N(Collection!H81),0)</f>
        <v>0</v>
      </c>
      <c r="G800" s="157">
        <f>IF(Collection!E81="Collection",N(Collection!G81),0)</f>
        <v>510</v>
      </c>
      <c r="H800" s="157">
        <f t="shared" si="12"/>
        <v>-510</v>
      </c>
      <c r="I800" s="151"/>
      <c r="J800" t="str">
        <f>IF($B800="","",IF(AND($B800=Party_Statement!$B$5,$A800&gt;=Party_Statement!$B$6,$A800&lt;=Party_Statement!$D$6),SUMPRODUCT(($B$3:$B800=Party_Statement!$B$5)*($A$3:$A800&gt;=Party_Statement!$B$6)*($A$3:$A800&lt;=Party_Statement!$D$6)),""))</f>
        <v/>
      </c>
    </row>
    <row r="801" spans="1:10" x14ac:dyDescent="0.2">
      <c r="A801" s="155" t="str">
        <f>Collection!A82</f>
        <v>2083/03/22</v>
      </c>
      <c r="B801" s="176" t="str">
        <f>Collection!C82</f>
        <v>PALPALI KIRANA</v>
      </c>
      <c r="C801" s="156" t="str">
        <f>IF(Collection!E82="Payment","Payment","Collection")</f>
        <v>Collection</v>
      </c>
      <c r="D801" s="156">
        <f>Collection!B82</f>
        <v>3774</v>
      </c>
      <c r="E801" s="156" t="str">
        <f>Collection!I82</f>
        <v>Cash</v>
      </c>
      <c r="F801" s="157">
        <f>IF(Collection!E82="Payment",N(Collection!H82),0)</f>
        <v>0</v>
      </c>
      <c r="G801" s="157">
        <f>IF(Collection!E82="Collection",N(Collection!G82),0)</f>
        <v>1700</v>
      </c>
      <c r="H801" s="157">
        <f t="shared" si="12"/>
        <v>-1700</v>
      </c>
      <c r="I801" s="151"/>
      <c r="J801" t="str">
        <f>IF($B801="","",IF(AND($B801=Party_Statement!$B$5,$A801&gt;=Party_Statement!$B$6,$A801&lt;=Party_Statement!$D$6),SUMPRODUCT(($B$3:$B801=Party_Statement!$B$5)*($A$3:$A801&gt;=Party_Statement!$B$6)*($A$3:$A801&lt;=Party_Statement!$D$6)),""))</f>
        <v/>
      </c>
    </row>
    <row r="802" spans="1:10" x14ac:dyDescent="0.2">
      <c r="A802" s="155" t="str">
        <f>Collection!A83</f>
        <v>2083/03/22</v>
      </c>
      <c r="B802" s="176" t="str">
        <f>Collection!C83</f>
        <v>GIRI KIRANA</v>
      </c>
      <c r="C802" s="156" t="str">
        <f>IF(Collection!E83="Payment","Payment","Collection")</f>
        <v>Collection</v>
      </c>
      <c r="D802" s="156">
        <f>Collection!B83</f>
        <v>3775</v>
      </c>
      <c r="E802" s="156" t="str">
        <f>Collection!I83</f>
        <v>Cash</v>
      </c>
      <c r="F802" s="157">
        <f>IF(Collection!E83="Payment",N(Collection!H83),0)</f>
        <v>0</v>
      </c>
      <c r="G802" s="157">
        <f>IF(Collection!E83="Collection",N(Collection!G83),0)</f>
        <v>1275</v>
      </c>
      <c r="H802" s="157">
        <f t="shared" si="12"/>
        <v>-1275</v>
      </c>
      <c r="I802" s="151"/>
      <c r="J802" t="str">
        <f>IF($B802="","",IF(AND($B802=Party_Statement!$B$5,$A802&gt;=Party_Statement!$B$6,$A802&lt;=Party_Statement!$D$6),SUMPRODUCT(($B$3:$B802=Party_Statement!$B$5)*($A$3:$A802&gt;=Party_Statement!$B$6)*($A$3:$A802&lt;=Party_Statement!$D$6)),""))</f>
        <v/>
      </c>
    </row>
    <row r="803" spans="1:10" x14ac:dyDescent="0.2">
      <c r="A803" s="155" t="str">
        <f>Collection!A84</f>
        <v>2083/03/22</v>
      </c>
      <c r="B803" s="176" t="str">
        <f>Collection!C84</f>
        <v>ORGANIC TARKALI</v>
      </c>
      <c r="C803" s="156" t="str">
        <f>IF(Collection!E84="Payment","Payment","Collection")</f>
        <v>Collection</v>
      </c>
      <c r="D803" s="156">
        <f>Collection!B84</f>
        <v>3776</v>
      </c>
      <c r="E803" s="156" t="str">
        <f>Collection!I84</f>
        <v>Cash</v>
      </c>
      <c r="F803" s="157">
        <f>IF(Collection!E84="Payment",N(Collection!H84),0)</f>
        <v>0</v>
      </c>
      <c r="G803" s="157">
        <f>IF(Collection!E84="Collection",N(Collection!G84),0)</f>
        <v>3395</v>
      </c>
      <c r="H803" s="157">
        <f t="shared" si="12"/>
        <v>-3395</v>
      </c>
      <c r="I803" s="151"/>
      <c r="J803" t="str">
        <f>IF($B803="","",IF(AND($B803=Party_Statement!$B$5,$A803&gt;=Party_Statement!$B$6,$A803&lt;=Party_Statement!$D$6),SUMPRODUCT(($B$3:$B803=Party_Statement!$B$5)*($A$3:$A803&gt;=Party_Statement!$B$6)*($A$3:$A803&lt;=Party_Statement!$D$6)),""))</f>
        <v/>
      </c>
    </row>
    <row r="804" spans="1:10" x14ac:dyDescent="0.2">
      <c r="A804" s="155" t="str">
        <f>Collection!A85</f>
        <v>2083/03/22</v>
      </c>
      <c r="B804" s="176" t="str">
        <f>Collection!C85</f>
        <v>NEUPANE KIRANA</v>
      </c>
      <c r="C804" s="156" t="str">
        <f>IF(Collection!E85="Payment","Payment","Collection")</f>
        <v>Collection</v>
      </c>
      <c r="D804" s="156">
        <f>Collection!B85</f>
        <v>3777</v>
      </c>
      <c r="E804" s="156" t="str">
        <f>Collection!I85</f>
        <v>Cash</v>
      </c>
      <c r="F804" s="157">
        <f>IF(Collection!E85="Payment",N(Collection!H85),0)</f>
        <v>0</v>
      </c>
      <c r="G804" s="157">
        <f>IF(Collection!E85="Collection",N(Collection!G85),0)</f>
        <v>180</v>
      </c>
      <c r="H804" s="157">
        <f t="shared" si="12"/>
        <v>-180</v>
      </c>
      <c r="I804" s="151"/>
      <c r="J804" t="str">
        <f>IF($B804="","",IF(AND($B804=Party_Statement!$B$5,$A804&gt;=Party_Statement!$B$6,$A804&lt;=Party_Statement!$D$6),SUMPRODUCT(($B$3:$B804=Party_Statement!$B$5)*($A$3:$A804&gt;=Party_Statement!$B$6)*($A$3:$A804&lt;=Party_Statement!$D$6)),""))</f>
        <v/>
      </c>
    </row>
    <row r="805" spans="1:10" x14ac:dyDescent="0.2">
      <c r="A805" s="155" t="str">
        <f>Collection!A86</f>
        <v>2083/03/22</v>
      </c>
      <c r="B805" s="176" t="str">
        <f>Collection!C86</f>
        <v>BHUSAL JANARAJ STORE</v>
      </c>
      <c r="C805" s="156" t="str">
        <f>IF(Collection!E86="Payment","Payment","Collection")</f>
        <v>Collection</v>
      </c>
      <c r="D805" s="156">
        <f>Collection!B86</f>
        <v>3778</v>
      </c>
      <c r="E805" s="156" t="str">
        <f>Collection!I86</f>
        <v>Cash</v>
      </c>
      <c r="F805" s="157">
        <f>IF(Collection!E86="Payment",N(Collection!H86),0)</f>
        <v>0</v>
      </c>
      <c r="G805" s="157">
        <f>IF(Collection!E86="Collection",N(Collection!G86),0)</f>
        <v>580</v>
      </c>
      <c r="H805" s="157">
        <f t="shared" si="12"/>
        <v>-580</v>
      </c>
      <c r="I805" s="151"/>
      <c r="J805" t="str">
        <f>IF($B805="","",IF(AND($B805=Party_Statement!$B$5,$A805&gt;=Party_Statement!$B$6,$A805&lt;=Party_Statement!$D$6),SUMPRODUCT(($B$3:$B805=Party_Statement!$B$5)*($A$3:$A805&gt;=Party_Statement!$B$6)*($A$3:$A805&lt;=Party_Statement!$D$6)),""))</f>
        <v/>
      </c>
    </row>
    <row r="806" spans="1:10" x14ac:dyDescent="0.2">
      <c r="A806" s="155" t="str">
        <f>Collection!A87</f>
        <v>2083/03/22</v>
      </c>
      <c r="B806" s="176" t="str">
        <f>Collection!C87</f>
        <v>LOCAL</v>
      </c>
      <c r="C806" s="156" t="str">
        <f>IF(Collection!E87="Payment","Payment","Collection")</f>
        <v>Collection</v>
      </c>
      <c r="D806" s="156">
        <f>Collection!B87</f>
        <v>0</v>
      </c>
      <c r="E806" s="156" t="str">
        <f>Collection!I87</f>
        <v>Cash</v>
      </c>
      <c r="F806" s="157">
        <f>IF(Collection!E87="Payment",N(Collection!H87),0)</f>
        <v>0</v>
      </c>
      <c r="G806" s="157">
        <f>IF(Collection!E87="Collection",N(Collection!G87),0)</f>
        <v>430</v>
      </c>
      <c r="H806" s="157">
        <f t="shared" si="12"/>
        <v>-430</v>
      </c>
      <c r="I806" s="151"/>
      <c r="J806" t="str">
        <f>IF($B806="","",IF(AND($B806=Party_Statement!$B$5,$A806&gt;=Party_Statement!$B$6,$A806&lt;=Party_Statement!$D$6),SUMPRODUCT(($B$3:$B806=Party_Statement!$B$5)*($A$3:$A806&gt;=Party_Statement!$B$6)*($A$3:$A806&lt;=Party_Statement!$D$6)),""))</f>
        <v/>
      </c>
    </row>
    <row r="807" spans="1:10" x14ac:dyDescent="0.2">
      <c r="A807" s="155" t="str">
        <f>Collection!A88</f>
        <v>2083/03/23</v>
      </c>
      <c r="B807" s="176" t="str">
        <f>Collection!C88</f>
        <v>GANGA NEUPANE</v>
      </c>
      <c r="C807" s="156" t="str">
        <f>IF(Collection!E88="Payment","Payment","Collection")</f>
        <v>Collection</v>
      </c>
      <c r="D807" s="156">
        <f>Collection!B88</f>
        <v>3779</v>
      </c>
      <c r="E807" s="156" t="str">
        <f>Collection!I88</f>
        <v>Cash</v>
      </c>
      <c r="F807" s="157">
        <f>IF(Collection!E88="Payment",N(Collection!H88),0)</f>
        <v>0</v>
      </c>
      <c r="G807" s="157">
        <f>IF(Collection!E88="Collection",N(Collection!G88),0)</f>
        <v>4000</v>
      </c>
      <c r="H807" s="157">
        <f t="shared" si="12"/>
        <v>-4000</v>
      </c>
      <c r="I807" s="151"/>
      <c r="J807" t="str">
        <f>IF($B807="","",IF(AND($B807=Party_Statement!$B$5,$A807&gt;=Party_Statement!$B$6,$A807&lt;=Party_Statement!$D$6),SUMPRODUCT(($B$3:$B807=Party_Statement!$B$5)*($A$3:$A807&gt;=Party_Statement!$B$6)*($A$3:$A807&lt;=Party_Statement!$D$6)),""))</f>
        <v/>
      </c>
    </row>
    <row r="808" spans="1:10" x14ac:dyDescent="0.2">
      <c r="A808" s="155" t="str">
        <f>Collection!A89</f>
        <v>2083/03/23</v>
      </c>
      <c r="B808" s="176" t="str">
        <f>Collection!C89</f>
        <v>SRIJANA DAIRY</v>
      </c>
      <c r="C808" s="156" t="str">
        <f>IF(Collection!E89="Payment","Payment","Collection")</f>
        <v>Collection</v>
      </c>
      <c r="D808" s="156">
        <f>Collection!B89</f>
        <v>3780</v>
      </c>
      <c r="E808" s="156" t="str">
        <f>Collection!I89</f>
        <v>Cash</v>
      </c>
      <c r="F808" s="157">
        <f>IF(Collection!E89="Payment",N(Collection!H89),0)</f>
        <v>0</v>
      </c>
      <c r="G808" s="157">
        <f>IF(Collection!E89="Collection",N(Collection!G89),0)</f>
        <v>5180</v>
      </c>
      <c r="H808" s="157">
        <f t="shared" si="12"/>
        <v>-5180</v>
      </c>
      <c r="I808" s="151"/>
      <c r="J808" t="str">
        <f>IF($B808="","",IF(AND($B808=Party_Statement!$B$5,$A808&gt;=Party_Statement!$B$6,$A808&lt;=Party_Statement!$D$6),SUMPRODUCT(($B$3:$B808=Party_Statement!$B$5)*($A$3:$A808&gt;=Party_Statement!$B$6)*($A$3:$A808&lt;=Party_Statement!$D$6)),""))</f>
        <v/>
      </c>
    </row>
    <row r="809" spans="1:10" x14ac:dyDescent="0.2">
      <c r="A809" s="155" t="str">
        <f>Collection!A90</f>
        <v>2083/03/23</v>
      </c>
      <c r="B809" s="176" t="str">
        <f>Collection!C90</f>
        <v>SOBHA BHATTARAI</v>
      </c>
      <c r="C809" s="156" t="str">
        <f>IF(Collection!E90="Payment","Payment","Collection")</f>
        <v>Collection</v>
      </c>
      <c r="D809" s="156">
        <f>Collection!B90</f>
        <v>3781</v>
      </c>
      <c r="E809" s="156" t="str">
        <f>Collection!I90</f>
        <v>Cash</v>
      </c>
      <c r="F809" s="157">
        <f>IF(Collection!E90="Payment",N(Collection!H90),0)</f>
        <v>0</v>
      </c>
      <c r="G809" s="157">
        <f>IF(Collection!E90="Collection",N(Collection!G90),0)</f>
        <v>2550</v>
      </c>
      <c r="H809" s="157">
        <f t="shared" si="12"/>
        <v>-2550</v>
      </c>
      <c r="I809" s="151"/>
      <c r="J809" t="str">
        <f>IF($B809="","",IF(AND($B809=Party_Statement!$B$5,$A809&gt;=Party_Statement!$B$6,$A809&lt;=Party_Statement!$D$6),SUMPRODUCT(($B$3:$B809=Party_Statement!$B$5)*($A$3:$A809&gt;=Party_Statement!$B$6)*($A$3:$A809&lt;=Party_Statement!$D$6)),""))</f>
        <v/>
      </c>
    </row>
    <row r="810" spans="1:10" x14ac:dyDescent="0.2">
      <c r="A810" s="155" t="str">
        <f>Collection!A91</f>
        <v>2083/03/23</v>
      </c>
      <c r="B810" s="176" t="str">
        <f>Collection!C91</f>
        <v>SAMIKSHYA KIRANA</v>
      </c>
      <c r="C810" s="156" t="str">
        <f>IF(Collection!E91="Payment","Payment","Collection")</f>
        <v>Collection</v>
      </c>
      <c r="D810" s="156">
        <f>Collection!B91</f>
        <v>3782</v>
      </c>
      <c r="E810" s="156" t="str">
        <f>Collection!I91</f>
        <v>Cash</v>
      </c>
      <c r="F810" s="157">
        <f>IF(Collection!E91="Payment",N(Collection!H91),0)</f>
        <v>0</v>
      </c>
      <c r="G810" s="157">
        <f>IF(Collection!E91="Collection",N(Collection!G91),0)</f>
        <v>425</v>
      </c>
      <c r="H810" s="157">
        <f t="shared" si="12"/>
        <v>-425</v>
      </c>
      <c r="I810" s="151"/>
      <c r="J810" t="str">
        <f>IF($B810="","",IF(AND($B810=Party_Statement!$B$5,$A810&gt;=Party_Statement!$B$6,$A810&lt;=Party_Statement!$D$6),SUMPRODUCT(($B$3:$B810=Party_Statement!$B$5)*($A$3:$A810&gt;=Party_Statement!$B$6)*($A$3:$A810&lt;=Party_Statement!$D$6)),""))</f>
        <v/>
      </c>
    </row>
    <row r="811" spans="1:10" x14ac:dyDescent="0.2">
      <c r="A811" s="155" t="str">
        <f>Collection!A92</f>
        <v>2083/03/23</v>
      </c>
      <c r="B811" s="176" t="str">
        <f>Collection!C92</f>
        <v>PALPALI KIRANA</v>
      </c>
      <c r="C811" s="156" t="str">
        <f>IF(Collection!E92="Payment","Payment","Collection")</f>
        <v>Collection</v>
      </c>
      <c r="D811" s="156">
        <f>Collection!B92</f>
        <v>3783</v>
      </c>
      <c r="E811" s="156" t="str">
        <f>Collection!I92</f>
        <v>Cash</v>
      </c>
      <c r="F811" s="157">
        <f>IF(Collection!E92="Payment",N(Collection!H92),0)</f>
        <v>0</v>
      </c>
      <c r="G811" s="157">
        <f>IF(Collection!E92="Collection",N(Collection!G92),0)</f>
        <v>2550</v>
      </c>
      <c r="H811" s="157">
        <f t="shared" si="12"/>
        <v>-2550</v>
      </c>
      <c r="I811" s="151"/>
      <c r="J811" t="str">
        <f>IF($B811="","",IF(AND($B811=Party_Statement!$B$5,$A811&gt;=Party_Statement!$B$6,$A811&lt;=Party_Statement!$D$6),SUMPRODUCT(($B$3:$B811=Party_Statement!$B$5)*($A$3:$A811&gt;=Party_Statement!$B$6)*($A$3:$A811&lt;=Party_Statement!$D$6)),""))</f>
        <v/>
      </c>
    </row>
    <row r="812" spans="1:10" x14ac:dyDescent="0.2">
      <c r="A812" s="155" t="str">
        <f>Collection!A93</f>
        <v>2083/03/23</v>
      </c>
      <c r="B812" s="176" t="str">
        <f>Collection!C93</f>
        <v>YUBARAJ AND SAMRAT</v>
      </c>
      <c r="C812" s="156" t="str">
        <f>IF(Collection!E93="Payment","Payment","Collection")</f>
        <v>Collection</v>
      </c>
      <c r="D812" s="156">
        <f>Collection!B93</f>
        <v>3784</v>
      </c>
      <c r="E812" s="156" t="str">
        <f>Collection!I93</f>
        <v>Cash</v>
      </c>
      <c r="F812" s="157">
        <f>IF(Collection!E93="Payment",N(Collection!H93),0)</f>
        <v>0</v>
      </c>
      <c r="G812" s="157">
        <f>IF(Collection!E93="Collection",N(Collection!G93),0)</f>
        <v>1275</v>
      </c>
      <c r="H812" s="157">
        <f t="shared" si="12"/>
        <v>-1275</v>
      </c>
      <c r="I812" s="151"/>
      <c r="J812" t="str">
        <f>IF($B812="","",IF(AND($B812=Party_Statement!$B$5,$A812&gt;=Party_Statement!$B$6,$A812&lt;=Party_Statement!$D$6),SUMPRODUCT(($B$3:$B812=Party_Statement!$B$5)*($A$3:$A812&gt;=Party_Statement!$B$6)*($A$3:$A812&lt;=Party_Statement!$D$6)),""))</f>
        <v/>
      </c>
    </row>
    <row r="813" spans="1:10" x14ac:dyDescent="0.2">
      <c r="A813" s="155" t="str">
        <f>Collection!A94</f>
        <v>2083/03/23</v>
      </c>
      <c r="B813" s="176" t="str">
        <f>Collection!C94</f>
        <v>GIRI KIRANA</v>
      </c>
      <c r="C813" s="156" t="str">
        <f>IF(Collection!E94="Payment","Payment","Collection")</f>
        <v>Collection</v>
      </c>
      <c r="D813" s="156">
        <f>Collection!B94</f>
        <v>3785</v>
      </c>
      <c r="E813" s="156" t="str">
        <f>Collection!I94</f>
        <v>Cash</v>
      </c>
      <c r="F813" s="157">
        <f>IF(Collection!E94="Payment",N(Collection!H94),0)</f>
        <v>0</v>
      </c>
      <c r="G813" s="157">
        <f>IF(Collection!E94="Collection",N(Collection!G94),0)</f>
        <v>1275</v>
      </c>
      <c r="H813" s="157">
        <f t="shared" si="12"/>
        <v>-1275</v>
      </c>
      <c r="I813" s="151"/>
      <c r="J813" t="str">
        <f>IF($B813="","",IF(AND($B813=Party_Statement!$B$5,$A813&gt;=Party_Statement!$B$6,$A813&lt;=Party_Statement!$D$6),SUMPRODUCT(($B$3:$B813=Party_Statement!$B$5)*($A$3:$A813&gt;=Party_Statement!$B$6)*($A$3:$A813&lt;=Party_Statement!$D$6)),""))</f>
        <v/>
      </c>
    </row>
    <row r="814" spans="1:10" x14ac:dyDescent="0.2">
      <c r="A814" s="155" t="str">
        <f>Collection!A95</f>
        <v>2083/03/23</v>
      </c>
      <c r="B814" s="176" t="str">
        <f>Collection!C95</f>
        <v>AAMOSH KIRANA</v>
      </c>
      <c r="C814" s="156" t="str">
        <f>IF(Collection!E95="Payment","Payment","Collection")</f>
        <v>Collection</v>
      </c>
      <c r="D814" s="156">
        <f>Collection!B95</f>
        <v>3786</v>
      </c>
      <c r="E814" s="156" t="str">
        <f>Collection!I95</f>
        <v>Cash</v>
      </c>
      <c r="F814" s="157">
        <f>IF(Collection!E95="Payment",N(Collection!H95),0)</f>
        <v>0</v>
      </c>
      <c r="G814" s="157">
        <f>IF(Collection!E95="Collection",N(Collection!G95),0)</f>
        <v>7000</v>
      </c>
      <c r="H814" s="157">
        <f t="shared" si="12"/>
        <v>-7000</v>
      </c>
      <c r="I814" s="151"/>
      <c r="J814" t="str">
        <f>IF($B814="","",IF(AND($B814=Party_Statement!$B$5,$A814&gt;=Party_Statement!$B$6,$A814&lt;=Party_Statement!$D$6),SUMPRODUCT(($B$3:$B814=Party_Statement!$B$5)*($A$3:$A814&gt;=Party_Statement!$B$6)*($A$3:$A814&lt;=Party_Statement!$D$6)),""))</f>
        <v/>
      </c>
    </row>
    <row r="815" spans="1:10" x14ac:dyDescent="0.2">
      <c r="A815" s="155" t="str">
        <f>Collection!A96</f>
        <v>2083/03/23</v>
      </c>
      <c r="B815" s="176" t="str">
        <f>Collection!C96</f>
        <v>DEURALI KIRANA</v>
      </c>
      <c r="C815" s="156" t="str">
        <f>IF(Collection!E96="Payment","Payment","Collection")</f>
        <v>Collection</v>
      </c>
      <c r="D815" s="156">
        <f>Collection!B96</f>
        <v>3787</v>
      </c>
      <c r="E815" s="156" t="str">
        <f>Collection!I96</f>
        <v>Cash</v>
      </c>
      <c r="F815" s="157">
        <f>IF(Collection!E96="Payment",N(Collection!H96),0)</f>
        <v>0</v>
      </c>
      <c r="G815" s="157">
        <f>IF(Collection!E96="Collection",N(Collection!G96),0)</f>
        <v>425</v>
      </c>
      <c r="H815" s="157">
        <f t="shared" si="12"/>
        <v>-425</v>
      </c>
      <c r="I815" s="151"/>
      <c r="J815" t="str">
        <f>IF($B815="","",IF(AND($B815=Party_Statement!$B$5,$A815&gt;=Party_Statement!$B$6,$A815&lt;=Party_Statement!$D$6),SUMPRODUCT(($B$3:$B815=Party_Statement!$B$5)*($A$3:$A815&gt;=Party_Statement!$B$6)*($A$3:$A815&lt;=Party_Statement!$D$6)),""))</f>
        <v/>
      </c>
    </row>
    <row r="816" spans="1:10" x14ac:dyDescent="0.2">
      <c r="A816" s="155" t="str">
        <f>Collection!A97</f>
        <v>2083/03/23</v>
      </c>
      <c r="B816" s="176" t="str">
        <f>Collection!C97</f>
        <v>ORGANIC TARKALI</v>
      </c>
      <c r="C816" s="156" t="str">
        <f>IF(Collection!E97="Payment","Payment","Collection")</f>
        <v>Collection</v>
      </c>
      <c r="D816" s="156">
        <f>Collection!B97</f>
        <v>3788</v>
      </c>
      <c r="E816" s="156" t="str">
        <f>Collection!I97</f>
        <v>Cash</v>
      </c>
      <c r="F816" s="157">
        <f>IF(Collection!E97="Payment",N(Collection!H97),0)</f>
        <v>0</v>
      </c>
      <c r="G816" s="157">
        <f>IF(Collection!E97="Collection",N(Collection!G97),0)</f>
        <v>1900</v>
      </c>
      <c r="H816" s="157">
        <f t="shared" si="12"/>
        <v>-1900</v>
      </c>
      <c r="I816" s="151"/>
      <c r="J816" t="str">
        <f>IF($B816="","",IF(AND($B816=Party_Statement!$B$5,$A816&gt;=Party_Statement!$B$6,$A816&lt;=Party_Statement!$D$6),SUMPRODUCT(($B$3:$B816=Party_Statement!$B$5)*($A$3:$A816&gt;=Party_Statement!$B$6)*($A$3:$A816&lt;=Party_Statement!$D$6)),""))</f>
        <v/>
      </c>
    </row>
    <row r="817" spans="1:10" x14ac:dyDescent="0.2">
      <c r="A817" s="155" t="str">
        <f>Collection!A99</f>
        <v>2083/03/23</v>
      </c>
      <c r="B817" s="176" t="str">
        <f>Collection!C99</f>
        <v>NAR BAHADUR RANA (DRIVER)</v>
      </c>
      <c r="C817" s="156" t="str">
        <f>IF(Collection!E99="Payment","Payment","Collection")</f>
        <v>Collection</v>
      </c>
      <c r="D817" s="156">
        <f>Collection!B99</f>
        <v>0</v>
      </c>
      <c r="E817" s="156" t="str">
        <f>Collection!I99</f>
        <v>Cash</v>
      </c>
      <c r="F817" s="157">
        <f>IF(Collection!E99="Payment",N(Collection!H99),0)</f>
        <v>0</v>
      </c>
      <c r="G817" s="157">
        <f>IF(Collection!E99="Collection",N(Collection!G99),0)</f>
        <v>0</v>
      </c>
      <c r="H817" s="157">
        <f t="shared" si="12"/>
        <v>0</v>
      </c>
      <c r="I817" s="151"/>
      <c r="J817" t="str">
        <f>IF($B817="","",IF(AND($B817=Party_Statement!$B$5,$A817&gt;=Party_Statement!$B$6,$A817&lt;=Party_Statement!$D$6),SUMPRODUCT(($B$3:$B817=Party_Statement!$B$5)*($A$3:$A817&gt;=Party_Statement!$B$6)*($A$3:$A817&lt;=Party_Statement!$D$6)),""))</f>
        <v/>
      </c>
    </row>
    <row r="818" spans="1:10" x14ac:dyDescent="0.2">
      <c r="A818" s="155" t="str">
        <f>Collection!A100</f>
        <v>2083/03/24</v>
      </c>
      <c r="B818" s="176" t="str">
        <f>Collection!C100</f>
        <v>SRIJANA DAIRY</v>
      </c>
      <c r="C818" s="156" t="str">
        <f>IF(Collection!E100="Payment","Payment","Collection")</f>
        <v>Collection</v>
      </c>
      <c r="D818" s="156">
        <f>Collection!B100</f>
        <v>3790</v>
      </c>
      <c r="E818" s="156" t="str">
        <f>Collection!I100</f>
        <v>Cash</v>
      </c>
      <c r="F818" s="157">
        <f>IF(Collection!E100="Payment",N(Collection!H100),0)</f>
        <v>0</v>
      </c>
      <c r="G818" s="157">
        <f>IF(Collection!E100="Collection",N(Collection!G100),0)</f>
        <v>5180</v>
      </c>
      <c r="H818" s="157">
        <f t="shared" si="12"/>
        <v>-5180</v>
      </c>
      <c r="I818" s="151"/>
      <c r="J818" t="str">
        <f>IF($B818="","",IF(AND($B818=Party_Statement!$B$5,$A818&gt;=Party_Statement!$B$6,$A818&lt;=Party_Statement!$D$6),SUMPRODUCT(($B$3:$B818=Party_Statement!$B$5)*($A$3:$A818&gt;=Party_Statement!$B$6)*($A$3:$A818&lt;=Party_Statement!$D$6)),""))</f>
        <v/>
      </c>
    </row>
    <row r="819" spans="1:10" x14ac:dyDescent="0.2">
      <c r="A819" s="155" t="str">
        <f>Collection!A101</f>
        <v>2083/03/24</v>
      </c>
      <c r="B819" s="176" t="str">
        <f>Collection!C101</f>
        <v>SOBHA BHATTARAI</v>
      </c>
      <c r="C819" s="156" t="str">
        <f>IF(Collection!E101="Payment","Payment","Collection")</f>
        <v>Collection</v>
      </c>
      <c r="D819" s="156">
        <f>Collection!B101</f>
        <v>3791</v>
      </c>
      <c r="E819" s="156" t="str">
        <f>Collection!I101</f>
        <v>Cash</v>
      </c>
      <c r="F819" s="157">
        <f>IF(Collection!E101="Payment",N(Collection!H101),0)</f>
        <v>0</v>
      </c>
      <c r="G819" s="157">
        <f>IF(Collection!E101="Collection",N(Collection!G101),0)</f>
        <v>1275</v>
      </c>
      <c r="H819" s="157">
        <f t="shared" si="12"/>
        <v>-1275</v>
      </c>
      <c r="I819" s="151"/>
      <c r="J819" t="str">
        <f>IF($B819="","",IF(AND($B819=Party_Statement!$B$5,$A819&gt;=Party_Statement!$B$6,$A819&lt;=Party_Statement!$D$6),SUMPRODUCT(($B$3:$B819=Party_Statement!$B$5)*($A$3:$A819&gt;=Party_Statement!$B$6)*($A$3:$A819&lt;=Party_Statement!$D$6)),""))</f>
        <v/>
      </c>
    </row>
    <row r="820" spans="1:10" x14ac:dyDescent="0.2">
      <c r="A820" s="155" t="str">
        <f>Collection!A102</f>
        <v>2083/03/24</v>
      </c>
      <c r="B820" s="176" t="str">
        <f>Collection!C102</f>
        <v>SAMIKSHYA KIRANA</v>
      </c>
      <c r="C820" s="156" t="str">
        <f>IF(Collection!E102="Payment","Payment","Collection")</f>
        <v>Collection</v>
      </c>
      <c r="D820" s="156">
        <f>Collection!B102</f>
        <v>3792</v>
      </c>
      <c r="E820" s="156" t="str">
        <f>Collection!I102</f>
        <v>Cash</v>
      </c>
      <c r="F820" s="157">
        <f>IF(Collection!E102="Payment",N(Collection!H102),0)</f>
        <v>0</v>
      </c>
      <c r="G820" s="157">
        <f>IF(Collection!E102="Collection",N(Collection!G102),0)</f>
        <v>680</v>
      </c>
      <c r="H820" s="157">
        <f t="shared" si="12"/>
        <v>-680</v>
      </c>
      <c r="I820" s="151"/>
      <c r="J820" t="str">
        <f>IF($B820="","",IF(AND($B820=Party_Statement!$B$5,$A820&gt;=Party_Statement!$B$6,$A820&lt;=Party_Statement!$D$6),SUMPRODUCT(($B$3:$B820=Party_Statement!$B$5)*($A$3:$A820&gt;=Party_Statement!$B$6)*($A$3:$A820&lt;=Party_Statement!$D$6)),""))</f>
        <v/>
      </c>
    </row>
    <row r="821" spans="1:10" x14ac:dyDescent="0.2">
      <c r="A821" s="155" t="str">
        <f>Collection!A103</f>
        <v>2083/03/24</v>
      </c>
      <c r="B821" s="176" t="str">
        <f>Collection!C103</f>
        <v>DEURALI KIRANA</v>
      </c>
      <c r="C821" s="156" t="str">
        <f>IF(Collection!E103="Payment","Payment","Collection")</f>
        <v>Collection</v>
      </c>
      <c r="D821" s="156">
        <f>Collection!B103</f>
        <v>3793</v>
      </c>
      <c r="E821" s="156" t="str">
        <f>Collection!I103</f>
        <v>Cash</v>
      </c>
      <c r="F821" s="157">
        <f>IF(Collection!E103="Payment",N(Collection!H103),0)</f>
        <v>0</v>
      </c>
      <c r="G821" s="157">
        <f>IF(Collection!E103="Collection",N(Collection!G103),0)</f>
        <v>425</v>
      </c>
      <c r="H821" s="157">
        <f t="shared" si="12"/>
        <v>-425</v>
      </c>
      <c r="I821" s="151"/>
      <c r="J821" t="str">
        <f>IF($B821="","",IF(AND($B821=Party_Statement!$B$5,$A821&gt;=Party_Statement!$B$6,$A821&lt;=Party_Statement!$D$6),SUMPRODUCT(($B$3:$B821=Party_Statement!$B$5)*($A$3:$A821&gt;=Party_Statement!$B$6)*($A$3:$A821&lt;=Party_Statement!$D$6)),""))</f>
        <v/>
      </c>
    </row>
    <row r="822" spans="1:10" x14ac:dyDescent="0.2">
      <c r="A822" s="155" t="str">
        <f>Collection!A104</f>
        <v>2083/03/24</v>
      </c>
      <c r="B822" s="176" t="str">
        <f>Collection!C104</f>
        <v>AAMOSH KIRANA</v>
      </c>
      <c r="C822" s="156" t="str">
        <f>IF(Collection!E104="Payment","Payment","Collection")</f>
        <v>Collection</v>
      </c>
      <c r="D822" s="156">
        <f>Collection!B104</f>
        <v>3794</v>
      </c>
      <c r="E822" s="156" t="str">
        <f>Collection!I104</f>
        <v>Cash</v>
      </c>
      <c r="F822" s="157">
        <f>IF(Collection!E104="Payment",N(Collection!H104),0)</f>
        <v>0</v>
      </c>
      <c r="G822" s="157">
        <f>IF(Collection!E104="Collection",N(Collection!G104),0)</f>
        <v>4900</v>
      </c>
      <c r="H822" s="157">
        <f t="shared" si="12"/>
        <v>-4900</v>
      </c>
      <c r="I822" s="151"/>
      <c r="J822" t="str">
        <f>IF($B822="","",IF(AND($B822=Party_Statement!$B$5,$A822&gt;=Party_Statement!$B$6,$A822&lt;=Party_Statement!$D$6),SUMPRODUCT(($B$3:$B822=Party_Statement!$B$5)*($A$3:$A822&gt;=Party_Statement!$B$6)*($A$3:$A822&lt;=Party_Statement!$D$6)),""))</f>
        <v/>
      </c>
    </row>
    <row r="823" spans="1:10" x14ac:dyDescent="0.2">
      <c r="A823" s="155" t="str">
        <f>Collection!A105</f>
        <v>2083/03/24</v>
      </c>
      <c r="B823" s="176" t="str">
        <f>Collection!C105</f>
        <v>YUBARAJ AND SAMRAT</v>
      </c>
      <c r="C823" s="156" t="str">
        <f>IF(Collection!E105="Payment","Payment","Collection")</f>
        <v>Collection</v>
      </c>
      <c r="D823" s="156">
        <f>Collection!B105</f>
        <v>3795</v>
      </c>
      <c r="E823" s="156" t="str">
        <f>Collection!I105</f>
        <v>Cash</v>
      </c>
      <c r="F823" s="157">
        <f>IF(Collection!E105="Payment",N(Collection!H105),0)</f>
        <v>0</v>
      </c>
      <c r="G823" s="157">
        <f>IF(Collection!E105="Collection",N(Collection!G105),0)</f>
        <v>1020</v>
      </c>
      <c r="H823" s="157">
        <f t="shared" si="12"/>
        <v>-1020</v>
      </c>
      <c r="I823" s="151"/>
      <c r="J823" t="str">
        <f>IF($B823="","",IF(AND($B823=Party_Statement!$B$5,$A823&gt;=Party_Statement!$B$6,$A823&lt;=Party_Statement!$D$6),SUMPRODUCT(($B$3:$B823=Party_Statement!$B$5)*($A$3:$A823&gt;=Party_Statement!$B$6)*($A$3:$A823&lt;=Party_Statement!$D$6)),""))</f>
        <v/>
      </c>
    </row>
    <row r="824" spans="1:10" x14ac:dyDescent="0.2">
      <c r="A824" s="155" t="str">
        <f>Collection!A106</f>
        <v>2083/03/24</v>
      </c>
      <c r="B824" s="176" t="str">
        <f>Collection!C106</f>
        <v>AAYUSH AND AAYUSHMA</v>
      </c>
      <c r="C824" s="156" t="str">
        <f>IF(Collection!E106="Payment","Payment","Collection")</f>
        <v>Collection</v>
      </c>
      <c r="D824" s="156">
        <f>Collection!B106</f>
        <v>3796</v>
      </c>
      <c r="E824" s="156" t="str">
        <f>Collection!I106</f>
        <v>Cash</v>
      </c>
      <c r="F824" s="157">
        <f>IF(Collection!E106="Payment",N(Collection!H106),0)</f>
        <v>0</v>
      </c>
      <c r="G824" s="157">
        <f>IF(Collection!E106="Collection",N(Collection!G106),0)</f>
        <v>425</v>
      </c>
      <c r="H824" s="157">
        <f t="shared" si="12"/>
        <v>-425</v>
      </c>
      <c r="I824" s="151"/>
      <c r="J824" t="str">
        <f>IF($B824="","",IF(AND($B824=Party_Statement!$B$5,$A824&gt;=Party_Statement!$B$6,$A824&lt;=Party_Statement!$D$6),SUMPRODUCT(($B$3:$B824=Party_Statement!$B$5)*($A$3:$A824&gt;=Party_Statement!$B$6)*($A$3:$A824&lt;=Party_Statement!$D$6)),""))</f>
        <v/>
      </c>
    </row>
    <row r="825" spans="1:10" x14ac:dyDescent="0.2">
      <c r="A825" s="155" t="str">
        <f>Collection!A107</f>
        <v>2083/03/24</v>
      </c>
      <c r="B825" s="176" t="str">
        <f>Collection!C107</f>
        <v>PALPALI KIRANA</v>
      </c>
      <c r="C825" s="156" t="str">
        <f>IF(Collection!E107="Payment","Payment","Collection")</f>
        <v>Collection</v>
      </c>
      <c r="D825" s="156">
        <f>Collection!B107</f>
        <v>3797</v>
      </c>
      <c r="E825" s="156" t="str">
        <f>Collection!I107</f>
        <v>Cash</v>
      </c>
      <c r="F825" s="157">
        <f>IF(Collection!E107="Payment",N(Collection!H107),0)</f>
        <v>0</v>
      </c>
      <c r="G825" s="157">
        <f>IF(Collection!E107="Collection",N(Collection!G107),0)</f>
        <v>1700</v>
      </c>
      <c r="H825" s="157">
        <f t="shared" si="12"/>
        <v>-1700</v>
      </c>
      <c r="I825" s="151"/>
      <c r="J825" t="str">
        <f>IF($B825="","",IF(AND($B825=Party_Statement!$B$5,$A825&gt;=Party_Statement!$B$6,$A825&lt;=Party_Statement!$D$6),SUMPRODUCT(($B$3:$B825=Party_Statement!$B$5)*($A$3:$A825&gt;=Party_Statement!$B$6)*($A$3:$A825&lt;=Party_Statement!$D$6)),""))</f>
        <v/>
      </c>
    </row>
    <row r="826" spans="1:10" x14ac:dyDescent="0.2">
      <c r="A826" s="155" t="str">
        <f>Collection!A108</f>
        <v>2083/03/24</v>
      </c>
      <c r="B826" s="176" t="str">
        <f>Collection!C108</f>
        <v>GIRI KIRANA</v>
      </c>
      <c r="C826" s="156" t="str">
        <f>IF(Collection!E108="Payment","Payment","Collection")</f>
        <v>Collection</v>
      </c>
      <c r="D826" s="156">
        <f>Collection!B108</f>
        <v>3798</v>
      </c>
      <c r="E826" s="156" t="str">
        <f>Collection!I108</f>
        <v>Cash</v>
      </c>
      <c r="F826" s="157">
        <f>IF(Collection!E108="Payment",N(Collection!H108),0)</f>
        <v>0</v>
      </c>
      <c r="G826" s="157">
        <f>IF(Collection!E108="Collection",N(Collection!G108),0)</f>
        <v>1275</v>
      </c>
      <c r="H826" s="157">
        <f t="shared" si="12"/>
        <v>-1275</v>
      </c>
      <c r="I826" s="151"/>
      <c r="J826" t="str">
        <f>IF($B826="","",IF(AND($B826=Party_Statement!$B$5,$A826&gt;=Party_Statement!$B$6,$A826&lt;=Party_Statement!$D$6),SUMPRODUCT(($B$3:$B826=Party_Statement!$B$5)*($A$3:$A826&gt;=Party_Statement!$B$6)*($A$3:$A826&lt;=Party_Statement!$D$6)),""))</f>
        <v/>
      </c>
    </row>
    <row r="827" spans="1:10" x14ac:dyDescent="0.2">
      <c r="A827" s="155" t="str">
        <f>Collection!A109</f>
        <v>2083/03/24</v>
      </c>
      <c r="B827" s="176" t="str">
        <f>Collection!C109</f>
        <v>KALIKA CANTEEN A</v>
      </c>
      <c r="C827" s="156" t="str">
        <f>IF(Collection!E109="Payment","Payment","Collection")</f>
        <v>Collection</v>
      </c>
      <c r="D827" s="156">
        <f>Collection!B109</f>
        <v>3799</v>
      </c>
      <c r="E827" s="156" t="str">
        <f>Collection!I109</f>
        <v>Cash</v>
      </c>
      <c r="F827" s="157">
        <f>IF(Collection!E109="Payment",N(Collection!H109),0)</f>
        <v>0</v>
      </c>
      <c r="G827" s="157">
        <f>IF(Collection!E109="Collection",N(Collection!G109),0)</f>
        <v>2975</v>
      </c>
      <c r="H827" s="157">
        <f t="shared" si="12"/>
        <v>-2975</v>
      </c>
      <c r="I827" s="151"/>
      <c r="J827" t="e">
        <f>IF($B827="","",IF(AND($B827=Party_Statement!$B$5,$A827&gt;=Party_Statement!$B$6,$A827&lt;=Party_Statement!$D$6),SUMPRODUCT(($B$3:$B827=Party_Statement!$B$5)*($A$3:$A827&gt;=Party_Statement!$B$6)*($A$3:$A827&lt;=Party_Statement!$D$6)),""))</f>
        <v>#REF!</v>
      </c>
    </row>
    <row r="828" spans="1:10" x14ac:dyDescent="0.2">
      <c r="A828" s="155" t="str">
        <f>Collection!A110</f>
        <v>2083/03/24</v>
      </c>
      <c r="B828" s="176" t="str">
        <f>Collection!C110</f>
        <v>ORGANIC TARKALI</v>
      </c>
      <c r="C828" s="156" t="str">
        <f>IF(Collection!E110="Payment","Payment","Collection")</f>
        <v>Collection</v>
      </c>
      <c r="D828" s="156">
        <f>Collection!B110</f>
        <v>3800</v>
      </c>
      <c r="E828" s="156" t="str">
        <f>Collection!I110</f>
        <v>Cash</v>
      </c>
      <c r="F828" s="157">
        <f>IF(Collection!E110="Payment",N(Collection!H110),0)</f>
        <v>0</v>
      </c>
      <c r="G828" s="157">
        <f>IF(Collection!E110="Collection",N(Collection!G110),0)</f>
        <v>2375</v>
      </c>
      <c r="H828" s="157">
        <f t="shared" si="12"/>
        <v>-2375</v>
      </c>
      <c r="I828" s="151"/>
      <c r="J828" t="str">
        <f>IF($B828="","",IF(AND($B828=Party_Statement!$B$5,$A828&gt;=Party_Statement!$B$6,$A828&lt;=Party_Statement!$D$6),SUMPRODUCT(($B$3:$B828=Party_Statement!$B$5)*($A$3:$A828&gt;=Party_Statement!$B$6)*($A$3:$A828&lt;=Party_Statement!$D$6)),""))</f>
        <v/>
      </c>
    </row>
    <row r="829" spans="1:10" x14ac:dyDescent="0.2">
      <c r="A829" s="155" t="str">
        <f>Collection!A111</f>
        <v>2083/03/24</v>
      </c>
      <c r="B829" s="176" t="str">
        <f>Collection!C111</f>
        <v>NEUPANE KIRANA</v>
      </c>
      <c r="C829" s="156" t="str">
        <f>IF(Collection!E111="Payment","Payment","Collection")</f>
        <v>Collection</v>
      </c>
      <c r="D829" s="156">
        <f>Collection!B111</f>
        <v>3801</v>
      </c>
      <c r="E829" s="156" t="str">
        <f>Collection!I111</f>
        <v>Cash</v>
      </c>
      <c r="F829" s="157">
        <f>IF(Collection!E111="Payment",N(Collection!H111),0)</f>
        <v>0</v>
      </c>
      <c r="G829" s="157">
        <f>IF(Collection!E111="Collection",N(Collection!G111),0)</f>
        <v>180</v>
      </c>
      <c r="H829" s="157">
        <f t="shared" si="12"/>
        <v>-180</v>
      </c>
      <c r="I829" s="151"/>
      <c r="J829" t="str">
        <f>IF($B829="","",IF(AND($B829=Party_Statement!$B$5,$A829&gt;=Party_Statement!$B$6,$A829&lt;=Party_Statement!$D$6),SUMPRODUCT(($B$3:$B829=Party_Statement!$B$5)*($A$3:$A829&gt;=Party_Statement!$B$6)*($A$3:$A829&lt;=Party_Statement!$D$6)),""))</f>
        <v/>
      </c>
    </row>
    <row r="830" spans="1:10" x14ac:dyDescent="0.2">
      <c r="A830" s="155" t="str">
        <f>Collection!A112</f>
        <v>2083/03/24</v>
      </c>
      <c r="B830" s="176" t="str">
        <f>Collection!C112</f>
        <v>BHUSAL JANARAJ STORE</v>
      </c>
      <c r="C830" s="156" t="str">
        <f>IF(Collection!E112="Payment","Payment","Collection")</f>
        <v>Collection</v>
      </c>
      <c r="D830" s="156">
        <f>Collection!B112</f>
        <v>3802</v>
      </c>
      <c r="E830" s="156" t="str">
        <f>Collection!I112</f>
        <v>Cash</v>
      </c>
      <c r="F830" s="157">
        <f>IF(Collection!E112="Payment",N(Collection!H112),0)</f>
        <v>0</v>
      </c>
      <c r="G830" s="157">
        <f>IF(Collection!E112="Collection",N(Collection!G112),0)</f>
        <v>860</v>
      </c>
      <c r="H830" s="157">
        <f t="shared" si="12"/>
        <v>-860</v>
      </c>
      <c r="I830" s="151"/>
      <c r="J830" t="str">
        <f>IF($B830="","",IF(AND($B830=Party_Statement!$B$5,$A830&gt;=Party_Statement!$B$6,$A830&lt;=Party_Statement!$D$6),SUMPRODUCT(($B$3:$B830=Party_Statement!$B$5)*($A$3:$A830&gt;=Party_Statement!$B$6)*($A$3:$A830&lt;=Party_Statement!$D$6)),""))</f>
        <v/>
      </c>
    </row>
    <row r="831" spans="1:10" x14ac:dyDescent="0.2">
      <c r="A831" s="155" t="str">
        <f>Collection!A113</f>
        <v>2083/03/24</v>
      </c>
      <c r="B831" s="176" t="str">
        <f>Collection!C113</f>
        <v>KULCHANDRA GYAWALI</v>
      </c>
      <c r="C831" s="156" t="str">
        <f>IF(Collection!E113="Payment","Payment","Collection")</f>
        <v>Collection</v>
      </c>
      <c r="D831" s="156">
        <f>Collection!B113</f>
        <v>3803</v>
      </c>
      <c r="E831" s="156" t="str">
        <f>Collection!I113</f>
        <v>Cash</v>
      </c>
      <c r="F831" s="157">
        <f>IF(Collection!E113="Payment",N(Collection!H113),0)</f>
        <v>0</v>
      </c>
      <c r="G831" s="157">
        <f>IF(Collection!E113="Collection",N(Collection!G113),0)</f>
        <v>1600</v>
      </c>
      <c r="H831" s="157">
        <f t="shared" si="12"/>
        <v>-1600</v>
      </c>
      <c r="I831" s="151"/>
      <c r="J831" t="str">
        <f>IF($B831="","",IF(AND($B831=Party_Statement!$B$5,$A831&gt;=Party_Statement!$B$6,$A831&lt;=Party_Statement!$D$6),SUMPRODUCT(($B$3:$B831=Party_Statement!$B$5)*($A$3:$A831&gt;=Party_Statement!$B$6)*($A$3:$A831&lt;=Party_Statement!$D$6)),""))</f>
        <v/>
      </c>
    </row>
    <row r="832" spans="1:10" x14ac:dyDescent="0.2">
      <c r="A832" s="155" t="str">
        <f>Collection!A115</f>
        <v>2083/03/24</v>
      </c>
      <c r="B832" s="176" t="str">
        <f>Collection!C115</f>
        <v>LOCAL</v>
      </c>
      <c r="C832" s="156" t="str">
        <f>IF(Collection!E115="Payment","Payment","Collection")</f>
        <v>Collection</v>
      </c>
      <c r="D832" s="156">
        <f>Collection!B115</f>
        <v>0</v>
      </c>
      <c r="E832" s="156" t="str">
        <f>Collection!I115</f>
        <v>Cash</v>
      </c>
      <c r="F832" s="157">
        <f>IF(Collection!E115="Payment",N(Collection!H115),0)</f>
        <v>0</v>
      </c>
      <c r="G832" s="157">
        <f>IF(Collection!E115="Collection",N(Collection!G115),0)</f>
        <v>510</v>
      </c>
      <c r="H832" s="157">
        <f t="shared" si="12"/>
        <v>-510</v>
      </c>
      <c r="I832" s="151"/>
      <c r="J832" t="str">
        <f>IF($B832="","",IF(AND($B832=Party_Statement!$B$5,$A832&gt;=Party_Statement!$B$6,$A832&lt;=Party_Statement!$D$6),SUMPRODUCT(($B$3:$B832=Party_Statement!$B$5)*($A$3:$A832&gt;=Party_Statement!$B$6)*($A$3:$A832&lt;=Party_Statement!$D$6)),""))</f>
        <v/>
      </c>
    </row>
    <row r="833" spans="1:10" x14ac:dyDescent="0.2">
      <c r="A833" s="155" t="str">
        <f>Collection!A116</f>
        <v>2083/03/25</v>
      </c>
      <c r="B833" s="176" t="str">
        <f>Collection!C116</f>
        <v>SRIJANA DAIRY</v>
      </c>
      <c r="C833" s="156" t="str">
        <f>IF(Collection!E116="Payment","Payment","Collection")</f>
        <v>Collection</v>
      </c>
      <c r="D833" s="156">
        <f>Collection!B116</f>
        <v>3804</v>
      </c>
      <c r="E833" s="156" t="str">
        <f>Collection!I116</f>
        <v>Cash</v>
      </c>
      <c r="F833" s="157">
        <f>IF(Collection!E116="Payment",N(Collection!H116),0)</f>
        <v>0</v>
      </c>
      <c r="G833" s="157">
        <f>IF(Collection!E116="Collection",N(Collection!G116),0)</f>
        <v>5180</v>
      </c>
      <c r="H833" s="157">
        <f t="shared" si="12"/>
        <v>-5180</v>
      </c>
      <c r="I833" s="151"/>
      <c r="J833" t="str">
        <f>IF($B833="","",IF(AND($B833=Party_Statement!$B$5,$A833&gt;=Party_Statement!$B$6,$A833&lt;=Party_Statement!$D$6),SUMPRODUCT(($B$3:$B833=Party_Statement!$B$5)*($A$3:$A833&gt;=Party_Statement!$B$6)*($A$3:$A833&lt;=Party_Statement!$D$6)),""))</f>
        <v/>
      </c>
    </row>
    <row r="834" spans="1:10" x14ac:dyDescent="0.2">
      <c r="A834" s="155" t="str">
        <f>Collection!A117</f>
        <v>2083/03/25</v>
      </c>
      <c r="B834" s="176" t="str">
        <f>Collection!C117</f>
        <v>SOBHA BHATTARAI</v>
      </c>
      <c r="C834" s="156" t="str">
        <f>IF(Collection!E117="Payment","Payment","Collection")</f>
        <v>Collection</v>
      </c>
      <c r="D834" s="156">
        <f>Collection!B117</f>
        <v>3805</v>
      </c>
      <c r="E834" s="156" t="str">
        <f>Collection!I117</f>
        <v>Cash</v>
      </c>
      <c r="F834" s="157">
        <f>IF(Collection!E117="Payment",N(Collection!H117),0)</f>
        <v>0</v>
      </c>
      <c r="G834" s="157">
        <f>IF(Collection!E117="Collection",N(Collection!G117),0)</f>
        <v>2550</v>
      </c>
      <c r="H834" s="157">
        <f t="shared" si="12"/>
        <v>-2550</v>
      </c>
      <c r="I834" s="151"/>
      <c r="J834" t="str">
        <f>IF($B834="","",IF(AND($B834=Party_Statement!$B$5,$A834&gt;=Party_Statement!$B$6,$A834&lt;=Party_Statement!$D$6),SUMPRODUCT(($B$3:$B834=Party_Statement!$B$5)*($A$3:$A834&gt;=Party_Statement!$B$6)*($A$3:$A834&lt;=Party_Statement!$D$6)),""))</f>
        <v/>
      </c>
    </row>
    <row r="835" spans="1:10" x14ac:dyDescent="0.2">
      <c r="A835" s="155" t="str">
        <f>Collection!A118</f>
        <v>2083/03/25</v>
      </c>
      <c r="B835" s="176" t="str">
        <f>Collection!C118</f>
        <v>MANAKAMANA DAIRY</v>
      </c>
      <c r="C835" s="156" t="str">
        <f>IF(Collection!E118="Payment","Payment","Collection")</f>
        <v>Collection</v>
      </c>
      <c r="D835" s="156">
        <f>Collection!B118</f>
        <v>3806</v>
      </c>
      <c r="E835" s="156" t="str">
        <f>Collection!I118</f>
        <v>Cash</v>
      </c>
      <c r="F835" s="157">
        <f>IF(Collection!E118="Payment",N(Collection!H118),0)</f>
        <v>0</v>
      </c>
      <c r="G835" s="157">
        <f>IF(Collection!E118="Collection",N(Collection!G118),0)</f>
        <v>2550</v>
      </c>
      <c r="H835" s="157">
        <f t="shared" si="12"/>
        <v>-2550</v>
      </c>
      <c r="I835" s="151"/>
      <c r="J835" t="str">
        <f>IF($B835="","",IF(AND($B835=Party_Statement!$B$5,$A835&gt;=Party_Statement!$B$6,$A835&lt;=Party_Statement!$D$6),SUMPRODUCT(($B$3:$B835=Party_Statement!$B$5)*($A$3:$A835&gt;=Party_Statement!$B$6)*($A$3:$A835&lt;=Party_Statement!$D$6)),""))</f>
        <v/>
      </c>
    </row>
    <row r="836" spans="1:10" x14ac:dyDescent="0.2">
      <c r="A836" s="155" t="str">
        <f>Collection!A119</f>
        <v>2083/03/25</v>
      </c>
      <c r="B836" s="176" t="str">
        <f>Collection!C119</f>
        <v>AAYUSH AND AAYUSHMA</v>
      </c>
      <c r="C836" s="156" t="str">
        <f>IF(Collection!E119="Payment","Payment","Collection")</f>
        <v>Collection</v>
      </c>
      <c r="D836" s="156">
        <f>Collection!B119</f>
        <v>3807</v>
      </c>
      <c r="E836" s="156" t="str">
        <f>Collection!I119</f>
        <v>Cash</v>
      </c>
      <c r="F836" s="157">
        <f>IF(Collection!E119="Payment",N(Collection!H119),0)</f>
        <v>0</v>
      </c>
      <c r="G836" s="157">
        <f>IF(Collection!E119="Collection",N(Collection!G119),0)</f>
        <v>680</v>
      </c>
      <c r="H836" s="157">
        <f t="shared" ref="H836:H899" si="13">IF($B836="","",IF($B836=$B835,$H835+$F836-$G836,$F836-$G836))</f>
        <v>-680</v>
      </c>
      <c r="I836" s="151"/>
      <c r="J836" t="str">
        <f>IF($B836="","",IF(AND($B836=Party_Statement!$B$5,$A836&gt;=Party_Statement!$B$6,$A836&lt;=Party_Statement!$D$6),SUMPRODUCT(($B$3:$B836=Party_Statement!$B$5)*($A$3:$A836&gt;=Party_Statement!$B$6)*($A$3:$A836&lt;=Party_Statement!$D$6)),""))</f>
        <v/>
      </c>
    </row>
    <row r="837" spans="1:10" x14ac:dyDescent="0.2">
      <c r="A837" s="155" t="str">
        <f>Collection!A120</f>
        <v>2083/03/25</v>
      </c>
      <c r="B837" s="176" t="str">
        <f>Collection!C120</f>
        <v>YUBARAJ AND SAMRAT</v>
      </c>
      <c r="C837" s="156" t="str">
        <f>IF(Collection!E120="Payment","Payment","Collection")</f>
        <v>Collection</v>
      </c>
      <c r="D837" s="156">
        <f>Collection!B120</f>
        <v>3808</v>
      </c>
      <c r="E837" s="156" t="str">
        <f>Collection!I120</f>
        <v>Cash</v>
      </c>
      <c r="F837" s="157">
        <f>IF(Collection!E120="Payment",N(Collection!H120),0)</f>
        <v>0</v>
      </c>
      <c r="G837" s="157">
        <f>IF(Collection!E120="Collection",N(Collection!G120),0)</f>
        <v>1020</v>
      </c>
      <c r="H837" s="157">
        <f t="shared" si="13"/>
        <v>-1020</v>
      </c>
      <c r="I837" s="151"/>
      <c r="J837" t="str">
        <f>IF($B837="","",IF(AND($B837=Party_Statement!$B$5,$A837&gt;=Party_Statement!$B$6,$A837&lt;=Party_Statement!$D$6),SUMPRODUCT(($B$3:$B837=Party_Statement!$B$5)*($A$3:$A837&gt;=Party_Statement!$B$6)*($A$3:$A837&lt;=Party_Statement!$D$6)),""))</f>
        <v/>
      </c>
    </row>
    <row r="838" spans="1:10" x14ac:dyDescent="0.2">
      <c r="A838" s="155" t="str">
        <f>Collection!A121</f>
        <v>2083/03/25</v>
      </c>
      <c r="B838" s="176" t="str">
        <f>Collection!C121</f>
        <v>SAMIKSHYA KIRANA</v>
      </c>
      <c r="C838" s="156" t="str">
        <f>IF(Collection!E121="Payment","Payment","Collection")</f>
        <v>Collection</v>
      </c>
      <c r="D838" s="156">
        <f>Collection!B121</f>
        <v>3809</v>
      </c>
      <c r="E838" s="156" t="str">
        <f>Collection!I121</f>
        <v>Cash</v>
      </c>
      <c r="F838" s="157">
        <f>IF(Collection!E121="Payment",N(Collection!H121),0)</f>
        <v>0</v>
      </c>
      <c r="G838" s="157">
        <f>IF(Collection!E121="Collection",N(Collection!G121),0)</f>
        <v>680</v>
      </c>
      <c r="H838" s="157">
        <f t="shared" si="13"/>
        <v>-680</v>
      </c>
      <c r="I838" s="151"/>
      <c r="J838" t="str">
        <f>IF($B838="","",IF(AND($B838=Party_Statement!$B$5,$A838&gt;=Party_Statement!$B$6,$A838&lt;=Party_Statement!$D$6),SUMPRODUCT(($B$3:$B838=Party_Statement!$B$5)*($A$3:$A838&gt;=Party_Statement!$B$6)*($A$3:$A838&lt;=Party_Statement!$D$6)),""))</f>
        <v/>
      </c>
    </row>
    <row r="839" spans="1:10" x14ac:dyDescent="0.2">
      <c r="A839" s="155" t="str">
        <f>Collection!A122</f>
        <v>2083/03/25</v>
      </c>
      <c r="B839" s="176" t="str">
        <f>Collection!C122</f>
        <v>PALPALI KIRANA</v>
      </c>
      <c r="C839" s="156" t="str">
        <f>IF(Collection!E122="Payment","Payment","Collection")</f>
        <v>Collection</v>
      </c>
      <c r="D839" s="156">
        <f>Collection!B122</f>
        <v>3810</v>
      </c>
      <c r="E839" s="156" t="str">
        <f>Collection!I122</f>
        <v>Cash</v>
      </c>
      <c r="F839" s="157">
        <f>IF(Collection!E122="Payment",N(Collection!H122),0)</f>
        <v>0</v>
      </c>
      <c r="G839" s="157">
        <f>IF(Collection!E122="Collection",N(Collection!G122),0)</f>
        <v>1700</v>
      </c>
      <c r="H839" s="157">
        <f t="shared" si="13"/>
        <v>-1700</v>
      </c>
      <c r="I839" s="151"/>
      <c r="J839" t="str">
        <f>IF($B839="","",IF(AND($B839=Party_Statement!$B$5,$A839&gt;=Party_Statement!$B$6,$A839&lt;=Party_Statement!$D$6),SUMPRODUCT(($B$3:$B839=Party_Statement!$B$5)*($A$3:$A839&gt;=Party_Statement!$B$6)*($A$3:$A839&lt;=Party_Statement!$D$6)),""))</f>
        <v/>
      </c>
    </row>
    <row r="840" spans="1:10" x14ac:dyDescent="0.2">
      <c r="A840" s="155" t="str">
        <f>Collection!A123</f>
        <v>2083/03/25</v>
      </c>
      <c r="B840" s="176" t="str">
        <f>Collection!C123</f>
        <v>GIRI KIRANA</v>
      </c>
      <c r="C840" s="156" t="str">
        <f>IF(Collection!E123="Payment","Payment","Collection")</f>
        <v>Collection</v>
      </c>
      <c r="D840" s="156">
        <f>Collection!B123</f>
        <v>3811</v>
      </c>
      <c r="E840" s="156" t="str">
        <f>Collection!I123</f>
        <v>Cash</v>
      </c>
      <c r="F840" s="157">
        <f>IF(Collection!E123="Payment",N(Collection!H123),0)</f>
        <v>0</v>
      </c>
      <c r="G840" s="157">
        <f>IF(Collection!E123="Collection",N(Collection!G123),0)</f>
        <v>1275</v>
      </c>
      <c r="H840" s="157">
        <f t="shared" si="13"/>
        <v>-1275</v>
      </c>
      <c r="I840" s="151"/>
      <c r="J840" t="str">
        <f>IF($B840="","",IF(AND($B840=Party_Statement!$B$5,$A840&gt;=Party_Statement!$B$6,$A840&lt;=Party_Statement!$D$6),SUMPRODUCT(($B$3:$B840=Party_Statement!$B$5)*($A$3:$A840&gt;=Party_Statement!$B$6)*($A$3:$A840&lt;=Party_Statement!$D$6)),""))</f>
        <v/>
      </c>
    </row>
    <row r="841" spans="1:10" x14ac:dyDescent="0.2">
      <c r="A841" s="155" t="str">
        <f>Collection!A124</f>
        <v>2083/03/25</v>
      </c>
      <c r="B841" s="176" t="str">
        <f>Collection!C124</f>
        <v>DEURALI KIRANA</v>
      </c>
      <c r="C841" s="156" t="str">
        <f>IF(Collection!E124="Payment","Payment","Collection")</f>
        <v>Collection</v>
      </c>
      <c r="D841" s="156">
        <f>Collection!B124</f>
        <v>3812</v>
      </c>
      <c r="E841" s="156" t="str">
        <f>Collection!I124</f>
        <v>Cash</v>
      </c>
      <c r="F841" s="157">
        <f>IF(Collection!E124="Payment",N(Collection!H124),0)</f>
        <v>0</v>
      </c>
      <c r="G841" s="157">
        <f>IF(Collection!E124="Collection",N(Collection!G124),0)</f>
        <v>425</v>
      </c>
      <c r="H841" s="157">
        <f t="shared" si="13"/>
        <v>-425</v>
      </c>
      <c r="I841" s="151"/>
      <c r="J841" t="str">
        <f>IF($B841="","",IF(AND($B841=Party_Statement!$B$5,$A841&gt;=Party_Statement!$B$6,$A841&lt;=Party_Statement!$D$6),SUMPRODUCT(($B$3:$B841=Party_Statement!$B$5)*($A$3:$A841&gt;=Party_Statement!$B$6)*($A$3:$A841&lt;=Party_Statement!$D$6)),""))</f>
        <v/>
      </c>
    </row>
    <row r="842" spans="1:10" x14ac:dyDescent="0.2">
      <c r="A842" s="155" t="str">
        <f>Collection!A125</f>
        <v>2083/03/25</v>
      </c>
      <c r="B842" s="176" t="str">
        <f>Collection!C125</f>
        <v>AAMOSH KIRANA</v>
      </c>
      <c r="C842" s="156" t="str">
        <f>IF(Collection!E125="Payment","Payment","Collection")</f>
        <v>Collection</v>
      </c>
      <c r="D842" s="156">
        <f>Collection!B125</f>
        <v>3813</v>
      </c>
      <c r="E842" s="156" t="str">
        <f>Collection!I125</f>
        <v>Cash</v>
      </c>
      <c r="F842" s="157">
        <f>IF(Collection!E125="Payment",N(Collection!H125),0)</f>
        <v>0</v>
      </c>
      <c r="G842" s="157">
        <f>IF(Collection!E125="Collection",N(Collection!G125),0)</f>
        <v>9250</v>
      </c>
      <c r="H842" s="157">
        <f t="shared" si="13"/>
        <v>-9250</v>
      </c>
      <c r="I842" s="151"/>
      <c r="J842" t="str">
        <f>IF($B842="","",IF(AND($B842=Party_Statement!$B$5,$A842&gt;=Party_Statement!$B$6,$A842&lt;=Party_Statement!$D$6),SUMPRODUCT(($B$3:$B842=Party_Statement!$B$5)*($A$3:$A842&gt;=Party_Statement!$B$6)*($A$3:$A842&lt;=Party_Statement!$D$6)),""))</f>
        <v/>
      </c>
    </row>
    <row r="843" spans="1:10" x14ac:dyDescent="0.2">
      <c r="A843" s="155" t="str">
        <f>Collection!A126</f>
        <v>2083/03/25</v>
      </c>
      <c r="B843" s="176" t="str">
        <f>Collection!C126</f>
        <v>ORGANIC TARKALI</v>
      </c>
      <c r="C843" s="156" t="str">
        <f>IF(Collection!E126="Payment","Payment","Collection")</f>
        <v>Collection</v>
      </c>
      <c r="D843" s="156">
        <f>Collection!B126</f>
        <v>3814</v>
      </c>
      <c r="E843" s="156" t="str">
        <f>Collection!I126</f>
        <v>Cash</v>
      </c>
      <c r="F843" s="157">
        <f>IF(Collection!E126="Payment",N(Collection!H126),0)</f>
        <v>0</v>
      </c>
      <c r="G843" s="157">
        <f>IF(Collection!E126="Collection",N(Collection!G126),0)</f>
        <v>2850</v>
      </c>
      <c r="H843" s="157">
        <f t="shared" si="13"/>
        <v>-2850</v>
      </c>
      <c r="I843" s="151"/>
      <c r="J843" t="str">
        <f>IF($B843="","",IF(AND($B843=Party_Statement!$B$5,$A843&gt;=Party_Statement!$B$6,$A843&lt;=Party_Statement!$D$6),SUMPRODUCT(($B$3:$B843=Party_Statement!$B$5)*($A$3:$A843&gt;=Party_Statement!$B$6)*($A$3:$A843&lt;=Party_Statement!$D$6)),""))</f>
        <v/>
      </c>
    </row>
    <row r="844" spans="1:10" x14ac:dyDescent="0.2">
      <c r="A844" s="155" t="str">
        <f>Collection!A127</f>
        <v>2083/03/25</v>
      </c>
      <c r="B844" s="176" t="str">
        <f>Collection!C127</f>
        <v>NEUPANE KIRANA</v>
      </c>
      <c r="C844" s="156" t="str">
        <f>IF(Collection!E127="Payment","Payment","Collection")</f>
        <v>Collection</v>
      </c>
      <c r="D844" s="156">
        <f>Collection!B127</f>
        <v>3815</v>
      </c>
      <c r="E844" s="156" t="str">
        <f>Collection!I127</f>
        <v>Cash</v>
      </c>
      <c r="F844" s="157">
        <f>IF(Collection!E127="Payment",N(Collection!H127),0)</f>
        <v>0</v>
      </c>
      <c r="G844" s="157">
        <f>IF(Collection!E127="Collection",N(Collection!G127),0)</f>
        <v>180</v>
      </c>
      <c r="H844" s="157">
        <f t="shared" si="13"/>
        <v>-180</v>
      </c>
      <c r="I844" s="151"/>
      <c r="J844" t="str">
        <f>IF($B844="","",IF(AND($B844=Party_Statement!$B$5,$A844&gt;=Party_Statement!$B$6,$A844&lt;=Party_Statement!$D$6),SUMPRODUCT(($B$3:$B844=Party_Statement!$B$5)*($A$3:$A844&gt;=Party_Statement!$B$6)*($A$3:$A844&lt;=Party_Statement!$D$6)),""))</f>
        <v/>
      </c>
    </row>
    <row r="845" spans="1:10" x14ac:dyDescent="0.2">
      <c r="A845" s="155" t="str">
        <f>Collection!A128</f>
        <v>2083/03/25</v>
      </c>
      <c r="B845" s="176" t="str">
        <f>Collection!C128</f>
        <v>BIKRAM DHUNGANA</v>
      </c>
      <c r="C845" s="156" t="str">
        <f>IF(Collection!E128="Payment","Payment","Collection")</f>
        <v>Collection</v>
      </c>
      <c r="D845" s="156">
        <f>Collection!B128</f>
        <v>3816</v>
      </c>
      <c r="E845" s="156" t="str">
        <f>Collection!I128</f>
        <v>Cash</v>
      </c>
      <c r="F845" s="157">
        <f>IF(Collection!E128="Payment",N(Collection!H128),0)</f>
        <v>0</v>
      </c>
      <c r="G845" s="157">
        <f>IF(Collection!E128="Collection",N(Collection!G128),0)</f>
        <v>2200</v>
      </c>
      <c r="H845" s="157">
        <f t="shared" si="13"/>
        <v>-2200</v>
      </c>
      <c r="I845" s="151"/>
      <c r="J845" t="str">
        <f>IF($B845="","",IF(AND($B845=Party_Statement!$B$5,$A845&gt;=Party_Statement!$B$6,$A845&lt;=Party_Statement!$D$6),SUMPRODUCT(($B$3:$B845=Party_Statement!$B$5)*($A$3:$A845&gt;=Party_Statement!$B$6)*($A$3:$A845&lt;=Party_Statement!$D$6)),""))</f>
        <v/>
      </c>
    </row>
    <row r="846" spans="1:10" x14ac:dyDescent="0.2">
      <c r="A846" s="155" t="str">
        <f>Collection!A130</f>
        <v>2083/03/25</v>
      </c>
      <c r="B846" s="176" t="str">
        <f>Collection!C130</f>
        <v>LOCAL</v>
      </c>
      <c r="C846" s="156" t="str">
        <f>IF(Collection!E130="Payment","Payment","Collection")</f>
        <v>Collection</v>
      </c>
      <c r="D846" s="156">
        <f>Collection!B130</f>
        <v>0</v>
      </c>
      <c r="E846" s="156" t="str">
        <f>Collection!I130</f>
        <v>Cash</v>
      </c>
      <c r="F846" s="157">
        <f>IF(Collection!E130="Payment",N(Collection!H130),0)</f>
        <v>0</v>
      </c>
      <c r="G846" s="157">
        <f>IF(Collection!E130="Collection",N(Collection!G130),0)</f>
        <v>250</v>
      </c>
      <c r="H846" s="157">
        <f t="shared" si="13"/>
        <v>-250</v>
      </c>
      <c r="I846" s="151"/>
      <c r="J846" t="str">
        <f>IF($B846="","",IF(AND($B846=Party_Statement!$B$5,$A846&gt;=Party_Statement!$B$6,$A846&lt;=Party_Statement!$D$6),SUMPRODUCT(($B$3:$B846=Party_Statement!$B$5)*($A$3:$A846&gt;=Party_Statement!$B$6)*($A$3:$A846&lt;=Party_Statement!$D$6)),""))</f>
        <v/>
      </c>
    </row>
    <row r="847" spans="1:10" x14ac:dyDescent="0.2">
      <c r="A847" s="155" t="str">
        <f>Collection!A131</f>
        <v>2083/03/26</v>
      </c>
      <c r="B847" s="176" t="str">
        <f>Collection!C131</f>
        <v>SRIJANA DAIRY</v>
      </c>
      <c r="C847" s="156" t="str">
        <f>IF(Collection!E131="Payment","Payment","Collection")</f>
        <v>Collection</v>
      </c>
      <c r="D847" s="156">
        <f>Collection!B131</f>
        <v>3817</v>
      </c>
      <c r="E847" s="156" t="str">
        <f>Collection!I131</f>
        <v>Cash</v>
      </c>
      <c r="F847" s="157">
        <f>IF(Collection!E131="Payment",N(Collection!H131),0)</f>
        <v>0</v>
      </c>
      <c r="G847" s="157">
        <f>IF(Collection!E131="Collection",N(Collection!G131),0)</f>
        <v>5180</v>
      </c>
      <c r="H847" s="157">
        <f t="shared" si="13"/>
        <v>-5180</v>
      </c>
      <c r="I847" s="151"/>
      <c r="J847" t="str">
        <f>IF($B847="","",IF(AND($B847=Party_Statement!$B$5,$A847&gt;=Party_Statement!$B$6,$A847&lt;=Party_Statement!$D$6),SUMPRODUCT(($B$3:$B847=Party_Statement!$B$5)*($A$3:$A847&gt;=Party_Statement!$B$6)*($A$3:$A847&lt;=Party_Statement!$D$6)),""))</f>
        <v/>
      </c>
    </row>
    <row r="848" spans="1:10" x14ac:dyDescent="0.2">
      <c r="A848" s="155" t="str">
        <f>Collection!A132</f>
        <v>2083/03/26</v>
      </c>
      <c r="B848" s="176" t="str">
        <f>Collection!C132</f>
        <v>SOBHA BHATTARAI</v>
      </c>
      <c r="C848" s="156" t="str">
        <f>IF(Collection!E132="Payment","Payment","Collection")</f>
        <v>Collection</v>
      </c>
      <c r="D848" s="156">
        <f>Collection!B132</f>
        <v>3818</v>
      </c>
      <c r="E848" s="156" t="str">
        <f>Collection!I132</f>
        <v>Cash</v>
      </c>
      <c r="F848" s="157">
        <f>IF(Collection!E132="Payment",N(Collection!H132),0)</f>
        <v>0</v>
      </c>
      <c r="G848" s="157">
        <f>IF(Collection!E132="Collection",N(Collection!G132),0)</f>
        <v>2550</v>
      </c>
      <c r="H848" s="157">
        <f t="shared" si="13"/>
        <v>-2550</v>
      </c>
      <c r="I848" s="151"/>
      <c r="J848" t="str">
        <f>IF($B848="","",IF(AND($B848=Party_Statement!$B$5,$A848&gt;=Party_Statement!$B$6,$A848&lt;=Party_Statement!$D$6),SUMPRODUCT(($B$3:$B848=Party_Statement!$B$5)*($A$3:$A848&gt;=Party_Statement!$B$6)*($A$3:$A848&lt;=Party_Statement!$D$6)),""))</f>
        <v/>
      </c>
    </row>
    <row r="849" spans="1:10" x14ac:dyDescent="0.2">
      <c r="A849" s="155" t="str">
        <f>Collection!A133</f>
        <v>2083/03/26</v>
      </c>
      <c r="B849" s="176" t="str">
        <f>Collection!C133</f>
        <v>PALPALI KIRANA</v>
      </c>
      <c r="C849" s="156" t="str">
        <f>IF(Collection!E133="Payment","Payment","Collection")</f>
        <v>Collection</v>
      </c>
      <c r="D849" s="156">
        <f>Collection!B133</f>
        <v>3819</v>
      </c>
      <c r="E849" s="156" t="str">
        <f>Collection!I133</f>
        <v>Cash</v>
      </c>
      <c r="F849" s="157">
        <f>IF(Collection!E133="Payment",N(Collection!H133),0)</f>
        <v>0</v>
      </c>
      <c r="G849" s="157">
        <f>IF(Collection!E133="Collection",N(Collection!G133),0)</f>
        <v>1700</v>
      </c>
      <c r="H849" s="157">
        <f t="shared" si="13"/>
        <v>-1700</v>
      </c>
      <c r="I849" s="151"/>
      <c r="J849" t="str">
        <f>IF($B849="","",IF(AND($B849=Party_Statement!$B$5,$A849&gt;=Party_Statement!$B$6,$A849&lt;=Party_Statement!$D$6),SUMPRODUCT(($B$3:$B849=Party_Statement!$B$5)*($A$3:$A849&gt;=Party_Statement!$B$6)*($A$3:$A849&lt;=Party_Statement!$D$6)),""))</f>
        <v/>
      </c>
    </row>
    <row r="850" spans="1:10" x14ac:dyDescent="0.2">
      <c r="A850" s="155" t="str">
        <f>Collection!A134</f>
        <v>2083/03/26</v>
      </c>
      <c r="B850" s="176" t="str">
        <f>Collection!C134</f>
        <v>AAMOSH KIRANA</v>
      </c>
      <c r="C850" s="156" t="str">
        <f>IF(Collection!E134="Payment","Payment","Collection")</f>
        <v>Collection</v>
      </c>
      <c r="D850" s="156">
        <f>Collection!B134</f>
        <v>3820</v>
      </c>
      <c r="E850" s="156" t="str">
        <f>Collection!I134</f>
        <v>Cash</v>
      </c>
      <c r="F850" s="157">
        <f>IF(Collection!E134="Payment",N(Collection!H134),0)</f>
        <v>0</v>
      </c>
      <c r="G850" s="157">
        <f>IF(Collection!E134="Collection",N(Collection!G134),0)</f>
        <v>3500</v>
      </c>
      <c r="H850" s="157">
        <f t="shared" si="13"/>
        <v>-3500</v>
      </c>
      <c r="I850" s="151"/>
      <c r="J850" t="str">
        <f>IF($B850="","",IF(AND($B850=Party_Statement!$B$5,$A850&gt;=Party_Statement!$B$6,$A850&lt;=Party_Statement!$D$6),SUMPRODUCT(($B$3:$B850=Party_Statement!$B$5)*($A$3:$A850&gt;=Party_Statement!$B$6)*($A$3:$A850&lt;=Party_Statement!$D$6)),""))</f>
        <v/>
      </c>
    </row>
    <row r="851" spans="1:10" x14ac:dyDescent="0.2">
      <c r="A851" s="155" t="str">
        <f>Collection!A135</f>
        <v>2083/03/26</v>
      </c>
      <c r="B851" s="176" t="str">
        <f>Collection!C135</f>
        <v>DEURALI KIRANA</v>
      </c>
      <c r="C851" s="156" t="str">
        <f>IF(Collection!E135="Payment","Payment","Collection")</f>
        <v>Collection</v>
      </c>
      <c r="D851" s="156">
        <f>Collection!B135</f>
        <v>3821</v>
      </c>
      <c r="E851" s="156" t="str">
        <f>Collection!I135</f>
        <v>Cash</v>
      </c>
      <c r="F851" s="157">
        <f>IF(Collection!E135="Payment",N(Collection!H135),0)</f>
        <v>0</v>
      </c>
      <c r="G851" s="157">
        <f>IF(Collection!E135="Collection",N(Collection!G135),0)</f>
        <v>425</v>
      </c>
      <c r="H851" s="157">
        <f t="shared" si="13"/>
        <v>-425</v>
      </c>
      <c r="I851" s="151"/>
      <c r="J851" t="str">
        <f>IF($B851="","",IF(AND($B851=Party_Statement!$B$5,$A851&gt;=Party_Statement!$B$6,$A851&lt;=Party_Statement!$D$6),SUMPRODUCT(($B$3:$B851=Party_Statement!$B$5)*($A$3:$A851&gt;=Party_Statement!$B$6)*($A$3:$A851&lt;=Party_Statement!$D$6)),""))</f>
        <v/>
      </c>
    </row>
    <row r="852" spans="1:10" x14ac:dyDescent="0.2">
      <c r="A852" s="155" t="str">
        <f>Collection!A136</f>
        <v>2083/03/26</v>
      </c>
      <c r="B852" s="176" t="str">
        <f>Collection!C136</f>
        <v>GIRI KIRANA</v>
      </c>
      <c r="C852" s="156" t="str">
        <f>IF(Collection!E136="Payment","Payment","Collection")</f>
        <v>Collection</v>
      </c>
      <c r="D852" s="156">
        <f>Collection!B136</f>
        <v>3822</v>
      </c>
      <c r="E852" s="156" t="str">
        <f>Collection!I136</f>
        <v>Cash</v>
      </c>
      <c r="F852" s="157">
        <f>IF(Collection!E136="Payment",N(Collection!H136),0)</f>
        <v>0</v>
      </c>
      <c r="G852" s="157">
        <f>IF(Collection!E136="Collection",N(Collection!G136),0)</f>
        <v>1275</v>
      </c>
      <c r="H852" s="157">
        <f t="shared" si="13"/>
        <v>-1275</v>
      </c>
      <c r="I852" s="151"/>
      <c r="J852" t="str">
        <f>IF($B852="","",IF(AND($B852=Party_Statement!$B$5,$A852&gt;=Party_Statement!$B$6,$A852&lt;=Party_Statement!$D$6),SUMPRODUCT(($B$3:$B852=Party_Statement!$B$5)*($A$3:$A852&gt;=Party_Statement!$B$6)*($A$3:$A852&lt;=Party_Statement!$D$6)),""))</f>
        <v/>
      </c>
    </row>
    <row r="853" spans="1:10" x14ac:dyDescent="0.2">
      <c r="A853" s="155" t="str">
        <f>Collection!A137</f>
        <v>2083/03/26</v>
      </c>
      <c r="B853" s="176" t="str">
        <f>Collection!C137</f>
        <v>SAMIKSHYA KIRANA</v>
      </c>
      <c r="C853" s="156" t="str">
        <f>IF(Collection!E137="Payment","Payment","Collection")</f>
        <v>Collection</v>
      </c>
      <c r="D853" s="156">
        <f>Collection!B137</f>
        <v>3823</v>
      </c>
      <c r="E853" s="156" t="str">
        <f>Collection!I137</f>
        <v>Cash</v>
      </c>
      <c r="F853" s="157">
        <f>IF(Collection!E137="Payment",N(Collection!H137),0)</f>
        <v>0</v>
      </c>
      <c r="G853" s="157">
        <f>IF(Collection!E137="Collection",N(Collection!G137),0)</f>
        <v>680</v>
      </c>
      <c r="H853" s="157">
        <f t="shared" si="13"/>
        <v>-680</v>
      </c>
      <c r="I853" s="151"/>
      <c r="J853" t="str">
        <f>IF($B853="","",IF(AND($B853=Party_Statement!$B$5,$A853&gt;=Party_Statement!$B$6,$A853&lt;=Party_Statement!$D$6),SUMPRODUCT(($B$3:$B853=Party_Statement!$B$5)*($A$3:$A853&gt;=Party_Statement!$B$6)*($A$3:$A853&lt;=Party_Statement!$D$6)),""))</f>
        <v/>
      </c>
    </row>
    <row r="854" spans="1:10" x14ac:dyDescent="0.2">
      <c r="A854" s="155" t="str">
        <f>Collection!A138</f>
        <v>2083/03/26</v>
      </c>
      <c r="B854" s="176" t="str">
        <f>Collection!C138</f>
        <v>AAYUSH AND AAYUSHMA</v>
      </c>
      <c r="C854" s="156" t="str">
        <f>IF(Collection!E138="Payment","Payment","Collection")</f>
        <v>Collection</v>
      </c>
      <c r="D854" s="156">
        <f>Collection!B138</f>
        <v>3824</v>
      </c>
      <c r="E854" s="156" t="str">
        <f>Collection!I138</f>
        <v>Cash</v>
      </c>
      <c r="F854" s="157">
        <f>IF(Collection!E138="Payment",N(Collection!H138),0)</f>
        <v>0</v>
      </c>
      <c r="G854" s="157">
        <f>IF(Collection!E138="Collection",N(Collection!G138),0)</f>
        <v>425</v>
      </c>
      <c r="H854" s="157">
        <f t="shared" si="13"/>
        <v>-425</v>
      </c>
      <c r="I854" s="151"/>
      <c r="J854" t="str">
        <f>IF($B854="","",IF(AND($B854=Party_Statement!$B$5,$A854&gt;=Party_Statement!$B$6,$A854&lt;=Party_Statement!$D$6),SUMPRODUCT(($B$3:$B854=Party_Statement!$B$5)*($A$3:$A854&gt;=Party_Statement!$B$6)*($A$3:$A854&lt;=Party_Statement!$D$6)),""))</f>
        <v/>
      </c>
    </row>
    <row r="855" spans="1:10" x14ac:dyDescent="0.2">
      <c r="A855" s="155" t="str">
        <f>Collection!A139</f>
        <v>2083/03/26</v>
      </c>
      <c r="B855" s="176" t="str">
        <f>Collection!C139</f>
        <v>YUBARAJ AND SAMRAT</v>
      </c>
      <c r="C855" s="156" t="str">
        <f>IF(Collection!E139="Payment","Payment","Collection")</f>
        <v>Collection</v>
      </c>
      <c r="D855" s="156">
        <f>Collection!B139</f>
        <v>3825</v>
      </c>
      <c r="E855" s="156" t="str">
        <f>Collection!I139</f>
        <v>Cash</v>
      </c>
      <c r="F855" s="157">
        <f>IF(Collection!E139="Payment",N(Collection!H139),0)</f>
        <v>0</v>
      </c>
      <c r="G855" s="157">
        <f>IF(Collection!E139="Collection",N(Collection!G139),0)</f>
        <v>1445</v>
      </c>
      <c r="H855" s="157">
        <f t="shared" si="13"/>
        <v>-1445</v>
      </c>
      <c r="I855" s="151"/>
      <c r="J855" t="str">
        <f>IF($B855="","",IF(AND($B855=Party_Statement!$B$5,$A855&gt;=Party_Statement!$B$6,$A855&lt;=Party_Statement!$D$6),SUMPRODUCT(($B$3:$B855=Party_Statement!$B$5)*($A$3:$A855&gt;=Party_Statement!$B$6)*($A$3:$A855&lt;=Party_Statement!$D$6)),""))</f>
        <v/>
      </c>
    </row>
    <row r="856" spans="1:10" x14ac:dyDescent="0.2">
      <c r="A856" s="155" t="str">
        <f>Collection!A140</f>
        <v>2083/03/26</v>
      </c>
      <c r="B856" s="176" t="str">
        <f>Collection!C140</f>
        <v>ORGANIC TARKALI</v>
      </c>
      <c r="C856" s="156" t="str">
        <f>IF(Collection!E140="Payment","Payment","Collection")</f>
        <v>Collection</v>
      </c>
      <c r="D856" s="156">
        <f>Collection!B140</f>
        <v>3826</v>
      </c>
      <c r="E856" s="156" t="str">
        <f>Collection!I140</f>
        <v>Cash</v>
      </c>
      <c r="F856" s="157">
        <f>IF(Collection!E140="Payment",N(Collection!H140),0)</f>
        <v>0</v>
      </c>
      <c r="G856" s="157">
        <f>IF(Collection!E140="Collection",N(Collection!G140),0)</f>
        <v>2920</v>
      </c>
      <c r="H856" s="157">
        <f t="shared" si="13"/>
        <v>-2920</v>
      </c>
      <c r="I856" s="151"/>
      <c r="J856" t="str">
        <f>IF($B856="","",IF(AND($B856=Party_Statement!$B$5,$A856&gt;=Party_Statement!$B$6,$A856&lt;=Party_Statement!$D$6),SUMPRODUCT(($B$3:$B856=Party_Statement!$B$5)*($A$3:$A856&gt;=Party_Statement!$B$6)*($A$3:$A856&lt;=Party_Statement!$D$6)),""))</f>
        <v/>
      </c>
    </row>
    <row r="857" spans="1:10" x14ac:dyDescent="0.2">
      <c r="A857" s="155" t="str">
        <f>Collection!A141</f>
        <v>2083/03/26</v>
      </c>
      <c r="B857" s="176" t="str">
        <f>Collection!C141</f>
        <v>NEUPANE KIRANA</v>
      </c>
      <c r="C857" s="156" t="str">
        <f>IF(Collection!E141="Payment","Payment","Collection")</f>
        <v>Collection</v>
      </c>
      <c r="D857" s="156">
        <f>Collection!B141</f>
        <v>3827</v>
      </c>
      <c r="E857" s="156" t="str">
        <f>Collection!I141</f>
        <v>Cash</v>
      </c>
      <c r="F857" s="157">
        <f>IF(Collection!E141="Payment",N(Collection!H141),0)</f>
        <v>0</v>
      </c>
      <c r="G857" s="157">
        <f>IF(Collection!E141="Collection",N(Collection!G141),0)</f>
        <v>180</v>
      </c>
      <c r="H857" s="157">
        <f t="shared" si="13"/>
        <v>-180</v>
      </c>
      <c r="I857" s="151"/>
      <c r="J857" t="str">
        <f>IF($B857="","",IF(AND($B857=Party_Statement!$B$5,$A857&gt;=Party_Statement!$B$6,$A857&lt;=Party_Statement!$D$6),SUMPRODUCT(($B$3:$B857=Party_Statement!$B$5)*($A$3:$A857&gt;=Party_Statement!$B$6)*($A$3:$A857&lt;=Party_Statement!$D$6)),""))</f>
        <v/>
      </c>
    </row>
    <row r="858" spans="1:10" x14ac:dyDescent="0.2">
      <c r="A858" s="155" t="str">
        <f>Collection!A142</f>
        <v>2083/03/26</v>
      </c>
      <c r="B858" s="176" t="str">
        <f>Collection!C142</f>
        <v>DANDA MANI ACHARYA</v>
      </c>
      <c r="C858" s="156" t="str">
        <f>IF(Collection!E142="Payment","Payment","Collection")</f>
        <v>Collection</v>
      </c>
      <c r="D858" s="156">
        <f>Collection!B142</f>
        <v>3828</v>
      </c>
      <c r="E858" s="156" t="str">
        <f>Collection!I142</f>
        <v>Cash</v>
      </c>
      <c r="F858" s="157">
        <f>IF(Collection!E142="Payment",N(Collection!H142),0)</f>
        <v>0</v>
      </c>
      <c r="G858" s="157">
        <f>IF(Collection!E142="Collection",N(Collection!G142),0)</f>
        <v>1100</v>
      </c>
      <c r="H858" s="157">
        <f t="shared" si="13"/>
        <v>-1100</v>
      </c>
      <c r="I858" s="151"/>
      <c r="J858" t="str">
        <f>IF($B858="","",IF(AND($B858=Party_Statement!$B$5,$A858&gt;=Party_Statement!$B$6,$A858&lt;=Party_Statement!$D$6),SUMPRODUCT(($B$3:$B858=Party_Statement!$B$5)*($A$3:$A858&gt;=Party_Statement!$B$6)*($A$3:$A858&lt;=Party_Statement!$D$6)),""))</f>
        <v/>
      </c>
    </row>
    <row r="859" spans="1:10" x14ac:dyDescent="0.2">
      <c r="A859" s="155" t="str">
        <f>Collection!A143</f>
        <v>2083/03/26</v>
      </c>
      <c r="B859" s="176" t="str">
        <f>Collection!C143</f>
        <v>DURGA MALLA</v>
      </c>
      <c r="C859" s="156" t="str">
        <f>IF(Collection!E143="Payment","Payment","Collection")</f>
        <v>Collection</v>
      </c>
      <c r="D859" s="156">
        <f>Collection!B143</f>
        <v>3829</v>
      </c>
      <c r="E859" s="156" t="str">
        <f>Collection!I143</f>
        <v>Cash</v>
      </c>
      <c r="F859" s="157">
        <f>IF(Collection!E143="Payment",N(Collection!H143),0)</f>
        <v>0</v>
      </c>
      <c r="G859" s="157">
        <f>IF(Collection!E143="Collection",N(Collection!G143),0)</f>
        <v>16500</v>
      </c>
      <c r="H859" s="157">
        <f t="shared" si="13"/>
        <v>-16500</v>
      </c>
      <c r="I859" s="151"/>
      <c r="J859" t="str">
        <f>IF($B859="","",IF(AND($B859=Party_Statement!$B$5,$A859&gt;=Party_Statement!$B$6,$A859&lt;=Party_Statement!$D$6),SUMPRODUCT(($B$3:$B859=Party_Statement!$B$5)*($A$3:$A859&gt;=Party_Statement!$B$6)*($A$3:$A859&lt;=Party_Statement!$D$6)),""))</f>
        <v/>
      </c>
    </row>
    <row r="860" spans="1:10" x14ac:dyDescent="0.2">
      <c r="A860" s="155" t="str">
        <f>Collection!A145</f>
        <v>2083/03/26</v>
      </c>
      <c r="B860" s="176" t="str">
        <f>Collection!C145</f>
        <v>LOCAL</v>
      </c>
      <c r="C860" s="156" t="str">
        <f>IF(Collection!E145="Payment","Payment","Collection")</f>
        <v>Collection</v>
      </c>
      <c r="D860" s="156">
        <f>Collection!B145</f>
        <v>0</v>
      </c>
      <c r="E860" s="156" t="str">
        <f>Collection!I145</f>
        <v>Cash</v>
      </c>
      <c r="F860" s="157">
        <f>IF(Collection!E145="Payment",N(Collection!H145),0)</f>
        <v>0</v>
      </c>
      <c r="G860" s="157">
        <f>IF(Collection!E145="Collection",N(Collection!G145),0)</f>
        <v>3655</v>
      </c>
      <c r="H860" s="157">
        <f t="shared" si="13"/>
        <v>-3655</v>
      </c>
      <c r="I860" s="151"/>
      <c r="J860" t="str">
        <f>IF($B860="","",IF(AND($B860=Party_Statement!$B$5,$A860&gt;=Party_Statement!$B$6,$A860&lt;=Party_Statement!$D$6),SUMPRODUCT(($B$3:$B860=Party_Statement!$B$5)*($A$3:$A860&gt;=Party_Statement!$B$6)*($A$3:$A860&lt;=Party_Statement!$D$6)),""))</f>
        <v/>
      </c>
    </row>
    <row r="861" spans="1:10" x14ac:dyDescent="0.2">
      <c r="A861" s="155" t="str">
        <f>Collection!A146</f>
        <v>2083/03/27</v>
      </c>
      <c r="B861" s="176" t="str">
        <f>Collection!C146</f>
        <v>SRIJANA DAIRY</v>
      </c>
      <c r="C861" s="156" t="str">
        <f>IF(Collection!E146="Payment","Payment","Collection")</f>
        <v>Collection</v>
      </c>
      <c r="D861" s="156">
        <f>Collection!B146</f>
        <v>3830</v>
      </c>
      <c r="E861" s="156" t="str">
        <f>Collection!I146</f>
        <v>Cash</v>
      </c>
      <c r="F861" s="157">
        <f>IF(Collection!E146="Payment",N(Collection!H146),0)</f>
        <v>0</v>
      </c>
      <c r="G861" s="157">
        <f>IF(Collection!E146="Collection",N(Collection!G146),0)</f>
        <v>5100</v>
      </c>
      <c r="H861" s="157">
        <f t="shared" si="13"/>
        <v>-5100</v>
      </c>
      <c r="I861" s="151"/>
      <c r="J861" t="str">
        <f>IF($B861="","",IF(AND($B861=Party_Statement!$B$5,$A861&gt;=Party_Statement!$B$6,$A861&lt;=Party_Statement!$D$6),SUMPRODUCT(($B$3:$B861=Party_Statement!$B$5)*($A$3:$A861&gt;=Party_Statement!$B$6)*($A$3:$A861&lt;=Party_Statement!$D$6)),""))</f>
        <v/>
      </c>
    </row>
    <row r="862" spans="1:10" x14ac:dyDescent="0.2">
      <c r="A862" s="155" t="str">
        <f>Collection!A147</f>
        <v>2083/03/27</v>
      </c>
      <c r="B862" s="176" t="str">
        <f>Collection!C147</f>
        <v>SOBHA BHATTARAI</v>
      </c>
      <c r="C862" s="156" t="str">
        <f>IF(Collection!E147="Payment","Payment","Collection")</f>
        <v>Collection</v>
      </c>
      <c r="D862" s="156">
        <f>Collection!B147</f>
        <v>3831</v>
      </c>
      <c r="E862" s="156" t="str">
        <f>Collection!I147</f>
        <v>Cash</v>
      </c>
      <c r="F862" s="157">
        <f>IF(Collection!E147="Payment",N(Collection!H147),0)</f>
        <v>0</v>
      </c>
      <c r="G862" s="157">
        <f>IF(Collection!E147="Collection",N(Collection!G147),0)</f>
        <v>2975</v>
      </c>
      <c r="H862" s="157">
        <f t="shared" si="13"/>
        <v>-2975</v>
      </c>
      <c r="I862" s="151"/>
      <c r="J862" t="str">
        <f>IF($B862="","",IF(AND($B862=Party_Statement!$B$5,$A862&gt;=Party_Statement!$B$6,$A862&lt;=Party_Statement!$D$6),SUMPRODUCT(($B$3:$B862=Party_Statement!$B$5)*($A$3:$A862&gt;=Party_Statement!$B$6)*($A$3:$A862&lt;=Party_Statement!$D$6)),""))</f>
        <v/>
      </c>
    </row>
    <row r="863" spans="1:10" x14ac:dyDescent="0.2">
      <c r="A863" s="155" t="str">
        <f>Collection!A148</f>
        <v>2083/03/27</v>
      </c>
      <c r="B863" s="176" t="str">
        <f>Collection!C148</f>
        <v>PALPALI KIRANA</v>
      </c>
      <c r="C863" s="156" t="str">
        <f>IF(Collection!E148="Payment","Payment","Collection")</f>
        <v>Collection</v>
      </c>
      <c r="D863" s="156">
        <f>Collection!B148</f>
        <v>3832</v>
      </c>
      <c r="E863" s="156" t="str">
        <f>Collection!I148</f>
        <v>Cash</v>
      </c>
      <c r="F863" s="157">
        <f>IF(Collection!E148="Payment",N(Collection!H148),0)</f>
        <v>0</v>
      </c>
      <c r="G863" s="157">
        <f>IF(Collection!E148="Collection",N(Collection!G148),0)</f>
        <v>1700</v>
      </c>
      <c r="H863" s="157">
        <f t="shared" si="13"/>
        <v>-1700</v>
      </c>
      <c r="I863" s="151"/>
      <c r="J863" t="str">
        <f>IF($B863="","",IF(AND($B863=Party_Statement!$B$5,$A863&gt;=Party_Statement!$B$6,$A863&lt;=Party_Statement!$D$6),SUMPRODUCT(($B$3:$B863=Party_Statement!$B$5)*($A$3:$A863&gt;=Party_Statement!$B$6)*($A$3:$A863&lt;=Party_Statement!$D$6)),""))</f>
        <v/>
      </c>
    </row>
    <row r="864" spans="1:10" x14ac:dyDescent="0.2">
      <c r="A864" s="155" t="str">
        <f>Collection!A149</f>
        <v>2083/03/27</v>
      </c>
      <c r="B864" s="176" t="str">
        <f>Collection!C149</f>
        <v>AAMOSH KIRANA</v>
      </c>
      <c r="C864" s="156" t="str">
        <f>IF(Collection!E149="Payment","Payment","Collection")</f>
        <v>Collection</v>
      </c>
      <c r="D864" s="156">
        <f>Collection!B149</f>
        <v>3833</v>
      </c>
      <c r="E864" s="156" t="str">
        <f>Collection!I149</f>
        <v>Cash</v>
      </c>
      <c r="F864" s="157">
        <f>IF(Collection!E149="Payment",N(Collection!H149),0)</f>
        <v>0</v>
      </c>
      <c r="G864" s="157">
        <f>IF(Collection!E149="Collection",N(Collection!G149),0)</f>
        <v>10000</v>
      </c>
      <c r="H864" s="157">
        <f t="shared" si="13"/>
        <v>-10000</v>
      </c>
      <c r="I864" s="151"/>
      <c r="J864" t="str">
        <f>IF($B864="","",IF(AND($B864=Party_Statement!$B$5,$A864&gt;=Party_Statement!$B$6,$A864&lt;=Party_Statement!$D$6),SUMPRODUCT(($B$3:$B864=Party_Statement!$B$5)*($A$3:$A864&gt;=Party_Statement!$B$6)*($A$3:$A864&lt;=Party_Statement!$D$6)),""))</f>
        <v/>
      </c>
    </row>
    <row r="865" spans="1:10" x14ac:dyDescent="0.2">
      <c r="A865" s="155" t="str">
        <f>Collection!A150</f>
        <v>2083/03/27</v>
      </c>
      <c r="B865" s="176" t="str">
        <f>Collection!C150</f>
        <v>GIRI KIRANA</v>
      </c>
      <c r="C865" s="156" t="str">
        <f>IF(Collection!E150="Payment","Payment","Collection")</f>
        <v>Collection</v>
      </c>
      <c r="D865" s="156">
        <f>Collection!B150</f>
        <v>3834</v>
      </c>
      <c r="E865" s="156" t="str">
        <f>Collection!I150</f>
        <v>Cash</v>
      </c>
      <c r="F865" s="157">
        <f>IF(Collection!E150="Payment",N(Collection!H150),0)</f>
        <v>0</v>
      </c>
      <c r="G865" s="157">
        <f>IF(Collection!E150="Collection",N(Collection!G150),0)</f>
        <v>1275</v>
      </c>
      <c r="H865" s="157">
        <f t="shared" si="13"/>
        <v>-1275</v>
      </c>
      <c r="I865" s="151"/>
      <c r="J865" t="str">
        <f>IF($B865="","",IF(AND($B865=Party_Statement!$B$5,$A865&gt;=Party_Statement!$B$6,$A865&lt;=Party_Statement!$D$6),SUMPRODUCT(($B$3:$B865=Party_Statement!$B$5)*($A$3:$A865&gt;=Party_Statement!$B$6)*($A$3:$A865&lt;=Party_Statement!$D$6)),""))</f>
        <v/>
      </c>
    </row>
    <row r="866" spans="1:10" x14ac:dyDescent="0.2">
      <c r="A866" s="155" t="str">
        <f>Collection!A151</f>
        <v>2083/03/27</v>
      </c>
      <c r="B866" s="176" t="str">
        <f>Collection!C151</f>
        <v>YUBARAJ AND SAMRAT</v>
      </c>
      <c r="C866" s="156" t="str">
        <f>IF(Collection!E151="Payment","Payment","Collection")</f>
        <v>Collection</v>
      </c>
      <c r="D866" s="156">
        <f>Collection!B151</f>
        <v>3835</v>
      </c>
      <c r="E866" s="156" t="str">
        <f>Collection!I151</f>
        <v>Cash</v>
      </c>
      <c r="F866" s="157">
        <f>IF(Collection!E151="Payment",N(Collection!H151),0)</f>
        <v>0</v>
      </c>
      <c r="G866" s="157">
        <f>IF(Collection!E151="Collection",N(Collection!G151),0)</f>
        <v>1275</v>
      </c>
      <c r="H866" s="157">
        <f t="shared" si="13"/>
        <v>-1275</v>
      </c>
      <c r="I866" s="151"/>
      <c r="J866" t="str">
        <f>IF($B866="","",IF(AND($B866=Party_Statement!$B$5,$A866&gt;=Party_Statement!$B$6,$A866&lt;=Party_Statement!$D$6),SUMPRODUCT(($B$3:$B866=Party_Statement!$B$5)*($A$3:$A866&gt;=Party_Statement!$B$6)*($A$3:$A866&lt;=Party_Statement!$D$6)),""))</f>
        <v/>
      </c>
    </row>
    <row r="867" spans="1:10" x14ac:dyDescent="0.2">
      <c r="A867" s="155" t="str">
        <f>Collection!A152</f>
        <v>2083/03/27</v>
      </c>
      <c r="B867" s="176" t="str">
        <f>Collection!C152</f>
        <v>DEURALI KIRANA</v>
      </c>
      <c r="C867" s="156" t="str">
        <f>IF(Collection!E152="Payment","Payment","Collection")</f>
        <v>Collection</v>
      </c>
      <c r="D867" s="156">
        <f>Collection!B152</f>
        <v>3836</v>
      </c>
      <c r="E867" s="156" t="str">
        <f>Collection!I152</f>
        <v>Cash</v>
      </c>
      <c r="F867" s="157">
        <f>IF(Collection!E152="Payment",N(Collection!H152),0)</f>
        <v>0</v>
      </c>
      <c r="G867" s="157">
        <f>IF(Collection!E152="Collection",N(Collection!G152),0)</f>
        <v>425</v>
      </c>
      <c r="H867" s="157">
        <f t="shared" si="13"/>
        <v>-425</v>
      </c>
      <c r="I867" s="151"/>
      <c r="J867" t="str">
        <f>IF($B867="","",IF(AND($B867=Party_Statement!$B$5,$A867&gt;=Party_Statement!$B$6,$A867&lt;=Party_Statement!$D$6),SUMPRODUCT(($B$3:$B867=Party_Statement!$B$5)*($A$3:$A867&gt;=Party_Statement!$B$6)*($A$3:$A867&lt;=Party_Statement!$D$6)),""))</f>
        <v/>
      </c>
    </row>
    <row r="868" spans="1:10" x14ac:dyDescent="0.2">
      <c r="A868" s="155" t="str">
        <f>Collection!A153</f>
        <v>2083/03/27</v>
      </c>
      <c r="B868" s="176" t="str">
        <f>Collection!C153</f>
        <v>SAMIKSHYA KIRANA</v>
      </c>
      <c r="C868" s="156" t="str">
        <f>IF(Collection!E153="Payment","Payment","Collection")</f>
        <v>Collection</v>
      </c>
      <c r="D868" s="156">
        <f>Collection!B153</f>
        <v>3837</v>
      </c>
      <c r="E868" s="156" t="str">
        <f>Collection!I153</f>
        <v>Cash</v>
      </c>
      <c r="F868" s="157">
        <f>IF(Collection!E153="Payment",N(Collection!H153),0)</f>
        <v>0</v>
      </c>
      <c r="G868" s="157">
        <f>IF(Collection!E153="Collection",N(Collection!G153),0)</f>
        <v>680</v>
      </c>
      <c r="H868" s="157">
        <f t="shared" si="13"/>
        <v>-680</v>
      </c>
      <c r="I868" s="151"/>
      <c r="J868" t="str">
        <f>IF($B868="","",IF(AND($B868=Party_Statement!$B$5,$A868&gt;=Party_Statement!$B$6,$A868&lt;=Party_Statement!$D$6),SUMPRODUCT(($B$3:$B868=Party_Statement!$B$5)*($A$3:$A868&gt;=Party_Statement!$B$6)*($A$3:$A868&lt;=Party_Statement!$D$6)),""))</f>
        <v/>
      </c>
    </row>
    <row r="869" spans="1:10" x14ac:dyDescent="0.2">
      <c r="A869" s="155" t="str">
        <f>Collection!A154</f>
        <v>2083/03/27</v>
      </c>
      <c r="B869" s="176" t="str">
        <f>Collection!C154</f>
        <v>AAYUSH AND AAYUSHMA</v>
      </c>
      <c r="C869" s="156" t="str">
        <f>IF(Collection!E154="Payment","Payment","Collection")</f>
        <v>Collection</v>
      </c>
      <c r="D869" s="156">
        <f>Collection!B154</f>
        <v>3838</v>
      </c>
      <c r="E869" s="156" t="str">
        <f>Collection!I154</f>
        <v>Cash</v>
      </c>
      <c r="F869" s="157">
        <f>IF(Collection!E154="Payment",N(Collection!H154),0)</f>
        <v>0</v>
      </c>
      <c r="G869" s="157">
        <f>IF(Collection!E154="Collection",N(Collection!G154),0)</f>
        <v>425</v>
      </c>
      <c r="H869" s="157">
        <f t="shared" si="13"/>
        <v>-425</v>
      </c>
      <c r="I869" s="151"/>
      <c r="J869" t="str">
        <f>IF($B869="","",IF(AND($B869=Party_Statement!$B$5,$A869&gt;=Party_Statement!$B$6,$A869&lt;=Party_Statement!$D$6),SUMPRODUCT(($B$3:$B869=Party_Statement!$B$5)*($A$3:$A869&gt;=Party_Statement!$B$6)*($A$3:$A869&lt;=Party_Statement!$D$6)),""))</f>
        <v/>
      </c>
    </row>
    <row r="870" spans="1:10" x14ac:dyDescent="0.2">
      <c r="A870" s="155" t="str">
        <f>Collection!A155</f>
        <v>2083/03/27</v>
      </c>
      <c r="B870" s="176" t="str">
        <f>Collection!C155</f>
        <v>ORGANIC TARKALI</v>
      </c>
      <c r="C870" s="156" t="str">
        <f>IF(Collection!E155="Payment","Payment","Collection")</f>
        <v>Collection</v>
      </c>
      <c r="D870" s="156">
        <f>Collection!B155</f>
        <v>3839</v>
      </c>
      <c r="E870" s="156" t="str">
        <f>Collection!I155</f>
        <v>Cash</v>
      </c>
      <c r="F870" s="157">
        <f>IF(Collection!E155="Payment",N(Collection!H155),0)</f>
        <v>0</v>
      </c>
      <c r="G870" s="157">
        <f>IF(Collection!E155="Collection",N(Collection!G155),0)</f>
        <v>3000</v>
      </c>
      <c r="H870" s="157">
        <f t="shared" si="13"/>
        <v>-3000</v>
      </c>
      <c r="I870" s="151"/>
      <c r="J870" t="str">
        <f>IF($B870="","",IF(AND($B870=Party_Statement!$B$5,$A870&gt;=Party_Statement!$B$6,$A870&lt;=Party_Statement!$D$6),SUMPRODUCT(($B$3:$B870=Party_Statement!$B$5)*($A$3:$A870&gt;=Party_Statement!$B$6)*($A$3:$A870&lt;=Party_Statement!$D$6)),""))</f>
        <v/>
      </c>
    </row>
    <row r="871" spans="1:10" x14ac:dyDescent="0.2">
      <c r="A871" s="155" t="str">
        <f>Collection!A156</f>
        <v>2083/03/27</v>
      </c>
      <c r="B871" s="176" t="str">
        <f>Collection!C156</f>
        <v>BHUSAL JANARAJ STORE</v>
      </c>
      <c r="C871" s="156" t="str">
        <f>IF(Collection!E156="Payment","Payment","Collection")</f>
        <v>Collection</v>
      </c>
      <c r="D871" s="156">
        <f>Collection!B156</f>
        <v>3840</v>
      </c>
      <c r="E871" s="156" t="str">
        <f>Collection!I156</f>
        <v>Cash</v>
      </c>
      <c r="F871" s="157">
        <f>IF(Collection!E156="Payment",N(Collection!H156),0)</f>
        <v>0</v>
      </c>
      <c r="G871" s="157">
        <f>IF(Collection!E156="Collection",N(Collection!G156),0)</f>
        <v>430</v>
      </c>
      <c r="H871" s="157">
        <f t="shared" si="13"/>
        <v>-430</v>
      </c>
      <c r="I871" s="151"/>
      <c r="J871" t="str">
        <f>IF($B871="","",IF(AND($B871=Party_Statement!$B$5,$A871&gt;=Party_Statement!$B$6,$A871&lt;=Party_Statement!$D$6),SUMPRODUCT(($B$3:$B871=Party_Statement!$B$5)*($A$3:$A871&gt;=Party_Statement!$B$6)*($A$3:$A871&lt;=Party_Statement!$D$6)),""))</f>
        <v/>
      </c>
    </row>
    <row r="872" spans="1:10" x14ac:dyDescent="0.2">
      <c r="A872" s="155" t="str">
        <f>Collection!A157</f>
        <v>2083/03/27</v>
      </c>
      <c r="B872" s="176" t="str">
        <f>Collection!C157</f>
        <v>NEUPANE KIRANA</v>
      </c>
      <c r="C872" s="156" t="str">
        <f>IF(Collection!E157="Payment","Payment","Collection")</f>
        <v>Collection</v>
      </c>
      <c r="D872" s="156">
        <f>Collection!B157</f>
        <v>3841</v>
      </c>
      <c r="E872" s="156" t="str">
        <f>Collection!I157</f>
        <v>Cash</v>
      </c>
      <c r="F872" s="157">
        <f>IF(Collection!E157="Payment",N(Collection!H157),0)</f>
        <v>0</v>
      </c>
      <c r="G872" s="157">
        <f>IF(Collection!E157="Collection",N(Collection!G157),0)</f>
        <v>180</v>
      </c>
      <c r="H872" s="157">
        <f t="shared" si="13"/>
        <v>-180</v>
      </c>
      <c r="I872" s="151"/>
      <c r="J872" t="str">
        <f>IF($B872="","",IF(AND($B872=Party_Statement!$B$5,$A872&gt;=Party_Statement!$B$6,$A872&lt;=Party_Statement!$D$6),SUMPRODUCT(($B$3:$B872=Party_Statement!$B$5)*($A$3:$A872&gt;=Party_Statement!$B$6)*($A$3:$A872&lt;=Party_Statement!$D$6)),""))</f>
        <v/>
      </c>
    </row>
    <row r="873" spans="1:10" x14ac:dyDescent="0.2">
      <c r="A873" s="155" t="str">
        <f>Collection!A159</f>
        <v>2083/03/27</v>
      </c>
      <c r="B873" s="176" t="str">
        <f>Collection!C159</f>
        <v>LOCAL</v>
      </c>
      <c r="C873" s="156" t="str">
        <f>IF(Collection!E159="Payment","Payment","Collection")</f>
        <v>Collection</v>
      </c>
      <c r="D873" s="156">
        <f>Collection!B159</f>
        <v>6232</v>
      </c>
      <c r="E873" s="156" t="str">
        <f>Collection!I159</f>
        <v>Cash</v>
      </c>
      <c r="F873" s="157">
        <f>IF(Collection!E159="Payment",N(Collection!H159),0)</f>
        <v>0</v>
      </c>
      <c r="G873" s="157">
        <f>IF(Collection!E159="Collection",N(Collection!G159),0)</f>
        <v>505</v>
      </c>
      <c r="H873" s="157">
        <f t="shared" si="13"/>
        <v>-505</v>
      </c>
      <c r="I873" s="151"/>
      <c r="J873" t="str">
        <f>IF($B873="","",IF(AND($B873=Party_Statement!$B$5,$A873&gt;=Party_Statement!$B$6,$A873&lt;=Party_Statement!$D$6),SUMPRODUCT(($B$3:$B873=Party_Statement!$B$5)*($A$3:$A873&gt;=Party_Statement!$B$6)*($A$3:$A873&lt;=Party_Statement!$D$6)),""))</f>
        <v/>
      </c>
    </row>
    <row r="874" spans="1:10" x14ac:dyDescent="0.2">
      <c r="A874" s="155" t="str">
        <f>Collection!A160</f>
        <v>2083/03/28</v>
      </c>
      <c r="B874" s="176" t="str">
        <f>Collection!C160</f>
        <v>AAYUSH AND AAYUSHMA</v>
      </c>
      <c r="C874" s="156" t="str">
        <f>IF(Collection!E160="Payment","Payment","Collection")</f>
        <v>Collection</v>
      </c>
      <c r="D874" s="156">
        <f>Collection!B160</f>
        <v>3842</v>
      </c>
      <c r="E874" s="156" t="str">
        <f>Collection!I160</f>
        <v>Cash</v>
      </c>
      <c r="F874" s="157">
        <f>IF(Collection!E160="Payment",N(Collection!H160),0)</f>
        <v>0</v>
      </c>
      <c r="G874" s="157">
        <f>IF(Collection!E160="Collection",N(Collection!G160),0)</f>
        <v>400</v>
      </c>
      <c r="H874" s="157">
        <f t="shared" si="13"/>
        <v>-400</v>
      </c>
      <c r="I874" s="151"/>
      <c r="J874" t="str">
        <f>IF($B874="","",IF(AND($B874=Party_Statement!$B$5,$A874&gt;=Party_Statement!$B$6,$A874&lt;=Party_Statement!$D$6),SUMPRODUCT(($B$3:$B874=Party_Statement!$B$5)*($A$3:$A874&gt;=Party_Statement!$B$6)*($A$3:$A874&lt;=Party_Statement!$D$6)),""))</f>
        <v/>
      </c>
    </row>
    <row r="875" spans="1:10" x14ac:dyDescent="0.2">
      <c r="A875" s="155" t="str">
        <f>Collection!A161</f>
        <v>2083/03/28</v>
      </c>
      <c r="B875" s="176" t="str">
        <f>Collection!C161</f>
        <v>ORGANIC TARKALI</v>
      </c>
      <c r="C875" s="156" t="str">
        <f>IF(Collection!E161="Payment","Payment","Collection")</f>
        <v>Collection</v>
      </c>
      <c r="D875" s="156">
        <f>Collection!B161</f>
        <v>3843</v>
      </c>
      <c r="E875" s="156" t="str">
        <f>Collection!I161</f>
        <v>Cash</v>
      </c>
      <c r="F875" s="157">
        <f>IF(Collection!E161="Payment",N(Collection!H161),0)</f>
        <v>0</v>
      </c>
      <c r="G875" s="157">
        <f>IF(Collection!E161="Collection",N(Collection!G161),0)</f>
        <v>2850</v>
      </c>
      <c r="H875" s="157">
        <f t="shared" si="13"/>
        <v>-2850</v>
      </c>
      <c r="I875" s="151"/>
      <c r="J875" t="str">
        <f>IF($B875="","",IF(AND($B875=Party_Statement!$B$5,$A875&gt;=Party_Statement!$B$6,$A875&lt;=Party_Statement!$D$6),SUMPRODUCT(($B$3:$B875=Party_Statement!$B$5)*($A$3:$A875&gt;=Party_Statement!$B$6)*($A$3:$A875&lt;=Party_Statement!$D$6)),""))</f>
        <v/>
      </c>
    </row>
    <row r="876" spans="1:10" x14ac:dyDescent="0.2">
      <c r="A876" s="155" t="str">
        <f>Collection!A162</f>
        <v>2083/03/28</v>
      </c>
      <c r="B876" s="176" t="str">
        <f>Collection!C162</f>
        <v>SOBHA BHATTARAI</v>
      </c>
      <c r="C876" s="156" t="str">
        <f>IF(Collection!E162="Payment","Payment","Collection")</f>
        <v>Collection</v>
      </c>
      <c r="D876" s="156">
        <f>Collection!B162</f>
        <v>3844</v>
      </c>
      <c r="E876" s="156" t="str">
        <f>Collection!I162</f>
        <v>Cash</v>
      </c>
      <c r="F876" s="157">
        <f>IF(Collection!E162="Payment",N(Collection!H162),0)</f>
        <v>0</v>
      </c>
      <c r="G876" s="157">
        <f>IF(Collection!E162="Collection",N(Collection!G162),0)</f>
        <v>2975</v>
      </c>
      <c r="H876" s="157">
        <f t="shared" si="13"/>
        <v>-2975</v>
      </c>
      <c r="I876" s="151"/>
      <c r="J876" t="str">
        <f>IF($B876="","",IF(AND($B876=Party_Statement!$B$5,$A876&gt;=Party_Statement!$B$6,$A876&lt;=Party_Statement!$D$6),SUMPRODUCT(($B$3:$B876=Party_Statement!$B$5)*($A$3:$A876&gt;=Party_Statement!$B$6)*($A$3:$A876&lt;=Party_Statement!$D$6)),""))</f>
        <v/>
      </c>
    </row>
    <row r="877" spans="1:10" x14ac:dyDescent="0.2">
      <c r="A877" s="155" t="str">
        <f>Collection!A163</f>
        <v>2083/03/28</v>
      </c>
      <c r="B877" s="176" t="str">
        <f>Collection!C163</f>
        <v>SAMIKSHYA KIRANA</v>
      </c>
      <c r="C877" s="156" t="str">
        <f>IF(Collection!E163="Payment","Payment","Collection")</f>
        <v>Collection</v>
      </c>
      <c r="D877" s="156">
        <f>Collection!B163</f>
        <v>3845</v>
      </c>
      <c r="E877" s="156" t="str">
        <f>Collection!I163</f>
        <v>Cash</v>
      </c>
      <c r="F877" s="157">
        <f>IF(Collection!E163="Payment",N(Collection!H163),0)</f>
        <v>0</v>
      </c>
      <c r="G877" s="157">
        <f>IF(Collection!E163="Collection",N(Collection!G163),0)</f>
        <v>680</v>
      </c>
      <c r="H877" s="157">
        <f t="shared" si="13"/>
        <v>-680</v>
      </c>
      <c r="I877" s="151"/>
      <c r="J877" t="str">
        <f>IF($B877="","",IF(AND($B877=Party_Statement!$B$5,$A877&gt;=Party_Statement!$B$6,$A877&lt;=Party_Statement!$D$6),SUMPRODUCT(($B$3:$B877=Party_Statement!$B$5)*($A$3:$A877&gt;=Party_Statement!$B$6)*($A$3:$A877&lt;=Party_Statement!$D$6)),""))</f>
        <v/>
      </c>
    </row>
    <row r="878" spans="1:10" x14ac:dyDescent="0.2">
      <c r="A878" s="155" t="str">
        <f>Collection!A164</f>
        <v>2083/03/28</v>
      </c>
      <c r="B878" s="176" t="str">
        <f>Collection!C164</f>
        <v>PALPALI KIRANA</v>
      </c>
      <c r="C878" s="156" t="str">
        <f>IF(Collection!E164="Payment","Payment","Collection")</f>
        <v>Collection</v>
      </c>
      <c r="D878" s="156">
        <f>Collection!B164</f>
        <v>3846</v>
      </c>
      <c r="E878" s="156" t="str">
        <f>Collection!I164</f>
        <v>Cash</v>
      </c>
      <c r="F878" s="157">
        <f>IF(Collection!E164="Payment",N(Collection!H164),0)</f>
        <v>0</v>
      </c>
      <c r="G878" s="157">
        <f>IF(Collection!E164="Collection",N(Collection!G164),0)</f>
        <v>2975</v>
      </c>
      <c r="H878" s="157">
        <f t="shared" si="13"/>
        <v>-2975</v>
      </c>
      <c r="I878" s="151"/>
      <c r="J878" t="str">
        <f>IF($B878="","",IF(AND($B878=Party_Statement!$B$5,$A878&gt;=Party_Statement!$B$6,$A878&lt;=Party_Statement!$D$6),SUMPRODUCT(($B$3:$B878=Party_Statement!$B$5)*($A$3:$A878&gt;=Party_Statement!$B$6)*($A$3:$A878&lt;=Party_Statement!$D$6)),""))</f>
        <v/>
      </c>
    </row>
    <row r="879" spans="1:10" x14ac:dyDescent="0.2">
      <c r="A879" s="155" t="str">
        <f>Collection!A165</f>
        <v>2083/03/28</v>
      </c>
      <c r="B879" s="176" t="str">
        <f>Collection!C165</f>
        <v>GIRI KIRANA</v>
      </c>
      <c r="C879" s="156" t="str">
        <f>IF(Collection!E165="Payment","Payment","Collection")</f>
        <v>Collection</v>
      </c>
      <c r="D879" s="156">
        <f>Collection!B165</f>
        <v>3847</v>
      </c>
      <c r="E879" s="156" t="str">
        <f>Collection!I165</f>
        <v>Cash</v>
      </c>
      <c r="F879" s="157">
        <f>IF(Collection!E165="Payment",N(Collection!H165),0)</f>
        <v>0</v>
      </c>
      <c r="G879" s="157">
        <f>IF(Collection!E165="Collection",N(Collection!G165),0)</f>
        <v>1275</v>
      </c>
      <c r="H879" s="157">
        <f t="shared" si="13"/>
        <v>-1275</v>
      </c>
      <c r="I879" s="151"/>
      <c r="J879" t="str">
        <f>IF($B879="","",IF(AND($B879=Party_Statement!$B$5,$A879&gt;=Party_Statement!$B$6,$A879&lt;=Party_Statement!$D$6),SUMPRODUCT(($B$3:$B879=Party_Statement!$B$5)*($A$3:$A879&gt;=Party_Statement!$B$6)*($A$3:$A879&lt;=Party_Statement!$D$6)),""))</f>
        <v/>
      </c>
    </row>
    <row r="880" spans="1:10" x14ac:dyDescent="0.2">
      <c r="A880" s="155" t="str">
        <f>Collection!A166</f>
        <v>2083/03/28</v>
      </c>
      <c r="B880" s="176" t="str">
        <f>Collection!C166</f>
        <v>DEURALI KIRANA</v>
      </c>
      <c r="C880" s="156" t="str">
        <f>IF(Collection!E166="Payment","Payment","Collection")</f>
        <v>Collection</v>
      </c>
      <c r="D880" s="156">
        <f>Collection!B166</f>
        <v>3848</v>
      </c>
      <c r="E880" s="156" t="str">
        <f>Collection!I166</f>
        <v>Cash</v>
      </c>
      <c r="F880" s="157">
        <f>IF(Collection!E166="Payment",N(Collection!H166),0)</f>
        <v>0</v>
      </c>
      <c r="G880" s="157">
        <f>IF(Collection!E166="Collection",N(Collection!G166),0)</f>
        <v>425</v>
      </c>
      <c r="H880" s="157">
        <f t="shared" si="13"/>
        <v>-425</v>
      </c>
      <c r="I880" s="151"/>
      <c r="J880" t="str">
        <f>IF($B880="","",IF(AND($B880=Party_Statement!$B$5,$A880&gt;=Party_Statement!$B$6,$A880&lt;=Party_Statement!$D$6),SUMPRODUCT(($B$3:$B880=Party_Statement!$B$5)*($A$3:$A880&gt;=Party_Statement!$B$6)*($A$3:$A880&lt;=Party_Statement!$D$6)),""))</f>
        <v/>
      </c>
    </row>
    <row r="881" spans="1:10" x14ac:dyDescent="0.2">
      <c r="A881" s="155" t="str">
        <f>Collection!A167</f>
        <v>2083/03/28</v>
      </c>
      <c r="B881" s="176" t="str">
        <f>Collection!C167</f>
        <v>AAMOSH KIRANA</v>
      </c>
      <c r="C881" s="156" t="str">
        <f>IF(Collection!E167="Payment","Payment","Collection")</f>
        <v>Collection</v>
      </c>
      <c r="D881" s="156">
        <f>Collection!B167</f>
        <v>3849</v>
      </c>
      <c r="E881" s="156" t="str">
        <f>Collection!I167</f>
        <v>Cash</v>
      </c>
      <c r="F881" s="157">
        <f>IF(Collection!E167="Payment",N(Collection!H167),0)</f>
        <v>0</v>
      </c>
      <c r="G881" s="157">
        <f>IF(Collection!E167="Collection",N(Collection!G167),0)</f>
        <v>7500</v>
      </c>
      <c r="H881" s="157">
        <f t="shared" si="13"/>
        <v>-7500</v>
      </c>
      <c r="I881" s="151"/>
      <c r="J881" t="str">
        <f>IF($B881="","",IF(AND($B881=Party_Statement!$B$5,$A881&gt;=Party_Statement!$B$6,$A881&lt;=Party_Statement!$D$6),SUMPRODUCT(($B$3:$B881=Party_Statement!$B$5)*($A$3:$A881&gt;=Party_Statement!$B$6)*($A$3:$A881&lt;=Party_Statement!$D$6)),""))</f>
        <v/>
      </c>
    </row>
    <row r="882" spans="1:10" x14ac:dyDescent="0.2">
      <c r="A882" s="155" t="str">
        <f>Collection!A168</f>
        <v>2083/03/28</v>
      </c>
      <c r="B882" s="176" t="str">
        <f>Collection!C168</f>
        <v>NEUPANE KIRANA</v>
      </c>
      <c r="C882" s="156" t="str">
        <f>IF(Collection!E168="Payment","Payment","Collection")</f>
        <v>Collection</v>
      </c>
      <c r="D882" s="156">
        <f>Collection!B168</f>
        <v>3850</v>
      </c>
      <c r="E882" s="156" t="str">
        <f>Collection!I168</f>
        <v>Cash</v>
      </c>
      <c r="F882" s="157">
        <f>IF(Collection!E168="Payment",N(Collection!H168),0)</f>
        <v>0</v>
      </c>
      <c r="G882" s="157">
        <f>IF(Collection!E168="Collection",N(Collection!G168),0)</f>
        <v>180</v>
      </c>
      <c r="H882" s="157">
        <f t="shared" si="13"/>
        <v>-180</v>
      </c>
      <c r="I882" s="151"/>
      <c r="J882" t="str">
        <f>IF($B882="","",IF(AND($B882=Party_Statement!$B$5,$A882&gt;=Party_Statement!$B$6,$A882&lt;=Party_Statement!$D$6),SUMPRODUCT(($B$3:$B882=Party_Statement!$B$5)*($A$3:$A882&gt;=Party_Statement!$B$6)*($A$3:$A882&lt;=Party_Statement!$D$6)),""))</f>
        <v/>
      </c>
    </row>
    <row r="883" spans="1:10" x14ac:dyDescent="0.2">
      <c r="A883" s="155" t="str">
        <f>Collection!A170</f>
        <v>2083/03/28</v>
      </c>
      <c r="B883" s="176" t="str">
        <f>Collection!C170</f>
        <v>LOCAL</v>
      </c>
      <c r="C883" s="156" t="str">
        <f>IF(Collection!E170="Payment","Payment","Collection")</f>
        <v>Collection</v>
      </c>
      <c r="D883" s="156">
        <f>Collection!B170</f>
        <v>6246</v>
      </c>
      <c r="E883" s="156" t="str">
        <f>Collection!I170</f>
        <v>Cash</v>
      </c>
      <c r="F883" s="157">
        <f>IF(Collection!E170="Payment",N(Collection!H170),0)</f>
        <v>0</v>
      </c>
      <c r="G883" s="157">
        <f>IF(Collection!E170="Collection",N(Collection!G170),0)</f>
        <v>350</v>
      </c>
      <c r="H883" s="157">
        <f t="shared" si="13"/>
        <v>-350</v>
      </c>
      <c r="I883" s="151"/>
      <c r="J883" t="str">
        <f>IF($B883="","",IF(AND($B883=Party_Statement!$B$5,$A883&gt;=Party_Statement!$B$6,$A883&lt;=Party_Statement!$D$6),SUMPRODUCT(($B$3:$B883=Party_Statement!$B$5)*($A$3:$A883&gt;=Party_Statement!$B$6)*($A$3:$A883&lt;=Party_Statement!$D$6)),""))</f>
        <v/>
      </c>
    </row>
    <row r="884" spans="1:10" x14ac:dyDescent="0.2">
      <c r="A884" s="155" t="str">
        <f>Collection!A171</f>
        <v>2083/03/29</v>
      </c>
      <c r="B884" s="176" t="str">
        <f>Collection!C171</f>
        <v>SRIJANA DAIRY</v>
      </c>
      <c r="C884" s="156" t="str">
        <f>IF(Collection!E171="Payment","Payment","Collection")</f>
        <v>Collection</v>
      </c>
      <c r="D884" s="156">
        <f>Collection!B171</f>
        <v>3851</v>
      </c>
      <c r="E884" s="156" t="str">
        <f>Collection!I171</f>
        <v>Cash</v>
      </c>
      <c r="F884" s="157">
        <f>IF(Collection!E171="Payment",N(Collection!H171),0)</f>
        <v>0</v>
      </c>
      <c r="G884" s="157">
        <f>IF(Collection!E171="Collection",N(Collection!G171),0)</f>
        <v>5180</v>
      </c>
      <c r="H884" s="157">
        <f t="shared" si="13"/>
        <v>-5180</v>
      </c>
      <c r="I884" s="151"/>
      <c r="J884" t="str">
        <f>IF($B884="","",IF(AND($B884=Party_Statement!$B$5,$A884&gt;=Party_Statement!$B$6,$A884&lt;=Party_Statement!$D$6),SUMPRODUCT(($B$3:$B884=Party_Statement!$B$5)*($A$3:$A884&gt;=Party_Statement!$B$6)*($A$3:$A884&lt;=Party_Statement!$D$6)),""))</f>
        <v/>
      </c>
    </row>
    <row r="885" spans="1:10" x14ac:dyDescent="0.2">
      <c r="A885" s="155" t="str">
        <f>Collection!A172</f>
        <v>2083/03/29</v>
      </c>
      <c r="B885" s="176" t="str">
        <f>Collection!C172</f>
        <v>SOBHA BHATTARAI</v>
      </c>
      <c r="C885" s="156" t="str">
        <f>IF(Collection!E172="Payment","Payment","Collection")</f>
        <v>Collection</v>
      </c>
      <c r="D885" s="156">
        <f>Collection!B172</f>
        <v>3852</v>
      </c>
      <c r="E885" s="156" t="str">
        <f>Collection!I172</f>
        <v>Cash</v>
      </c>
      <c r="F885" s="157">
        <f>IF(Collection!E172="Payment",N(Collection!H172),0)</f>
        <v>0</v>
      </c>
      <c r="G885" s="157">
        <f>IF(Collection!E172="Collection",N(Collection!G172),0)</f>
        <v>2550</v>
      </c>
      <c r="H885" s="157">
        <f t="shared" si="13"/>
        <v>-2550</v>
      </c>
      <c r="I885" s="151"/>
      <c r="J885" t="str">
        <f>IF($B885="","",IF(AND($B885=Party_Statement!$B$5,$A885&gt;=Party_Statement!$B$6,$A885&lt;=Party_Statement!$D$6),SUMPRODUCT(($B$3:$B885=Party_Statement!$B$5)*($A$3:$A885&gt;=Party_Statement!$B$6)*($A$3:$A885&lt;=Party_Statement!$D$6)),""))</f>
        <v/>
      </c>
    </row>
    <row r="886" spans="1:10" x14ac:dyDescent="0.2">
      <c r="A886" s="155" t="str">
        <f>Collection!A173</f>
        <v>2083/03/29</v>
      </c>
      <c r="B886" s="176" t="str">
        <f>Collection!C173</f>
        <v>YUBARAJ AND SAMRAT</v>
      </c>
      <c r="C886" s="156" t="str">
        <f>IF(Collection!E173="Payment","Payment","Collection")</f>
        <v>Collection</v>
      </c>
      <c r="D886" s="156">
        <f>Collection!B173</f>
        <v>3853</v>
      </c>
      <c r="E886" s="156" t="str">
        <f>Collection!I173</f>
        <v>Cash</v>
      </c>
      <c r="F886" s="157">
        <f>IF(Collection!E173="Payment",N(Collection!H173),0)</f>
        <v>0</v>
      </c>
      <c r="G886" s="157">
        <f>IF(Collection!E173="Collection",N(Collection!G173),0)</f>
        <v>1020</v>
      </c>
      <c r="H886" s="157">
        <f t="shared" si="13"/>
        <v>-1020</v>
      </c>
      <c r="I886" s="151"/>
      <c r="J886" t="str">
        <f>IF($B886="","",IF(AND($B886=Party_Statement!$B$5,$A886&gt;=Party_Statement!$B$6,$A886&lt;=Party_Statement!$D$6),SUMPRODUCT(($B$3:$B886=Party_Statement!$B$5)*($A$3:$A886&gt;=Party_Statement!$B$6)*($A$3:$A886&lt;=Party_Statement!$D$6)),""))</f>
        <v/>
      </c>
    </row>
    <row r="887" spans="1:10" x14ac:dyDescent="0.2">
      <c r="A887" s="155" t="str">
        <f>Collection!A174</f>
        <v>2083/03/29</v>
      </c>
      <c r="B887" s="176" t="str">
        <f>Collection!C174</f>
        <v>SAMIKSHYA KIRANA</v>
      </c>
      <c r="C887" s="156" t="str">
        <f>IF(Collection!E174="Payment","Payment","Collection")</f>
        <v>Collection</v>
      </c>
      <c r="D887" s="156">
        <f>Collection!B174</f>
        <v>3854</v>
      </c>
      <c r="E887" s="156" t="str">
        <f>Collection!I174</f>
        <v>Cash</v>
      </c>
      <c r="F887" s="157">
        <f>IF(Collection!E174="Payment",N(Collection!H174),0)</f>
        <v>0</v>
      </c>
      <c r="G887" s="157">
        <f>IF(Collection!E174="Collection",N(Collection!G174),0)</f>
        <v>680</v>
      </c>
      <c r="H887" s="157">
        <f t="shared" si="13"/>
        <v>-680</v>
      </c>
      <c r="I887" s="151"/>
      <c r="J887" t="str">
        <f>IF($B887="","",IF(AND($B887=Party_Statement!$B$5,$A887&gt;=Party_Statement!$B$6,$A887&lt;=Party_Statement!$D$6),SUMPRODUCT(($B$3:$B887=Party_Statement!$B$5)*($A$3:$A887&gt;=Party_Statement!$B$6)*($A$3:$A887&lt;=Party_Statement!$D$6)),""))</f>
        <v/>
      </c>
    </row>
    <row r="888" spans="1:10" x14ac:dyDescent="0.2">
      <c r="A888" s="155" t="str">
        <f>Collection!A175</f>
        <v>2083/03/29</v>
      </c>
      <c r="B888" s="176" t="str">
        <f>Collection!C175</f>
        <v>PALPALI KIRANA</v>
      </c>
      <c r="C888" s="156" t="str">
        <f>IF(Collection!E175="Payment","Payment","Collection")</f>
        <v>Collection</v>
      </c>
      <c r="D888" s="156">
        <f>Collection!B175</f>
        <v>3855</v>
      </c>
      <c r="E888" s="156" t="str">
        <f>Collection!I175</f>
        <v>Cash</v>
      </c>
      <c r="F888" s="157">
        <f>IF(Collection!E175="Payment",N(Collection!H175),0)</f>
        <v>0</v>
      </c>
      <c r="G888" s="157">
        <f>IF(Collection!E175="Collection",N(Collection!G175),0)</f>
        <v>1700</v>
      </c>
      <c r="H888" s="157">
        <f t="shared" si="13"/>
        <v>-1700</v>
      </c>
      <c r="I888" s="151"/>
      <c r="J888" t="str">
        <f>IF($B888="","",IF(AND($B888=Party_Statement!$B$5,$A888&gt;=Party_Statement!$B$6,$A888&lt;=Party_Statement!$D$6),SUMPRODUCT(($B$3:$B888=Party_Statement!$B$5)*($A$3:$A888&gt;=Party_Statement!$B$6)*($A$3:$A888&lt;=Party_Statement!$D$6)),""))</f>
        <v/>
      </c>
    </row>
    <row r="889" spans="1:10" x14ac:dyDescent="0.2">
      <c r="A889" s="155" t="str">
        <f>Collection!A176</f>
        <v>2083/03/29</v>
      </c>
      <c r="B889" s="176" t="str">
        <f>Collection!C176</f>
        <v>GIRI KIRANA</v>
      </c>
      <c r="C889" s="156" t="str">
        <f>IF(Collection!E176="Payment","Payment","Collection")</f>
        <v>Collection</v>
      </c>
      <c r="D889" s="156">
        <f>Collection!B176</f>
        <v>3856</v>
      </c>
      <c r="E889" s="156" t="str">
        <f>Collection!I176</f>
        <v>Cash</v>
      </c>
      <c r="F889" s="157">
        <f>IF(Collection!E176="Payment",N(Collection!H176),0)</f>
        <v>0</v>
      </c>
      <c r="G889" s="157">
        <f>IF(Collection!E176="Collection",N(Collection!G176),0)</f>
        <v>1275</v>
      </c>
      <c r="H889" s="157">
        <f t="shared" si="13"/>
        <v>-1275</v>
      </c>
      <c r="I889" s="151"/>
      <c r="J889" t="str">
        <f>IF($B889="","",IF(AND($B889=Party_Statement!$B$5,$A889&gt;=Party_Statement!$B$6,$A889&lt;=Party_Statement!$D$6),SUMPRODUCT(($B$3:$B889=Party_Statement!$B$5)*($A$3:$A889&gt;=Party_Statement!$B$6)*($A$3:$A889&lt;=Party_Statement!$D$6)),""))</f>
        <v/>
      </c>
    </row>
    <row r="890" spans="1:10" x14ac:dyDescent="0.2">
      <c r="A890" s="155" t="str">
        <f>Collection!A177</f>
        <v>2083/03/29</v>
      </c>
      <c r="B890" s="176" t="str">
        <f>Collection!C177</f>
        <v>AAMOSH KIRANA</v>
      </c>
      <c r="C890" s="156" t="str">
        <f>IF(Collection!E177="Payment","Payment","Collection")</f>
        <v>Collection</v>
      </c>
      <c r="D890" s="156">
        <f>Collection!B177</f>
        <v>3857</v>
      </c>
      <c r="E890" s="156" t="str">
        <f>Collection!I177</f>
        <v>Cash</v>
      </c>
      <c r="F890" s="157">
        <f>IF(Collection!E177="Payment",N(Collection!H177),0)</f>
        <v>0</v>
      </c>
      <c r="G890" s="157">
        <f>IF(Collection!E177="Collection",N(Collection!G177),0)</f>
        <v>7000</v>
      </c>
      <c r="H890" s="157">
        <f t="shared" si="13"/>
        <v>-7000</v>
      </c>
      <c r="I890" s="151"/>
      <c r="J890" t="str">
        <f>IF($B890="","",IF(AND($B890=Party_Statement!$B$5,$A890&gt;=Party_Statement!$B$6,$A890&lt;=Party_Statement!$D$6),SUMPRODUCT(($B$3:$B890=Party_Statement!$B$5)*($A$3:$A890&gt;=Party_Statement!$B$6)*($A$3:$A890&lt;=Party_Statement!$D$6)),""))</f>
        <v/>
      </c>
    </row>
    <row r="891" spans="1:10" x14ac:dyDescent="0.2">
      <c r="A891" s="155" t="str">
        <f>Collection!A178</f>
        <v>2083/03/29</v>
      </c>
      <c r="B891" s="176" t="str">
        <f>Collection!C178</f>
        <v>ORGANIC TARKALI</v>
      </c>
      <c r="C891" s="156" t="str">
        <f>IF(Collection!E178="Payment","Payment","Collection")</f>
        <v>Collection</v>
      </c>
      <c r="D891" s="156">
        <f>Collection!B178</f>
        <v>3858</v>
      </c>
      <c r="E891" s="156" t="str">
        <f>Collection!I178</f>
        <v>Cash</v>
      </c>
      <c r="F891" s="157">
        <f>IF(Collection!E178="Payment",N(Collection!H178),0)</f>
        <v>0</v>
      </c>
      <c r="G891" s="157">
        <f>IF(Collection!E178="Collection",N(Collection!G178),0)</f>
        <v>3395</v>
      </c>
      <c r="H891" s="157">
        <f t="shared" si="13"/>
        <v>-3395</v>
      </c>
      <c r="I891" s="151"/>
      <c r="J891" t="str">
        <f>IF($B891="","",IF(AND($B891=Party_Statement!$B$5,$A891&gt;=Party_Statement!$B$6,$A891&lt;=Party_Statement!$D$6),SUMPRODUCT(($B$3:$B891=Party_Statement!$B$5)*($A$3:$A891&gt;=Party_Statement!$B$6)*($A$3:$A891&lt;=Party_Statement!$D$6)),""))</f>
        <v/>
      </c>
    </row>
    <row r="892" spans="1:10" x14ac:dyDescent="0.2">
      <c r="A892" s="155" t="str">
        <f>Collection!A179</f>
        <v>2083/03/29</v>
      </c>
      <c r="B892" s="176" t="str">
        <f>Collection!C179</f>
        <v>DEURALI KIRANA</v>
      </c>
      <c r="C892" s="156" t="str">
        <f>IF(Collection!E179="Payment","Payment","Collection")</f>
        <v>Collection</v>
      </c>
      <c r="D892" s="156">
        <f>Collection!B179</f>
        <v>3859</v>
      </c>
      <c r="E892" s="156" t="str">
        <f>Collection!I179</f>
        <v>Cash</v>
      </c>
      <c r="F892" s="157">
        <f>IF(Collection!E179="Payment",N(Collection!H179),0)</f>
        <v>0</v>
      </c>
      <c r="G892" s="157">
        <f>IF(Collection!E179="Collection",N(Collection!G179),0)</f>
        <v>425</v>
      </c>
      <c r="H892" s="157">
        <f t="shared" si="13"/>
        <v>-425</v>
      </c>
      <c r="I892" s="151"/>
      <c r="J892" t="str">
        <f>IF($B892="","",IF(AND($B892=Party_Statement!$B$5,$A892&gt;=Party_Statement!$B$6,$A892&lt;=Party_Statement!$D$6),SUMPRODUCT(($B$3:$B892=Party_Statement!$B$5)*($A$3:$A892&gt;=Party_Statement!$B$6)*($A$3:$A892&lt;=Party_Statement!$D$6)),""))</f>
        <v/>
      </c>
    </row>
    <row r="893" spans="1:10" x14ac:dyDescent="0.2">
      <c r="A893" s="155" t="str">
        <f>Collection!A181</f>
        <v>2083/03/29</v>
      </c>
      <c r="B893" s="176" t="str">
        <f>Collection!C181</f>
        <v>LOCAL</v>
      </c>
      <c r="C893" s="156" t="str">
        <f>IF(Collection!E181="Payment","Payment","Collection")</f>
        <v>Collection</v>
      </c>
      <c r="D893" s="156">
        <f>Collection!B181</f>
        <v>6250</v>
      </c>
      <c r="E893" s="156" t="str">
        <f>Collection!I181</f>
        <v>Cash</v>
      </c>
      <c r="F893" s="157">
        <f>IF(Collection!E181="Payment",N(Collection!H181),0)</f>
        <v>0</v>
      </c>
      <c r="G893" s="157">
        <f>IF(Collection!E181="Collection",N(Collection!G181),0)</f>
        <v>715</v>
      </c>
      <c r="H893" s="157">
        <f t="shared" si="13"/>
        <v>-715</v>
      </c>
      <c r="I893" s="151"/>
      <c r="J893" t="str">
        <f>IF($B893="","",IF(AND($B893=Party_Statement!$B$5,$A893&gt;=Party_Statement!$B$6,$A893&lt;=Party_Statement!$D$6),SUMPRODUCT(($B$3:$B893=Party_Statement!$B$5)*($A$3:$A893&gt;=Party_Statement!$B$6)*($A$3:$A893&lt;=Party_Statement!$D$6)),""))</f>
        <v/>
      </c>
    </row>
    <row r="894" spans="1:10" x14ac:dyDescent="0.2">
      <c r="A894" s="155" t="str">
        <f>Collection!A182</f>
        <v>2083/03/30</v>
      </c>
      <c r="B894" s="176" t="str">
        <f>Collection!C182</f>
        <v>SRIJANA DAIRY</v>
      </c>
      <c r="C894" s="156" t="str">
        <f>IF(Collection!E182="Payment","Payment","Collection")</f>
        <v>Collection</v>
      </c>
      <c r="D894" s="156">
        <f>Collection!B182</f>
        <v>3860</v>
      </c>
      <c r="E894" s="156" t="str">
        <f>Collection!I182</f>
        <v>Cash</v>
      </c>
      <c r="F894" s="157">
        <f>IF(Collection!E182="Payment",N(Collection!H182),0)</f>
        <v>0</v>
      </c>
      <c r="G894" s="157">
        <f>IF(Collection!E182="Collection",N(Collection!G182),0)</f>
        <v>5180</v>
      </c>
      <c r="H894" s="157">
        <f t="shared" si="13"/>
        <v>-5180</v>
      </c>
      <c r="I894" s="151"/>
      <c r="J894" t="str">
        <f>IF($B894="","",IF(AND($B894=Party_Statement!$B$5,$A894&gt;=Party_Statement!$B$6,$A894&lt;=Party_Statement!$D$6),SUMPRODUCT(($B$3:$B894=Party_Statement!$B$5)*($A$3:$A894&gt;=Party_Statement!$B$6)*($A$3:$A894&lt;=Party_Statement!$D$6)),""))</f>
        <v/>
      </c>
    </row>
    <row r="895" spans="1:10" x14ac:dyDescent="0.2">
      <c r="A895" s="155" t="str">
        <f>Collection!A183</f>
        <v>2083/03/30</v>
      </c>
      <c r="B895" s="176" t="str">
        <f>Collection!C183</f>
        <v>SOBHA BHATTARAI</v>
      </c>
      <c r="C895" s="156" t="str">
        <f>IF(Collection!E183="Payment","Payment","Collection")</f>
        <v>Collection</v>
      </c>
      <c r="D895" s="156">
        <f>Collection!B183</f>
        <v>3861</v>
      </c>
      <c r="E895" s="156" t="str">
        <f>Collection!I183</f>
        <v>Cash</v>
      </c>
      <c r="F895" s="157">
        <f>IF(Collection!E183="Payment",N(Collection!H183),0)</f>
        <v>0</v>
      </c>
      <c r="G895" s="157">
        <f>IF(Collection!E183="Collection",N(Collection!G183),0)</f>
        <v>2975</v>
      </c>
      <c r="H895" s="157">
        <f t="shared" si="13"/>
        <v>-2975</v>
      </c>
      <c r="I895" s="151"/>
      <c r="J895" t="str">
        <f>IF($B895="","",IF(AND($B895=Party_Statement!$B$5,$A895&gt;=Party_Statement!$B$6,$A895&lt;=Party_Statement!$D$6),SUMPRODUCT(($B$3:$B895=Party_Statement!$B$5)*($A$3:$A895&gt;=Party_Statement!$B$6)*($A$3:$A895&lt;=Party_Statement!$D$6)),""))</f>
        <v/>
      </c>
    </row>
    <row r="896" spans="1:10" x14ac:dyDescent="0.2">
      <c r="A896" s="155" t="str">
        <f>Collection!A184</f>
        <v>2083/03/30</v>
      </c>
      <c r="B896" s="176" t="str">
        <f>Collection!C184</f>
        <v>PALPALI KIRANA</v>
      </c>
      <c r="C896" s="156" t="str">
        <f>IF(Collection!E184="Payment","Payment","Collection")</f>
        <v>Collection</v>
      </c>
      <c r="D896" s="156">
        <f>Collection!B184</f>
        <v>3862</v>
      </c>
      <c r="E896" s="156" t="str">
        <f>Collection!I184</f>
        <v>Cash</v>
      </c>
      <c r="F896" s="157">
        <f>IF(Collection!E184="Payment",N(Collection!H184),0)</f>
        <v>0</v>
      </c>
      <c r="G896" s="157">
        <f>IF(Collection!E184="Collection",N(Collection!G184),0)</f>
        <v>1700</v>
      </c>
      <c r="H896" s="157">
        <f t="shared" si="13"/>
        <v>-1700</v>
      </c>
      <c r="I896" s="151"/>
      <c r="J896" t="str">
        <f>IF($B896="","",IF(AND($B896=Party_Statement!$B$5,$A896&gt;=Party_Statement!$B$6,$A896&lt;=Party_Statement!$D$6),SUMPRODUCT(($B$3:$B896=Party_Statement!$B$5)*($A$3:$A896&gt;=Party_Statement!$B$6)*($A$3:$A896&lt;=Party_Statement!$D$6)),""))</f>
        <v/>
      </c>
    </row>
    <row r="897" spans="1:10" x14ac:dyDescent="0.2">
      <c r="A897" s="155" t="str">
        <f>Collection!A185</f>
        <v>2083/03/30</v>
      </c>
      <c r="B897" s="176" t="str">
        <f>Collection!C185</f>
        <v>AAMOSH KIRANA</v>
      </c>
      <c r="C897" s="156" t="str">
        <f>IF(Collection!E185="Payment","Payment","Collection")</f>
        <v>Collection</v>
      </c>
      <c r="D897" s="156">
        <f>Collection!B185</f>
        <v>3863</v>
      </c>
      <c r="E897" s="156" t="str">
        <f>Collection!I185</f>
        <v>Cash</v>
      </c>
      <c r="F897" s="157">
        <f>IF(Collection!E185="Payment",N(Collection!H185),0)</f>
        <v>0</v>
      </c>
      <c r="G897" s="157">
        <f>IF(Collection!E185="Collection",N(Collection!G185),0)</f>
        <v>6000</v>
      </c>
      <c r="H897" s="157">
        <f t="shared" si="13"/>
        <v>-6000</v>
      </c>
      <c r="I897" s="151"/>
      <c r="J897" t="str">
        <f>IF($B897="","",IF(AND($B897=Party_Statement!$B$5,$A897&gt;=Party_Statement!$B$6,$A897&lt;=Party_Statement!$D$6),SUMPRODUCT(($B$3:$B897=Party_Statement!$B$5)*($A$3:$A897&gt;=Party_Statement!$B$6)*($A$3:$A897&lt;=Party_Statement!$D$6)),""))</f>
        <v/>
      </c>
    </row>
    <row r="898" spans="1:10" x14ac:dyDescent="0.2">
      <c r="A898" s="155" t="str">
        <f>Collection!A186</f>
        <v>2083/03/30</v>
      </c>
      <c r="B898" s="176" t="str">
        <f>Collection!C186</f>
        <v>GIRI KIRANA</v>
      </c>
      <c r="C898" s="156" t="str">
        <f>IF(Collection!E186="Payment","Payment","Collection")</f>
        <v>Collection</v>
      </c>
      <c r="D898" s="156">
        <f>Collection!B186</f>
        <v>3864</v>
      </c>
      <c r="E898" s="156" t="str">
        <f>Collection!I186</f>
        <v>Cash</v>
      </c>
      <c r="F898" s="157">
        <f>IF(Collection!E186="Payment",N(Collection!H186),0)</f>
        <v>0</v>
      </c>
      <c r="G898" s="157">
        <f>IF(Collection!E186="Collection",N(Collection!G186),0)</f>
        <v>2550</v>
      </c>
      <c r="H898" s="157">
        <f t="shared" si="13"/>
        <v>-2550</v>
      </c>
      <c r="I898" s="151"/>
      <c r="J898" t="str">
        <f>IF($B898="","",IF(AND($B898=Party_Statement!$B$5,$A898&gt;=Party_Statement!$B$6,$A898&lt;=Party_Statement!$D$6),SUMPRODUCT(($B$3:$B898=Party_Statement!$B$5)*($A$3:$A898&gt;=Party_Statement!$B$6)*($A$3:$A898&lt;=Party_Statement!$D$6)),""))</f>
        <v/>
      </c>
    </row>
    <row r="899" spans="1:10" x14ac:dyDescent="0.2">
      <c r="A899" s="155" t="str">
        <f>Collection!A187</f>
        <v>2083/03/30</v>
      </c>
      <c r="B899" s="176" t="str">
        <f>Collection!C187</f>
        <v>SAMIKSHYA KIRANA</v>
      </c>
      <c r="C899" s="156" t="str">
        <f>IF(Collection!E187="Payment","Payment","Collection")</f>
        <v>Collection</v>
      </c>
      <c r="D899" s="156">
        <f>Collection!B187</f>
        <v>3865</v>
      </c>
      <c r="E899" s="156" t="str">
        <f>Collection!I187</f>
        <v>Cash</v>
      </c>
      <c r="F899" s="157">
        <f>IF(Collection!E187="Payment",N(Collection!H187),0)</f>
        <v>0</v>
      </c>
      <c r="G899" s="157">
        <f>IF(Collection!E187="Collection",N(Collection!G187),0)</f>
        <v>680</v>
      </c>
      <c r="H899" s="157">
        <f t="shared" si="13"/>
        <v>-680</v>
      </c>
      <c r="I899" s="151"/>
      <c r="J899" t="str">
        <f>IF($B899="","",IF(AND($B899=Party_Statement!$B$5,$A899&gt;=Party_Statement!$B$6,$A899&lt;=Party_Statement!$D$6),SUMPRODUCT(($B$3:$B899=Party_Statement!$B$5)*($A$3:$A899&gt;=Party_Statement!$B$6)*($A$3:$A899&lt;=Party_Statement!$D$6)),""))</f>
        <v/>
      </c>
    </row>
    <row r="900" spans="1:10" x14ac:dyDescent="0.2">
      <c r="A900" s="155" t="str">
        <f>Collection!A188</f>
        <v>2083/03/30</v>
      </c>
      <c r="B900" s="176" t="str">
        <f>Collection!C188</f>
        <v>YUBARAJ AND SAMRAT</v>
      </c>
      <c r="C900" s="156" t="str">
        <f>IF(Collection!E188="Payment","Payment","Collection")</f>
        <v>Collection</v>
      </c>
      <c r="D900" s="156">
        <f>Collection!B188</f>
        <v>3866</v>
      </c>
      <c r="E900" s="156" t="str">
        <f>Collection!I188</f>
        <v>Cash</v>
      </c>
      <c r="F900" s="157">
        <f>IF(Collection!E188="Payment",N(Collection!H188),0)</f>
        <v>0</v>
      </c>
      <c r="G900" s="157">
        <f>IF(Collection!E188="Collection",N(Collection!G188),0)</f>
        <v>1275</v>
      </c>
      <c r="H900" s="157">
        <f t="shared" ref="H900:H963" si="14">IF($B900="","",IF($B900=$B899,$H899+$F900-$G900,$F900-$G900))</f>
        <v>-1275</v>
      </c>
      <c r="I900" s="151"/>
      <c r="J900" t="str">
        <f>IF($B900="","",IF(AND($B900=Party_Statement!$B$5,$A900&gt;=Party_Statement!$B$6,$A900&lt;=Party_Statement!$D$6),SUMPRODUCT(($B$3:$B900=Party_Statement!$B$5)*($A$3:$A900&gt;=Party_Statement!$B$6)*($A$3:$A900&lt;=Party_Statement!$D$6)),""))</f>
        <v/>
      </c>
    </row>
    <row r="901" spans="1:10" x14ac:dyDescent="0.2">
      <c r="A901" s="155" t="str">
        <f>Collection!A189</f>
        <v>2083/03/30</v>
      </c>
      <c r="B901" s="176" t="str">
        <f>Collection!C189</f>
        <v>DEURALI KIRANA</v>
      </c>
      <c r="C901" s="156" t="str">
        <f>IF(Collection!E189="Payment","Payment","Collection")</f>
        <v>Collection</v>
      </c>
      <c r="D901" s="156">
        <f>Collection!B189</f>
        <v>3867</v>
      </c>
      <c r="E901" s="156" t="str">
        <f>Collection!I189</f>
        <v>Cash</v>
      </c>
      <c r="F901" s="157">
        <f>IF(Collection!E189="Payment",N(Collection!H189),0)</f>
        <v>0</v>
      </c>
      <c r="G901" s="157">
        <f>IF(Collection!E189="Collection",N(Collection!G189),0)</f>
        <v>425</v>
      </c>
      <c r="H901" s="157">
        <f t="shared" si="14"/>
        <v>-425</v>
      </c>
      <c r="I901" s="151"/>
      <c r="J901" t="str">
        <f>IF($B901="","",IF(AND($B901=Party_Statement!$B$5,$A901&gt;=Party_Statement!$B$6,$A901&lt;=Party_Statement!$D$6),SUMPRODUCT(($B$3:$B901=Party_Statement!$B$5)*($A$3:$A901&gt;=Party_Statement!$B$6)*($A$3:$A901&lt;=Party_Statement!$D$6)),""))</f>
        <v/>
      </c>
    </row>
    <row r="902" spans="1:10" x14ac:dyDescent="0.2">
      <c r="A902" s="155" t="str">
        <f>Collection!A190</f>
        <v>2083/03/30</v>
      </c>
      <c r="B902" s="176" t="str">
        <f>Collection!C190</f>
        <v>MANAKAMANA DAIRY</v>
      </c>
      <c r="C902" s="156" t="str">
        <f>IF(Collection!E190="Payment","Payment","Collection")</f>
        <v>Collection</v>
      </c>
      <c r="D902" s="156">
        <f>Collection!B190</f>
        <v>3868</v>
      </c>
      <c r="E902" s="156" t="str">
        <f>Collection!I190</f>
        <v>Cash</v>
      </c>
      <c r="F902" s="157">
        <f>IF(Collection!E190="Payment",N(Collection!H190),0)</f>
        <v>0</v>
      </c>
      <c r="G902" s="157">
        <f>IF(Collection!E190="Collection",N(Collection!G190),0)</f>
        <v>3400</v>
      </c>
      <c r="H902" s="157">
        <f t="shared" si="14"/>
        <v>-3400</v>
      </c>
      <c r="I902" s="151"/>
      <c r="J902" t="str">
        <f>IF($B902="","",IF(AND($B902=Party_Statement!$B$5,$A902&gt;=Party_Statement!$B$6,$A902&lt;=Party_Statement!$D$6),SUMPRODUCT(($B$3:$B902=Party_Statement!$B$5)*($A$3:$A902&gt;=Party_Statement!$B$6)*($A$3:$A902&lt;=Party_Statement!$D$6)),""))</f>
        <v/>
      </c>
    </row>
    <row r="903" spans="1:10" x14ac:dyDescent="0.2">
      <c r="A903" s="155" t="str">
        <f>Collection!A191</f>
        <v>2083/03/30</v>
      </c>
      <c r="B903" s="176" t="str">
        <f>Collection!C191</f>
        <v>ORGANIC TARKALI</v>
      </c>
      <c r="C903" s="156" t="str">
        <f>IF(Collection!E191="Payment","Payment","Collection")</f>
        <v>Collection</v>
      </c>
      <c r="D903" s="156">
        <f>Collection!B191</f>
        <v>3869</v>
      </c>
      <c r="E903" s="156" t="str">
        <f>Collection!I191</f>
        <v>Cash</v>
      </c>
      <c r="F903" s="157">
        <f>IF(Collection!E191="Payment",N(Collection!H191),0)</f>
        <v>0</v>
      </c>
      <c r="G903" s="157">
        <f>IF(Collection!E191="Collection",N(Collection!G191),0)</f>
        <v>2920</v>
      </c>
      <c r="H903" s="157">
        <f t="shared" si="14"/>
        <v>-2920</v>
      </c>
      <c r="I903" s="151"/>
      <c r="J903" t="str">
        <f>IF($B903="","",IF(AND($B903=Party_Statement!$B$5,$A903&gt;=Party_Statement!$B$6,$A903&lt;=Party_Statement!$D$6),SUMPRODUCT(($B$3:$B903=Party_Statement!$B$5)*($A$3:$A903&gt;=Party_Statement!$B$6)*($A$3:$A903&lt;=Party_Statement!$D$6)),""))</f>
        <v/>
      </c>
    </row>
    <row r="904" spans="1:10" x14ac:dyDescent="0.2">
      <c r="A904" s="155" t="str">
        <f>Collection!A192</f>
        <v>2083/03/30</v>
      </c>
      <c r="B904" s="176" t="str">
        <f>Collection!C192</f>
        <v>SHARMA DAI</v>
      </c>
      <c r="C904" s="156" t="str">
        <f>IF(Collection!E192="Payment","Payment","Collection")</f>
        <v>Collection</v>
      </c>
      <c r="D904" s="156">
        <f>Collection!B192</f>
        <v>3870</v>
      </c>
      <c r="E904" s="156" t="str">
        <f>Collection!I192</f>
        <v>Cash</v>
      </c>
      <c r="F904" s="157">
        <f>IF(Collection!E192="Payment",N(Collection!H192),0)</f>
        <v>0</v>
      </c>
      <c r="G904" s="157">
        <f>IF(Collection!E192="Collection",N(Collection!G192),0)</f>
        <v>10000</v>
      </c>
      <c r="H904" s="157">
        <f t="shared" si="14"/>
        <v>-10000</v>
      </c>
      <c r="I904" s="151"/>
      <c r="J904" t="str">
        <f>IF($B904="","",IF(AND($B904=Party_Statement!$B$5,$A904&gt;=Party_Statement!$B$6,$A904&lt;=Party_Statement!$D$6),SUMPRODUCT(($B$3:$B904=Party_Statement!$B$5)*($A$3:$A904&gt;=Party_Statement!$B$6)*($A$3:$A904&lt;=Party_Statement!$D$6)),""))</f>
        <v/>
      </c>
    </row>
    <row r="905" spans="1:10" x14ac:dyDescent="0.2">
      <c r="A905" s="155" t="str">
        <f>Collection!A193</f>
        <v>2083/03/30</v>
      </c>
      <c r="B905" s="176" t="str">
        <f>Collection!C193</f>
        <v>NEUPANE KIRANA</v>
      </c>
      <c r="C905" s="156" t="str">
        <f>IF(Collection!E193="Payment","Payment","Collection")</f>
        <v>Collection</v>
      </c>
      <c r="D905" s="156">
        <f>Collection!B193</f>
        <v>3871</v>
      </c>
      <c r="E905" s="156" t="str">
        <f>Collection!I193</f>
        <v>Cash</v>
      </c>
      <c r="F905" s="157">
        <f>IF(Collection!E193="Payment",N(Collection!H193),0)</f>
        <v>0</v>
      </c>
      <c r="G905" s="157">
        <f>IF(Collection!E193="Collection",N(Collection!G193),0)</f>
        <v>360</v>
      </c>
      <c r="H905" s="157">
        <f t="shared" si="14"/>
        <v>-360</v>
      </c>
      <c r="I905" s="151"/>
      <c r="J905" t="str">
        <f>IF($B905="","",IF(AND($B905=Party_Statement!$B$5,$A905&gt;=Party_Statement!$B$6,$A905&lt;=Party_Statement!$D$6),SUMPRODUCT(($B$3:$B905=Party_Statement!$B$5)*($A$3:$A905&gt;=Party_Statement!$B$6)*($A$3:$A905&lt;=Party_Statement!$D$6)),""))</f>
        <v/>
      </c>
    </row>
    <row r="906" spans="1:10" x14ac:dyDescent="0.2">
      <c r="A906" s="155" t="str">
        <f>Collection!A195</f>
        <v>2083/03/30</v>
      </c>
      <c r="B906" s="176" t="str">
        <f>Collection!C195</f>
        <v>LOCAL</v>
      </c>
      <c r="C906" s="156" t="str">
        <f>IF(Collection!E195="Payment","Payment","Collection")</f>
        <v>Collection</v>
      </c>
      <c r="D906" s="156">
        <f>Collection!B195</f>
        <v>0</v>
      </c>
      <c r="E906" s="156" t="str">
        <f>Collection!I195</f>
        <v>Cash</v>
      </c>
      <c r="F906" s="157">
        <f>IF(Collection!E195="Payment",N(Collection!H195),0)</f>
        <v>0</v>
      </c>
      <c r="G906" s="157">
        <f>IF(Collection!E195="Collection",N(Collection!G195),0)</f>
        <v>525</v>
      </c>
      <c r="H906" s="157">
        <f t="shared" si="14"/>
        <v>-525</v>
      </c>
      <c r="I906" s="151"/>
      <c r="J906" t="str">
        <f>IF($B906="","",IF(AND($B906=Party_Statement!$B$5,$A906&gt;=Party_Statement!$B$6,$A906&lt;=Party_Statement!$D$6),SUMPRODUCT(($B$3:$B906=Party_Statement!$B$5)*($A$3:$A906&gt;=Party_Statement!$B$6)*($A$3:$A906&lt;=Party_Statement!$D$6)),""))</f>
        <v/>
      </c>
    </row>
    <row r="907" spans="1:10" x14ac:dyDescent="0.2">
      <c r="A907" s="155" t="str">
        <f>Collection!A196</f>
        <v>2083/03/31</v>
      </c>
      <c r="B907" s="176" t="str">
        <f>Collection!C196</f>
        <v>SRIJANA DAIRY</v>
      </c>
      <c r="C907" s="156" t="str">
        <f>IF(Collection!E196="Payment","Payment","Collection")</f>
        <v>Collection</v>
      </c>
      <c r="D907" s="156">
        <f>Collection!B196</f>
        <v>3872</v>
      </c>
      <c r="E907" s="156" t="str">
        <f>Collection!I196</f>
        <v>Cash</v>
      </c>
      <c r="F907" s="157">
        <f>IF(Collection!E196="Payment",N(Collection!H196),0)</f>
        <v>0</v>
      </c>
      <c r="G907" s="157">
        <f>IF(Collection!E196="Collection",N(Collection!G196),0)</f>
        <v>5180</v>
      </c>
      <c r="H907" s="157">
        <f t="shared" si="14"/>
        <v>-5180</v>
      </c>
      <c r="I907" s="151"/>
      <c r="J907" t="str">
        <f>IF($B907="","",IF(AND($B907=Party_Statement!$B$5,$A907&gt;=Party_Statement!$B$6,$A907&lt;=Party_Statement!$D$6),SUMPRODUCT(($B$3:$B907=Party_Statement!$B$5)*($A$3:$A907&gt;=Party_Statement!$B$6)*($A$3:$A907&lt;=Party_Statement!$D$6)),""))</f>
        <v/>
      </c>
    </row>
    <row r="908" spans="1:10" x14ac:dyDescent="0.2">
      <c r="A908" s="155" t="str">
        <f>Collection!A197</f>
        <v>2083/03/31</v>
      </c>
      <c r="B908" s="176" t="str">
        <f>Collection!C197</f>
        <v>SOBHA BHATTARAI</v>
      </c>
      <c r="C908" s="156" t="str">
        <f>IF(Collection!E197="Payment","Payment","Collection")</f>
        <v>Collection</v>
      </c>
      <c r="D908" s="156">
        <f>Collection!B197</f>
        <v>3873</v>
      </c>
      <c r="E908" s="156" t="str">
        <f>Collection!I197</f>
        <v>Cash</v>
      </c>
      <c r="F908" s="157">
        <f>IF(Collection!E197="Payment",N(Collection!H197),0)</f>
        <v>0</v>
      </c>
      <c r="G908" s="157">
        <f>IF(Collection!E197="Collection",N(Collection!G197),0)</f>
        <v>2975</v>
      </c>
      <c r="H908" s="157">
        <f t="shared" si="14"/>
        <v>-2975</v>
      </c>
      <c r="I908" s="151"/>
      <c r="J908" t="str">
        <f>IF($B908="","",IF(AND($B908=Party_Statement!$B$5,$A908&gt;=Party_Statement!$B$6,$A908&lt;=Party_Statement!$D$6),SUMPRODUCT(($B$3:$B908=Party_Statement!$B$5)*($A$3:$A908&gt;=Party_Statement!$B$6)*($A$3:$A908&lt;=Party_Statement!$D$6)),""))</f>
        <v/>
      </c>
    </row>
    <row r="909" spans="1:10" x14ac:dyDescent="0.2">
      <c r="A909" s="155" t="str">
        <f>Collection!A198</f>
        <v>2083/03/31</v>
      </c>
      <c r="B909" s="176" t="str">
        <f>Collection!C198</f>
        <v>SAMIKSHYA KIRANA</v>
      </c>
      <c r="C909" s="156" t="str">
        <f>IF(Collection!E198="Payment","Payment","Collection")</f>
        <v>Collection</v>
      </c>
      <c r="D909" s="156">
        <f>Collection!B198</f>
        <v>3874</v>
      </c>
      <c r="E909" s="156" t="str">
        <f>Collection!I198</f>
        <v>Cash</v>
      </c>
      <c r="F909" s="157">
        <f>IF(Collection!E198="Payment",N(Collection!H198),0)</f>
        <v>0</v>
      </c>
      <c r="G909" s="157">
        <f>IF(Collection!E198="Collection",N(Collection!G198),0)</f>
        <v>680</v>
      </c>
      <c r="H909" s="157">
        <f t="shared" si="14"/>
        <v>-680</v>
      </c>
      <c r="I909" s="151"/>
      <c r="J909" t="str">
        <f>IF($B909="","",IF(AND($B909=Party_Statement!$B$5,$A909&gt;=Party_Statement!$B$6,$A909&lt;=Party_Statement!$D$6),SUMPRODUCT(($B$3:$B909=Party_Statement!$B$5)*($A$3:$A909&gt;=Party_Statement!$B$6)*($A$3:$A909&lt;=Party_Statement!$D$6)),""))</f>
        <v/>
      </c>
    </row>
    <row r="910" spans="1:10" x14ac:dyDescent="0.2">
      <c r="A910" s="155" t="str">
        <f>Collection!A199</f>
        <v>2083/03/31</v>
      </c>
      <c r="B910" s="176" t="str">
        <f>Collection!C199</f>
        <v>PALPALI KIRANA</v>
      </c>
      <c r="C910" s="156" t="str">
        <f>IF(Collection!E199="Payment","Payment","Collection")</f>
        <v>Collection</v>
      </c>
      <c r="D910" s="156">
        <f>Collection!B199</f>
        <v>3875</v>
      </c>
      <c r="E910" s="156" t="str">
        <f>Collection!I199</f>
        <v>Cash</v>
      </c>
      <c r="F910" s="157">
        <f>IF(Collection!E199="Payment",N(Collection!H199),0)</f>
        <v>0</v>
      </c>
      <c r="G910" s="157">
        <f>IF(Collection!E199="Collection",N(Collection!G199),0)</f>
        <v>1700</v>
      </c>
      <c r="H910" s="157">
        <f t="shared" si="14"/>
        <v>-1700</v>
      </c>
      <c r="I910" s="151"/>
      <c r="J910" t="str">
        <f>IF($B910="","",IF(AND($B910=Party_Statement!$B$5,$A910&gt;=Party_Statement!$B$6,$A910&lt;=Party_Statement!$D$6),SUMPRODUCT(($B$3:$B910=Party_Statement!$B$5)*($A$3:$A910&gt;=Party_Statement!$B$6)*($A$3:$A910&lt;=Party_Statement!$D$6)),""))</f>
        <v/>
      </c>
    </row>
    <row r="911" spans="1:10" x14ac:dyDescent="0.2">
      <c r="A911" s="155" t="str">
        <f>Collection!A200</f>
        <v>2083/03/31</v>
      </c>
      <c r="B911" s="176" t="str">
        <f>Collection!C200</f>
        <v>AAMOSH KIRANA</v>
      </c>
      <c r="C911" s="156" t="str">
        <f>IF(Collection!E200="Payment","Payment","Collection")</f>
        <v>Collection</v>
      </c>
      <c r="D911" s="156">
        <f>Collection!B200</f>
        <v>3876</v>
      </c>
      <c r="E911" s="156" t="str">
        <f>Collection!I200</f>
        <v>Cash</v>
      </c>
      <c r="F911" s="157">
        <f>IF(Collection!E200="Payment",N(Collection!H200),0)</f>
        <v>0</v>
      </c>
      <c r="G911" s="157">
        <f>IF(Collection!E200="Collection",N(Collection!G200),0)</f>
        <v>6100</v>
      </c>
      <c r="H911" s="157">
        <f t="shared" si="14"/>
        <v>-6100</v>
      </c>
      <c r="I911" s="151"/>
      <c r="J911" t="str">
        <f>IF($B911="","",IF(AND($B911=Party_Statement!$B$5,$A911&gt;=Party_Statement!$B$6,$A911&lt;=Party_Statement!$D$6),SUMPRODUCT(($B$3:$B911=Party_Statement!$B$5)*($A$3:$A911&gt;=Party_Statement!$B$6)*($A$3:$A911&lt;=Party_Statement!$D$6)),""))</f>
        <v/>
      </c>
    </row>
    <row r="912" spans="1:10" x14ac:dyDescent="0.2">
      <c r="A912" s="155" t="str">
        <f>Collection!A201</f>
        <v>2083/03/31</v>
      </c>
      <c r="B912" s="176" t="str">
        <f>Collection!C201</f>
        <v>GIRI KIRANA</v>
      </c>
      <c r="C912" s="156" t="str">
        <f>IF(Collection!E201="Payment","Payment","Collection")</f>
        <v>Collection</v>
      </c>
      <c r="D912" s="156">
        <f>Collection!B201</f>
        <v>3877</v>
      </c>
      <c r="E912" s="156" t="str">
        <f>Collection!I201</f>
        <v>Cash</v>
      </c>
      <c r="F912" s="157">
        <f>IF(Collection!E201="Payment",N(Collection!H201),0)</f>
        <v>0</v>
      </c>
      <c r="G912" s="157">
        <f>IF(Collection!E201="Collection",N(Collection!G201),0)</f>
        <v>1275</v>
      </c>
      <c r="H912" s="157">
        <f t="shared" si="14"/>
        <v>-1275</v>
      </c>
      <c r="I912" s="151"/>
      <c r="J912" t="str">
        <f>IF($B912="","",IF(AND($B912=Party_Statement!$B$5,$A912&gt;=Party_Statement!$B$6,$A912&lt;=Party_Statement!$D$6),SUMPRODUCT(($B$3:$B912=Party_Statement!$B$5)*($A$3:$A912&gt;=Party_Statement!$B$6)*($A$3:$A912&lt;=Party_Statement!$D$6)),""))</f>
        <v/>
      </c>
    </row>
    <row r="913" spans="1:10" x14ac:dyDescent="0.2">
      <c r="A913" s="155" t="str">
        <f>Collection!A202</f>
        <v>2083/03/31</v>
      </c>
      <c r="B913" s="176" t="str">
        <f>Collection!C202</f>
        <v>YUBARAJ AND SAMRAT</v>
      </c>
      <c r="C913" s="156" t="str">
        <f>IF(Collection!E202="Payment","Payment","Collection")</f>
        <v>Collection</v>
      </c>
      <c r="D913" s="156">
        <f>Collection!B202</f>
        <v>3878</v>
      </c>
      <c r="E913" s="156" t="str">
        <f>Collection!I202</f>
        <v>Cash</v>
      </c>
      <c r="F913" s="157">
        <f>IF(Collection!E202="Payment",N(Collection!H202),0)</f>
        <v>0</v>
      </c>
      <c r="G913" s="157">
        <f>IF(Collection!E202="Collection",N(Collection!G202),0)</f>
        <v>1275</v>
      </c>
      <c r="H913" s="157">
        <f t="shared" si="14"/>
        <v>-1275</v>
      </c>
      <c r="I913" s="151"/>
      <c r="J913" t="str">
        <f>IF($B913="","",IF(AND($B913=Party_Statement!$B$5,$A913&gt;=Party_Statement!$B$6,$A913&lt;=Party_Statement!$D$6),SUMPRODUCT(($B$3:$B913=Party_Statement!$B$5)*($A$3:$A913&gt;=Party_Statement!$B$6)*($A$3:$A913&lt;=Party_Statement!$D$6)),""))</f>
        <v/>
      </c>
    </row>
    <row r="914" spans="1:10" x14ac:dyDescent="0.2">
      <c r="A914" s="155" t="str">
        <f>Collection!A203</f>
        <v>2083/03/31</v>
      </c>
      <c r="B914" s="176" t="str">
        <f>Collection!C203</f>
        <v>DEURALI KIRANA</v>
      </c>
      <c r="C914" s="156" t="str">
        <f>IF(Collection!E203="Payment","Payment","Collection")</f>
        <v>Collection</v>
      </c>
      <c r="D914" s="156">
        <f>Collection!B203</f>
        <v>3879</v>
      </c>
      <c r="E914" s="156" t="str">
        <f>Collection!I203</f>
        <v>Cash</v>
      </c>
      <c r="F914" s="157">
        <f>IF(Collection!E203="Payment",N(Collection!H203),0)</f>
        <v>0</v>
      </c>
      <c r="G914" s="157">
        <f>IF(Collection!E203="Collection",N(Collection!G203),0)</f>
        <v>425</v>
      </c>
      <c r="H914" s="157">
        <f t="shared" si="14"/>
        <v>-425</v>
      </c>
      <c r="I914" s="151"/>
      <c r="J914" t="str">
        <f>IF($B914="","",IF(AND($B914=Party_Statement!$B$5,$A914&gt;=Party_Statement!$B$6,$A914&lt;=Party_Statement!$D$6),SUMPRODUCT(($B$3:$B914=Party_Statement!$B$5)*($A$3:$A914&gt;=Party_Statement!$B$6)*($A$3:$A914&lt;=Party_Statement!$D$6)),""))</f>
        <v/>
      </c>
    </row>
    <row r="915" spans="1:10" x14ac:dyDescent="0.2">
      <c r="A915" s="155" t="str">
        <f>Collection!A204</f>
        <v>2083/03/31</v>
      </c>
      <c r="B915" s="176" t="str">
        <f>Collection!C204</f>
        <v>KALIKA CANTEEN A</v>
      </c>
      <c r="C915" s="156" t="str">
        <f>IF(Collection!E204="Payment","Payment","Collection")</f>
        <v>Collection</v>
      </c>
      <c r="D915" s="156">
        <f>Collection!B204</f>
        <v>3880</v>
      </c>
      <c r="E915" s="156" t="str">
        <f>Collection!I204</f>
        <v>Cash</v>
      </c>
      <c r="F915" s="157">
        <f>IF(Collection!E204="Payment",N(Collection!H204),0)</f>
        <v>0</v>
      </c>
      <c r="G915" s="157">
        <f>IF(Collection!E204="Collection",N(Collection!G204),0)</f>
        <v>2975</v>
      </c>
      <c r="H915" s="157">
        <f t="shared" si="14"/>
        <v>-2975</v>
      </c>
      <c r="I915" s="151"/>
      <c r="J915" t="e">
        <f>IF($B915="","",IF(AND($B915=Party_Statement!$B$5,$A915&gt;=Party_Statement!$B$6,$A915&lt;=Party_Statement!$D$6),SUMPRODUCT(($B$3:$B915=Party_Statement!$B$5)*($A$3:$A915&gt;=Party_Statement!$B$6)*($A$3:$A915&lt;=Party_Statement!$D$6)),""))</f>
        <v>#REF!</v>
      </c>
    </row>
    <row r="916" spans="1:10" x14ac:dyDescent="0.2">
      <c r="A916" s="155" t="str">
        <f>Collection!A205</f>
        <v>2083/03/31</v>
      </c>
      <c r="B916" s="176" t="str">
        <f>Collection!C205</f>
        <v>ORGANIC TARKALI</v>
      </c>
      <c r="C916" s="156" t="str">
        <f>IF(Collection!E205="Payment","Payment","Collection")</f>
        <v>Collection</v>
      </c>
      <c r="D916" s="156">
        <f>Collection!B205</f>
        <v>3881</v>
      </c>
      <c r="E916" s="156" t="str">
        <f>Collection!I205</f>
        <v>Cash</v>
      </c>
      <c r="F916" s="157">
        <f>IF(Collection!E205="Payment",N(Collection!H205),0)</f>
        <v>0</v>
      </c>
      <c r="G916" s="157">
        <f>IF(Collection!E205="Collection",N(Collection!G205),0)</f>
        <v>2375</v>
      </c>
      <c r="H916" s="157">
        <f t="shared" si="14"/>
        <v>-2375</v>
      </c>
      <c r="I916" s="151"/>
      <c r="J916" t="str">
        <f>IF($B916="","",IF(AND($B916=Party_Statement!$B$5,$A916&gt;=Party_Statement!$B$6,$A916&lt;=Party_Statement!$D$6),SUMPRODUCT(($B$3:$B916=Party_Statement!$B$5)*($A$3:$A916&gt;=Party_Statement!$B$6)*($A$3:$A916&lt;=Party_Statement!$D$6)),""))</f>
        <v/>
      </c>
    </row>
    <row r="917" spans="1:10" x14ac:dyDescent="0.2">
      <c r="A917" s="155" t="str">
        <f>Collection!A206</f>
        <v>2083/03/31</v>
      </c>
      <c r="B917" s="176" t="str">
        <f>Collection!C206</f>
        <v>NEUPANE KIRANA</v>
      </c>
      <c r="C917" s="156" t="str">
        <f>IF(Collection!E206="Payment","Payment","Collection")</f>
        <v>Collection</v>
      </c>
      <c r="D917" s="156">
        <f>Collection!B206</f>
        <v>3882</v>
      </c>
      <c r="E917" s="156" t="str">
        <f>Collection!I206</f>
        <v>Cash</v>
      </c>
      <c r="F917" s="157">
        <f>IF(Collection!E206="Payment",N(Collection!H206),0)</f>
        <v>0</v>
      </c>
      <c r="G917" s="157">
        <f>IF(Collection!E206="Collection",N(Collection!G206),0)</f>
        <v>180</v>
      </c>
      <c r="H917" s="157">
        <f t="shared" si="14"/>
        <v>-180</v>
      </c>
      <c r="I917" s="151"/>
      <c r="J917" t="str">
        <f>IF($B917="","",IF(AND($B917=Party_Statement!$B$5,$A917&gt;=Party_Statement!$B$6,$A917&lt;=Party_Statement!$D$6),SUMPRODUCT(($B$3:$B917=Party_Statement!$B$5)*($A$3:$A917&gt;=Party_Statement!$B$6)*($A$3:$A917&lt;=Party_Statement!$D$6)),""))</f>
        <v/>
      </c>
    </row>
    <row r="918" spans="1:10" x14ac:dyDescent="0.2">
      <c r="A918" s="155" t="str">
        <f>Collection!A209</f>
        <v>2083/03/32</v>
      </c>
      <c r="B918" s="176" t="str">
        <f>Collection!C209</f>
        <v>LOCAL</v>
      </c>
      <c r="C918" s="156" t="str">
        <f>IF(Collection!E209="Payment","Payment","Collection")</f>
        <v>Collection</v>
      </c>
      <c r="D918" s="156">
        <f>Collection!B209</f>
        <v>6319</v>
      </c>
      <c r="E918" s="156" t="str">
        <f>Collection!I209</f>
        <v>Cash</v>
      </c>
      <c r="F918" s="157">
        <f>IF(Collection!E209="Payment",N(Collection!H209),0)</f>
        <v>0</v>
      </c>
      <c r="G918" s="157">
        <f>IF(Collection!E209="Collection",N(Collection!G209),0)</f>
        <v>235</v>
      </c>
      <c r="H918" s="157">
        <f t="shared" si="14"/>
        <v>-235</v>
      </c>
      <c r="I918" s="151"/>
      <c r="J918" t="str">
        <f>IF($B918="","",IF(AND($B918=Party_Statement!$B$5,$A918&gt;=Party_Statement!$B$6,$A918&lt;=Party_Statement!$D$6),SUMPRODUCT(($B$3:$B918=Party_Statement!$B$5)*($A$3:$A918&gt;=Party_Statement!$B$6)*($A$3:$A918&lt;=Party_Statement!$D$6)),""))</f>
        <v/>
      </c>
    </row>
    <row r="919" spans="1:10" x14ac:dyDescent="0.2">
      <c r="A919" s="155" t="str">
        <f>Collection!A210</f>
        <v>2083/03/32</v>
      </c>
      <c r="B919" s="176" t="str">
        <f>Collection!C210</f>
        <v>SRIJANA DAIRY</v>
      </c>
      <c r="C919" s="156" t="str">
        <f>IF(Collection!E210="Payment","Payment","Collection")</f>
        <v>Collection</v>
      </c>
      <c r="D919" s="156">
        <f>Collection!B210</f>
        <v>3883</v>
      </c>
      <c r="E919" s="156" t="str">
        <f>Collection!I210</f>
        <v>Cash</v>
      </c>
      <c r="F919" s="157">
        <f>IF(Collection!E210="Payment",N(Collection!H210),0)</f>
        <v>0</v>
      </c>
      <c r="G919" s="157">
        <f>IF(Collection!E210="Collection",N(Collection!G210),0)</f>
        <v>5180</v>
      </c>
      <c r="H919" s="157">
        <f t="shared" si="14"/>
        <v>-5180</v>
      </c>
      <c r="I919" s="151"/>
      <c r="J919" t="str">
        <f>IF($B919="","",IF(AND($B919=Party_Statement!$B$5,$A919&gt;=Party_Statement!$B$6,$A919&lt;=Party_Statement!$D$6),SUMPRODUCT(($B$3:$B919=Party_Statement!$B$5)*($A$3:$A919&gt;=Party_Statement!$B$6)*($A$3:$A919&lt;=Party_Statement!$D$6)),""))</f>
        <v/>
      </c>
    </row>
    <row r="920" spans="1:10" x14ac:dyDescent="0.2">
      <c r="A920" s="155" t="str">
        <f>Collection!A211</f>
        <v>2083/03/32</v>
      </c>
      <c r="B920" s="176" t="str">
        <f>Collection!C211</f>
        <v>AAMOSH KIRANA</v>
      </c>
      <c r="C920" s="156" t="str">
        <f>IF(Collection!E211="Payment","Payment","Collection")</f>
        <v>Collection</v>
      </c>
      <c r="D920" s="156">
        <f>Collection!B211</f>
        <v>3884</v>
      </c>
      <c r="E920" s="156" t="str">
        <f>Collection!I211</f>
        <v>Cash</v>
      </c>
      <c r="F920" s="157">
        <f>IF(Collection!E211="Payment",N(Collection!H211),0)</f>
        <v>0</v>
      </c>
      <c r="G920" s="157">
        <f>IF(Collection!E211="Collection",N(Collection!G211),0)</f>
        <v>5400</v>
      </c>
      <c r="H920" s="157">
        <f t="shared" si="14"/>
        <v>-5400</v>
      </c>
      <c r="I920" s="151"/>
      <c r="J920" t="str">
        <f>IF($B920="","",IF(AND($B920=Party_Statement!$B$5,$A920&gt;=Party_Statement!$B$6,$A920&lt;=Party_Statement!$D$6),SUMPRODUCT(($B$3:$B920=Party_Statement!$B$5)*($A$3:$A920&gt;=Party_Statement!$B$6)*($A$3:$A920&lt;=Party_Statement!$D$6)),""))</f>
        <v/>
      </c>
    </row>
    <row r="921" spans="1:10" x14ac:dyDescent="0.2">
      <c r="A921" s="155" t="str">
        <f>Collection!A212</f>
        <v>2083/03/32</v>
      </c>
      <c r="B921" s="176" t="str">
        <f>Collection!C212</f>
        <v>SOBHA BHATTARAI</v>
      </c>
      <c r="C921" s="156" t="str">
        <f>IF(Collection!E212="Payment","Payment","Collection")</f>
        <v>Collection</v>
      </c>
      <c r="D921" s="156">
        <f>Collection!B212</f>
        <v>3885</v>
      </c>
      <c r="E921" s="156" t="str">
        <f>Collection!I212</f>
        <v>Cash</v>
      </c>
      <c r="F921" s="157">
        <f>IF(Collection!E212="Payment",N(Collection!H212),0)</f>
        <v>0</v>
      </c>
      <c r="G921" s="157">
        <f>IF(Collection!E212="Collection",N(Collection!G212),0)</f>
        <v>2975</v>
      </c>
      <c r="H921" s="157">
        <f t="shared" si="14"/>
        <v>-2975</v>
      </c>
      <c r="I921" s="151"/>
      <c r="J921" t="str">
        <f>IF($B921="","",IF(AND($B921=Party_Statement!$B$5,$A921&gt;=Party_Statement!$B$6,$A921&lt;=Party_Statement!$D$6),SUMPRODUCT(($B$3:$B921=Party_Statement!$B$5)*($A$3:$A921&gt;=Party_Statement!$B$6)*($A$3:$A921&lt;=Party_Statement!$D$6)),""))</f>
        <v/>
      </c>
    </row>
    <row r="922" spans="1:10" x14ac:dyDescent="0.2">
      <c r="A922" s="155" t="str">
        <f>Collection!A213</f>
        <v>2083/03/32</v>
      </c>
      <c r="B922" s="176" t="str">
        <f>Collection!C213</f>
        <v>SAMIKSHYA KIRANA</v>
      </c>
      <c r="C922" s="156" t="str">
        <f>IF(Collection!E213="Payment","Payment","Collection")</f>
        <v>Collection</v>
      </c>
      <c r="D922" s="156">
        <f>Collection!B213</f>
        <v>3886</v>
      </c>
      <c r="E922" s="156" t="str">
        <f>Collection!I213</f>
        <v>Cash</v>
      </c>
      <c r="F922" s="157">
        <f>IF(Collection!E213="Payment",N(Collection!H213),0)</f>
        <v>0</v>
      </c>
      <c r="G922" s="157">
        <f>IF(Collection!E213="Collection",N(Collection!G213),0)</f>
        <v>680</v>
      </c>
      <c r="H922" s="157">
        <f t="shared" si="14"/>
        <v>-680</v>
      </c>
      <c r="I922" s="151"/>
      <c r="J922" t="str">
        <f>IF($B922="","",IF(AND($B922=Party_Statement!$B$5,$A922&gt;=Party_Statement!$B$6,$A922&lt;=Party_Statement!$D$6),SUMPRODUCT(($B$3:$B922=Party_Statement!$B$5)*($A$3:$A922&gt;=Party_Statement!$B$6)*($A$3:$A922&lt;=Party_Statement!$D$6)),""))</f>
        <v/>
      </c>
    </row>
    <row r="923" spans="1:10" x14ac:dyDescent="0.2">
      <c r="A923" s="155" t="str">
        <f>Collection!A214</f>
        <v>2083/03/32</v>
      </c>
      <c r="B923" s="176" t="str">
        <f>Collection!C214</f>
        <v>MANAKAMANA DAIRY</v>
      </c>
      <c r="C923" s="156" t="str">
        <f>IF(Collection!E214="Payment","Payment","Collection")</f>
        <v>Collection</v>
      </c>
      <c r="D923" s="156">
        <f>Collection!B214</f>
        <v>3887</v>
      </c>
      <c r="E923" s="156" t="str">
        <f>Collection!I214</f>
        <v>Cash</v>
      </c>
      <c r="F923" s="157">
        <f>IF(Collection!E214="Payment",N(Collection!H214),0)</f>
        <v>0</v>
      </c>
      <c r="G923" s="157">
        <f>IF(Collection!E214="Collection",N(Collection!G214),0)</f>
        <v>1700</v>
      </c>
      <c r="H923" s="157">
        <f t="shared" si="14"/>
        <v>-1700</v>
      </c>
      <c r="I923" s="151"/>
      <c r="J923" t="str">
        <f>IF($B923="","",IF(AND($B923=Party_Statement!$B$5,$A923&gt;=Party_Statement!$B$6,$A923&lt;=Party_Statement!$D$6),SUMPRODUCT(($B$3:$B923=Party_Statement!$B$5)*($A$3:$A923&gt;=Party_Statement!$B$6)*($A$3:$A923&lt;=Party_Statement!$D$6)),""))</f>
        <v/>
      </c>
    </row>
    <row r="924" spans="1:10" x14ac:dyDescent="0.2">
      <c r="A924" s="155" t="str">
        <f>Collection!A215</f>
        <v>2083/03/32</v>
      </c>
      <c r="B924" s="176" t="str">
        <f>Collection!C215</f>
        <v>AAYUSH AND AAYUSHMA</v>
      </c>
      <c r="C924" s="156" t="str">
        <f>IF(Collection!E215="Payment","Payment","Collection")</f>
        <v>Collection</v>
      </c>
      <c r="D924" s="156">
        <f>Collection!B215</f>
        <v>3888</v>
      </c>
      <c r="E924" s="156" t="str">
        <f>Collection!I215</f>
        <v>Cash</v>
      </c>
      <c r="F924" s="157">
        <f>IF(Collection!E215="Payment",N(Collection!H215),0)</f>
        <v>0</v>
      </c>
      <c r="G924" s="157">
        <f>IF(Collection!E215="Collection",N(Collection!G215),0)</f>
        <v>680</v>
      </c>
      <c r="H924" s="157">
        <f t="shared" si="14"/>
        <v>-680</v>
      </c>
      <c r="I924" s="151"/>
      <c r="J924" t="str">
        <f>IF($B924="","",IF(AND($B924=Party_Statement!$B$5,$A924&gt;=Party_Statement!$B$6,$A924&lt;=Party_Statement!$D$6),SUMPRODUCT(($B$3:$B924=Party_Statement!$B$5)*($A$3:$A924&gt;=Party_Statement!$B$6)*($A$3:$A924&lt;=Party_Statement!$D$6)),""))</f>
        <v/>
      </c>
    </row>
    <row r="925" spans="1:10" x14ac:dyDescent="0.2">
      <c r="A925" s="155" t="str">
        <f>Collection!A216</f>
        <v>2083/03/32</v>
      </c>
      <c r="B925" s="176" t="str">
        <f>Collection!C216</f>
        <v>YUBARAJ AND SAMRAT</v>
      </c>
      <c r="C925" s="156" t="str">
        <f>IF(Collection!E216="Payment","Payment","Collection")</f>
        <v>Collection</v>
      </c>
      <c r="D925" s="156">
        <f>Collection!B216</f>
        <v>3889</v>
      </c>
      <c r="E925" s="156" t="str">
        <f>Collection!I216</f>
        <v>Cash</v>
      </c>
      <c r="F925" s="157">
        <f>IF(Collection!E216="Payment",N(Collection!H216),0)</f>
        <v>0</v>
      </c>
      <c r="G925" s="157">
        <f>IF(Collection!E216="Collection",N(Collection!G216),0)</f>
        <v>1275</v>
      </c>
      <c r="H925" s="157">
        <f t="shared" si="14"/>
        <v>-1275</v>
      </c>
      <c r="I925" s="151"/>
      <c r="J925" t="str">
        <f>IF($B925="","",IF(AND($B925=Party_Statement!$B$5,$A925&gt;=Party_Statement!$B$6,$A925&lt;=Party_Statement!$D$6),SUMPRODUCT(($B$3:$B925=Party_Statement!$B$5)*($A$3:$A925&gt;=Party_Statement!$B$6)*($A$3:$A925&lt;=Party_Statement!$D$6)),""))</f>
        <v/>
      </c>
    </row>
    <row r="926" spans="1:10" x14ac:dyDescent="0.2">
      <c r="A926" s="155" t="str">
        <f>Collection!A217</f>
        <v>2083/03/32</v>
      </c>
      <c r="B926" s="176" t="str">
        <f>Collection!C217</f>
        <v>PALPALI KIRANA</v>
      </c>
      <c r="C926" s="156" t="str">
        <f>IF(Collection!E217="Payment","Payment","Collection")</f>
        <v>Collection</v>
      </c>
      <c r="D926" s="156">
        <f>Collection!B217</f>
        <v>3890</v>
      </c>
      <c r="E926" s="156" t="str">
        <f>Collection!I217</f>
        <v>Cash</v>
      </c>
      <c r="F926" s="157">
        <f>IF(Collection!E217="Payment",N(Collection!H217),0)</f>
        <v>0</v>
      </c>
      <c r="G926" s="157">
        <f>IF(Collection!E217="Collection",N(Collection!G217),0)</f>
        <v>2550</v>
      </c>
      <c r="H926" s="157">
        <f t="shared" si="14"/>
        <v>-2550</v>
      </c>
      <c r="I926" s="151"/>
      <c r="J926" t="str">
        <f>IF($B926="","",IF(AND($B926=Party_Statement!$B$5,$A926&gt;=Party_Statement!$B$6,$A926&lt;=Party_Statement!$D$6),SUMPRODUCT(($B$3:$B926=Party_Statement!$B$5)*($A$3:$A926&gt;=Party_Statement!$B$6)*($A$3:$A926&lt;=Party_Statement!$D$6)),""))</f>
        <v/>
      </c>
    </row>
    <row r="927" spans="1:10" x14ac:dyDescent="0.2">
      <c r="A927" s="155" t="str">
        <f>Collection!A218</f>
        <v>2083/03/32</v>
      </c>
      <c r="B927" s="176" t="str">
        <f>Collection!C218</f>
        <v>DEURALI KIRANA</v>
      </c>
      <c r="C927" s="156" t="str">
        <f>IF(Collection!E218="Payment","Payment","Collection")</f>
        <v>Collection</v>
      </c>
      <c r="D927" s="156">
        <f>Collection!B218</f>
        <v>3891</v>
      </c>
      <c r="E927" s="156" t="str">
        <f>Collection!I218</f>
        <v>Cash</v>
      </c>
      <c r="F927" s="157">
        <f>IF(Collection!E218="Payment",N(Collection!H218),0)</f>
        <v>0</v>
      </c>
      <c r="G927" s="157">
        <f>IF(Collection!E218="Collection",N(Collection!G218),0)</f>
        <v>850</v>
      </c>
      <c r="H927" s="157">
        <f t="shared" si="14"/>
        <v>-850</v>
      </c>
      <c r="I927" s="151"/>
      <c r="J927" t="str">
        <f>IF($B927="","",IF(AND($B927=Party_Statement!$B$5,$A927&gt;=Party_Statement!$B$6,$A927&lt;=Party_Statement!$D$6),SUMPRODUCT(($B$3:$B927=Party_Statement!$B$5)*($A$3:$A927&gt;=Party_Statement!$B$6)*($A$3:$A927&lt;=Party_Statement!$D$6)),""))</f>
        <v/>
      </c>
    </row>
    <row r="928" spans="1:10" x14ac:dyDescent="0.2">
      <c r="A928" s="155" t="str">
        <f>Collection!A219</f>
        <v>2083/03/32</v>
      </c>
      <c r="B928" s="176" t="str">
        <f>Collection!C219</f>
        <v>GIRI KIRANA</v>
      </c>
      <c r="C928" s="156" t="str">
        <f>IF(Collection!E219="Payment","Payment","Collection")</f>
        <v>Collection</v>
      </c>
      <c r="D928" s="156">
        <f>Collection!B219</f>
        <v>3892</v>
      </c>
      <c r="E928" s="156" t="str">
        <f>Collection!I219</f>
        <v>Cash</v>
      </c>
      <c r="F928" s="157">
        <f>IF(Collection!E219="Payment",N(Collection!H219),0)</f>
        <v>0</v>
      </c>
      <c r="G928" s="157">
        <f>IF(Collection!E219="Collection",N(Collection!G219),0)</f>
        <v>1275</v>
      </c>
      <c r="H928" s="157">
        <f t="shared" si="14"/>
        <v>-1275</v>
      </c>
      <c r="I928" s="151"/>
      <c r="J928" t="str">
        <f>IF($B928="","",IF(AND($B928=Party_Statement!$B$5,$A928&gt;=Party_Statement!$B$6,$A928&lt;=Party_Statement!$D$6),SUMPRODUCT(($B$3:$B928=Party_Statement!$B$5)*($A$3:$A928&gt;=Party_Statement!$B$6)*($A$3:$A928&lt;=Party_Statement!$D$6)),""))</f>
        <v/>
      </c>
    </row>
    <row r="929" spans="1:10" x14ac:dyDescent="0.2">
      <c r="A929" s="155" t="str">
        <f>Collection!A220</f>
        <v>2083/03/32</v>
      </c>
      <c r="B929" s="176" t="str">
        <f>Collection!C220</f>
        <v>ORGANIC TARKALI</v>
      </c>
      <c r="C929" s="156" t="str">
        <f>IF(Collection!E220="Payment","Payment","Collection")</f>
        <v>Collection</v>
      </c>
      <c r="D929" s="156">
        <f>Collection!B220</f>
        <v>3893</v>
      </c>
      <c r="E929" s="156" t="str">
        <f>Collection!I220</f>
        <v>Cash</v>
      </c>
      <c r="F929" s="157">
        <f>IF(Collection!E220="Payment",N(Collection!H220),0)</f>
        <v>0</v>
      </c>
      <c r="G929" s="157">
        <f>IF(Collection!E220="Collection",N(Collection!G220),0)</f>
        <v>2800</v>
      </c>
      <c r="H929" s="157">
        <f t="shared" si="14"/>
        <v>-2800</v>
      </c>
      <c r="I929" s="151"/>
      <c r="J929" t="str">
        <f>IF($B929="","",IF(AND($B929=Party_Statement!$B$5,$A929&gt;=Party_Statement!$B$6,$A929&lt;=Party_Statement!$D$6),SUMPRODUCT(($B$3:$B929=Party_Statement!$B$5)*($A$3:$A929&gt;=Party_Statement!$B$6)*($A$3:$A929&lt;=Party_Statement!$D$6)),""))</f>
        <v/>
      </c>
    </row>
    <row r="930" spans="1:10" x14ac:dyDescent="0.2">
      <c r="A930" s="155" t="str">
        <f>Collection!A221</f>
        <v>2083/03/32</v>
      </c>
      <c r="B930" s="176" t="str">
        <f>Collection!C221</f>
        <v>LOCAL</v>
      </c>
      <c r="C930" s="156" t="str">
        <f>IF(Collection!E221="Payment","Payment","Collection")</f>
        <v>Collection</v>
      </c>
      <c r="D930" s="156">
        <f>Collection!B221</f>
        <v>6299</v>
      </c>
      <c r="E930" s="156" t="str">
        <f>Collection!I221</f>
        <v>Cash</v>
      </c>
      <c r="F930" s="157">
        <f>IF(Collection!E221="Payment",N(Collection!H221),0)</f>
        <v>0</v>
      </c>
      <c r="G930" s="157">
        <f>IF(Collection!E221="Collection",N(Collection!G221),0)</f>
        <v>790</v>
      </c>
      <c r="H930" s="157">
        <f t="shared" si="14"/>
        <v>-790</v>
      </c>
      <c r="I930" s="151"/>
      <c r="J930" t="str">
        <f>IF($B930="","",IF(AND($B930=Party_Statement!$B$5,$A930&gt;=Party_Statement!$B$6,$A930&lt;=Party_Statement!$D$6),SUMPRODUCT(($B$3:$B930=Party_Statement!$B$5)*($A$3:$A930&gt;=Party_Statement!$B$6)*($A$3:$A930&lt;=Party_Statement!$D$6)),""))</f>
        <v/>
      </c>
    </row>
    <row r="931" spans="1:10" x14ac:dyDescent="0.2">
      <c r="A931" s="155" t="str">
        <f>Collection!A222</f>
        <v>2083/04/01</v>
      </c>
      <c r="B931" s="176" t="str">
        <f>Collection!C222</f>
        <v>LOCAL</v>
      </c>
      <c r="C931" s="156" t="str">
        <f>IF(Collection!E222="Payment","Payment","Collection")</f>
        <v>Collection</v>
      </c>
      <c r="D931" s="156">
        <f>Collection!B222</f>
        <v>6336</v>
      </c>
      <c r="E931" s="156" t="str">
        <f>Collection!I222</f>
        <v>Cash</v>
      </c>
      <c r="F931" s="157">
        <f>IF(Collection!E222="Payment",N(Collection!H222),0)</f>
        <v>0</v>
      </c>
      <c r="G931" s="157">
        <f>IF(Collection!E222="Collection",N(Collection!G222),0)</f>
        <v>1325</v>
      </c>
      <c r="H931" s="157">
        <f t="shared" si="14"/>
        <v>-2115</v>
      </c>
      <c r="I931" s="151"/>
      <c r="J931" t="str">
        <f>IF($B931="","",IF(AND($B931=Party_Statement!$B$5,$A931&gt;=Party_Statement!$B$6,$A931&lt;=Party_Statement!$D$6),SUMPRODUCT(($B$3:$B931=Party_Statement!$B$5)*($A$3:$A931&gt;=Party_Statement!$B$6)*($A$3:$A931&lt;=Party_Statement!$D$6)),""))</f>
        <v/>
      </c>
    </row>
    <row r="932" spans="1:10" x14ac:dyDescent="0.2">
      <c r="A932" s="155" t="str">
        <f>Collection!A223</f>
        <v>2083/04/01</v>
      </c>
      <c r="B932" s="176" t="str">
        <f>Collection!C223</f>
        <v>SRIJANA DAIRY</v>
      </c>
      <c r="C932" s="156" t="str">
        <f>IF(Collection!E223="Payment","Payment","Collection")</f>
        <v>Collection</v>
      </c>
      <c r="D932" s="156">
        <f>Collection!B223</f>
        <v>3894</v>
      </c>
      <c r="E932" s="156" t="str">
        <f>Collection!I223</f>
        <v>Cash</v>
      </c>
      <c r="F932" s="157">
        <f>IF(Collection!E223="Payment",N(Collection!H223),0)</f>
        <v>0</v>
      </c>
      <c r="G932" s="157">
        <f>IF(Collection!E223="Collection",N(Collection!G223),0)</f>
        <v>5180</v>
      </c>
      <c r="H932" s="157">
        <f t="shared" si="14"/>
        <v>-5180</v>
      </c>
      <c r="I932" s="151"/>
      <c r="J932" t="str">
        <f>IF($B932="","",IF(AND($B932=Party_Statement!$B$5,$A932&gt;=Party_Statement!$B$6,$A932&lt;=Party_Statement!$D$6),SUMPRODUCT(($B$3:$B932=Party_Statement!$B$5)*($A$3:$A932&gt;=Party_Statement!$B$6)*($A$3:$A932&lt;=Party_Statement!$D$6)),""))</f>
        <v/>
      </c>
    </row>
    <row r="933" spans="1:10" x14ac:dyDescent="0.2">
      <c r="A933" s="155" t="str">
        <f>Collection!A224</f>
        <v>2083/04/01</v>
      </c>
      <c r="B933" s="176" t="str">
        <f>Collection!C224</f>
        <v>SOBHA BHATTARAI</v>
      </c>
      <c r="C933" s="156" t="str">
        <f>IF(Collection!E224="Payment","Payment","Collection")</f>
        <v>Collection</v>
      </c>
      <c r="D933" s="156">
        <f>Collection!B224</f>
        <v>3895</v>
      </c>
      <c r="E933" s="156" t="str">
        <f>Collection!I224</f>
        <v>Cash</v>
      </c>
      <c r="F933" s="157">
        <f>IF(Collection!E224="Payment",N(Collection!H224),0)</f>
        <v>0</v>
      </c>
      <c r="G933" s="157">
        <f>IF(Collection!E224="Collection",N(Collection!G224),0)</f>
        <v>4675</v>
      </c>
      <c r="H933" s="157">
        <f t="shared" si="14"/>
        <v>-4675</v>
      </c>
      <c r="I933" s="151"/>
      <c r="J933" t="str">
        <f>IF($B933="","",IF(AND($B933=Party_Statement!$B$5,$A933&gt;=Party_Statement!$B$6,$A933&lt;=Party_Statement!$D$6),SUMPRODUCT(($B$3:$B933=Party_Statement!$B$5)*($A$3:$A933&gt;=Party_Statement!$B$6)*($A$3:$A933&lt;=Party_Statement!$D$6)),""))</f>
        <v/>
      </c>
    </row>
    <row r="934" spans="1:10" x14ac:dyDescent="0.2">
      <c r="A934" s="155" t="str">
        <f>Collection!A225</f>
        <v>2083/04/01</v>
      </c>
      <c r="B934" s="176" t="str">
        <f>Collection!C225</f>
        <v>PALPALI KIRANA</v>
      </c>
      <c r="C934" s="156" t="str">
        <f>IF(Collection!E225="Payment","Payment","Collection")</f>
        <v>Collection</v>
      </c>
      <c r="D934" s="156">
        <f>Collection!B225</f>
        <v>3896</v>
      </c>
      <c r="E934" s="156" t="str">
        <f>Collection!I225</f>
        <v>Cash</v>
      </c>
      <c r="F934" s="157">
        <f>IF(Collection!E225="Payment",N(Collection!H225),0)</f>
        <v>0</v>
      </c>
      <c r="G934" s="157">
        <f>IF(Collection!E225="Collection",N(Collection!G225),0)</f>
        <v>2125</v>
      </c>
      <c r="H934" s="157">
        <f t="shared" si="14"/>
        <v>-2125</v>
      </c>
      <c r="I934" s="151"/>
      <c r="J934" t="str">
        <f>IF($B934="","",IF(AND($B934=Party_Statement!$B$5,$A934&gt;=Party_Statement!$B$6,$A934&lt;=Party_Statement!$D$6),SUMPRODUCT(($B$3:$B934=Party_Statement!$B$5)*($A$3:$A934&gt;=Party_Statement!$B$6)*($A$3:$A934&lt;=Party_Statement!$D$6)),""))</f>
        <v/>
      </c>
    </row>
    <row r="935" spans="1:10" x14ac:dyDescent="0.2">
      <c r="A935" s="155" t="str">
        <f>Collection!A226</f>
        <v>2083/04/01</v>
      </c>
      <c r="B935" s="176" t="str">
        <f>Collection!C226</f>
        <v>AAMOSH KIRANA</v>
      </c>
      <c r="C935" s="156" t="str">
        <f>IF(Collection!E226="Payment","Payment","Collection")</f>
        <v>Collection</v>
      </c>
      <c r="D935" s="156">
        <f>Collection!B226</f>
        <v>3897</v>
      </c>
      <c r="E935" s="156" t="str">
        <f>Collection!I226</f>
        <v>Cash</v>
      </c>
      <c r="F935" s="157">
        <f>IF(Collection!E226="Payment",N(Collection!H226),0)</f>
        <v>0</v>
      </c>
      <c r="G935" s="157">
        <f>IF(Collection!E226="Collection",N(Collection!G226),0)</f>
        <v>6500</v>
      </c>
      <c r="H935" s="157">
        <f t="shared" si="14"/>
        <v>-6500</v>
      </c>
      <c r="I935" s="151"/>
      <c r="J935" t="str">
        <f>IF($B935="","",IF(AND($B935=Party_Statement!$B$5,$A935&gt;=Party_Statement!$B$6,$A935&lt;=Party_Statement!$D$6),SUMPRODUCT(($B$3:$B935=Party_Statement!$B$5)*($A$3:$A935&gt;=Party_Statement!$B$6)*($A$3:$A935&lt;=Party_Statement!$D$6)),""))</f>
        <v/>
      </c>
    </row>
    <row r="936" spans="1:10" x14ac:dyDescent="0.2">
      <c r="A936" s="155" t="str">
        <f>Collection!A227</f>
        <v>2083/04/01</v>
      </c>
      <c r="B936" s="176" t="str">
        <f>Collection!C227</f>
        <v>DEURALI KIRANA</v>
      </c>
      <c r="C936" s="156" t="str">
        <f>IF(Collection!E227="Payment","Payment","Collection")</f>
        <v>Collection</v>
      </c>
      <c r="D936" s="156">
        <f>Collection!B227</f>
        <v>3898</v>
      </c>
      <c r="E936" s="156" t="str">
        <f>Collection!I227</f>
        <v>Cash</v>
      </c>
      <c r="F936" s="157">
        <f>IF(Collection!E227="Payment",N(Collection!H227),0)</f>
        <v>0</v>
      </c>
      <c r="G936" s="157">
        <f>IF(Collection!E227="Collection",N(Collection!G227),0)</f>
        <v>425</v>
      </c>
      <c r="H936" s="157">
        <f t="shared" si="14"/>
        <v>-425</v>
      </c>
      <c r="I936" s="151"/>
      <c r="J936" t="str">
        <f>IF($B936="","",IF(AND($B936=Party_Statement!$B$5,$A936&gt;=Party_Statement!$B$6,$A936&lt;=Party_Statement!$D$6),SUMPRODUCT(($B$3:$B936=Party_Statement!$B$5)*($A$3:$A936&gt;=Party_Statement!$B$6)*($A$3:$A936&lt;=Party_Statement!$D$6)),""))</f>
        <v/>
      </c>
    </row>
    <row r="937" spans="1:10" x14ac:dyDescent="0.2">
      <c r="A937" s="155" t="str">
        <f>Collection!A228</f>
        <v>2083/04/01</v>
      </c>
      <c r="B937" s="176" t="str">
        <f>Collection!C228</f>
        <v>GIRI KIRANA</v>
      </c>
      <c r="C937" s="156" t="str">
        <f>IF(Collection!E228="Payment","Payment","Collection")</f>
        <v>Collection</v>
      </c>
      <c r="D937" s="156">
        <f>Collection!B228</f>
        <v>3899</v>
      </c>
      <c r="E937" s="156" t="str">
        <f>Collection!I228</f>
        <v>Cash</v>
      </c>
      <c r="F937" s="157">
        <f>IF(Collection!E228="Payment",N(Collection!H228),0)</f>
        <v>0</v>
      </c>
      <c r="G937" s="157">
        <f>IF(Collection!E228="Collection",N(Collection!G228),0)</f>
        <v>1275</v>
      </c>
      <c r="H937" s="157">
        <f t="shared" si="14"/>
        <v>-1275</v>
      </c>
      <c r="I937" s="151"/>
      <c r="J937" t="str">
        <f>IF($B937="","",IF(AND($B937=Party_Statement!$B$5,$A937&gt;=Party_Statement!$B$6,$A937&lt;=Party_Statement!$D$6),SUMPRODUCT(($B$3:$B937=Party_Statement!$B$5)*($A$3:$A937&gt;=Party_Statement!$B$6)*($A$3:$A937&lt;=Party_Statement!$D$6)),""))</f>
        <v/>
      </c>
    </row>
    <row r="938" spans="1:10" x14ac:dyDescent="0.2">
      <c r="A938" s="155" t="str">
        <f>Collection!A229</f>
        <v>2083/04/01</v>
      </c>
      <c r="B938" s="176" t="str">
        <f>Collection!C229</f>
        <v>SAMIKSHYA KIRANA</v>
      </c>
      <c r="C938" s="156" t="str">
        <f>IF(Collection!E229="Payment","Payment","Collection")</f>
        <v>Collection</v>
      </c>
      <c r="D938" s="156">
        <f>Collection!B229</f>
        <v>3900</v>
      </c>
      <c r="E938" s="156" t="str">
        <f>Collection!I229</f>
        <v>Cash</v>
      </c>
      <c r="F938" s="157">
        <f>IF(Collection!E229="Payment",N(Collection!H229),0)</f>
        <v>0</v>
      </c>
      <c r="G938" s="157">
        <f>IF(Collection!E229="Collection",N(Collection!G229),0)</f>
        <v>680</v>
      </c>
      <c r="H938" s="157">
        <f t="shared" si="14"/>
        <v>-680</v>
      </c>
      <c r="I938" s="151"/>
      <c r="J938" t="str">
        <f>IF($B938="","",IF(AND($B938=Party_Statement!$B$5,$A938&gt;=Party_Statement!$B$6,$A938&lt;=Party_Statement!$D$6),SUMPRODUCT(($B$3:$B938=Party_Statement!$B$5)*($A$3:$A938&gt;=Party_Statement!$B$6)*($A$3:$A938&lt;=Party_Statement!$D$6)),""))</f>
        <v/>
      </c>
    </row>
    <row r="939" spans="1:10" x14ac:dyDescent="0.2">
      <c r="A939" s="155" t="str">
        <f>Collection!A230</f>
        <v>2083/04/01</v>
      </c>
      <c r="B939" s="176" t="str">
        <f>Collection!C230</f>
        <v>YUBARAJ AND SAMRAT</v>
      </c>
      <c r="C939" s="156" t="str">
        <f>IF(Collection!E230="Payment","Payment","Collection")</f>
        <v>Collection</v>
      </c>
      <c r="D939" s="156">
        <f>Collection!B230</f>
        <v>3901</v>
      </c>
      <c r="E939" s="156" t="str">
        <f>Collection!I230</f>
        <v>Cash</v>
      </c>
      <c r="F939" s="157">
        <f>IF(Collection!E230="Payment",N(Collection!H230),0)</f>
        <v>0</v>
      </c>
      <c r="G939" s="157">
        <f>IF(Collection!E230="Collection",N(Collection!G230),0)</f>
        <v>2125</v>
      </c>
      <c r="H939" s="157">
        <f t="shared" si="14"/>
        <v>-2125</v>
      </c>
      <c r="I939" s="151"/>
      <c r="J939" t="str">
        <f>IF($B939="","",IF(AND($B939=Party_Statement!$B$5,$A939&gt;=Party_Statement!$B$6,$A939&lt;=Party_Statement!$D$6),SUMPRODUCT(($B$3:$B939=Party_Statement!$B$5)*($A$3:$A939&gt;=Party_Statement!$B$6)*($A$3:$A939&lt;=Party_Statement!$D$6)),""))</f>
        <v/>
      </c>
    </row>
    <row r="940" spans="1:10" x14ac:dyDescent="0.2">
      <c r="A940" s="155" t="str">
        <f>Collection!A231</f>
        <v>2083/04/01</v>
      </c>
      <c r="B940" s="176" t="str">
        <f>Collection!C231</f>
        <v>NEUPANE KIRANA</v>
      </c>
      <c r="C940" s="156" t="str">
        <f>IF(Collection!E231="Payment","Payment","Collection")</f>
        <v>Collection</v>
      </c>
      <c r="D940" s="156">
        <f>Collection!B231</f>
        <v>3902</v>
      </c>
      <c r="E940" s="156" t="str">
        <f>Collection!I231</f>
        <v>Cash</v>
      </c>
      <c r="F940" s="157">
        <f>IF(Collection!E231="Payment",N(Collection!H231),0)</f>
        <v>0</v>
      </c>
      <c r="G940" s="157">
        <f>IF(Collection!E231="Collection",N(Collection!G231),0)</f>
        <v>360</v>
      </c>
      <c r="H940" s="157">
        <f t="shared" si="14"/>
        <v>-360</v>
      </c>
      <c r="I940" s="151"/>
      <c r="J940" t="str">
        <f>IF($B940="","",IF(AND($B940=Party_Statement!$B$5,$A940&gt;=Party_Statement!$B$6,$A940&lt;=Party_Statement!$D$6),SUMPRODUCT(($B$3:$B940=Party_Statement!$B$5)*($A$3:$A940&gt;=Party_Statement!$B$6)*($A$3:$A940&lt;=Party_Statement!$D$6)),""))</f>
        <v/>
      </c>
    </row>
    <row r="941" spans="1:10" x14ac:dyDescent="0.2">
      <c r="A941" s="155" t="str">
        <f>Collection!A232</f>
        <v>2083/04/01</v>
      </c>
      <c r="B941" s="176" t="str">
        <f>Collection!C232</f>
        <v>ORGANIC TARKALI</v>
      </c>
      <c r="C941" s="156" t="str">
        <f>IF(Collection!E232="Payment","Payment","Collection")</f>
        <v>Collection</v>
      </c>
      <c r="D941" s="156">
        <f>Collection!B232</f>
        <v>3903</v>
      </c>
      <c r="E941" s="156" t="str">
        <f>Collection!I232</f>
        <v>Cash</v>
      </c>
      <c r="F941" s="157">
        <f>IF(Collection!E232="Payment",N(Collection!H232),0)</f>
        <v>0</v>
      </c>
      <c r="G941" s="157">
        <f>IF(Collection!E232="Collection",N(Collection!G232),0)</f>
        <v>3800</v>
      </c>
      <c r="H941" s="157">
        <f t="shared" si="14"/>
        <v>-3800</v>
      </c>
      <c r="I941" s="151"/>
      <c r="J941" t="str">
        <f>IF($B941="","",IF(AND($B941=Party_Statement!$B$5,$A941&gt;=Party_Statement!$B$6,$A941&lt;=Party_Statement!$D$6),SUMPRODUCT(($B$3:$B941=Party_Statement!$B$5)*($A$3:$A941&gt;=Party_Statement!$B$6)*($A$3:$A941&lt;=Party_Statement!$D$6)),""))</f>
        <v/>
      </c>
    </row>
    <row r="942" spans="1:10" x14ac:dyDescent="0.2">
      <c r="A942" s="155" t="str">
        <f>Collection!A233</f>
        <v>2083/04/01</v>
      </c>
      <c r="B942" s="176" t="str">
        <f>Collection!C233</f>
        <v>SUBHA MAYA STORE</v>
      </c>
      <c r="C942" s="156" t="str">
        <f>IF(Collection!E233="Payment","Payment","Collection")</f>
        <v>Collection</v>
      </c>
      <c r="D942" s="156">
        <f>Collection!B233</f>
        <v>3904</v>
      </c>
      <c r="E942" s="156" t="str">
        <f>Collection!I233</f>
        <v>Cash</v>
      </c>
      <c r="F942" s="157">
        <f>IF(Collection!E233="Payment",N(Collection!H233),0)</f>
        <v>0</v>
      </c>
      <c r="G942" s="157">
        <f>IF(Collection!E233="Collection",N(Collection!G233),0)</f>
        <v>16500</v>
      </c>
      <c r="H942" s="157">
        <f t="shared" si="14"/>
        <v>-16500</v>
      </c>
      <c r="I942" s="151"/>
      <c r="J942" t="str">
        <f>IF($B942="","",IF(AND($B942=Party_Statement!$B$5,$A942&gt;=Party_Statement!$B$6,$A942&lt;=Party_Statement!$D$6),SUMPRODUCT(($B$3:$B942=Party_Statement!$B$5)*($A$3:$A942&gt;=Party_Statement!$B$6)*($A$3:$A942&lt;=Party_Statement!$D$6)),""))</f>
        <v/>
      </c>
    </row>
    <row r="943" spans="1:10" x14ac:dyDescent="0.2">
      <c r="A943" s="155" t="str">
        <f>Collection!A235</f>
        <v>2083/04/02</v>
      </c>
      <c r="B943" s="176" t="str">
        <f>Collection!C235</f>
        <v>LOCAL</v>
      </c>
      <c r="C943" s="156" t="str">
        <f>IF(Collection!E235="Payment","Payment","Collection")</f>
        <v>Collection</v>
      </c>
      <c r="D943" s="156">
        <f>Collection!B235</f>
        <v>6342</v>
      </c>
      <c r="E943" s="156" t="str">
        <f>Collection!I235</f>
        <v>Cash</v>
      </c>
      <c r="F943" s="157">
        <f>IF(Collection!E235="Payment",N(Collection!H235),0)</f>
        <v>0</v>
      </c>
      <c r="G943" s="157">
        <f>IF(Collection!E235="Collection",N(Collection!G235),0)</f>
        <v>840</v>
      </c>
      <c r="H943" s="157">
        <f t="shared" si="14"/>
        <v>-840</v>
      </c>
      <c r="I943" s="151"/>
      <c r="J943" t="str">
        <f>IF($B943="","",IF(AND($B943=Party_Statement!$B$5,$A943&gt;=Party_Statement!$B$6,$A943&lt;=Party_Statement!$D$6),SUMPRODUCT(($B$3:$B943=Party_Statement!$B$5)*($A$3:$A943&gt;=Party_Statement!$B$6)*($A$3:$A943&lt;=Party_Statement!$D$6)),""))</f>
        <v/>
      </c>
    </row>
    <row r="944" spans="1:10" x14ac:dyDescent="0.2">
      <c r="A944" s="155" t="str">
        <f>Collection!A236</f>
        <v>2083/04/02</v>
      </c>
      <c r="B944" s="176" t="str">
        <f>Collection!C236</f>
        <v>LOCAL</v>
      </c>
      <c r="C944" s="156" t="str">
        <f>IF(Collection!E236="Payment","Payment","Collection")</f>
        <v>Collection</v>
      </c>
      <c r="D944" s="156">
        <f>Collection!B236</f>
        <v>6341</v>
      </c>
      <c r="E944" s="156" t="str">
        <f>Collection!I236</f>
        <v>Cash</v>
      </c>
      <c r="F944" s="157">
        <f>IF(Collection!E236="Payment",N(Collection!H236),0)</f>
        <v>0</v>
      </c>
      <c r="G944" s="157">
        <f>IF(Collection!E236="Collection",N(Collection!G236),0)</f>
        <v>270</v>
      </c>
      <c r="H944" s="157">
        <f t="shared" si="14"/>
        <v>-1110</v>
      </c>
      <c r="I944" s="151"/>
      <c r="J944" t="str">
        <f>IF($B944="","",IF(AND($B944=Party_Statement!$B$5,$A944&gt;=Party_Statement!$B$6,$A944&lt;=Party_Statement!$D$6),SUMPRODUCT(($B$3:$B944=Party_Statement!$B$5)*($A$3:$A944&gt;=Party_Statement!$B$6)*($A$3:$A944&lt;=Party_Statement!$D$6)),""))</f>
        <v/>
      </c>
    </row>
    <row r="945" spans="1:10" x14ac:dyDescent="0.2">
      <c r="A945" s="155" t="str">
        <f>Collection!A237</f>
        <v>2083/04/02</v>
      </c>
      <c r="B945" s="176" t="str">
        <f>Collection!C237</f>
        <v>KAMALA THAPA</v>
      </c>
      <c r="C945" s="156" t="str">
        <f>IF(Collection!E237="Payment","Payment","Collection")</f>
        <v>Collection</v>
      </c>
      <c r="D945" s="156">
        <f>Collection!B237</f>
        <v>3905</v>
      </c>
      <c r="E945" s="156" t="str">
        <f>Collection!I237</f>
        <v>Cash</v>
      </c>
      <c r="F945" s="157">
        <f>IF(Collection!E237="Payment",N(Collection!H237),0)</f>
        <v>0</v>
      </c>
      <c r="G945" s="157">
        <f>IF(Collection!E237="Collection",N(Collection!G237),0)</f>
        <v>1100</v>
      </c>
      <c r="H945" s="157">
        <f t="shared" si="14"/>
        <v>-1100</v>
      </c>
      <c r="I945" s="151"/>
      <c r="J945" t="str">
        <f>IF($B945="","",IF(AND($B945=Party_Statement!$B$5,$A945&gt;=Party_Statement!$B$6,$A945&lt;=Party_Statement!$D$6),SUMPRODUCT(($B$3:$B945=Party_Statement!$B$5)*($A$3:$A945&gt;=Party_Statement!$B$6)*($A$3:$A945&lt;=Party_Statement!$D$6)),""))</f>
        <v/>
      </c>
    </row>
    <row r="946" spans="1:10" x14ac:dyDescent="0.2">
      <c r="A946" s="155" t="str">
        <f>Collection!A238</f>
        <v>2083/04/02</v>
      </c>
      <c r="B946" s="176" t="str">
        <f>Collection!C238</f>
        <v>SRIJANA DAIRY</v>
      </c>
      <c r="C946" s="156" t="str">
        <f>IF(Collection!E238="Payment","Payment","Collection")</f>
        <v>Collection</v>
      </c>
      <c r="D946" s="156">
        <f>Collection!B238</f>
        <v>3906</v>
      </c>
      <c r="E946" s="156" t="str">
        <f>Collection!I238</f>
        <v>Cash</v>
      </c>
      <c r="F946" s="157">
        <f>IF(Collection!E238="Payment",N(Collection!H238),0)</f>
        <v>0</v>
      </c>
      <c r="G946" s="157">
        <f>IF(Collection!E238="Collection",N(Collection!G238),0)</f>
        <v>2975</v>
      </c>
      <c r="H946" s="157">
        <f t="shared" si="14"/>
        <v>-2975</v>
      </c>
      <c r="I946" s="151"/>
      <c r="J946" t="str">
        <f>IF($B946="","",IF(AND($B946=Party_Statement!$B$5,$A946&gt;=Party_Statement!$B$6,$A946&lt;=Party_Statement!$D$6),SUMPRODUCT(($B$3:$B946=Party_Statement!$B$5)*($A$3:$A946&gt;=Party_Statement!$B$6)*($A$3:$A946&lt;=Party_Statement!$D$6)),""))</f>
        <v/>
      </c>
    </row>
    <row r="947" spans="1:10" x14ac:dyDescent="0.2">
      <c r="A947" s="155" t="str">
        <f>Collection!A239</f>
        <v>2083/04/02</v>
      </c>
      <c r="B947" s="176" t="str">
        <f>Collection!C239</f>
        <v>SOBHA BHATTARAI</v>
      </c>
      <c r="C947" s="156" t="str">
        <f>IF(Collection!E239="Payment","Payment","Collection")</f>
        <v>Collection</v>
      </c>
      <c r="D947" s="156">
        <f>Collection!B239</f>
        <v>3907</v>
      </c>
      <c r="E947" s="156" t="str">
        <f>Collection!I239</f>
        <v>Cash</v>
      </c>
      <c r="F947" s="157">
        <f>IF(Collection!E239="Payment",N(Collection!H239),0)</f>
        <v>0</v>
      </c>
      <c r="G947" s="157">
        <f>IF(Collection!E239="Collection",N(Collection!G239),0)</f>
        <v>2125</v>
      </c>
      <c r="H947" s="157">
        <f t="shared" si="14"/>
        <v>-2125</v>
      </c>
      <c r="I947" s="151"/>
      <c r="J947" t="str">
        <f>IF($B947="","",IF(AND($B947=Party_Statement!$B$5,$A947&gt;=Party_Statement!$B$6,$A947&lt;=Party_Statement!$D$6),SUMPRODUCT(($B$3:$B947=Party_Statement!$B$5)*($A$3:$A947&gt;=Party_Statement!$B$6)*($A$3:$A947&lt;=Party_Statement!$D$6)),""))</f>
        <v/>
      </c>
    </row>
    <row r="948" spans="1:10" x14ac:dyDescent="0.2">
      <c r="A948" s="155" t="str">
        <f>Collection!A240</f>
        <v>2083/04/02</v>
      </c>
      <c r="B948" s="176" t="str">
        <f>Collection!C240</f>
        <v>AAYUSH AND AAYUSHMA</v>
      </c>
      <c r="C948" s="156" t="str">
        <f>IF(Collection!E240="Payment","Payment","Collection")</f>
        <v>Collection</v>
      </c>
      <c r="D948" s="156">
        <f>Collection!B240</f>
        <v>3908</v>
      </c>
      <c r="E948" s="156" t="str">
        <f>Collection!I240</f>
        <v>Cash</v>
      </c>
      <c r="F948" s="157">
        <f>IF(Collection!E240="Payment",N(Collection!H240),0)</f>
        <v>0</v>
      </c>
      <c r="G948" s="157">
        <f>IF(Collection!E240="Collection",N(Collection!G240),0)</f>
        <v>425</v>
      </c>
      <c r="H948" s="157">
        <f t="shared" si="14"/>
        <v>-425</v>
      </c>
      <c r="I948" s="151"/>
      <c r="J948" t="str">
        <f>IF($B948="","",IF(AND($B948=Party_Statement!$B$5,$A948&gt;=Party_Statement!$B$6,$A948&lt;=Party_Statement!$D$6),SUMPRODUCT(($B$3:$B948=Party_Statement!$B$5)*($A$3:$A948&gt;=Party_Statement!$B$6)*($A$3:$A948&lt;=Party_Statement!$D$6)),""))</f>
        <v/>
      </c>
    </row>
    <row r="949" spans="1:10" x14ac:dyDescent="0.2">
      <c r="A949" s="155" t="str">
        <f>Collection!A241</f>
        <v>2083/04/02</v>
      </c>
      <c r="B949" s="176" t="str">
        <f>Collection!C241</f>
        <v>YUBARAJ AND SAMRAT</v>
      </c>
      <c r="C949" s="156" t="str">
        <f>IF(Collection!E241="Payment","Payment","Collection")</f>
        <v>Collection</v>
      </c>
      <c r="D949" s="156">
        <f>Collection!B241</f>
        <v>3909</v>
      </c>
      <c r="E949" s="156" t="str">
        <f>Collection!I241</f>
        <v>Cash</v>
      </c>
      <c r="F949" s="157">
        <f>IF(Collection!E241="Payment",N(Collection!H241),0)</f>
        <v>0</v>
      </c>
      <c r="G949" s="157">
        <f>IF(Collection!E241="Collection",N(Collection!G241),0)</f>
        <v>1020</v>
      </c>
      <c r="H949" s="157">
        <f t="shared" si="14"/>
        <v>-1020</v>
      </c>
      <c r="I949" s="151"/>
      <c r="J949" t="str">
        <f>IF($B949="","",IF(AND($B949=Party_Statement!$B$5,$A949&gt;=Party_Statement!$B$6,$A949&lt;=Party_Statement!$D$6),SUMPRODUCT(($B$3:$B949=Party_Statement!$B$5)*($A$3:$A949&gt;=Party_Statement!$B$6)*($A$3:$A949&lt;=Party_Statement!$D$6)),""))</f>
        <v/>
      </c>
    </row>
    <row r="950" spans="1:10" x14ac:dyDescent="0.2">
      <c r="A950" s="155" t="str">
        <f>Collection!A242</f>
        <v>2083/04/02</v>
      </c>
      <c r="B950" s="176" t="str">
        <f>Collection!C242</f>
        <v>SAMIKSHYA KIRANA</v>
      </c>
      <c r="C950" s="156" t="str">
        <f>IF(Collection!E242="Payment","Payment","Collection")</f>
        <v>Collection</v>
      </c>
      <c r="D950" s="156">
        <f>Collection!B242</f>
        <v>3910</v>
      </c>
      <c r="E950" s="156" t="str">
        <f>Collection!I242</f>
        <v>Cash</v>
      </c>
      <c r="F950" s="157">
        <f>IF(Collection!E242="Payment",N(Collection!H242),0)</f>
        <v>0</v>
      </c>
      <c r="G950" s="157">
        <f>IF(Collection!E242="Collection",N(Collection!G242),0)</f>
        <v>680</v>
      </c>
      <c r="H950" s="157">
        <f t="shared" si="14"/>
        <v>-680</v>
      </c>
      <c r="I950" s="151"/>
      <c r="J950" t="str">
        <f>IF($B950="","",IF(AND($B950=Party_Statement!$B$5,$A950&gt;=Party_Statement!$B$6,$A950&lt;=Party_Statement!$D$6),SUMPRODUCT(($B$3:$B950=Party_Statement!$B$5)*($A$3:$A950&gt;=Party_Statement!$B$6)*($A$3:$A950&lt;=Party_Statement!$D$6)),""))</f>
        <v/>
      </c>
    </row>
    <row r="951" spans="1:10" x14ac:dyDescent="0.2">
      <c r="A951" s="155" t="str">
        <f>Collection!A243</f>
        <v>2083/04/02</v>
      </c>
      <c r="B951" s="176" t="str">
        <f>Collection!C243</f>
        <v>GIRI KIRANA</v>
      </c>
      <c r="C951" s="156" t="str">
        <f>IF(Collection!E243="Payment","Payment","Collection")</f>
        <v>Collection</v>
      </c>
      <c r="D951" s="156">
        <f>Collection!B243</f>
        <v>3911</v>
      </c>
      <c r="E951" s="156" t="str">
        <f>Collection!I243</f>
        <v>Cash</v>
      </c>
      <c r="F951" s="157">
        <f>IF(Collection!E243="Payment",N(Collection!H243),0)</f>
        <v>0</v>
      </c>
      <c r="G951" s="157">
        <f>IF(Collection!E243="Collection",N(Collection!G243),0)</f>
        <v>2975</v>
      </c>
      <c r="H951" s="157">
        <f t="shared" si="14"/>
        <v>-2975</v>
      </c>
      <c r="I951" s="151"/>
      <c r="J951" t="str">
        <f>IF($B951="","",IF(AND($B951=Party_Statement!$B$5,$A951&gt;=Party_Statement!$B$6,$A951&lt;=Party_Statement!$D$6),SUMPRODUCT(($B$3:$B951=Party_Statement!$B$5)*($A$3:$A951&gt;=Party_Statement!$B$6)*($A$3:$A951&lt;=Party_Statement!$D$6)),""))</f>
        <v/>
      </c>
    </row>
    <row r="952" spans="1:10" x14ac:dyDescent="0.2">
      <c r="A952" s="155" t="str">
        <f>Collection!A244</f>
        <v>2083/04/02</v>
      </c>
      <c r="B952" s="176" t="str">
        <f>Collection!C244</f>
        <v>AAMOSH KIRANA</v>
      </c>
      <c r="C952" s="156" t="str">
        <f>IF(Collection!E244="Payment","Payment","Collection")</f>
        <v>Collection</v>
      </c>
      <c r="D952" s="156">
        <f>Collection!B244</f>
        <v>3912</v>
      </c>
      <c r="E952" s="156" t="str">
        <f>Collection!I244</f>
        <v>Cash</v>
      </c>
      <c r="F952" s="157">
        <f>IF(Collection!E244="Payment",N(Collection!H244),0)</f>
        <v>0</v>
      </c>
      <c r="G952" s="157">
        <f>IF(Collection!E244="Collection",N(Collection!G244),0)</f>
        <v>24000</v>
      </c>
      <c r="H952" s="157">
        <f t="shared" si="14"/>
        <v>-24000</v>
      </c>
      <c r="I952" s="151"/>
      <c r="J952" t="str">
        <f>IF($B952="","",IF(AND($B952=Party_Statement!$B$5,$A952&gt;=Party_Statement!$B$6,$A952&lt;=Party_Statement!$D$6),SUMPRODUCT(($B$3:$B952=Party_Statement!$B$5)*($A$3:$A952&gt;=Party_Statement!$B$6)*($A$3:$A952&lt;=Party_Statement!$D$6)),""))</f>
        <v/>
      </c>
    </row>
    <row r="953" spans="1:10" x14ac:dyDescent="0.2">
      <c r="A953" s="155" t="str">
        <f>Collection!A245</f>
        <v>2083/04/02</v>
      </c>
      <c r="B953" s="176" t="str">
        <f>Collection!C245</f>
        <v>PALPALI KIRANA</v>
      </c>
      <c r="C953" s="156" t="str">
        <f>IF(Collection!E245="Payment","Payment","Collection")</f>
        <v>Collection</v>
      </c>
      <c r="D953" s="156">
        <f>Collection!B245</f>
        <v>3913</v>
      </c>
      <c r="E953" s="156" t="str">
        <f>Collection!I245</f>
        <v>Cash</v>
      </c>
      <c r="F953" s="157">
        <f>IF(Collection!E245="Payment",N(Collection!H245),0)</f>
        <v>0</v>
      </c>
      <c r="G953" s="157">
        <f>IF(Collection!E245="Collection",N(Collection!G245),0)</f>
        <v>1700</v>
      </c>
      <c r="H953" s="157">
        <f t="shared" si="14"/>
        <v>-1700</v>
      </c>
      <c r="I953" s="151"/>
      <c r="J953" t="str">
        <f>IF($B953="","",IF(AND($B953=Party_Statement!$B$5,$A953&gt;=Party_Statement!$B$6,$A953&lt;=Party_Statement!$D$6),SUMPRODUCT(($B$3:$B953=Party_Statement!$B$5)*($A$3:$A953&gt;=Party_Statement!$B$6)*($A$3:$A953&lt;=Party_Statement!$D$6)),""))</f>
        <v/>
      </c>
    </row>
    <row r="954" spans="1:10" x14ac:dyDescent="0.2">
      <c r="A954" s="155" t="str">
        <f>Collection!A246</f>
        <v>2083/04/02</v>
      </c>
      <c r="B954" s="176" t="str">
        <f>Collection!C246</f>
        <v>DEURALI KIRANA</v>
      </c>
      <c r="C954" s="156" t="str">
        <f>IF(Collection!E246="Payment","Payment","Collection")</f>
        <v>Collection</v>
      </c>
      <c r="D954" s="156">
        <f>Collection!B246</f>
        <v>3914</v>
      </c>
      <c r="E954" s="156" t="str">
        <f>Collection!I246</f>
        <v>Cash</v>
      </c>
      <c r="F954" s="157">
        <f>IF(Collection!E246="Payment",N(Collection!H246),0)</f>
        <v>0</v>
      </c>
      <c r="G954" s="157">
        <f>IF(Collection!E246="Collection",N(Collection!G246),0)</f>
        <v>425</v>
      </c>
      <c r="H954" s="157">
        <f t="shared" si="14"/>
        <v>-425</v>
      </c>
      <c r="I954" s="151"/>
      <c r="J954" t="str">
        <f>IF($B954="","",IF(AND($B954=Party_Statement!$B$5,$A954&gt;=Party_Statement!$B$6,$A954&lt;=Party_Statement!$D$6),SUMPRODUCT(($B$3:$B954=Party_Statement!$B$5)*($A$3:$A954&gt;=Party_Statement!$B$6)*($A$3:$A954&lt;=Party_Statement!$D$6)),""))</f>
        <v/>
      </c>
    </row>
    <row r="955" spans="1:10" x14ac:dyDescent="0.2">
      <c r="A955" s="155" t="str">
        <f>Collection!A247</f>
        <v>2083/04/02</v>
      </c>
      <c r="B955" s="176" t="str">
        <f>Collection!C247</f>
        <v>KRITIKA KIRANA</v>
      </c>
      <c r="C955" s="156" t="str">
        <f>IF(Collection!E247="Payment","Payment","Collection")</f>
        <v>Collection</v>
      </c>
      <c r="D955" s="156">
        <f>Collection!B247</f>
        <v>3915</v>
      </c>
      <c r="E955" s="156" t="str">
        <f>Collection!I247</f>
        <v>Cash</v>
      </c>
      <c r="F955" s="157">
        <f>IF(Collection!E247="Payment",N(Collection!H247),0)</f>
        <v>0</v>
      </c>
      <c r="G955" s="157">
        <f>IF(Collection!E247="Collection",N(Collection!G247),0)</f>
        <v>32695</v>
      </c>
      <c r="H955" s="157">
        <f t="shared" si="14"/>
        <v>-32695</v>
      </c>
      <c r="I955" s="151"/>
      <c r="J955" t="str">
        <f>IF($B955="","",IF(AND($B955=Party_Statement!$B$5,$A955&gt;=Party_Statement!$B$6,$A955&lt;=Party_Statement!$D$6),SUMPRODUCT(($B$3:$B955=Party_Statement!$B$5)*($A$3:$A955&gt;=Party_Statement!$B$6)*($A$3:$A955&lt;=Party_Statement!$D$6)),""))</f>
        <v/>
      </c>
    </row>
    <row r="956" spans="1:10" x14ac:dyDescent="0.2">
      <c r="A956" s="155" t="str">
        <f>Collection!A248</f>
        <v>2083/04/02</v>
      </c>
      <c r="B956" s="176" t="str">
        <f>Collection!C248</f>
        <v>NEUPANE KIRANA</v>
      </c>
      <c r="C956" s="156" t="str">
        <f>IF(Collection!E248="Payment","Payment","Collection")</f>
        <v>Collection</v>
      </c>
      <c r="D956" s="156">
        <f>Collection!B248</f>
        <v>3916</v>
      </c>
      <c r="E956" s="156" t="str">
        <f>Collection!I248</f>
        <v>Cash</v>
      </c>
      <c r="F956" s="157">
        <f>IF(Collection!E248="Payment",N(Collection!H248),0)</f>
        <v>0</v>
      </c>
      <c r="G956" s="157">
        <f>IF(Collection!E248="Collection",N(Collection!G248),0)</f>
        <v>180</v>
      </c>
      <c r="H956" s="157">
        <f t="shared" si="14"/>
        <v>-180</v>
      </c>
      <c r="I956" s="151"/>
      <c r="J956" t="str">
        <f>IF($B956="","",IF(AND($B956=Party_Statement!$B$5,$A956&gt;=Party_Statement!$B$6,$A956&lt;=Party_Statement!$D$6),SUMPRODUCT(($B$3:$B956=Party_Statement!$B$5)*($A$3:$A956&gt;=Party_Statement!$B$6)*($A$3:$A956&lt;=Party_Statement!$D$6)),""))</f>
        <v/>
      </c>
    </row>
    <row r="957" spans="1:10" x14ac:dyDescent="0.2">
      <c r="A957" s="155" t="str">
        <f>Collection!A249</f>
        <v>2083/04/02</v>
      </c>
      <c r="B957" s="176" t="str">
        <f>Collection!C249</f>
        <v>ORGANIC TARKALI</v>
      </c>
      <c r="C957" s="156" t="str">
        <f>IF(Collection!E249="Payment","Payment","Collection")</f>
        <v>Collection</v>
      </c>
      <c r="D957" s="156">
        <f>Collection!B249</f>
        <v>3917</v>
      </c>
      <c r="E957" s="156" t="str">
        <f>Collection!I249</f>
        <v>Cash</v>
      </c>
      <c r="F957" s="157">
        <f>IF(Collection!E249="Payment",N(Collection!H249),0)</f>
        <v>0</v>
      </c>
      <c r="G957" s="157">
        <f>IF(Collection!E249="Collection",N(Collection!G249),0)</f>
        <v>2920</v>
      </c>
      <c r="H957" s="157">
        <f t="shared" si="14"/>
        <v>-2920</v>
      </c>
      <c r="I957" s="151"/>
      <c r="J957" t="str">
        <f>IF($B957="","",IF(AND($B957=Party_Statement!$B$5,$A957&gt;=Party_Statement!$B$6,$A957&lt;=Party_Statement!$D$6),SUMPRODUCT(($B$3:$B957=Party_Statement!$B$5)*($A$3:$A957&gt;=Party_Statement!$B$6)*($A$3:$A957&lt;=Party_Statement!$D$6)),""))</f>
        <v/>
      </c>
    </row>
    <row r="958" spans="1:10" x14ac:dyDescent="0.2">
      <c r="A958" s="155" t="str">
        <f>Collection!A250</f>
        <v>2083/04/02</v>
      </c>
      <c r="B958" s="176" t="str">
        <f>Collection!C250</f>
        <v>BHUSAL JANARAJ STORE</v>
      </c>
      <c r="C958" s="156" t="str">
        <f>IF(Collection!E250="Payment","Payment","Collection")</f>
        <v>Collection</v>
      </c>
      <c r="D958" s="156">
        <f>Collection!B250</f>
        <v>3918</v>
      </c>
      <c r="E958" s="156" t="str">
        <f>Collection!I250</f>
        <v>Cash</v>
      </c>
      <c r="F958" s="157">
        <f>IF(Collection!E250="Payment",N(Collection!H250),0)</f>
        <v>0</v>
      </c>
      <c r="G958" s="157">
        <f>IF(Collection!E250="Collection",N(Collection!G250),0)</f>
        <v>3830</v>
      </c>
      <c r="H958" s="157">
        <f t="shared" si="14"/>
        <v>-3830</v>
      </c>
      <c r="I958" s="151"/>
      <c r="J958" t="str">
        <f>IF($B958="","",IF(AND($B958=Party_Statement!$B$5,$A958&gt;=Party_Statement!$B$6,$A958&lt;=Party_Statement!$D$6),SUMPRODUCT(($B$3:$B958=Party_Statement!$B$5)*($A$3:$A958&gt;=Party_Statement!$B$6)*($A$3:$A958&lt;=Party_Statement!$D$6)),""))</f>
        <v/>
      </c>
    </row>
    <row r="959" spans="1:10" x14ac:dyDescent="0.2">
      <c r="A959" s="155" t="str">
        <f>Collection!A252</f>
        <v>2083/04/03</v>
      </c>
      <c r="B959" s="176" t="str">
        <f>Collection!C252</f>
        <v>LOCAL</v>
      </c>
      <c r="C959" s="156" t="str">
        <f>IF(Collection!E252="Payment","Payment","Collection")</f>
        <v>Collection</v>
      </c>
      <c r="D959" s="156">
        <f>Collection!B252</f>
        <v>6376</v>
      </c>
      <c r="E959" s="156" t="str">
        <f>Collection!I252</f>
        <v>Cash</v>
      </c>
      <c r="F959" s="157">
        <f>IF(Collection!E252="Payment",N(Collection!H252),0)</f>
        <v>0</v>
      </c>
      <c r="G959" s="157">
        <f>IF(Collection!E252="Collection",N(Collection!G252),0)</f>
        <v>530</v>
      </c>
      <c r="H959" s="157">
        <f t="shared" si="14"/>
        <v>-530</v>
      </c>
      <c r="I959" s="151"/>
      <c r="J959" t="str">
        <f>IF($B959="","",IF(AND($B959=Party_Statement!$B$5,$A959&gt;=Party_Statement!$B$6,$A959&lt;=Party_Statement!$D$6),SUMPRODUCT(($B$3:$B959=Party_Statement!$B$5)*($A$3:$A959&gt;=Party_Statement!$B$6)*($A$3:$A959&lt;=Party_Statement!$D$6)),""))</f>
        <v/>
      </c>
    </row>
    <row r="960" spans="1:10" x14ac:dyDescent="0.2">
      <c r="A960" s="155" t="str">
        <f>Collection!A253</f>
        <v>2083/04/03</v>
      </c>
      <c r="B960" s="176" t="str">
        <f>Collection!C253</f>
        <v>SRIJANA DAIRY</v>
      </c>
      <c r="C960" s="156" t="str">
        <f>IF(Collection!E253="Payment","Payment","Collection")</f>
        <v>Collection</v>
      </c>
      <c r="D960" s="156">
        <f>Collection!B253</f>
        <v>3919</v>
      </c>
      <c r="E960" s="156" t="str">
        <f>Collection!I253</f>
        <v>Cash</v>
      </c>
      <c r="F960" s="157">
        <f>IF(Collection!E253="Payment",N(Collection!H253),0)</f>
        <v>0</v>
      </c>
      <c r="G960" s="157">
        <f>IF(Collection!E253="Collection",N(Collection!G253),0)</f>
        <v>5100</v>
      </c>
      <c r="H960" s="157">
        <f t="shared" si="14"/>
        <v>-5100</v>
      </c>
      <c r="I960" s="151"/>
      <c r="J960" t="str">
        <f>IF($B960="","",IF(AND($B960=Party_Statement!$B$5,$A960&gt;=Party_Statement!$B$6,$A960&lt;=Party_Statement!$D$6),SUMPRODUCT(($B$3:$B960=Party_Statement!$B$5)*($A$3:$A960&gt;=Party_Statement!$B$6)*($A$3:$A960&lt;=Party_Statement!$D$6)),""))</f>
        <v/>
      </c>
    </row>
    <row r="961" spans="1:10" x14ac:dyDescent="0.2">
      <c r="A961" s="155" t="str">
        <f>Collection!A254</f>
        <v>2083/04/03</v>
      </c>
      <c r="B961" s="176" t="str">
        <f>Collection!C254</f>
        <v>ORGANIC TARKALI</v>
      </c>
      <c r="C961" s="156" t="str">
        <f>IF(Collection!E254="Payment","Payment","Collection")</f>
        <v>Collection</v>
      </c>
      <c r="D961" s="156">
        <f>Collection!B254</f>
        <v>3920</v>
      </c>
      <c r="E961" s="156" t="str">
        <f>Collection!I254</f>
        <v>Cash</v>
      </c>
      <c r="F961" s="157">
        <f>IF(Collection!E254="Payment",N(Collection!H254),0)</f>
        <v>0</v>
      </c>
      <c r="G961" s="157">
        <f>IF(Collection!E254="Collection",N(Collection!G254),0)</f>
        <v>1900</v>
      </c>
      <c r="H961" s="157">
        <f t="shared" si="14"/>
        <v>-1900</v>
      </c>
      <c r="I961" s="151"/>
      <c r="J961" t="str">
        <f>IF($B961="","",IF(AND($B961=Party_Statement!$B$5,$A961&gt;=Party_Statement!$B$6,$A961&lt;=Party_Statement!$D$6),SUMPRODUCT(($B$3:$B961=Party_Statement!$B$5)*($A$3:$A961&gt;=Party_Statement!$B$6)*($A$3:$A961&lt;=Party_Statement!$D$6)),""))</f>
        <v/>
      </c>
    </row>
    <row r="962" spans="1:10" x14ac:dyDescent="0.2">
      <c r="A962" s="155" t="str">
        <f>Collection!A255</f>
        <v>2083/04/03</v>
      </c>
      <c r="B962" s="176" t="str">
        <f>Collection!C255</f>
        <v>ORGANIC TARKALI</v>
      </c>
      <c r="C962" s="156" t="str">
        <f>IF(Collection!E255="Payment","Payment","Collection")</f>
        <v>Collection</v>
      </c>
      <c r="D962" s="156">
        <f>Collection!B255</f>
        <v>3921</v>
      </c>
      <c r="E962" s="156" t="str">
        <f>Collection!I255</f>
        <v>Cash</v>
      </c>
      <c r="F962" s="157">
        <f>IF(Collection!E255="Payment",N(Collection!H255),0)</f>
        <v>0</v>
      </c>
      <c r="G962" s="157">
        <f>IF(Collection!E255="Collection",N(Collection!G255),0)</f>
        <v>5900</v>
      </c>
      <c r="H962" s="157">
        <f t="shared" si="14"/>
        <v>-7800</v>
      </c>
      <c r="I962" s="151"/>
      <c r="J962" t="str">
        <f>IF($B962="","",IF(AND($B962=Party_Statement!$B$5,$A962&gt;=Party_Statement!$B$6,$A962&lt;=Party_Statement!$D$6),SUMPRODUCT(($B$3:$B962=Party_Statement!$B$5)*($A$3:$A962&gt;=Party_Statement!$B$6)*($A$3:$A962&lt;=Party_Statement!$D$6)),""))</f>
        <v/>
      </c>
    </row>
    <row r="963" spans="1:10" x14ac:dyDescent="0.2">
      <c r="A963" s="155" t="str">
        <f>Collection!A256</f>
        <v>2083/04/03</v>
      </c>
      <c r="B963" s="176" t="str">
        <f>Collection!C256</f>
        <v>SOBHA BHATTARAI</v>
      </c>
      <c r="C963" s="156" t="str">
        <f>IF(Collection!E256="Payment","Payment","Collection")</f>
        <v>Collection</v>
      </c>
      <c r="D963" s="156">
        <f>Collection!B256</f>
        <v>3922</v>
      </c>
      <c r="E963" s="156" t="str">
        <f>Collection!I256</f>
        <v>Cash</v>
      </c>
      <c r="F963" s="157">
        <f>IF(Collection!E256="Payment",N(Collection!H256),0)</f>
        <v>0</v>
      </c>
      <c r="G963" s="157">
        <f>IF(Collection!E256="Collection",N(Collection!G256),0)</f>
        <v>2975</v>
      </c>
      <c r="H963" s="157">
        <f t="shared" si="14"/>
        <v>-2975</v>
      </c>
      <c r="I963" s="151"/>
      <c r="J963" t="str">
        <f>IF($B963="","",IF(AND($B963=Party_Statement!$B$5,$A963&gt;=Party_Statement!$B$6,$A963&lt;=Party_Statement!$D$6),SUMPRODUCT(($B$3:$B963=Party_Statement!$B$5)*($A$3:$A963&gt;=Party_Statement!$B$6)*($A$3:$A963&lt;=Party_Statement!$D$6)),""))</f>
        <v/>
      </c>
    </row>
    <row r="964" spans="1:10" x14ac:dyDescent="0.2">
      <c r="A964" s="155" t="str">
        <f>Collection!A257</f>
        <v>2083/04/03</v>
      </c>
      <c r="B964" s="176" t="str">
        <f>Collection!C257</f>
        <v>YUBARAJ AND SAMRAT</v>
      </c>
      <c r="C964" s="156" t="str">
        <f>IF(Collection!E257="Payment","Payment","Collection")</f>
        <v>Collection</v>
      </c>
      <c r="D964" s="156">
        <f>Collection!B257</f>
        <v>3923</v>
      </c>
      <c r="E964" s="156" t="str">
        <f>Collection!I257</f>
        <v>Cash</v>
      </c>
      <c r="F964" s="157">
        <f>IF(Collection!E257="Payment",N(Collection!H257),0)</f>
        <v>0</v>
      </c>
      <c r="G964" s="157">
        <f>IF(Collection!E257="Collection",N(Collection!G257),0)</f>
        <v>1275</v>
      </c>
      <c r="H964" s="157">
        <f t="shared" ref="H964:H1027" si="15">IF($B964="","",IF($B964=$B963,$H963+$F964-$G964,$F964-$G964))</f>
        <v>-1275</v>
      </c>
      <c r="I964" s="151"/>
      <c r="J964" t="str">
        <f>IF($B964="","",IF(AND($B964=Party_Statement!$B$5,$A964&gt;=Party_Statement!$B$6,$A964&lt;=Party_Statement!$D$6),SUMPRODUCT(($B$3:$B964=Party_Statement!$B$5)*($A$3:$A964&gt;=Party_Statement!$B$6)*($A$3:$A964&lt;=Party_Statement!$D$6)),""))</f>
        <v/>
      </c>
    </row>
    <row r="965" spans="1:10" x14ac:dyDescent="0.2">
      <c r="A965" s="155" t="str">
        <f>Collection!A258</f>
        <v>2083/04/03</v>
      </c>
      <c r="B965" s="176" t="str">
        <f>Collection!C258</f>
        <v>SAMIKSHYA KIRANA</v>
      </c>
      <c r="C965" s="156" t="str">
        <f>IF(Collection!E258="Payment","Payment","Collection")</f>
        <v>Collection</v>
      </c>
      <c r="D965" s="156">
        <f>Collection!B258</f>
        <v>3924</v>
      </c>
      <c r="E965" s="156" t="str">
        <f>Collection!I258</f>
        <v>Cash</v>
      </c>
      <c r="F965" s="157">
        <f>IF(Collection!E258="Payment",N(Collection!H258),0)</f>
        <v>0</v>
      </c>
      <c r="G965" s="157">
        <f>IF(Collection!E258="Collection",N(Collection!G258),0)</f>
        <v>680</v>
      </c>
      <c r="H965" s="157">
        <f t="shared" si="15"/>
        <v>-680</v>
      </c>
      <c r="I965" s="151"/>
      <c r="J965" t="str">
        <f>IF($B965="","",IF(AND($B965=Party_Statement!$B$5,$A965&gt;=Party_Statement!$B$6,$A965&lt;=Party_Statement!$D$6),SUMPRODUCT(($B$3:$B965=Party_Statement!$B$5)*($A$3:$A965&gt;=Party_Statement!$B$6)*($A$3:$A965&lt;=Party_Statement!$D$6)),""))</f>
        <v/>
      </c>
    </row>
    <row r="966" spans="1:10" x14ac:dyDescent="0.2">
      <c r="A966" s="155" t="str">
        <f>Collection!A259</f>
        <v>2083/04/03</v>
      </c>
      <c r="B966" s="176" t="str">
        <f>Collection!C259</f>
        <v>PALPALI KIRANA</v>
      </c>
      <c r="C966" s="156" t="str">
        <f>IF(Collection!E259="Payment","Payment","Collection")</f>
        <v>Collection</v>
      </c>
      <c r="D966" s="156">
        <f>Collection!B259</f>
        <v>3925</v>
      </c>
      <c r="E966" s="156" t="str">
        <f>Collection!I259</f>
        <v>Cash</v>
      </c>
      <c r="F966" s="157">
        <f>IF(Collection!E259="Payment",N(Collection!H259),0)</f>
        <v>0</v>
      </c>
      <c r="G966" s="157">
        <f>IF(Collection!E259="Collection",N(Collection!G259),0)</f>
        <v>1700</v>
      </c>
      <c r="H966" s="157">
        <f t="shared" si="15"/>
        <v>-1700</v>
      </c>
      <c r="I966" s="151"/>
      <c r="J966" t="str">
        <f>IF($B966="","",IF(AND($B966=Party_Statement!$B$5,$A966&gt;=Party_Statement!$B$6,$A966&lt;=Party_Statement!$D$6),SUMPRODUCT(($B$3:$B966=Party_Statement!$B$5)*($A$3:$A966&gt;=Party_Statement!$B$6)*($A$3:$A966&lt;=Party_Statement!$D$6)),""))</f>
        <v/>
      </c>
    </row>
    <row r="967" spans="1:10" x14ac:dyDescent="0.2">
      <c r="A967" s="155" t="str">
        <f>Collection!A260</f>
        <v>2083/04/03</v>
      </c>
      <c r="B967" s="176" t="str">
        <f>Collection!C260</f>
        <v>GIRI KIRANA</v>
      </c>
      <c r="C967" s="156" t="str">
        <f>IF(Collection!E260="Payment","Payment","Collection")</f>
        <v>Collection</v>
      </c>
      <c r="D967" s="156">
        <f>Collection!B260</f>
        <v>3926</v>
      </c>
      <c r="E967" s="156" t="str">
        <f>Collection!I260</f>
        <v>Cash</v>
      </c>
      <c r="F967" s="157">
        <f>IF(Collection!E260="Payment",N(Collection!H260),0)</f>
        <v>0</v>
      </c>
      <c r="G967" s="157">
        <f>IF(Collection!E260="Collection",N(Collection!G260),0)</f>
        <v>1275</v>
      </c>
      <c r="H967" s="157">
        <f t="shared" si="15"/>
        <v>-1275</v>
      </c>
      <c r="I967" s="151"/>
      <c r="J967" t="str">
        <f>IF($B967="","",IF(AND($B967=Party_Statement!$B$5,$A967&gt;=Party_Statement!$B$6,$A967&lt;=Party_Statement!$D$6),SUMPRODUCT(($B$3:$B967=Party_Statement!$B$5)*($A$3:$A967&gt;=Party_Statement!$B$6)*($A$3:$A967&lt;=Party_Statement!$D$6)),""))</f>
        <v/>
      </c>
    </row>
    <row r="968" spans="1:10" x14ac:dyDescent="0.2">
      <c r="A968" s="155" t="str">
        <f>Collection!A261</f>
        <v>2083/04/03</v>
      </c>
      <c r="B968" s="176" t="str">
        <f>Collection!C261</f>
        <v>DEURALI KIRANA</v>
      </c>
      <c r="C968" s="156" t="str">
        <f>IF(Collection!E261="Payment","Payment","Collection")</f>
        <v>Collection</v>
      </c>
      <c r="D968" s="156">
        <f>Collection!B261</f>
        <v>3927</v>
      </c>
      <c r="E968" s="156" t="str">
        <f>Collection!I261</f>
        <v>Cash</v>
      </c>
      <c r="F968" s="157">
        <f>IF(Collection!E261="Payment",N(Collection!H261),0)</f>
        <v>0</v>
      </c>
      <c r="G968" s="157">
        <f>IF(Collection!E261="Collection",N(Collection!G261),0)</f>
        <v>425</v>
      </c>
      <c r="H968" s="157">
        <f t="shared" si="15"/>
        <v>-425</v>
      </c>
      <c r="I968" s="151"/>
      <c r="J968" t="str">
        <f>IF($B968="","",IF(AND($B968=Party_Statement!$B$5,$A968&gt;=Party_Statement!$B$6,$A968&lt;=Party_Statement!$D$6),SUMPRODUCT(($B$3:$B968=Party_Statement!$B$5)*($A$3:$A968&gt;=Party_Statement!$B$6)*($A$3:$A968&lt;=Party_Statement!$D$6)),""))</f>
        <v/>
      </c>
    </row>
    <row r="969" spans="1:10" x14ac:dyDescent="0.2">
      <c r="A969" s="155" t="str">
        <f>Collection!A262</f>
        <v>2083/04/03</v>
      </c>
      <c r="B969" s="176" t="str">
        <f>Collection!C262</f>
        <v>AAMOSH KIRANA</v>
      </c>
      <c r="C969" s="156" t="str">
        <f>IF(Collection!E262="Payment","Payment","Collection")</f>
        <v>Collection</v>
      </c>
      <c r="D969" s="156">
        <f>Collection!B262</f>
        <v>3928</v>
      </c>
      <c r="E969" s="156" t="str">
        <f>Collection!I262</f>
        <v>Cash</v>
      </c>
      <c r="F969" s="157">
        <f>IF(Collection!E262="Payment",N(Collection!H262),0)</f>
        <v>0</v>
      </c>
      <c r="G969" s="157">
        <f>IF(Collection!E262="Collection",N(Collection!G262),0)</f>
        <v>7000</v>
      </c>
      <c r="H969" s="157">
        <f t="shared" si="15"/>
        <v>-7000</v>
      </c>
      <c r="I969" s="151"/>
      <c r="J969" t="str">
        <f>IF($B969="","",IF(AND($B969=Party_Statement!$B$5,$A969&gt;=Party_Statement!$B$6,$A969&lt;=Party_Statement!$D$6),SUMPRODUCT(($B$3:$B969=Party_Statement!$B$5)*($A$3:$A969&gt;=Party_Statement!$B$6)*($A$3:$A969&lt;=Party_Statement!$D$6)),""))</f>
        <v/>
      </c>
    </row>
    <row r="970" spans="1:10" x14ac:dyDescent="0.2">
      <c r="A970" s="155" t="str">
        <f>Collection!A263</f>
        <v>2083/04/03</v>
      </c>
      <c r="B970" s="176" t="str">
        <f>Collection!C263</f>
        <v>SHARMA DAI</v>
      </c>
      <c r="C970" s="156" t="str">
        <f>IF(Collection!E263="Payment","Payment","Collection")</f>
        <v>Collection</v>
      </c>
      <c r="D970" s="156">
        <f>Collection!B263</f>
        <v>3929</v>
      </c>
      <c r="E970" s="156" t="str">
        <f>Collection!I263</f>
        <v>Cash</v>
      </c>
      <c r="F970" s="157">
        <f>IF(Collection!E263="Payment",N(Collection!H263),0)</f>
        <v>0</v>
      </c>
      <c r="G970" s="157">
        <f>IF(Collection!E263="Collection",N(Collection!G263),0)</f>
        <v>15000</v>
      </c>
      <c r="H970" s="157">
        <f t="shared" si="15"/>
        <v>-15000</v>
      </c>
      <c r="I970" s="151"/>
      <c r="J970" t="str">
        <f>IF($B970="","",IF(AND($B970=Party_Statement!$B$5,$A970&gt;=Party_Statement!$B$6,$A970&lt;=Party_Statement!$D$6),SUMPRODUCT(($B$3:$B970=Party_Statement!$B$5)*($A$3:$A970&gt;=Party_Statement!$B$6)*($A$3:$A970&lt;=Party_Statement!$D$6)),""))</f>
        <v/>
      </c>
    </row>
    <row r="971" spans="1:10" x14ac:dyDescent="0.2">
      <c r="A971" s="155" t="str">
        <f>Collection!A266</f>
        <v>2083/04/04</v>
      </c>
      <c r="B971" s="176" t="str">
        <f>Collection!C266</f>
        <v>SRIJANA DAIRY</v>
      </c>
      <c r="C971" s="156" t="str">
        <f>IF(Collection!E266="Payment","Payment","Collection")</f>
        <v>Collection</v>
      </c>
      <c r="D971" s="156">
        <f>Collection!B266</f>
        <v>3930</v>
      </c>
      <c r="E971" s="156" t="str">
        <f>Collection!I266</f>
        <v>Cash</v>
      </c>
      <c r="F971" s="157">
        <f>IF(Collection!E266="Payment",N(Collection!H266),0)</f>
        <v>0</v>
      </c>
      <c r="G971" s="157">
        <f>IF(Collection!E266="Collection",N(Collection!G266),0)</f>
        <v>5180</v>
      </c>
      <c r="H971" s="157">
        <f t="shared" si="15"/>
        <v>-5180</v>
      </c>
      <c r="I971" s="151"/>
      <c r="J971" t="str">
        <f>IF($B971="","",IF(AND($B971=Party_Statement!$B$5,$A971&gt;=Party_Statement!$B$6,$A971&lt;=Party_Statement!$D$6),SUMPRODUCT(($B$3:$B971=Party_Statement!$B$5)*($A$3:$A971&gt;=Party_Statement!$B$6)*($A$3:$A971&lt;=Party_Statement!$D$6)),""))</f>
        <v/>
      </c>
    </row>
    <row r="972" spans="1:10" x14ac:dyDescent="0.2">
      <c r="A972" s="155" t="str">
        <f>Collection!A267</f>
        <v>2083/04/04</v>
      </c>
      <c r="B972" s="176" t="str">
        <f>Collection!C267</f>
        <v>SOBHA BHATTARAI</v>
      </c>
      <c r="C972" s="156" t="str">
        <f>IF(Collection!E267="Payment","Payment","Collection")</f>
        <v>Collection</v>
      </c>
      <c r="D972" s="156">
        <f>Collection!B267</f>
        <v>3931</v>
      </c>
      <c r="E972" s="156" t="str">
        <f>Collection!I267</f>
        <v>Cash</v>
      </c>
      <c r="F972" s="157">
        <f>IF(Collection!E267="Payment",N(Collection!H267),0)</f>
        <v>0</v>
      </c>
      <c r="G972" s="157">
        <f>IF(Collection!E267="Collection",N(Collection!G267),0)</f>
        <v>2975</v>
      </c>
      <c r="H972" s="157">
        <f t="shared" si="15"/>
        <v>-2975</v>
      </c>
      <c r="I972" s="151"/>
      <c r="J972" t="str">
        <f>IF($B972="","",IF(AND($B972=Party_Statement!$B$5,$A972&gt;=Party_Statement!$B$6,$A972&lt;=Party_Statement!$D$6),SUMPRODUCT(($B$3:$B972=Party_Statement!$B$5)*($A$3:$A972&gt;=Party_Statement!$B$6)*($A$3:$A972&lt;=Party_Statement!$D$6)),""))</f>
        <v/>
      </c>
    </row>
    <row r="973" spans="1:10" x14ac:dyDescent="0.2">
      <c r="A973" s="155" t="str">
        <f>Collection!A268</f>
        <v>2083/04/04</v>
      </c>
      <c r="B973" s="176" t="str">
        <f>Collection!C268</f>
        <v>SAMIKSHYA KIRANA</v>
      </c>
      <c r="C973" s="156" t="str">
        <f>IF(Collection!E268="Payment","Payment","Collection")</f>
        <v>Collection</v>
      </c>
      <c r="D973" s="156">
        <f>Collection!B268</f>
        <v>3932</v>
      </c>
      <c r="E973" s="156" t="str">
        <f>Collection!I268</f>
        <v>Cash</v>
      </c>
      <c r="F973" s="157">
        <f>IF(Collection!E268="Payment",N(Collection!H268),0)</f>
        <v>0</v>
      </c>
      <c r="G973" s="157">
        <f>IF(Collection!E268="Collection",N(Collection!G268),0)</f>
        <v>680</v>
      </c>
      <c r="H973" s="157">
        <f t="shared" si="15"/>
        <v>-680</v>
      </c>
      <c r="I973" s="151"/>
      <c r="J973" t="str">
        <f>IF($B973="","",IF(AND($B973=Party_Statement!$B$5,$A973&gt;=Party_Statement!$B$6,$A973&lt;=Party_Statement!$D$6),SUMPRODUCT(($B$3:$B973=Party_Statement!$B$5)*($A$3:$A973&gt;=Party_Statement!$B$6)*($A$3:$A973&lt;=Party_Statement!$D$6)),""))</f>
        <v/>
      </c>
    </row>
    <row r="974" spans="1:10" x14ac:dyDescent="0.2">
      <c r="A974" s="155" t="str">
        <f>Collection!A269</f>
        <v>2083/04/04</v>
      </c>
      <c r="B974" s="176" t="str">
        <f>Collection!C269</f>
        <v>PALPALI KIRANA</v>
      </c>
      <c r="C974" s="156" t="str">
        <f>IF(Collection!E269="Payment","Payment","Collection")</f>
        <v>Collection</v>
      </c>
      <c r="D974" s="156">
        <f>Collection!B269</f>
        <v>3933</v>
      </c>
      <c r="E974" s="156" t="str">
        <f>Collection!I269</f>
        <v>Cash</v>
      </c>
      <c r="F974" s="157">
        <f>IF(Collection!E269="Payment",N(Collection!H269),0)</f>
        <v>0</v>
      </c>
      <c r="G974" s="157">
        <f>IF(Collection!E269="Collection",N(Collection!G269),0)</f>
        <v>2125</v>
      </c>
      <c r="H974" s="157">
        <f t="shared" si="15"/>
        <v>-2125</v>
      </c>
      <c r="I974" s="151"/>
      <c r="J974" t="str">
        <f>IF($B974="","",IF(AND($B974=Party_Statement!$B$5,$A974&gt;=Party_Statement!$B$6,$A974&lt;=Party_Statement!$D$6),SUMPRODUCT(($B$3:$B974=Party_Statement!$B$5)*($A$3:$A974&gt;=Party_Statement!$B$6)*($A$3:$A974&lt;=Party_Statement!$D$6)),""))</f>
        <v/>
      </c>
    </row>
    <row r="975" spans="1:10" x14ac:dyDescent="0.2">
      <c r="A975" s="155" t="str">
        <f>Collection!A270</f>
        <v>2083/04/04</v>
      </c>
      <c r="B975" s="176" t="str">
        <f>Collection!C270</f>
        <v>AAMOSH KIRANA</v>
      </c>
      <c r="C975" s="156" t="str">
        <f>IF(Collection!E270="Payment","Payment","Collection")</f>
        <v>Collection</v>
      </c>
      <c r="D975" s="156">
        <f>Collection!B270</f>
        <v>3934</v>
      </c>
      <c r="E975" s="156" t="str">
        <f>Collection!I270</f>
        <v>Cash</v>
      </c>
      <c r="F975" s="157">
        <f>IF(Collection!E270="Payment",N(Collection!H270),0)</f>
        <v>0</v>
      </c>
      <c r="G975" s="157">
        <f>IF(Collection!E270="Collection",N(Collection!G270),0)</f>
        <v>14000</v>
      </c>
      <c r="H975" s="157">
        <f t="shared" si="15"/>
        <v>-14000</v>
      </c>
      <c r="I975" s="151"/>
      <c r="J975" t="str">
        <f>IF($B975="","",IF(AND($B975=Party_Statement!$B$5,$A975&gt;=Party_Statement!$B$6,$A975&lt;=Party_Statement!$D$6),SUMPRODUCT(($B$3:$B975=Party_Statement!$B$5)*($A$3:$A975&gt;=Party_Statement!$B$6)*($A$3:$A975&lt;=Party_Statement!$D$6)),""))</f>
        <v/>
      </c>
    </row>
    <row r="976" spans="1:10" x14ac:dyDescent="0.2">
      <c r="A976" s="155" t="str">
        <f>Collection!A271</f>
        <v>2083/04/04</v>
      </c>
      <c r="B976" s="176" t="str">
        <f>Collection!C271</f>
        <v>GIRI KIRANA</v>
      </c>
      <c r="C976" s="156" t="str">
        <f>IF(Collection!E271="Payment","Payment","Collection")</f>
        <v>Collection</v>
      </c>
      <c r="D976" s="156">
        <f>Collection!B271</f>
        <v>3935</v>
      </c>
      <c r="E976" s="156" t="str">
        <f>Collection!I271</f>
        <v>Cash</v>
      </c>
      <c r="F976" s="157">
        <f>IF(Collection!E271="Payment",N(Collection!H271),0)</f>
        <v>0</v>
      </c>
      <c r="G976" s="157">
        <f>IF(Collection!E271="Collection",N(Collection!G271),0)</f>
        <v>1275</v>
      </c>
      <c r="H976" s="157">
        <f t="shared" si="15"/>
        <v>-1275</v>
      </c>
      <c r="I976" s="151"/>
      <c r="J976" t="str">
        <f>IF($B976="","",IF(AND($B976=Party_Statement!$B$5,$A976&gt;=Party_Statement!$B$6,$A976&lt;=Party_Statement!$D$6),SUMPRODUCT(($B$3:$B976=Party_Statement!$B$5)*($A$3:$A976&gt;=Party_Statement!$B$6)*($A$3:$A976&lt;=Party_Statement!$D$6)),""))</f>
        <v/>
      </c>
    </row>
    <row r="977" spans="1:10" x14ac:dyDescent="0.2">
      <c r="A977" s="155" t="str">
        <f>Collection!A272</f>
        <v>2083/04/04</v>
      </c>
      <c r="B977" s="176" t="str">
        <f>Collection!C272</f>
        <v>YUBARAJ AND SAMRAT</v>
      </c>
      <c r="C977" s="156" t="str">
        <f>IF(Collection!E272="Payment","Payment","Collection")</f>
        <v>Collection</v>
      </c>
      <c r="D977" s="156">
        <f>Collection!B272</f>
        <v>3936</v>
      </c>
      <c r="E977" s="156" t="str">
        <f>Collection!I272</f>
        <v>Cash</v>
      </c>
      <c r="F977" s="157">
        <f>IF(Collection!E272="Payment",N(Collection!H272),0)</f>
        <v>0</v>
      </c>
      <c r="G977" s="157">
        <f>IF(Collection!E272="Collection",N(Collection!G272),0)</f>
        <v>1020</v>
      </c>
      <c r="H977" s="157">
        <f t="shared" si="15"/>
        <v>-1020</v>
      </c>
      <c r="I977" s="151"/>
      <c r="J977" t="str">
        <f>IF($B977="","",IF(AND($B977=Party_Statement!$B$5,$A977&gt;=Party_Statement!$B$6,$A977&lt;=Party_Statement!$D$6),SUMPRODUCT(($B$3:$B977=Party_Statement!$B$5)*($A$3:$A977&gt;=Party_Statement!$B$6)*($A$3:$A977&lt;=Party_Statement!$D$6)),""))</f>
        <v/>
      </c>
    </row>
    <row r="978" spans="1:10" x14ac:dyDescent="0.2">
      <c r="A978" s="155" t="str">
        <f>Collection!A273</f>
        <v>2083/04/04</v>
      </c>
      <c r="B978" s="176" t="str">
        <f>Collection!C273</f>
        <v>AAYUSH AND AAYUSHMA</v>
      </c>
      <c r="C978" s="156" t="str">
        <f>IF(Collection!E273="Payment","Payment","Collection")</f>
        <v>Collection</v>
      </c>
      <c r="D978" s="156">
        <f>Collection!B273</f>
        <v>3937</v>
      </c>
      <c r="E978" s="156" t="str">
        <f>Collection!I273</f>
        <v>Cash</v>
      </c>
      <c r="F978" s="157">
        <f>IF(Collection!E273="Payment",N(Collection!H273),0)</f>
        <v>0</v>
      </c>
      <c r="G978" s="157">
        <f>IF(Collection!E273="Collection",N(Collection!G273),0)</f>
        <v>680</v>
      </c>
      <c r="H978" s="157">
        <f t="shared" si="15"/>
        <v>-680</v>
      </c>
      <c r="I978" s="151"/>
      <c r="J978" t="str">
        <f>IF($B978="","",IF(AND($B978=Party_Statement!$B$5,$A978&gt;=Party_Statement!$B$6,$A978&lt;=Party_Statement!$D$6),SUMPRODUCT(($B$3:$B978=Party_Statement!$B$5)*($A$3:$A978&gt;=Party_Statement!$B$6)*($A$3:$A978&lt;=Party_Statement!$D$6)),""))</f>
        <v/>
      </c>
    </row>
    <row r="979" spans="1:10" x14ac:dyDescent="0.2">
      <c r="A979" s="155" t="str">
        <f>Collection!A274</f>
        <v>2083/04/04</v>
      </c>
      <c r="B979" s="176" t="str">
        <f>Collection!C274</f>
        <v>DEURALI KIRANA</v>
      </c>
      <c r="C979" s="156" t="str">
        <f>IF(Collection!E274="Payment","Payment","Collection")</f>
        <v>Collection</v>
      </c>
      <c r="D979" s="156">
        <f>Collection!B274</f>
        <v>3938</v>
      </c>
      <c r="E979" s="156" t="str">
        <f>Collection!I274</f>
        <v>Cash</v>
      </c>
      <c r="F979" s="157">
        <f>IF(Collection!E274="Payment",N(Collection!H274),0)</f>
        <v>0</v>
      </c>
      <c r="G979" s="157">
        <f>IF(Collection!E274="Collection",N(Collection!G274),0)</f>
        <v>425</v>
      </c>
      <c r="H979" s="157">
        <f t="shared" si="15"/>
        <v>-425</v>
      </c>
      <c r="I979" s="151"/>
      <c r="J979" t="str">
        <f>IF($B979="","",IF(AND($B979=Party_Statement!$B$5,$A979&gt;=Party_Statement!$B$6,$A979&lt;=Party_Statement!$D$6),SUMPRODUCT(($B$3:$B979=Party_Statement!$B$5)*($A$3:$A979&gt;=Party_Statement!$B$6)*($A$3:$A979&lt;=Party_Statement!$D$6)),""))</f>
        <v/>
      </c>
    </row>
    <row r="980" spans="1:10" x14ac:dyDescent="0.2">
      <c r="A980" s="155" t="str">
        <f>Collection!A275</f>
        <v>2083/04/04</v>
      </c>
      <c r="B980" s="176" t="str">
        <f>Collection!C275</f>
        <v>ORGANIC TARKALI</v>
      </c>
      <c r="C980" s="156" t="str">
        <f>IF(Collection!E275="Payment","Payment","Collection")</f>
        <v>Collection</v>
      </c>
      <c r="D980" s="156">
        <f>Collection!B275</f>
        <v>3939</v>
      </c>
      <c r="E980" s="156" t="str">
        <f>Collection!I275</f>
        <v>Cash</v>
      </c>
      <c r="F980" s="157">
        <f>IF(Collection!E275="Payment",N(Collection!H275),0)</f>
        <v>0</v>
      </c>
      <c r="G980" s="157">
        <f>IF(Collection!E275="Collection",N(Collection!G275),0)</f>
        <v>1995</v>
      </c>
      <c r="H980" s="157">
        <f t="shared" si="15"/>
        <v>-1995</v>
      </c>
      <c r="I980" s="151"/>
      <c r="J980" t="str">
        <f>IF($B980="","",IF(AND($B980=Party_Statement!$B$5,$A980&gt;=Party_Statement!$B$6,$A980&lt;=Party_Statement!$D$6),SUMPRODUCT(($B$3:$B980=Party_Statement!$B$5)*($A$3:$A980&gt;=Party_Statement!$B$6)*($A$3:$A980&lt;=Party_Statement!$D$6)),""))</f>
        <v/>
      </c>
    </row>
    <row r="981" spans="1:10" x14ac:dyDescent="0.2">
      <c r="A981" s="155" t="str">
        <f>Collection!A276</f>
        <v>2083/04/04</v>
      </c>
      <c r="B981" s="176" t="str">
        <f>Collection!C276</f>
        <v>SITA MALLA</v>
      </c>
      <c r="C981" s="156" t="str">
        <f>IF(Collection!E276="Payment","Payment","Collection")</f>
        <v>Collection</v>
      </c>
      <c r="D981" s="156">
        <f>Collection!B276</f>
        <v>3940</v>
      </c>
      <c r="E981" s="156" t="str">
        <f>Collection!I276</f>
        <v>Cash</v>
      </c>
      <c r="F981" s="157">
        <f>IF(Collection!E276="Payment",N(Collection!H276),0)</f>
        <v>0</v>
      </c>
      <c r="G981" s="157">
        <f>IF(Collection!E276="Collection",N(Collection!G276),0)</f>
        <v>10700</v>
      </c>
      <c r="H981" s="157">
        <f t="shared" si="15"/>
        <v>-10700</v>
      </c>
      <c r="I981" s="151"/>
      <c r="J981" t="str">
        <f>IF($B981="","",IF(AND($B981=Party_Statement!$B$5,$A981&gt;=Party_Statement!$B$6,$A981&lt;=Party_Statement!$D$6),SUMPRODUCT(($B$3:$B981=Party_Statement!$B$5)*($A$3:$A981&gt;=Party_Statement!$B$6)*($A$3:$A981&lt;=Party_Statement!$D$6)),""))</f>
        <v/>
      </c>
    </row>
    <row r="982" spans="1:10" x14ac:dyDescent="0.2">
      <c r="A982" s="155" t="str">
        <f>Collection!A277</f>
        <v>2083/04/04</v>
      </c>
      <c r="B982" s="176" t="str">
        <f>Collection!C277</f>
        <v>PUSHPA ADHIKARI</v>
      </c>
      <c r="C982" s="156" t="str">
        <f>IF(Collection!E277="Payment","Payment","Collection")</f>
        <v>Collection</v>
      </c>
      <c r="D982" s="156">
        <f>Collection!B277</f>
        <v>3941</v>
      </c>
      <c r="E982" s="156" t="str">
        <f>Collection!I277</f>
        <v>Cash</v>
      </c>
      <c r="F982" s="157">
        <f>IF(Collection!E277="Payment",N(Collection!H277),0)</f>
        <v>0</v>
      </c>
      <c r="G982" s="157">
        <f>IF(Collection!E277="Collection",N(Collection!G277),0)</f>
        <v>1100</v>
      </c>
      <c r="H982" s="157">
        <f t="shared" si="15"/>
        <v>-1100</v>
      </c>
      <c r="I982" s="151"/>
      <c r="J982" t="str">
        <f>IF($B982="","",IF(AND($B982=Party_Statement!$B$5,$A982&gt;=Party_Statement!$B$6,$A982&lt;=Party_Statement!$D$6),SUMPRODUCT(($B$3:$B982=Party_Statement!$B$5)*($A$3:$A982&gt;=Party_Statement!$B$6)*($A$3:$A982&lt;=Party_Statement!$D$6)),""))</f>
        <v/>
      </c>
    </row>
    <row r="983" spans="1:10" x14ac:dyDescent="0.2">
      <c r="A983" s="155" t="str">
        <f>Collection!A278</f>
        <v>2083/04/04</v>
      </c>
      <c r="B983" s="176" t="str">
        <f>Collection!C278</f>
        <v>DURGA MALLA</v>
      </c>
      <c r="C983" s="156" t="str">
        <f>IF(Collection!E278="Payment","Payment","Collection")</f>
        <v>Collection</v>
      </c>
      <c r="D983" s="156">
        <f>Collection!B278</f>
        <v>3942</v>
      </c>
      <c r="E983" s="156" t="str">
        <f>Collection!I278</f>
        <v>Cash</v>
      </c>
      <c r="F983" s="157">
        <f>IF(Collection!E278="Payment",N(Collection!H278),0)</f>
        <v>0</v>
      </c>
      <c r="G983" s="157">
        <f>IF(Collection!E278="Collection",N(Collection!G278),0)</f>
        <v>2200</v>
      </c>
      <c r="H983" s="157">
        <f t="shared" si="15"/>
        <v>-2200</v>
      </c>
      <c r="I983" s="151"/>
      <c r="J983" t="str">
        <f>IF($B983="","",IF(AND($B983=Party_Statement!$B$5,$A983&gt;=Party_Statement!$B$6,$A983&lt;=Party_Statement!$D$6),SUMPRODUCT(($B$3:$B983=Party_Statement!$B$5)*($A$3:$A983&gt;=Party_Statement!$B$6)*($A$3:$A983&lt;=Party_Statement!$D$6)),""))</f>
        <v/>
      </c>
    </row>
    <row r="984" spans="1:10" x14ac:dyDescent="0.2">
      <c r="A984" s="155" t="str">
        <f>Collection!A279</f>
        <v>2083/04/05</v>
      </c>
      <c r="B984" s="176" t="str">
        <f>Collection!C279</f>
        <v>LOCAL</v>
      </c>
      <c r="C984" s="156" t="str">
        <f>IF(Collection!E279="Payment","Payment","Collection")</f>
        <v>Collection</v>
      </c>
      <c r="D984" s="156">
        <f>Collection!B279</f>
        <v>3943</v>
      </c>
      <c r="E984" s="156" t="str">
        <f>Collection!I279</f>
        <v>QR</v>
      </c>
      <c r="F984" s="157">
        <f>IF(Collection!E279="Payment",N(Collection!H279),0)</f>
        <v>0</v>
      </c>
      <c r="G984" s="157">
        <f>IF(Collection!E279="Collection",N(Collection!G279),0)</f>
        <v>2200</v>
      </c>
      <c r="H984" s="157">
        <f t="shared" si="15"/>
        <v>-2200</v>
      </c>
      <c r="I984" s="151"/>
      <c r="J984" t="str">
        <f>IF($B984="","",IF(AND($B984=Party_Statement!$B$5,$A984&gt;=Party_Statement!$B$6,$A984&lt;=Party_Statement!$D$6),SUMPRODUCT(($B$3:$B984=Party_Statement!$B$5)*($A$3:$A984&gt;=Party_Statement!$B$6)*($A$3:$A984&lt;=Party_Statement!$D$6)),""))</f>
        <v/>
      </c>
    </row>
    <row r="985" spans="1:10" x14ac:dyDescent="0.2">
      <c r="A985" s="155" t="str">
        <f>Collection!A280</f>
        <v>2083/04/05</v>
      </c>
      <c r="B985" s="176" t="str">
        <f>Collection!C280</f>
        <v>LOCAL</v>
      </c>
      <c r="C985" s="156" t="str">
        <f>IF(Collection!E280="Payment","Payment","Collection")</f>
        <v>Collection</v>
      </c>
      <c r="D985" s="156">
        <f>Collection!B280</f>
        <v>3944</v>
      </c>
      <c r="E985" s="156" t="str">
        <f>Collection!I280</f>
        <v>QR</v>
      </c>
      <c r="F985" s="157">
        <f>IF(Collection!E280="Payment",N(Collection!H280),0)</f>
        <v>0</v>
      </c>
      <c r="G985" s="157">
        <f>IF(Collection!E280="Collection",N(Collection!G280),0)</f>
        <v>900</v>
      </c>
      <c r="H985" s="157">
        <f t="shared" si="15"/>
        <v>-3100</v>
      </c>
      <c r="I985" s="151"/>
      <c r="J985" t="str">
        <f>IF($B985="","",IF(AND($B985=Party_Statement!$B$5,$A985&gt;=Party_Statement!$B$6,$A985&lt;=Party_Statement!$D$6),SUMPRODUCT(($B$3:$B985=Party_Statement!$B$5)*($A$3:$A985&gt;=Party_Statement!$B$6)*($A$3:$A985&lt;=Party_Statement!$D$6)),""))</f>
        <v/>
      </c>
    </row>
    <row r="986" spans="1:10" x14ac:dyDescent="0.2">
      <c r="A986" s="155" t="str">
        <f>Collection!A281</f>
        <v>2083/04/05</v>
      </c>
      <c r="B986" s="176" t="str">
        <f>Collection!C281</f>
        <v>SRIJANA DAIRY</v>
      </c>
      <c r="C986" s="156" t="str">
        <f>IF(Collection!E281="Payment","Payment","Collection")</f>
        <v>Collection</v>
      </c>
      <c r="D986" s="156">
        <f>Collection!B281</f>
        <v>3951</v>
      </c>
      <c r="E986" s="156" t="str">
        <f>Collection!I281</f>
        <v>Cash</v>
      </c>
      <c r="F986" s="157">
        <f>IF(Collection!E281="Payment",N(Collection!H281),0)</f>
        <v>0</v>
      </c>
      <c r="G986" s="157">
        <f>IF(Collection!E281="Collection",N(Collection!G281),0)</f>
        <v>5180</v>
      </c>
      <c r="H986" s="157">
        <f t="shared" si="15"/>
        <v>-5180</v>
      </c>
      <c r="I986" s="151"/>
      <c r="J986" t="str">
        <f>IF($B986="","",IF(AND($B986=Party_Statement!$B$5,$A986&gt;=Party_Statement!$B$6,$A986&lt;=Party_Statement!$D$6),SUMPRODUCT(($B$3:$B986=Party_Statement!$B$5)*($A$3:$A986&gt;=Party_Statement!$B$6)*($A$3:$A986&lt;=Party_Statement!$D$6)),""))</f>
        <v/>
      </c>
    </row>
    <row r="987" spans="1:10" x14ac:dyDescent="0.2">
      <c r="A987" s="155" t="str">
        <f>Collection!A282</f>
        <v>2083/04/05</v>
      </c>
      <c r="B987" s="176" t="str">
        <f>Collection!C282</f>
        <v>SOBHA BHATTARAI</v>
      </c>
      <c r="C987" s="156" t="str">
        <f>IF(Collection!E282="Payment","Payment","Collection")</f>
        <v>Collection</v>
      </c>
      <c r="D987" s="156">
        <f>Collection!B282</f>
        <v>3952</v>
      </c>
      <c r="E987" s="156" t="str">
        <f>Collection!I282</f>
        <v>Cash</v>
      </c>
      <c r="F987" s="157">
        <f>IF(Collection!E282="Payment",N(Collection!H282),0)</f>
        <v>0</v>
      </c>
      <c r="G987" s="157">
        <f>IF(Collection!E282="Collection",N(Collection!G282),0)</f>
        <v>2550</v>
      </c>
      <c r="H987" s="157">
        <f t="shared" si="15"/>
        <v>-2550</v>
      </c>
      <c r="I987" s="151"/>
      <c r="J987" t="str">
        <f>IF($B987="","",IF(AND($B987=Party_Statement!$B$5,$A987&gt;=Party_Statement!$B$6,$A987&lt;=Party_Statement!$D$6),SUMPRODUCT(($B$3:$B987=Party_Statement!$B$5)*($A$3:$A987&gt;=Party_Statement!$B$6)*($A$3:$A987&lt;=Party_Statement!$D$6)),""))</f>
        <v/>
      </c>
    </row>
    <row r="988" spans="1:10" x14ac:dyDescent="0.2">
      <c r="A988" s="155" t="str">
        <f>Collection!A283</f>
        <v>2083/04/05</v>
      </c>
      <c r="B988" s="176" t="str">
        <f>Collection!C283</f>
        <v>AAMOSH KIRANA</v>
      </c>
      <c r="C988" s="156" t="str">
        <f>IF(Collection!E283="Payment","Payment","Collection")</f>
        <v>Collection</v>
      </c>
      <c r="D988" s="156">
        <f>Collection!B283</f>
        <v>3953</v>
      </c>
      <c r="E988" s="156" t="str">
        <f>Collection!I283</f>
        <v>Cash</v>
      </c>
      <c r="F988" s="157">
        <f>IF(Collection!E283="Payment",N(Collection!H283),0)</f>
        <v>0</v>
      </c>
      <c r="G988" s="157">
        <f>IF(Collection!E283="Collection",N(Collection!G283),0)</f>
        <v>7500</v>
      </c>
      <c r="H988" s="157">
        <f t="shared" si="15"/>
        <v>-7500</v>
      </c>
      <c r="I988" s="151"/>
      <c r="J988" t="str">
        <f>IF($B988="","",IF(AND($B988=Party_Statement!$B$5,$A988&gt;=Party_Statement!$B$6,$A988&lt;=Party_Statement!$D$6),SUMPRODUCT(($B$3:$B988=Party_Statement!$B$5)*($A$3:$A988&gt;=Party_Statement!$B$6)*($A$3:$A988&lt;=Party_Statement!$D$6)),""))</f>
        <v/>
      </c>
    </row>
    <row r="989" spans="1:10" x14ac:dyDescent="0.2">
      <c r="A989" s="155" t="str">
        <f>Collection!A284</f>
        <v>2083/04/05</v>
      </c>
      <c r="B989" s="176" t="str">
        <f>Collection!C284</f>
        <v>MANAKAMANA DAIRY</v>
      </c>
      <c r="C989" s="156" t="str">
        <f>IF(Collection!E284="Payment","Payment","Collection")</f>
        <v>Collection</v>
      </c>
      <c r="D989" s="156">
        <f>Collection!B284</f>
        <v>3954</v>
      </c>
      <c r="E989" s="156" t="str">
        <f>Collection!I284</f>
        <v>Cash</v>
      </c>
      <c r="F989" s="157">
        <f>IF(Collection!E284="Payment",N(Collection!H284),0)</f>
        <v>0</v>
      </c>
      <c r="G989" s="157">
        <f>IF(Collection!E284="Collection",N(Collection!G284),0)</f>
        <v>1600</v>
      </c>
      <c r="H989" s="157">
        <f t="shared" si="15"/>
        <v>-1600</v>
      </c>
      <c r="I989" s="151"/>
      <c r="J989" t="str">
        <f>IF($B989="","",IF(AND($B989=Party_Statement!$B$5,$A989&gt;=Party_Statement!$B$6,$A989&lt;=Party_Statement!$D$6),SUMPRODUCT(($B$3:$B989=Party_Statement!$B$5)*($A$3:$A989&gt;=Party_Statement!$B$6)*($A$3:$A989&lt;=Party_Statement!$D$6)),""))</f>
        <v/>
      </c>
    </row>
    <row r="990" spans="1:10" x14ac:dyDescent="0.2">
      <c r="A990" s="155" t="str">
        <f>Collection!A285</f>
        <v>2083/04/05</v>
      </c>
      <c r="B990" s="176" t="str">
        <f>Collection!C285</f>
        <v>YUBARAJ AND SAMRAT</v>
      </c>
      <c r="C990" s="156" t="str">
        <f>IF(Collection!E285="Payment","Payment","Collection")</f>
        <v>Collection</v>
      </c>
      <c r="D990" s="156">
        <f>Collection!B285</f>
        <v>3955</v>
      </c>
      <c r="E990" s="156" t="str">
        <f>Collection!I285</f>
        <v>Cash</v>
      </c>
      <c r="F990" s="157">
        <f>IF(Collection!E285="Payment",N(Collection!H285),0)</f>
        <v>0</v>
      </c>
      <c r="G990" s="157">
        <f>IF(Collection!E285="Collection",N(Collection!G285),0)</f>
        <v>1020</v>
      </c>
      <c r="H990" s="157">
        <f t="shared" si="15"/>
        <v>-1020</v>
      </c>
      <c r="I990" s="151"/>
      <c r="J990" t="str">
        <f>IF($B990="","",IF(AND($B990=Party_Statement!$B$5,$A990&gt;=Party_Statement!$B$6,$A990&lt;=Party_Statement!$D$6),SUMPRODUCT(($B$3:$B990=Party_Statement!$B$5)*($A$3:$A990&gt;=Party_Statement!$B$6)*($A$3:$A990&lt;=Party_Statement!$D$6)),""))</f>
        <v/>
      </c>
    </row>
    <row r="991" spans="1:10" x14ac:dyDescent="0.2">
      <c r="A991" s="155" t="str">
        <f>Collection!A286</f>
        <v>2083/04/05</v>
      </c>
      <c r="B991" s="176" t="str">
        <f>Collection!C286</f>
        <v>SAMIKSHYA KIRANA</v>
      </c>
      <c r="C991" s="156" t="str">
        <f>IF(Collection!E286="Payment","Payment","Collection")</f>
        <v>Collection</v>
      </c>
      <c r="D991" s="156">
        <f>Collection!B286</f>
        <v>3956</v>
      </c>
      <c r="E991" s="156" t="str">
        <f>Collection!I286</f>
        <v>Cash</v>
      </c>
      <c r="F991" s="157">
        <f>IF(Collection!E286="Payment",N(Collection!H286),0)</f>
        <v>0</v>
      </c>
      <c r="G991" s="157">
        <f>IF(Collection!E286="Collection",N(Collection!G286),0)</f>
        <v>680</v>
      </c>
      <c r="H991" s="157">
        <f t="shared" si="15"/>
        <v>-680</v>
      </c>
      <c r="I991" s="151"/>
      <c r="J991" t="str">
        <f>IF($B991="","",IF(AND($B991=Party_Statement!$B$5,$A991&gt;=Party_Statement!$B$6,$A991&lt;=Party_Statement!$D$6),SUMPRODUCT(($B$3:$B991=Party_Statement!$B$5)*($A$3:$A991&gt;=Party_Statement!$B$6)*($A$3:$A991&lt;=Party_Statement!$D$6)),""))</f>
        <v/>
      </c>
    </row>
    <row r="992" spans="1:10" x14ac:dyDescent="0.2">
      <c r="A992" s="155" t="str">
        <f>Collection!A287</f>
        <v>2083/04/05</v>
      </c>
      <c r="B992" s="176" t="str">
        <f>Collection!C287</f>
        <v>GIRI KIRANA</v>
      </c>
      <c r="C992" s="156" t="str">
        <f>IF(Collection!E287="Payment","Payment","Collection")</f>
        <v>Collection</v>
      </c>
      <c r="D992" s="156">
        <f>Collection!B287</f>
        <v>3957</v>
      </c>
      <c r="E992" s="156" t="str">
        <f>Collection!I287</f>
        <v>Cash</v>
      </c>
      <c r="F992" s="157">
        <f>IF(Collection!E287="Payment",N(Collection!H287),0)</f>
        <v>0</v>
      </c>
      <c r="G992" s="157">
        <f>IF(Collection!E287="Collection",N(Collection!G287),0)</f>
        <v>1275</v>
      </c>
      <c r="H992" s="157">
        <f t="shared" si="15"/>
        <v>-1275</v>
      </c>
      <c r="I992" s="151"/>
      <c r="J992" t="str">
        <f>IF($B992="","",IF(AND($B992=Party_Statement!$B$5,$A992&gt;=Party_Statement!$B$6,$A992&lt;=Party_Statement!$D$6),SUMPRODUCT(($B$3:$B992=Party_Statement!$B$5)*($A$3:$A992&gt;=Party_Statement!$B$6)*($A$3:$A992&lt;=Party_Statement!$D$6)),""))</f>
        <v/>
      </c>
    </row>
    <row r="993" spans="1:10" x14ac:dyDescent="0.2">
      <c r="A993" s="155" t="str">
        <f>Collection!A288</f>
        <v>2083/04/05</v>
      </c>
      <c r="B993" s="176" t="str">
        <f>Collection!C288</f>
        <v>PALPALI KIRANA</v>
      </c>
      <c r="C993" s="156" t="str">
        <f>IF(Collection!E288="Payment","Payment","Collection")</f>
        <v>Collection</v>
      </c>
      <c r="D993" s="156">
        <f>Collection!B288</f>
        <v>3958</v>
      </c>
      <c r="E993" s="156" t="str">
        <f>Collection!I288</f>
        <v>Cash</v>
      </c>
      <c r="F993" s="157">
        <f>IF(Collection!E288="Payment",N(Collection!H288),0)</f>
        <v>0</v>
      </c>
      <c r="G993" s="157">
        <f>IF(Collection!E288="Collection",N(Collection!G288),0)</f>
        <v>2125</v>
      </c>
      <c r="H993" s="157">
        <f t="shared" si="15"/>
        <v>-2125</v>
      </c>
      <c r="I993" s="151"/>
      <c r="J993" t="str">
        <f>IF($B993="","",IF(AND($B993=Party_Statement!$B$5,$A993&gt;=Party_Statement!$B$6,$A993&lt;=Party_Statement!$D$6),SUMPRODUCT(($B$3:$B993=Party_Statement!$B$5)*($A$3:$A993&gt;=Party_Statement!$B$6)*($A$3:$A993&lt;=Party_Statement!$D$6)),""))</f>
        <v/>
      </c>
    </row>
    <row r="994" spans="1:10" x14ac:dyDescent="0.2">
      <c r="A994" s="155" t="str">
        <f>Collection!A289</f>
        <v>2083/04/05</v>
      </c>
      <c r="B994" s="176" t="str">
        <f>Collection!C289</f>
        <v>DEURALI KIRANA</v>
      </c>
      <c r="C994" s="156" t="str">
        <f>IF(Collection!E289="Payment","Payment","Collection")</f>
        <v>Collection</v>
      </c>
      <c r="D994" s="156">
        <f>Collection!B289</f>
        <v>3959</v>
      </c>
      <c r="E994" s="156" t="str">
        <f>Collection!I289</f>
        <v>Cash</v>
      </c>
      <c r="F994" s="157">
        <f>IF(Collection!E289="Payment",N(Collection!H289),0)</f>
        <v>0</v>
      </c>
      <c r="G994" s="157">
        <f>IF(Collection!E289="Collection",N(Collection!G289),0)</f>
        <v>425</v>
      </c>
      <c r="H994" s="157">
        <f t="shared" si="15"/>
        <v>-425</v>
      </c>
      <c r="I994" s="151"/>
      <c r="J994" t="str">
        <f>IF($B994="","",IF(AND($B994=Party_Statement!$B$5,$A994&gt;=Party_Statement!$B$6,$A994&lt;=Party_Statement!$D$6),SUMPRODUCT(($B$3:$B994=Party_Statement!$B$5)*($A$3:$A994&gt;=Party_Statement!$B$6)*($A$3:$A994&lt;=Party_Statement!$D$6)),""))</f>
        <v/>
      </c>
    </row>
    <row r="995" spans="1:10" x14ac:dyDescent="0.2">
      <c r="A995" s="155" t="str">
        <f>Collection!A290</f>
        <v>2083/04/05</v>
      </c>
      <c r="B995" s="176" t="str">
        <f>Collection!C290</f>
        <v>ORGANIC TARKALI</v>
      </c>
      <c r="C995" s="156" t="str">
        <f>IF(Collection!E290="Payment","Payment","Collection")</f>
        <v>Collection</v>
      </c>
      <c r="D995" s="156">
        <f>Collection!B290</f>
        <v>3960</v>
      </c>
      <c r="E995" s="156" t="str">
        <f>Collection!I290</f>
        <v>Cash</v>
      </c>
      <c r="F995" s="157">
        <f>IF(Collection!E290="Payment",N(Collection!H290),0)</f>
        <v>0</v>
      </c>
      <c r="G995" s="157">
        <f>IF(Collection!E290="Collection",N(Collection!G290),0)</f>
        <v>3650</v>
      </c>
      <c r="H995" s="157">
        <f t="shared" si="15"/>
        <v>-3650</v>
      </c>
      <c r="I995" s="151"/>
      <c r="J995" t="str">
        <f>IF($B995="","",IF(AND($B995=Party_Statement!$B$5,$A995&gt;=Party_Statement!$B$6,$A995&lt;=Party_Statement!$D$6),SUMPRODUCT(($B$3:$B995=Party_Statement!$B$5)*($A$3:$A995&gt;=Party_Statement!$B$6)*($A$3:$A995&lt;=Party_Statement!$D$6)),""))</f>
        <v/>
      </c>
    </row>
    <row r="996" spans="1:10" x14ac:dyDescent="0.2">
      <c r="A996" s="155" t="str">
        <f>Collection!A291</f>
        <v>2083/04/05</v>
      </c>
      <c r="B996" s="176" t="str">
        <f>Collection!C291</f>
        <v>NEUPANE KIRANA</v>
      </c>
      <c r="C996" s="156" t="str">
        <f>IF(Collection!E291="Payment","Payment","Collection")</f>
        <v>Collection</v>
      </c>
      <c r="D996" s="156">
        <f>Collection!B291</f>
        <v>3961</v>
      </c>
      <c r="E996" s="156" t="str">
        <f>Collection!I291</f>
        <v>Cash</v>
      </c>
      <c r="F996" s="157">
        <f>IF(Collection!E291="Payment",N(Collection!H291),0)</f>
        <v>0</v>
      </c>
      <c r="G996" s="157">
        <f>IF(Collection!E291="Collection",N(Collection!G291),0)</f>
        <v>600</v>
      </c>
      <c r="H996" s="157">
        <f t="shared" si="15"/>
        <v>-600</v>
      </c>
      <c r="I996" s="151"/>
      <c r="J996" t="str">
        <f>IF($B996="","",IF(AND($B996=Party_Statement!$B$5,$A996&gt;=Party_Statement!$B$6,$A996&lt;=Party_Statement!$D$6),SUMPRODUCT(($B$3:$B996=Party_Statement!$B$5)*($A$3:$A996&gt;=Party_Statement!$B$6)*($A$3:$A996&lt;=Party_Statement!$D$6)),""))</f>
        <v/>
      </c>
    </row>
    <row r="997" spans="1:10" x14ac:dyDescent="0.2">
      <c r="A997" s="155" t="str">
        <f>Collection!A292</f>
        <v>2083/04/05</v>
      </c>
      <c r="B997" s="176" t="str">
        <f>Collection!C292</f>
        <v>NEUPANE KIRANA</v>
      </c>
      <c r="C997" s="156" t="str">
        <f>IF(Collection!E292="Payment","Payment","Collection")</f>
        <v>Collection</v>
      </c>
      <c r="D997" s="156">
        <f>Collection!B292</f>
        <v>3962</v>
      </c>
      <c r="E997" s="156" t="str">
        <f>Collection!I292</f>
        <v>Cash</v>
      </c>
      <c r="F997" s="157">
        <f>IF(Collection!E292="Payment",N(Collection!H292),0)</f>
        <v>0</v>
      </c>
      <c r="G997" s="157">
        <f>IF(Collection!E292="Collection",N(Collection!G292),0)</f>
        <v>200</v>
      </c>
      <c r="H997" s="157">
        <f t="shared" si="15"/>
        <v>-800</v>
      </c>
      <c r="I997" s="151"/>
      <c r="J997" t="str">
        <f>IF($B997="","",IF(AND($B997=Party_Statement!$B$5,$A997&gt;=Party_Statement!$B$6,$A997&lt;=Party_Statement!$D$6),SUMPRODUCT(($B$3:$B997=Party_Statement!$B$5)*($A$3:$A997&gt;=Party_Statement!$B$6)*($A$3:$A997&lt;=Party_Statement!$D$6)),""))</f>
        <v/>
      </c>
    </row>
    <row r="998" spans="1:10" x14ac:dyDescent="0.2">
      <c r="A998" s="155" t="str">
        <f>Collection!A294</f>
        <v>2083/04/05</v>
      </c>
      <c r="B998" s="176" t="str">
        <f>Collection!C294</f>
        <v>LOCAL</v>
      </c>
      <c r="C998" s="156" t="str">
        <f>IF(Collection!E294="Payment","Payment","Collection")</f>
        <v>Collection</v>
      </c>
      <c r="D998" s="156">
        <f>Collection!B294</f>
        <v>6391</v>
      </c>
      <c r="E998" s="156" t="str">
        <f>Collection!I294</f>
        <v>Cash</v>
      </c>
      <c r="F998" s="157">
        <f>IF(Collection!E294="Payment",N(Collection!H294),0)</f>
        <v>0</v>
      </c>
      <c r="G998" s="157">
        <f>IF(Collection!E294="Collection",N(Collection!G294),0)</f>
        <v>450</v>
      </c>
      <c r="H998" s="157">
        <f t="shared" si="15"/>
        <v>-450</v>
      </c>
      <c r="I998" s="151"/>
      <c r="J998" t="str">
        <f>IF($B998="","",IF(AND($B998=Party_Statement!$B$5,$A998&gt;=Party_Statement!$B$6,$A998&lt;=Party_Statement!$D$6),SUMPRODUCT(($B$3:$B998=Party_Statement!$B$5)*($A$3:$A998&gt;=Party_Statement!$B$6)*($A$3:$A998&lt;=Party_Statement!$D$6)),""))</f>
        <v/>
      </c>
    </row>
    <row r="999" spans="1:10" x14ac:dyDescent="0.2">
      <c r="A999" s="155" t="str">
        <f>Collection!A295</f>
        <v>2083/04/06</v>
      </c>
      <c r="B999" s="176" t="str">
        <f>Collection!C295</f>
        <v>GIRI KIRANA</v>
      </c>
      <c r="C999" s="156" t="str">
        <f>IF(Collection!E295="Payment","Payment","Collection")</f>
        <v>Collection</v>
      </c>
      <c r="D999" s="156">
        <f>Collection!B295</f>
        <v>3963</v>
      </c>
      <c r="E999" s="156" t="str">
        <f>Collection!I295</f>
        <v>Cash</v>
      </c>
      <c r="F999" s="157">
        <f>IF(Collection!E295="Payment",N(Collection!H295),0)</f>
        <v>0</v>
      </c>
      <c r="G999" s="157">
        <f>IF(Collection!E295="Collection",N(Collection!G295),0)</f>
        <v>1275</v>
      </c>
      <c r="H999" s="157">
        <f t="shared" si="15"/>
        <v>-1275</v>
      </c>
      <c r="I999" s="151"/>
      <c r="J999" t="str">
        <f>IF($B999="","",IF(AND($B999=Party_Statement!$B$5,$A999&gt;=Party_Statement!$B$6,$A999&lt;=Party_Statement!$D$6),SUMPRODUCT(($B$3:$B999=Party_Statement!$B$5)*($A$3:$A999&gt;=Party_Statement!$B$6)*($A$3:$A999&lt;=Party_Statement!$D$6)),""))</f>
        <v/>
      </c>
    </row>
    <row r="1000" spans="1:10" x14ac:dyDescent="0.2">
      <c r="A1000" s="155" t="str">
        <f>Collection!A296</f>
        <v>2083/04/06</v>
      </c>
      <c r="B1000" s="176" t="str">
        <f>Collection!C296</f>
        <v>AAMOSH KIRANA</v>
      </c>
      <c r="C1000" s="156" t="str">
        <f>IF(Collection!E296="Payment","Payment","Collection")</f>
        <v>Collection</v>
      </c>
      <c r="D1000" s="156">
        <f>Collection!B296</f>
        <v>3964</v>
      </c>
      <c r="E1000" s="156" t="str">
        <f>Collection!I296</f>
        <v>Cash</v>
      </c>
      <c r="F1000" s="157">
        <f>IF(Collection!E296="Payment",N(Collection!H296),0)</f>
        <v>0</v>
      </c>
      <c r="G1000" s="157">
        <f>IF(Collection!E296="Collection",N(Collection!G296),0)</f>
        <v>5000</v>
      </c>
      <c r="H1000" s="157">
        <f t="shared" si="15"/>
        <v>-5000</v>
      </c>
      <c r="I1000" s="151"/>
      <c r="J1000" t="str">
        <f>IF($B1000="","",IF(AND($B1000=Party_Statement!$B$5,$A1000&gt;=Party_Statement!$B$6,$A1000&lt;=Party_Statement!$D$6),SUMPRODUCT(($B$3:$B1000=Party_Statement!$B$5)*($A$3:$A1000&gt;=Party_Statement!$B$6)*($A$3:$A1000&lt;=Party_Statement!$D$6)),""))</f>
        <v/>
      </c>
    </row>
    <row r="1001" spans="1:10" x14ac:dyDescent="0.2">
      <c r="A1001" s="155" t="str">
        <f>Collection!A297</f>
        <v>2083/04/06</v>
      </c>
      <c r="B1001" s="176" t="str">
        <f>Collection!C297</f>
        <v>KALIKA CANTEEN A</v>
      </c>
      <c r="C1001" s="156" t="str">
        <f>IF(Collection!E297="Payment","Payment","Collection")</f>
        <v>Collection</v>
      </c>
      <c r="D1001" s="156">
        <f>Collection!B297</f>
        <v>3965</v>
      </c>
      <c r="E1001" s="156" t="str">
        <f>Collection!I297</f>
        <v>Cash</v>
      </c>
      <c r="F1001" s="157">
        <f>IF(Collection!E297="Payment",N(Collection!H297),0)</f>
        <v>0</v>
      </c>
      <c r="G1001" s="157">
        <f>IF(Collection!E297="Collection",N(Collection!G297),0)</f>
        <v>2975</v>
      </c>
      <c r="H1001" s="157">
        <f t="shared" si="15"/>
        <v>-2975</v>
      </c>
      <c r="I1001" s="151"/>
      <c r="J1001" t="e">
        <f>IF($B1001="","",IF(AND($B1001=Party_Statement!$B$5,$A1001&gt;=Party_Statement!$B$6,$A1001&lt;=Party_Statement!$D$6),SUMPRODUCT(($B$3:$B1001=Party_Statement!$B$5)*($A$3:$A1001&gt;=Party_Statement!$B$6)*($A$3:$A1001&lt;=Party_Statement!$D$6)),""))</f>
        <v>#REF!</v>
      </c>
    </row>
    <row r="1002" spans="1:10" x14ac:dyDescent="0.2">
      <c r="A1002" s="155" t="str">
        <f>Collection!A298</f>
        <v>2083/04/06</v>
      </c>
      <c r="B1002" s="176" t="str">
        <f>Collection!C298</f>
        <v>ORGANIC TARKALI</v>
      </c>
      <c r="C1002" s="156" t="str">
        <f>IF(Collection!E298="Payment","Payment","Collection")</f>
        <v>Collection</v>
      </c>
      <c r="D1002" s="156">
        <f>Collection!B298</f>
        <v>3966</v>
      </c>
      <c r="E1002" s="156" t="str">
        <f>Collection!I298</f>
        <v>Cash</v>
      </c>
      <c r="F1002" s="157">
        <f>IF(Collection!E298="Payment",N(Collection!H298),0)</f>
        <v>0</v>
      </c>
      <c r="G1002" s="157">
        <f>IF(Collection!E298="Collection",N(Collection!G298),0)</f>
        <v>3870</v>
      </c>
      <c r="H1002" s="157">
        <f t="shared" si="15"/>
        <v>-3870</v>
      </c>
      <c r="I1002" s="151"/>
      <c r="J1002" t="str">
        <f>IF($B1002="","",IF(AND($B1002=Party_Statement!$B$5,$A1002&gt;=Party_Statement!$B$6,$A1002&lt;=Party_Statement!$D$6),SUMPRODUCT(($B$3:$B1002=Party_Statement!$B$5)*($A$3:$A1002&gt;=Party_Statement!$B$6)*($A$3:$A1002&lt;=Party_Statement!$D$6)),""))</f>
        <v/>
      </c>
    </row>
    <row r="1003" spans="1:10" x14ac:dyDescent="0.2">
      <c r="A1003" s="155" t="str">
        <f>Collection!A299</f>
        <v>2083/04/06</v>
      </c>
      <c r="B1003" s="176" t="str">
        <f>Collection!C299</f>
        <v>DEURALI KIRANA</v>
      </c>
      <c r="C1003" s="156" t="str">
        <f>IF(Collection!E299="Payment","Payment","Collection")</f>
        <v>Collection</v>
      </c>
      <c r="D1003" s="156">
        <f>Collection!B299</f>
        <v>3967</v>
      </c>
      <c r="E1003" s="156" t="str">
        <f>Collection!I299</f>
        <v>Cash</v>
      </c>
      <c r="F1003" s="157">
        <f>IF(Collection!E299="Payment",N(Collection!H299),0)</f>
        <v>0</v>
      </c>
      <c r="G1003" s="157">
        <f>IF(Collection!E299="Collection",N(Collection!G299),0)</f>
        <v>425</v>
      </c>
      <c r="H1003" s="157">
        <f t="shared" si="15"/>
        <v>-425</v>
      </c>
      <c r="I1003" s="151"/>
      <c r="J1003" t="str">
        <f>IF($B1003="","",IF(AND($B1003=Party_Statement!$B$5,$A1003&gt;=Party_Statement!$B$6,$A1003&lt;=Party_Statement!$D$6),SUMPRODUCT(($B$3:$B1003=Party_Statement!$B$5)*($A$3:$A1003&gt;=Party_Statement!$B$6)*($A$3:$A1003&lt;=Party_Statement!$D$6)),""))</f>
        <v/>
      </c>
    </row>
    <row r="1004" spans="1:10" x14ac:dyDescent="0.2">
      <c r="A1004" s="155" t="str">
        <f>Collection!A300</f>
        <v>2083/04/06</v>
      </c>
      <c r="B1004" s="176" t="str">
        <f>Collection!C300</f>
        <v>SRIJANA DAIRY</v>
      </c>
      <c r="C1004" s="156" t="str">
        <f>IF(Collection!E300="Payment","Payment","Collection")</f>
        <v>Collection</v>
      </c>
      <c r="D1004" s="156">
        <f>Collection!B300</f>
        <v>3945</v>
      </c>
      <c r="E1004" s="156" t="str">
        <f>Collection!I300</f>
        <v>Cash</v>
      </c>
      <c r="F1004" s="157">
        <f>IF(Collection!E300="Payment",N(Collection!H300),0)</f>
        <v>0</v>
      </c>
      <c r="G1004" s="157">
        <f>IF(Collection!E300="Collection",N(Collection!G300),0)</f>
        <v>5180</v>
      </c>
      <c r="H1004" s="157">
        <f t="shared" si="15"/>
        <v>-5180</v>
      </c>
      <c r="I1004" s="151"/>
      <c r="J1004" t="str">
        <f>IF($B1004="","",IF(AND($B1004=Party_Statement!$B$5,$A1004&gt;=Party_Statement!$B$6,$A1004&lt;=Party_Statement!$D$6),SUMPRODUCT(($B$3:$B1004=Party_Statement!$B$5)*($A$3:$A1004&gt;=Party_Statement!$B$6)*($A$3:$A1004&lt;=Party_Statement!$D$6)),""))</f>
        <v/>
      </c>
    </row>
    <row r="1005" spans="1:10" x14ac:dyDescent="0.2">
      <c r="A1005" s="155" t="str">
        <f>Collection!A301</f>
        <v>2083/04/06</v>
      </c>
      <c r="B1005" s="176" t="str">
        <f>Collection!C301</f>
        <v>SOBHA BHATTARAI</v>
      </c>
      <c r="C1005" s="156" t="str">
        <f>IF(Collection!E301="Payment","Payment","Collection")</f>
        <v>Collection</v>
      </c>
      <c r="D1005" s="156">
        <f>Collection!B301</f>
        <v>3946</v>
      </c>
      <c r="E1005" s="156" t="str">
        <f>Collection!I301</f>
        <v>Cash</v>
      </c>
      <c r="F1005" s="157">
        <f>IF(Collection!E301="Payment",N(Collection!H301),0)</f>
        <v>0</v>
      </c>
      <c r="G1005" s="157">
        <f>IF(Collection!E301="Collection",N(Collection!G301),0)</f>
        <v>3825</v>
      </c>
      <c r="H1005" s="157">
        <f t="shared" si="15"/>
        <v>-3825</v>
      </c>
      <c r="I1005" s="151"/>
      <c r="J1005" t="str">
        <f>IF($B1005="","",IF(AND($B1005=Party_Statement!$B$5,$A1005&gt;=Party_Statement!$B$6,$A1005&lt;=Party_Statement!$D$6),SUMPRODUCT(($B$3:$B1005=Party_Statement!$B$5)*($A$3:$A1005&gt;=Party_Statement!$B$6)*($A$3:$A1005&lt;=Party_Statement!$D$6)),""))</f>
        <v/>
      </c>
    </row>
    <row r="1006" spans="1:10" x14ac:dyDescent="0.2">
      <c r="A1006" s="155" t="str">
        <f>Collection!A302</f>
        <v>2083/04/06</v>
      </c>
      <c r="B1006" s="176" t="str">
        <f>Collection!C302</f>
        <v>SAMIKSHYA KIRANA</v>
      </c>
      <c r="C1006" s="156" t="str">
        <f>IF(Collection!E302="Payment","Payment","Collection")</f>
        <v>Collection</v>
      </c>
      <c r="D1006" s="156">
        <f>Collection!B302</f>
        <v>3947</v>
      </c>
      <c r="E1006" s="156" t="str">
        <f>Collection!I302</f>
        <v>Cash</v>
      </c>
      <c r="F1006" s="157">
        <f>IF(Collection!E302="Payment",N(Collection!H302),0)</f>
        <v>0</v>
      </c>
      <c r="G1006" s="157">
        <f>IF(Collection!E302="Collection",N(Collection!G302),0)</f>
        <v>680</v>
      </c>
      <c r="H1006" s="157">
        <f t="shared" si="15"/>
        <v>-680</v>
      </c>
      <c r="I1006" s="151"/>
      <c r="J1006" t="str">
        <f>IF($B1006="","",IF(AND($B1006=Party_Statement!$B$5,$A1006&gt;=Party_Statement!$B$6,$A1006&lt;=Party_Statement!$D$6),SUMPRODUCT(($B$3:$B1006=Party_Statement!$B$5)*($A$3:$A1006&gt;=Party_Statement!$B$6)*($A$3:$A1006&lt;=Party_Statement!$D$6)),""))</f>
        <v/>
      </c>
    </row>
    <row r="1007" spans="1:10" x14ac:dyDescent="0.2">
      <c r="A1007" s="155" t="str">
        <f>Collection!A303</f>
        <v>2083/04/06</v>
      </c>
      <c r="B1007" s="176" t="str">
        <f>Collection!C303</f>
        <v>AAYUSH AND AAYUSHMA</v>
      </c>
      <c r="C1007" s="156" t="str">
        <f>IF(Collection!E303="Payment","Payment","Collection")</f>
        <v>Collection</v>
      </c>
      <c r="D1007" s="156">
        <f>Collection!B303</f>
        <v>3948</v>
      </c>
      <c r="E1007" s="156" t="str">
        <f>Collection!I303</f>
        <v>Cash</v>
      </c>
      <c r="F1007" s="157">
        <f>IF(Collection!E303="Payment",N(Collection!H303),0)</f>
        <v>0</v>
      </c>
      <c r="G1007" s="157">
        <f>IF(Collection!E303="Collection",N(Collection!G303),0)</f>
        <v>425</v>
      </c>
      <c r="H1007" s="157">
        <f t="shared" si="15"/>
        <v>-425</v>
      </c>
      <c r="I1007" s="151"/>
      <c r="J1007" t="str">
        <f>IF($B1007="","",IF(AND($B1007=Party_Statement!$B$5,$A1007&gt;=Party_Statement!$B$6,$A1007&lt;=Party_Statement!$D$6),SUMPRODUCT(($B$3:$B1007=Party_Statement!$B$5)*($A$3:$A1007&gt;=Party_Statement!$B$6)*($A$3:$A1007&lt;=Party_Statement!$D$6)),""))</f>
        <v/>
      </c>
    </row>
    <row r="1008" spans="1:10" x14ac:dyDescent="0.2">
      <c r="A1008" s="155" t="str">
        <f>Collection!A304</f>
        <v>2083/04/06</v>
      </c>
      <c r="B1008" s="176" t="str">
        <f>Collection!C304</f>
        <v>YUBARAJ AND SAMRAT</v>
      </c>
      <c r="C1008" s="156" t="str">
        <f>IF(Collection!E304="Payment","Payment","Collection")</f>
        <v>Collection</v>
      </c>
      <c r="D1008" s="156">
        <f>Collection!B304</f>
        <v>3949</v>
      </c>
      <c r="E1008" s="156" t="str">
        <f>Collection!I304</f>
        <v>Cash</v>
      </c>
      <c r="F1008" s="157">
        <f>IF(Collection!E304="Payment",N(Collection!H304),0)</f>
        <v>0</v>
      </c>
      <c r="G1008" s="157">
        <f>IF(Collection!E304="Collection",N(Collection!G304),0)</f>
        <v>1020</v>
      </c>
      <c r="H1008" s="157">
        <f t="shared" si="15"/>
        <v>-1020</v>
      </c>
      <c r="I1008" s="151"/>
      <c r="J1008" t="str">
        <f>IF($B1008="","",IF(AND($B1008=Party_Statement!$B$5,$A1008&gt;=Party_Statement!$B$6,$A1008&lt;=Party_Statement!$D$6),SUMPRODUCT(($B$3:$B1008=Party_Statement!$B$5)*($A$3:$A1008&gt;=Party_Statement!$B$6)*($A$3:$A1008&lt;=Party_Statement!$D$6)),""))</f>
        <v/>
      </c>
    </row>
    <row r="1009" spans="1:10" x14ac:dyDescent="0.2">
      <c r="A1009" s="155" t="str">
        <f>Collection!A305</f>
        <v>2083/04/06</v>
      </c>
      <c r="B1009" s="176" t="str">
        <f>Collection!C305</f>
        <v>PALPALI KIRANA</v>
      </c>
      <c r="C1009" s="156" t="str">
        <f>IF(Collection!E305="Payment","Payment","Collection")</f>
        <v>Collection</v>
      </c>
      <c r="D1009" s="156">
        <f>Collection!B305</f>
        <v>3950</v>
      </c>
      <c r="E1009" s="156" t="str">
        <f>Collection!I305</f>
        <v>Cash</v>
      </c>
      <c r="F1009" s="157">
        <f>IF(Collection!E305="Payment",N(Collection!H305),0)</f>
        <v>0</v>
      </c>
      <c r="G1009" s="157">
        <f>IF(Collection!E305="Collection",N(Collection!G305),0)</f>
        <v>1275</v>
      </c>
      <c r="H1009" s="157">
        <f t="shared" si="15"/>
        <v>-1275</v>
      </c>
      <c r="I1009" s="151"/>
      <c r="J1009" t="str">
        <f>IF($B1009="","",IF(AND($B1009=Party_Statement!$B$5,$A1009&gt;=Party_Statement!$B$6,$A1009&lt;=Party_Statement!$D$6),SUMPRODUCT(($B$3:$B1009=Party_Statement!$B$5)*($A$3:$A1009&gt;=Party_Statement!$B$6)*($A$3:$A1009&lt;=Party_Statement!$D$6)),""))</f>
        <v/>
      </c>
    </row>
    <row r="1010" spans="1:10" x14ac:dyDescent="0.2">
      <c r="A1010" s="155" t="str">
        <f>Collection!A307</f>
        <v>2083/04/06</v>
      </c>
      <c r="B1010" s="176" t="str">
        <f>Collection!C307</f>
        <v>LOCAL</v>
      </c>
      <c r="C1010" s="156" t="str">
        <f>IF(Collection!E307="Payment","Payment","Collection")</f>
        <v>Collection</v>
      </c>
      <c r="D1010" s="156">
        <f>Collection!B307</f>
        <v>6417</v>
      </c>
      <c r="E1010" s="156" t="str">
        <f>Collection!I307</f>
        <v>Cash</v>
      </c>
      <c r="F1010" s="157">
        <f>IF(Collection!E307="Payment",N(Collection!H307),0)</f>
        <v>0</v>
      </c>
      <c r="G1010" s="157">
        <f>IF(Collection!E307="Collection",N(Collection!G307),0)</f>
        <v>470</v>
      </c>
      <c r="H1010" s="157">
        <f t="shared" si="15"/>
        <v>-470</v>
      </c>
      <c r="I1010" s="151"/>
      <c r="J1010" t="str">
        <f>IF($B1010="","",IF(AND($B1010=Party_Statement!$B$5,$A1010&gt;=Party_Statement!$B$6,$A1010&lt;=Party_Statement!$D$6),SUMPRODUCT(($B$3:$B1010=Party_Statement!$B$5)*($A$3:$A1010&gt;=Party_Statement!$B$6)*($A$3:$A1010&lt;=Party_Statement!$D$6)),""))</f>
        <v/>
      </c>
    </row>
    <row r="1011" spans="1:10" x14ac:dyDescent="0.2">
      <c r="A1011" s="155" t="str">
        <f>Collection!A308</f>
        <v>2083/04/07</v>
      </c>
      <c r="B1011" s="176" t="str">
        <f>Collection!C308</f>
        <v>SRIJANA DAIRY</v>
      </c>
      <c r="C1011" s="156" t="str">
        <f>IF(Collection!E308="Payment","Payment","Collection")</f>
        <v>Collection</v>
      </c>
      <c r="D1011" s="156">
        <f>Collection!B308</f>
        <v>3968</v>
      </c>
      <c r="E1011" s="156" t="str">
        <f>Collection!I308</f>
        <v>Cash</v>
      </c>
      <c r="F1011" s="157">
        <f>IF(Collection!E308="Payment",N(Collection!H308),0)</f>
        <v>0</v>
      </c>
      <c r="G1011" s="157">
        <f>IF(Collection!E308="Collection",N(Collection!G308),0)</f>
        <v>5180</v>
      </c>
      <c r="H1011" s="157">
        <f t="shared" si="15"/>
        <v>-5180</v>
      </c>
      <c r="I1011" s="151"/>
      <c r="J1011" t="str">
        <f>IF($B1011="","",IF(AND($B1011=Party_Statement!$B$5,$A1011&gt;=Party_Statement!$B$6,$A1011&lt;=Party_Statement!$D$6),SUMPRODUCT(($B$3:$B1011=Party_Statement!$B$5)*($A$3:$A1011&gt;=Party_Statement!$B$6)*($A$3:$A1011&lt;=Party_Statement!$D$6)),""))</f>
        <v/>
      </c>
    </row>
    <row r="1012" spans="1:10" x14ac:dyDescent="0.2">
      <c r="A1012" s="155" t="str">
        <f>Collection!A309</f>
        <v>2083/04/07</v>
      </c>
      <c r="B1012" s="176" t="str">
        <f>Collection!C309</f>
        <v>PALPALI KIRANA</v>
      </c>
      <c r="C1012" s="156" t="str">
        <f>IF(Collection!E309="Payment","Payment","Collection")</f>
        <v>Collection</v>
      </c>
      <c r="D1012" s="156">
        <f>Collection!B309</f>
        <v>3969</v>
      </c>
      <c r="E1012" s="156" t="str">
        <f>Collection!I309</f>
        <v>Cash</v>
      </c>
      <c r="F1012" s="157">
        <f>IF(Collection!E309="Payment",N(Collection!H309),0)</f>
        <v>0</v>
      </c>
      <c r="G1012" s="157">
        <f>IF(Collection!E309="Collection",N(Collection!G309),0)</f>
        <v>1700</v>
      </c>
      <c r="H1012" s="157">
        <f t="shared" si="15"/>
        <v>-1700</v>
      </c>
      <c r="I1012" s="151"/>
      <c r="J1012" t="str">
        <f>IF($B1012="","",IF(AND($B1012=Party_Statement!$B$5,$A1012&gt;=Party_Statement!$B$6,$A1012&lt;=Party_Statement!$D$6),SUMPRODUCT(($B$3:$B1012=Party_Statement!$B$5)*($A$3:$A1012&gt;=Party_Statement!$B$6)*($A$3:$A1012&lt;=Party_Statement!$D$6)),""))</f>
        <v/>
      </c>
    </row>
    <row r="1013" spans="1:10" x14ac:dyDescent="0.2">
      <c r="A1013" s="155" t="str">
        <f>Collection!A310</f>
        <v>2083/04/07</v>
      </c>
      <c r="B1013" s="176" t="str">
        <f>Collection!C310</f>
        <v>AAMOSH KIRANA</v>
      </c>
      <c r="C1013" s="156" t="str">
        <f>IF(Collection!E310="Payment","Payment","Collection")</f>
        <v>Collection</v>
      </c>
      <c r="D1013" s="156">
        <f>Collection!B310</f>
        <v>3970</v>
      </c>
      <c r="E1013" s="156" t="str">
        <f>Collection!I310</f>
        <v>Cash</v>
      </c>
      <c r="F1013" s="157">
        <f>IF(Collection!E310="Payment",N(Collection!H310),0)</f>
        <v>0</v>
      </c>
      <c r="G1013" s="157">
        <f>IF(Collection!E310="Collection",N(Collection!G310),0)</f>
        <v>7000</v>
      </c>
      <c r="H1013" s="157">
        <f t="shared" si="15"/>
        <v>-7000</v>
      </c>
      <c r="I1013" s="151"/>
      <c r="J1013" t="str">
        <f>IF($B1013="","",IF(AND($B1013=Party_Statement!$B$5,$A1013&gt;=Party_Statement!$B$6,$A1013&lt;=Party_Statement!$D$6),SUMPRODUCT(($B$3:$B1013=Party_Statement!$B$5)*($A$3:$A1013&gt;=Party_Statement!$B$6)*($A$3:$A1013&lt;=Party_Statement!$D$6)),""))</f>
        <v/>
      </c>
    </row>
    <row r="1014" spans="1:10" x14ac:dyDescent="0.2">
      <c r="A1014" s="155" t="str">
        <f>Collection!A311</f>
        <v>2083/04/07</v>
      </c>
      <c r="B1014" s="176" t="str">
        <f>Collection!C311</f>
        <v>SAMIKSHYA KIRANA</v>
      </c>
      <c r="C1014" s="156" t="str">
        <f>IF(Collection!E311="Payment","Payment","Collection")</f>
        <v>Collection</v>
      </c>
      <c r="D1014" s="156">
        <f>Collection!B311</f>
        <v>3971</v>
      </c>
      <c r="E1014" s="156" t="str">
        <f>Collection!I311</f>
        <v>Cash</v>
      </c>
      <c r="F1014" s="157">
        <f>IF(Collection!E311="Payment",N(Collection!H311),0)</f>
        <v>0</v>
      </c>
      <c r="G1014" s="157">
        <f>IF(Collection!E311="Collection",N(Collection!G311),0)</f>
        <v>680</v>
      </c>
      <c r="H1014" s="157">
        <f t="shared" si="15"/>
        <v>-680</v>
      </c>
      <c r="I1014" s="151"/>
      <c r="J1014" t="str">
        <f>IF($B1014="","",IF(AND($B1014=Party_Statement!$B$5,$A1014&gt;=Party_Statement!$B$6,$A1014&lt;=Party_Statement!$D$6),SUMPRODUCT(($B$3:$B1014=Party_Statement!$B$5)*($A$3:$A1014&gt;=Party_Statement!$B$6)*($A$3:$A1014&lt;=Party_Statement!$D$6)),""))</f>
        <v/>
      </c>
    </row>
    <row r="1015" spans="1:10" x14ac:dyDescent="0.2">
      <c r="A1015" s="155" t="str">
        <f>Collection!A312</f>
        <v>2083/04/07</v>
      </c>
      <c r="B1015" s="176" t="str">
        <f>Collection!C312</f>
        <v>GIRI KIRANA</v>
      </c>
      <c r="C1015" s="156" t="str">
        <f>IF(Collection!E312="Payment","Payment","Collection")</f>
        <v>Collection</v>
      </c>
      <c r="D1015" s="156">
        <f>Collection!B312</f>
        <v>3972</v>
      </c>
      <c r="E1015" s="156" t="str">
        <f>Collection!I312</f>
        <v>Cash</v>
      </c>
      <c r="F1015" s="157">
        <f>IF(Collection!E312="Payment",N(Collection!H312),0)</f>
        <v>0</v>
      </c>
      <c r="G1015" s="157">
        <f>IF(Collection!E312="Collection",N(Collection!G312),0)</f>
        <v>1275</v>
      </c>
      <c r="H1015" s="157">
        <f t="shared" si="15"/>
        <v>-1275</v>
      </c>
      <c r="I1015" s="151"/>
      <c r="J1015" t="str">
        <f>IF($B1015="","",IF(AND($B1015=Party_Statement!$B$5,$A1015&gt;=Party_Statement!$B$6,$A1015&lt;=Party_Statement!$D$6),SUMPRODUCT(($B$3:$B1015=Party_Statement!$B$5)*($A$3:$A1015&gt;=Party_Statement!$B$6)*($A$3:$A1015&lt;=Party_Statement!$D$6)),""))</f>
        <v/>
      </c>
    </row>
    <row r="1016" spans="1:10" x14ac:dyDescent="0.2">
      <c r="A1016" s="155" t="str">
        <f>Collection!A313</f>
        <v>2083/04/07</v>
      </c>
      <c r="B1016" s="176" t="str">
        <f>Collection!C313</f>
        <v>ORGANIC TARKALI</v>
      </c>
      <c r="C1016" s="156" t="str">
        <f>IF(Collection!E313="Payment","Payment","Collection")</f>
        <v>Collection</v>
      </c>
      <c r="D1016" s="156">
        <f>Collection!B313</f>
        <v>3973</v>
      </c>
      <c r="E1016" s="156" t="str">
        <f>Collection!I313</f>
        <v>Cash</v>
      </c>
      <c r="F1016" s="157">
        <f>IF(Collection!E313="Payment",N(Collection!H313),0)</f>
        <v>0</v>
      </c>
      <c r="G1016" s="157">
        <f>IF(Collection!E313="Collection",N(Collection!G313),0)</f>
        <v>2375</v>
      </c>
      <c r="H1016" s="157">
        <f t="shared" si="15"/>
        <v>-2375</v>
      </c>
      <c r="I1016" s="151"/>
      <c r="J1016" t="str">
        <f>IF($B1016="","",IF(AND($B1016=Party_Statement!$B$5,$A1016&gt;=Party_Statement!$B$6,$A1016&lt;=Party_Statement!$D$6),SUMPRODUCT(($B$3:$B1016=Party_Statement!$B$5)*($A$3:$A1016&gt;=Party_Statement!$B$6)*($A$3:$A1016&lt;=Party_Statement!$D$6)),""))</f>
        <v/>
      </c>
    </row>
    <row r="1017" spans="1:10" x14ac:dyDescent="0.2">
      <c r="A1017" s="155" t="str">
        <f>Collection!A314</f>
        <v>2083/04/07</v>
      </c>
      <c r="B1017" s="176" t="str">
        <f>Collection!C314</f>
        <v>SHARMA DAI</v>
      </c>
      <c r="C1017" s="156" t="str">
        <f>IF(Collection!E314="Payment","Payment","Collection")</f>
        <v>Collection</v>
      </c>
      <c r="D1017" s="156">
        <f>Collection!B314</f>
        <v>3974</v>
      </c>
      <c r="E1017" s="156" t="str">
        <f>Collection!I314</f>
        <v>Cash</v>
      </c>
      <c r="F1017" s="157">
        <f>IF(Collection!E314="Payment",N(Collection!H314),0)</f>
        <v>0</v>
      </c>
      <c r="G1017" s="157">
        <f>IF(Collection!E314="Collection",N(Collection!G314),0)</f>
        <v>15000</v>
      </c>
      <c r="H1017" s="157">
        <f t="shared" si="15"/>
        <v>-15000</v>
      </c>
      <c r="I1017" s="151"/>
      <c r="J1017" t="str">
        <f>IF($B1017="","",IF(AND($B1017=Party_Statement!$B$5,$A1017&gt;=Party_Statement!$B$6,$A1017&lt;=Party_Statement!$D$6),SUMPRODUCT(($B$3:$B1017=Party_Statement!$B$5)*($A$3:$A1017&gt;=Party_Statement!$B$6)*($A$3:$A1017&lt;=Party_Statement!$D$6)),""))</f>
        <v/>
      </c>
    </row>
    <row r="1018" spans="1:10" x14ac:dyDescent="0.2">
      <c r="A1018" s="155" t="str">
        <f>Collection!A315</f>
        <v>2083/04/07</v>
      </c>
      <c r="B1018" s="176" t="str">
        <f>Collection!C315</f>
        <v>YUBARAJ AND SAMRAT</v>
      </c>
      <c r="C1018" s="156" t="str">
        <f>IF(Collection!E315="Payment","Payment","Collection")</f>
        <v>Collection</v>
      </c>
      <c r="D1018" s="156">
        <f>Collection!B315</f>
        <v>3975</v>
      </c>
      <c r="E1018" s="156" t="str">
        <f>Collection!I315</f>
        <v>Cash</v>
      </c>
      <c r="F1018" s="157">
        <f>IF(Collection!E315="Payment",N(Collection!H315),0)</f>
        <v>0</v>
      </c>
      <c r="G1018" s="157">
        <f>IF(Collection!E315="Collection",N(Collection!G315),0)</f>
        <v>1020</v>
      </c>
      <c r="H1018" s="157">
        <f t="shared" si="15"/>
        <v>-1020</v>
      </c>
      <c r="I1018" s="151"/>
      <c r="J1018" t="str">
        <f>IF($B1018="","",IF(AND($B1018=Party_Statement!$B$5,$A1018&gt;=Party_Statement!$B$6,$A1018&lt;=Party_Statement!$D$6),SUMPRODUCT(($B$3:$B1018=Party_Statement!$B$5)*($A$3:$A1018&gt;=Party_Statement!$B$6)*($A$3:$A1018&lt;=Party_Statement!$D$6)),""))</f>
        <v/>
      </c>
    </row>
    <row r="1019" spans="1:10" x14ac:dyDescent="0.2">
      <c r="A1019" s="155" t="str">
        <f>Collection!A316</f>
        <v>2083/04/07</v>
      </c>
      <c r="B1019" s="176" t="str">
        <f>Collection!C316</f>
        <v>SOBHA BHATTARAI</v>
      </c>
      <c r="C1019" s="156" t="str">
        <f>IF(Collection!E316="Payment","Payment","Collection")</f>
        <v>Collection</v>
      </c>
      <c r="D1019" s="156">
        <f>Collection!B316</f>
        <v>3976</v>
      </c>
      <c r="E1019" s="156" t="str">
        <f>Collection!I316</f>
        <v>Cash</v>
      </c>
      <c r="F1019" s="157">
        <f>IF(Collection!E316="Payment",N(Collection!H316),0)</f>
        <v>0</v>
      </c>
      <c r="G1019" s="157">
        <f>IF(Collection!E316="Collection",N(Collection!G316),0)</f>
        <v>4250</v>
      </c>
      <c r="H1019" s="157">
        <f t="shared" si="15"/>
        <v>-4250</v>
      </c>
      <c r="I1019" s="151"/>
      <c r="J1019" t="str">
        <f>IF($B1019="","",IF(AND($B1019=Party_Statement!$B$5,$A1019&gt;=Party_Statement!$B$6,$A1019&lt;=Party_Statement!$D$6),SUMPRODUCT(($B$3:$B1019=Party_Statement!$B$5)*($A$3:$A1019&gt;=Party_Statement!$B$6)*($A$3:$A1019&lt;=Party_Statement!$D$6)),""))</f>
        <v/>
      </c>
    </row>
    <row r="1020" spans="1:10" x14ac:dyDescent="0.2">
      <c r="A1020" s="155" t="str">
        <f>Collection!A317</f>
        <v>2083/04/07</v>
      </c>
      <c r="B1020" s="176" t="str">
        <f>Collection!C317</f>
        <v>DEURALI KIRANA</v>
      </c>
      <c r="C1020" s="156" t="str">
        <f>IF(Collection!E317="Payment","Payment","Collection")</f>
        <v>Collection</v>
      </c>
      <c r="D1020" s="156">
        <f>Collection!B317</f>
        <v>3977</v>
      </c>
      <c r="E1020" s="156" t="str">
        <f>Collection!I317</f>
        <v>Cash</v>
      </c>
      <c r="F1020" s="157">
        <f>IF(Collection!E317="Payment",N(Collection!H317),0)</f>
        <v>0</v>
      </c>
      <c r="G1020" s="157">
        <f>IF(Collection!E317="Collection",N(Collection!G317),0)</f>
        <v>425</v>
      </c>
      <c r="H1020" s="157">
        <f t="shared" si="15"/>
        <v>-425</v>
      </c>
      <c r="I1020" s="151"/>
      <c r="J1020" t="str">
        <f>IF($B1020="","",IF(AND($B1020=Party_Statement!$B$5,$A1020&gt;=Party_Statement!$B$6,$A1020&lt;=Party_Statement!$D$6),SUMPRODUCT(($B$3:$B1020=Party_Statement!$B$5)*($A$3:$A1020&gt;=Party_Statement!$B$6)*($A$3:$A1020&lt;=Party_Statement!$D$6)),""))</f>
        <v/>
      </c>
    </row>
    <row r="1021" spans="1:10" x14ac:dyDescent="0.2">
      <c r="A1021" s="155" t="str">
        <f>Collection!A318</f>
        <v>2083/04/07</v>
      </c>
      <c r="B1021" s="176" t="str">
        <f>Collection!C318</f>
        <v>NABA RAJ NEPAL</v>
      </c>
      <c r="C1021" s="156" t="str">
        <f>IF(Collection!E318="Payment","Payment","Collection")</f>
        <v>Collection</v>
      </c>
      <c r="D1021" s="156">
        <f>Collection!B318</f>
        <v>3978</v>
      </c>
      <c r="E1021" s="156" t="str">
        <f>Collection!I318</f>
        <v>Cash</v>
      </c>
      <c r="F1021" s="157">
        <f>IF(Collection!E318="Payment",N(Collection!H318),0)</f>
        <v>0</v>
      </c>
      <c r="G1021" s="157">
        <f>IF(Collection!E318="Collection",N(Collection!G318),0)</f>
        <v>975</v>
      </c>
      <c r="H1021" s="157">
        <f t="shared" si="15"/>
        <v>-975</v>
      </c>
      <c r="I1021" s="151"/>
      <c r="J1021" t="str">
        <f>IF($B1021="","",IF(AND($B1021=Party_Statement!$B$5,$A1021&gt;=Party_Statement!$B$6,$A1021&lt;=Party_Statement!$D$6),SUMPRODUCT(($B$3:$B1021=Party_Statement!$B$5)*($A$3:$A1021&gt;=Party_Statement!$B$6)*($A$3:$A1021&lt;=Party_Statement!$D$6)),""))</f>
        <v/>
      </c>
    </row>
    <row r="1022" spans="1:10" x14ac:dyDescent="0.2">
      <c r="A1022" s="155" t="str">
        <f>Collection!A319</f>
        <v>2083/04/07</v>
      </c>
      <c r="B1022" s="176" t="str">
        <f>Collection!C319</f>
        <v>TILAK RAYAMAJHI</v>
      </c>
      <c r="C1022" s="156" t="str">
        <f>IF(Collection!E319="Payment","Payment","Collection")</f>
        <v>Collection</v>
      </c>
      <c r="D1022" s="156">
        <f>Collection!B319</f>
        <v>3979</v>
      </c>
      <c r="E1022" s="156" t="str">
        <f>Collection!I319</f>
        <v>Cash</v>
      </c>
      <c r="F1022" s="157">
        <f>IF(Collection!E319="Payment",N(Collection!H319),0)</f>
        <v>0</v>
      </c>
      <c r="G1022" s="157">
        <f>IF(Collection!E319="Collection",N(Collection!G319),0)</f>
        <v>3015</v>
      </c>
      <c r="H1022" s="157">
        <f t="shared" si="15"/>
        <v>-3015</v>
      </c>
      <c r="I1022" s="151"/>
      <c r="J1022" t="str">
        <f>IF($B1022="","",IF(AND($B1022=Party_Statement!$B$5,$A1022&gt;=Party_Statement!$B$6,$A1022&lt;=Party_Statement!$D$6),SUMPRODUCT(($B$3:$B1022=Party_Statement!$B$5)*($A$3:$A1022&gt;=Party_Statement!$B$6)*($A$3:$A1022&lt;=Party_Statement!$D$6)),""))</f>
        <v/>
      </c>
    </row>
    <row r="1023" spans="1:10" x14ac:dyDescent="0.2">
      <c r="A1023" s="155" t="str">
        <f>Collection!A322</f>
        <v>2083/04/07</v>
      </c>
      <c r="B1023" s="176" t="str">
        <f>Collection!C322</f>
        <v>LOCAL</v>
      </c>
      <c r="C1023" s="156" t="str">
        <f>IF(Collection!E322="Payment","Payment","Collection")</f>
        <v>Collection</v>
      </c>
      <c r="D1023" s="156">
        <f>Collection!B322</f>
        <v>6436</v>
      </c>
      <c r="E1023" s="156" t="str">
        <f>Collection!I322</f>
        <v>QR</v>
      </c>
      <c r="F1023" s="157">
        <f>IF(Collection!E322="Payment",N(Collection!H322),0)</f>
        <v>0</v>
      </c>
      <c r="G1023" s="157">
        <f>IF(Collection!E322="Collection",N(Collection!G322),0)</f>
        <v>1100</v>
      </c>
      <c r="H1023" s="157">
        <f t="shared" si="15"/>
        <v>-1100</v>
      </c>
      <c r="I1023" s="151"/>
      <c r="J1023" t="str">
        <f>IF($B1023="","",IF(AND($B1023=Party_Statement!$B$5,$A1023&gt;=Party_Statement!$B$6,$A1023&lt;=Party_Statement!$D$6),SUMPRODUCT(($B$3:$B1023=Party_Statement!$B$5)*($A$3:$A1023&gt;=Party_Statement!$B$6)*($A$3:$A1023&lt;=Party_Statement!$D$6)),""))</f>
        <v/>
      </c>
    </row>
    <row r="1024" spans="1:10" x14ac:dyDescent="0.2">
      <c r="A1024" s="155" t="str">
        <f>Collection!A323</f>
        <v>2083/04/07</v>
      </c>
      <c r="B1024" s="176" t="str">
        <f>Collection!C323</f>
        <v>LOCAL</v>
      </c>
      <c r="C1024" s="156" t="str">
        <f>IF(Collection!E323="Payment","Payment","Collection")</f>
        <v>Collection</v>
      </c>
      <c r="D1024" s="156">
        <f>Collection!B323</f>
        <v>6436</v>
      </c>
      <c r="E1024" s="156" t="str">
        <f>Collection!I323</f>
        <v>Cash</v>
      </c>
      <c r="F1024" s="157">
        <f>IF(Collection!E323="Payment",N(Collection!H323),0)</f>
        <v>0</v>
      </c>
      <c r="G1024" s="157">
        <f>IF(Collection!E323="Collection",N(Collection!G323),0)</f>
        <v>500</v>
      </c>
      <c r="H1024" s="157">
        <f t="shared" si="15"/>
        <v>-1600</v>
      </c>
      <c r="I1024" s="151"/>
      <c r="J1024" t="str">
        <f>IF($B1024="","",IF(AND($B1024=Party_Statement!$B$5,$A1024&gt;=Party_Statement!$B$6,$A1024&lt;=Party_Statement!$D$6),SUMPRODUCT(($B$3:$B1024=Party_Statement!$B$5)*($A$3:$A1024&gt;=Party_Statement!$B$6)*($A$3:$A1024&lt;=Party_Statement!$D$6)),""))</f>
        <v/>
      </c>
    </row>
    <row r="1025" spans="1:10" x14ac:dyDescent="0.2">
      <c r="A1025" s="155" t="str">
        <f>Collection!A324</f>
        <v>2083/04/08</v>
      </c>
      <c r="B1025" s="176" t="str">
        <f>Collection!C324</f>
        <v>SRIJANA DAIRY</v>
      </c>
      <c r="C1025" s="156" t="str">
        <f>IF(Collection!E324="Payment","Payment","Collection")</f>
        <v>Collection</v>
      </c>
      <c r="D1025" s="156">
        <f>Collection!B324</f>
        <v>3980</v>
      </c>
      <c r="E1025" s="156" t="str">
        <f>Collection!I324</f>
        <v>Cash</v>
      </c>
      <c r="F1025" s="157">
        <f>IF(Collection!E324="Payment",N(Collection!H324),0)</f>
        <v>0</v>
      </c>
      <c r="G1025" s="157">
        <f>IF(Collection!E324="Collection",N(Collection!G324),0)</f>
        <v>5180</v>
      </c>
      <c r="H1025" s="157">
        <f t="shared" si="15"/>
        <v>-5180</v>
      </c>
      <c r="I1025" s="151"/>
      <c r="J1025" t="str">
        <f>IF($B1025="","",IF(AND($B1025=Party_Statement!$B$5,$A1025&gt;=Party_Statement!$B$6,$A1025&lt;=Party_Statement!$D$6),SUMPRODUCT(($B$3:$B1025=Party_Statement!$B$5)*($A$3:$A1025&gt;=Party_Statement!$B$6)*($A$3:$A1025&lt;=Party_Statement!$D$6)),""))</f>
        <v/>
      </c>
    </row>
    <row r="1026" spans="1:10" x14ac:dyDescent="0.2">
      <c r="A1026" s="155" t="str">
        <f>Collection!A325</f>
        <v>2083/04/08</v>
      </c>
      <c r="B1026" s="176" t="str">
        <f>Collection!C325</f>
        <v>SOBHA BHATTARAI</v>
      </c>
      <c r="C1026" s="156" t="str">
        <f>IF(Collection!E325="Payment","Payment","Collection")</f>
        <v>Collection</v>
      </c>
      <c r="D1026" s="156">
        <f>Collection!B325</f>
        <v>3981</v>
      </c>
      <c r="E1026" s="156" t="str">
        <f>Collection!I325</f>
        <v>Cash</v>
      </c>
      <c r="F1026" s="157">
        <f>IF(Collection!E325="Payment",N(Collection!H325),0)</f>
        <v>0</v>
      </c>
      <c r="G1026" s="157">
        <f>IF(Collection!E325="Collection",N(Collection!G325),0)</f>
        <v>5100</v>
      </c>
      <c r="H1026" s="157">
        <f t="shared" si="15"/>
        <v>-5100</v>
      </c>
      <c r="I1026" s="151"/>
      <c r="J1026" t="str">
        <f>IF($B1026="","",IF(AND($B1026=Party_Statement!$B$5,$A1026&gt;=Party_Statement!$B$6,$A1026&lt;=Party_Statement!$D$6),SUMPRODUCT(($B$3:$B1026=Party_Statement!$B$5)*($A$3:$A1026&gt;=Party_Statement!$B$6)*($A$3:$A1026&lt;=Party_Statement!$D$6)),""))</f>
        <v/>
      </c>
    </row>
    <row r="1027" spans="1:10" x14ac:dyDescent="0.2">
      <c r="A1027" s="155" t="str">
        <f>Collection!A326</f>
        <v>2083/04/08</v>
      </c>
      <c r="B1027" s="176" t="str">
        <f>Collection!C326</f>
        <v>PALPALI KIRANA</v>
      </c>
      <c r="C1027" s="156" t="str">
        <f>IF(Collection!E326="Payment","Payment","Collection")</f>
        <v>Collection</v>
      </c>
      <c r="D1027" s="156">
        <f>Collection!B326</f>
        <v>3982</v>
      </c>
      <c r="E1027" s="156" t="str">
        <f>Collection!I326</f>
        <v>Cash</v>
      </c>
      <c r="F1027" s="157">
        <f>IF(Collection!E326="Payment",N(Collection!H326),0)</f>
        <v>0</v>
      </c>
      <c r="G1027" s="157">
        <f>IF(Collection!E326="Collection",N(Collection!G326),0)</f>
        <v>1700</v>
      </c>
      <c r="H1027" s="157">
        <f t="shared" si="15"/>
        <v>-1700</v>
      </c>
      <c r="I1027" s="151"/>
      <c r="J1027" t="str">
        <f>IF($B1027="","",IF(AND($B1027=Party_Statement!$B$5,$A1027&gt;=Party_Statement!$B$6,$A1027&lt;=Party_Statement!$D$6),SUMPRODUCT(($B$3:$B1027=Party_Statement!$B$5)*($A$3:$A1027&gt;=Party_Statement!$B$6)*($A$3:$A1027&lt;=Party_Statement!$D$6)),""))</f>
        <v/>
      </c>
    </row>
    <row r="1028" spans="1:10" x14ac:dyDescent="0.2">
      <c r="A1028" s="155" t="str">
        <f>Collection!A327</f>
        <v>2083/04/08</v>
      </c>
      <c r="B1028" s="176" t="str">
        <f>Collection!C327</f>
        <v>AAMOSH KIRANA</v>
      </c>
      <c r="C1028" s="156" t="str">
        <f>IF(Collection!E327="Payment","Payment","Collection")</f>
        <v>Collection</v>
      </c>
      <c r="D1028" s="156">
        <f>Collection!B327</f>
        <v>3983</v>
      </c>
      <c r="E1028" s="156" t="str">
        <f>Collection!I327</f>
        <v>Cash</v>
      </c>
      <c r="F1028" s="157">
        <f>IF(Collection!E327="Payment",N(Collection!H327),0)</f>
        <v>0</v>
      </c>
      <c r="G1028" s="157">
        <f>IF(Collection!E327="Collection",N(Collection!G327),0)</f>
        <v>5500</v>
      </c>
      <c r="H1028" s="157">
        <f t="shared" ref="H1028:H1039" si="16">IF($B1028="","",IF($B1028=$B1027,$H1027+$F1028-$G1028,$F1028-$G1028))</f>
        <v>-5500</v>
      </c>
      <c r="I1028" s="151"/>
      <c r="J1028" t="str">
        <f>IF($B1028="","",IF(AND($B1028=Party_Statement!$B$5,$A1028&gt;=Party_Statement!$B$6,$A1028&lt;=Party_Statement!$D$6),SUMPRODUCT(($B$3:$B1028=Party_Statement!$B$5)*($A$3:$A1028&gt;=Party_Statement!$B$6)*($A$3:$A1028&lt;=Party_Statement!$D$6)),""))</f>
        <v/>
      </c>
    </row>
    <row r="1029" spans="1:10" x14ac:dyDescent="0.2">
      <c r="A1029" s="155" t="str">
        <f>Collection!A328</f>
        <v>2083/04/08</v>
      </c>
      <c r="B1029" s="176" t="str">
        <f>Collection!C328</f>
        <v>DEURALI KIRANA</v>
      </c>
      <c r="C1029" s="156" t="str">
        <f>IF(Collection!E328="Payment","Payment","Collection")</f>
        <v>Collection</v>
      </c>
      <c r="D1029" s="156">
        <f>Collection!B328</f>
        <v>3984</v>
      </c>
      <c r="E1029" s="156" t="str">
        <f>Collection!I328</f>
        <v>Cash</v>
      </c>
      <c r="F1029" s="157">
        <f>IF(Collection!E328="Payment",N(Collection!H328),0)</f>
        <v>0</v>
      </c>
      <c r="G1029" s="157">
        <f>IF(Collection!E328="Collection",N(Collection!G328),0)</f>
        <v>425</v>
      </c>
      <c r="H1029" s="157">
        <f t="shared" si="16"/>
        <v>-425</v>
      </c>
      <c r="I1029" s="151"/>
      <c r="J1029" t="str">
        <f>IF($B1029="","",IF(AND($B1029=Party_Statement!$B$5,$A1029&gt;=Party_Statement!$B$6,$A1029&lt;=Party_Statement!$D$6),SUMPRODUCT(($B$3:$B1029=Party_Statement!$B$5)*($A$3:$A1029&gt;=Party_Statement!$B$6)*($A$3:$A1029&lt;=Party_Statement!$D$6)),""))</f>
        <v/>
      </c>
    </row>
    <row r="1030" spans="1:10" x14ac:dyDescent="0.2">
      <c r="A1030" s="155" t="str">
        <f>Collection!A329</f>
        <v>2083/04/08</v>
      </c>
      <c r="B1030" s="176" t="str">
        <f>Collection!C329</f>
        <v>GIRI KIRANA</v>
      </c>
      <c r="C1030" s="156" t="str">
        <f>IF(Collection!E329="Payment","Payment","Collection")</f>
        <v>Collection</v>
      </c>
      <c r="D1030" s="156">
        <f>Collection!B329</f>
        <v>3985</v>
      </c>
      <c r="E1030" s="156" t="str">
        <f>Collection!I329</f>
        <v>Cash</v>
      </c>
      <c r="F1030" s="157">
        <f>IF(Collection!E329="Payment",N(Collection!H329),0)</f>
        <v>0</v>
      </c>
      <c r="G1030" s="157">
        <f>IF(Collection!E329="Collection",N(Collection!G329),0)</f>
        <v>1275</v>
      </c>
      <c r="H1030" s="157">
        <f t="shared" si="16"/>
        <v>-1275</v>
      </c>
      <c r="I1030" s="151"/>
      <c r="J1030" t="str">
        <f>IF($B1030="","",IF(AND($B1030=Party_Statement!$B$5,$A1030&gt;=Party_Statement!$B$6,$A1030&lt;=Party_Statement!$D$6),SUMPRODUCT(($B$3:$B1030=Party_Statement!$B$5)*($A$3:$A1030&gt;=Party_Statement!$B$6)*($A$3:$A1030&lt;=Party_Statement!$D$6)),""))</f>
        <v/>
      </c>
    </row>
    <row r="1031" spans="1:10" x14ac:dyDescent="0.2">
      <c r="A1031" s="155" t="str">
        <f>Collection!A330</f>
        <v>2083/04/08</v>
      </c>
      <c r="B1031" s="176" t="str">
        <f>Collection!C330</f>
        <v>SAMIKSHYA KIRANA</v>
      </c>
      <c r="C1031" s="156" t="str">
        <f>IF(Collection!E330="Payment","Payment","Collection")</f>
        <v>Collection</v>
      </c>
      <c r="D1031" s="156">
        <f>Collection!B330</f>
        <v>3986</v>
      </c>
      <c r="E1031" s="156" t="str">
        <f>Collection!I330</f>
        <v>Cash</v>
      </c>
      <c r="F1031" s="157">
        <f>IF(Collection!E330="Payment",N(Collection!H330),0)</f>
        <v>0</v>
      </c>
      <c r="G1031" s="157">
        <f>IF(Collection!E330="Collection",N(Collection!G330),0)</f>
        <v>680</v>
      </c>
      <c r="H1031" s="157">
        <f t="shared" si="16"/>
        <v>-680</v>
      </c>
      <c r="I1031" s="151"/>
      <c r="J1031" t="str">
        <f>IF($B1031="","",IF(AND($B1031=Party_Statement!$B$5,$A1031&gt;=Party_Statement!$B$6,$A1031&lt;=Party_Statement!$D$6),SUMPRODUCT(($B$3:$B1031=Party_Statement!$B$5)*($A$3:$A1031&gt;=Party_Statement!$B$6)*($A$3:$A1031&lt;=Party_Statement!$D$6)),""))</f>
        <v/>
      </c>
    </row>
    <row r="1032" spans="1:10" x14ac:dyDescent="0.2">
      <c r="A1032" s="155" t="str">
        <f>Collection!A331</f>
        <v>2083/04/08</v>
      </c>
      <c r="B1032" s="176" t="str">
        <f>Collection!C331</f>
        <v>YUBARAJ AND SAMRAT</v>
      </c>
      <c r="C1032" s="156" t="str">
        <f>IF(Collection!E331="Payment","Payment","Collection")</f>
        <v>Collection</v>
      </c>
      <c r="D1032" s="156">
        <f>Collection!B331</f>
        <v>3987</v>
      </c>
      <c r="E1032" s="156" t="str">
        <f>Collection!I331</f>
        <v>Cash</v>
      </c>
      <c r="F1032" s="157">
        <f>IF(Collection!E331="Payment",N(Collection!H331),0)</f>
        <v>0</v>
      </c>
      <c r="G1032" s="157">
        <f>IF(Collection!E331="Collection",N(Collection!G331),0)</f>
        <v>1020</v>
      </c>
      <c r="H1032" s="157">
        <f t="shared" si="16"/>
        <v>-1020</v>
      </c>
      <c r="I1032" s="151"/>
      <c r="J1032" t="str">
        <f>IF($B1032="","",IF(AND($B1032=Party_Statement!$B$5,$A1032&gt;=Party_Statement!$B$6,$A1032&lt;=Party_Statement!$D$6),SUMPRODUCT(($B$3:$B1032=Party_Statement!$B$5)*($A$3:$A1032&gt;=Party_Statement!$B$6)*($A$3:$A1032&lt;=Party_Statement!$D$6)),""))</f>
        <v/>
      </c>
    </row>
    <row r="1033" spans="1:10" x14ac:dyDescent="0.2">
      <c r="A1033" s="155" t="str">
        <f>Collection!A332</f>
        <v>2083/04/08</v>
      </c>
      <c r="B1033" s="176" t="str">
        <f>Collection!C332</f>
        <v>MANAKAMANA DAIRY</v>
      </c>
      <c r="C1033" s="156" t="str">
        <f>IF(Collection!E332="Payment","Payment","Collection")</f>
        <v>Collection</v>
      </c>
      <c r="D1033" s="156">
        <f>Collection!B332</f>
        <v>3988</v>
      </c>
      <c r="E1033" s="156" t="str">
        <f>Collection!I332</f>
        <v>Cash</v>
      </c>
      <c r="F1033" s="157">
        <f>IF(Collection!E332="Payment",N(Collection!H332),0)</f>
        <v>0</v>
      </c>
      <c r="G1033" s="157">
        <f>IF(Collection!E332="Collection",N(Collection!G332),0)</f>
        <v>1900</v>
      </c>
      <c r="H1033" s="157">
        <f t="shared" si="16"/>
        <v>-1900</v>
      </c>
      <c r="I1033" s="151"/>
      <c r="J1033" t="str">
        <f>IF($B1033="","",IF(AND($B1033=Party_Statement!$B$5,$A1033&gt;=Party_Statement!$B$6,$A1033&lt;=Party_Statement!$D$6),SUMPRODUCT(($B$3:$B1033=Party_Statement!$B$5)*($A$3:$A1033&gt;=Party_Statement!$B$6)*($A$3:$A1033&lt;=Party_Statement!$D$6)),""))</f>
        <v/>
      </c>
    </row>
    <row r="1034" spans="1:10" x14ac:dyDescent="0.2">
      <c r="A1034" s="155" t="str">
        <f>Collection!A333</f>
        <v>2083/04/08</v>
      </c>
      <c r="B1034" s="176" t="str">
        <f>Collection!C333</f>
        <v>ORGANIC TARKALI</v>
      </c>
      <c r="C1034" s="156" t="str">
        <f>IF(Collection!E333="Payment","Payment","Collection")</f>
        <v>Collection</v>
      </c>
      <c r="D1034" s="156">
        <f>Collection!B333</f>
        <v>3989</v>
      </c>
      <c r="E1034" s="156" t="str">
        <f>Collection!I333</f>
        <v>Cash</v>
      </c>
      <c r="F1034" s="157">
        <f>IF(Collection!E333="Payment",N(Collection!H333),0)</f>
        <v>0</v>
      </c>
      <c r="G1034" s="157">
        <f>IF(Collection!E333="Collection",N(Collection!G333),0)</f>
        <v>2375</v>
      </c>
      <c r="H1034" s="157">
        <f t="shared" si="16"/>
        <v>-2375</v>
      </c>
      <c r="I1034" s="151"/>
      <c r="J1034" t="str">
        <f>IF($B1034="","",IF(AND($B1034=Party_Statement!$B$5,$A1034&gt;=Party_Statement!$B$6,$A1034&lt;=Party_Statement!$D$6),SUMPRODUCT(($B$3:$B1034=Party_Statement!$B$5)*($A$3:$A1034&gt;=Party_Statement!$B$6)*($A$3:$A1034&lt;=Party_Statement!$D$6)),""))</f>
        <v/>
      </c>
    </row>
    <row r="1035" spans="1:10" x14ac:dyDescent="0.2">
      <c r="A1035" s="155" t="str">
        <f>Collection!A334</f>
        <v>2083/04/08</v>
      </c>
      <c r="B1035" s="176" t="str">
        <f>Collection!C334</f>
        <v>NEHA MISTAN BHANDAR</v>
      </c>
      <c r="C1035" s="156" t="str">
        <f>IF(Collection!E334="Payment","Payment","Collection")</f>
        <v>Collection</v>
      </c>
      <c r="D1035" s="156">
        <f>Collection!B334</f>
        <v>3990</v>
      </c>
      <c r="E1035" s="156" t="str">
        <f>Collection!I334</f>
        <v>Cash</v>
      </c>
      <c r="F1035" s="157">
        <f>IF(Collection!E334="Payment",N(Collection!H334),0)</f>
        <v>0</v>
      </c>
      <c r="G1035" s="157">
        <f>IF(Collection!E334="Collection",N(Collection!G334),0)</f>
        <v>3400</v>
      </c>
      <c r="H1035" s="157">
        <f t="shared" si="16"/>
        <v>-3400</v>
      </c>
      <c r="I1035" s="151"/>
      <c r="J1035" t="str">
        <f>IF($B1035="","",IF(AND($B1035=Party_Statement!$B$5,$A1035&gt;=Party_Statement!$B$6,$A1035&lt;=Party_Statement!$D$6),SUMPRODUCT(($B$3:$B1035=Party_Statement!$B$5)*($A$3:$A1035&gt;=Party_Statement!$B$6)*($A$3:$A1035&lt;=Party_Statement!$D$6)),""))</f>
        <v/>
      </c>
    </row>
    <row r="1036" spans="1:10" x14ac:dyDescent="0.2">
      <c r="A1036" s="155" t="str">
        <f>Collection!A336</f>
        <v>2083/04/08</v>
      </c>
      <c r="B1036" s="176" t="str">
        <f>Collection!C336</f>
        <v>LOCAL</v>
      </c>
      <c r="C1036" s="156" t="str">
        <f>IF(Collection!E336="Payment","Payment","Collection")</f>
        <v>Collection</v>
      </c>
      <c r="D1036" s="156">
        <f>Collection!B336</f>
        <v>3451</v>
      </c>
      <c r="E1036" s="156" t="str">
        <f>Collection!I336</f>
        <v>Cash</v>
      </c>
      <c r="F1036" s="157">
        <f>IF(Collection!E336="Payment",N(Collection!H336),0)</f>
        <v>0</v>
      </c>
      <c r="G1036" s="157">
        <f>IF(Collection!E336="Collection",N(Collection!G336),0)</f>
        <v>300</v>
      </c>
      <c r="H1036" s="157">
        <f t="shared" si="16"/>
        <v>-300</v>
      </c>
      <c r="I1036" s="151"/>
      <c r="J1036" t="str">
        <f>IF($B1036="","",IF(AND($B1036=Party_Statement!$B$5,$A1036&gt;=Party_Statement!$B$6,$A1036&lt;=Party_Statement!$D$6),SUMPRODUCT(($B$3:$B1036=Party_Statement!$B$5)*($A$3:$A1036&gt;=Party_Statement!$B$6)*($A$3:$A1036&lt;=Party_Statement!$D$6)),""))</f>
        <v/>
      </c>
    </row>
    <row r="1037" spans="1:10" x14ac:dyDescent="0.2">
      <c r="A1037" s="155" t="str">
        <f>Collection!A337</f>
        <v>2083/04/09</v>
      </c>
      <c r="B1037" s="176" t="str">
        <f>Collection!C337</f>
        <v>LOCAL</v>
      </c>
      <c r="C1037" s="156" t="str">
        <f>IF(Collection!E337="Payment","Payment","Collection")</f>
        <v>Collection</v>
      </c>
      <c r="D1037" s="156">
        <f>Collection!B337</f>
        <v>6453</v>
      </c>
      <c r="E1037" s="156" t="str">
        <f>Collection!I337</f>
        <v>Cash</v>
      </c>
      <c r="F1037" s="157">
        <f>IF(Collection!E337="Payment",N(Collection!H337),0)</f>
        <v>0</v>
      </c>
      <c r="G1037" s="157">
        <f>IF(Collection!E337="Collection",N(Collection!G337),0)</f>
        <v>2350</v>
      </c>
      <c r="H1037" s="157">
        <f t="shared" si="16"/>
        <v>-2650</v>
      </c>
      <c r="I1037" s="151"/>
      <c r="J1037" t="str">
        <f>IF($B1037="","",IF(AND($B1037=Party_Statement!$B$5,$A1037&gt;=Party_Statement!$B$6,$A1037&lt;=Party_Statement!$D$6),SUMPRODUCT(($B$3:$B1037=Party_Statement!$B$5)*($A$3:$A1037&gt;=Party_Statement!$B$6)*($A$3:$A1037&lt;=Party_Statement!$D$6)),""))</f>
        <v/>
      </c>
    </row>
    <row r="1038" spans="1:10" x14ac:dyDescent="0.2">
      <c r="A1038" s="155" t="str">
        <f>Collection!A338</f>
        <v>2083/04/09</v>
      </c>
      <c r="B1038" s="176" t="str">
        <f>Collection!C338</f>
        <v>SRIJANA DAIRY</v>
      </c>
      <c r="C1038" s="156" t="str">
        <f>IF(Collection!E338="Payment","Payment","Collection")</f>
        <v>Collection</v>
      </c>
      <c r="D1038" s="156">
        <f>Collection!B338</f>
        <v>3991</v>
      </c>
      <c r="E1038" s="156" t="str">
        <f>Collection!I338</f>
        <v>Cash</v>
      </c>
      <c r="F1038" s="157">
        <f>IF(Collection!E338="Payment",N(Collection!H338),0)</f>
        <v>0</v>
      </c>
      <c r="G1038" s="157">
        <f>IF(Collection!E338="Collection",N(Collection!G338),0)</f>
        <v>5180</v>
      </c>
      <c r="H1038" s="157">
        <f t="shared" si="16"/>
        <v>-5180</v>
      </c>
      <c r="I1038" s="151"/>
      <c r="J1038" t="str">
        <f>IF($B1038="","",IF(AND($B1038=Party_Statement!$B$5,$A1038&gt;=Party_Statement!$B$6,$A1038&lt;=Party_Statement!$D$6),SUMPRODUCT(($B$3:$B1038=Party_Statement!$B$5)*($A$3:$A1038&gt;=Party_Statement!$B$6)*($A$3:$A1038&lt;=Party_Statement!$D$6)),""))</f>
        <v/>
      </c>
    </row>
    <row r="1039" spans="1:10" x14ac:dyDescent="0.2">
      <c r="A1039" s="155" t="str">
        <f>Collection!A339</f>
        <v>2083/04/09</v>
      </c>
      <c r="B1039" s="176" t="str">
        <f>Collection!C339</f>
        <v>SOBHA BHATTARAI</v>
      </c>
      <c r="C1039" s="156" t="str">
        <f>IF(Collection!E339="Payment","Payment","Collection")</f>
        <v>Collection</v>
      </c>
      <c r="D1039" s="156">
        <f>Collection!B339</f>
        <v>3992</v>
      </c>
      <c r="E1039" s="156" t="str">
        <f>Collection!I339</f>
        <v>Cash</v>
      </c>
      <c r="F1039" s="157">
        <f>IF(Collection!E339="Payment",N(Collection!H339),0)</f>
        <v>0</v>
      </c>
      <c r="G1039" s="157">
        <f>IF(Collection!E339="Collection",N(Collection!G339),0)</f>
        <v>4250</v>
      </c>
      <c r="H1039" s="157">
        <f t="shared" si="16"/>
        <v>-4250</v>
      </c>
      <c r="I1039" s="151"/>
      <c r="J1039" t="str">
        <f>IF($B1039="","",IF(AND($B1039=Party_Statement!$B$5,$A1039&gt;=Party_Statement!$B$6,$A1039&lt;=Party_Statement!$D$6),SUMPRODUCT(($B$3:$B1039=Party_Statement!$B$5)*($A$3:$A1039&gt;=Party_Statement!$B$6)*($A$3:$A1039&lt;=Party_Statement!$D$6)),""))</f>
        <v/>
      </c>
    </row>
  </sheetData>
  <autoFilter ref="A2:I1039" xr:uid="{00000000-0009-0000-0000-000009000000}"/>
  <mergeCells count="1">
    <mergeCell ref="A1:I1"/>
  </mergeCells>
  <conditionalFormatting sqref="A468:B473">
    <cfRule type="expression" dxfId="6" priority="3">
      <formula>AND($A468&lt;&gt;"",MOD(ROW(),2)=0)</formula>
    </cfRule>
  </conditionalFormatting>
  <conditionalFormatting sqref="A3:I502">
    <cfRule type="expression" dxfId="5" priority="5">
      <formula>AND($A3&lt;&gt;"",MOD(ROW(),2)=0)</formula>
    </cfRule>
  </conditionalFormatting>
  <conditionalFormatting sqref="D468:E473">
    <cfRule type="expression" dxfId="4" priority="1">
      <formula>AND($A468&lt;&gt;"",MOD(ROW(),2)=0)</formula>
    </cfRule>
  </conditionalFormatting>
  <printOptions horizontalCentered="1"/>
  <pageMargins left="0.75" right="0.75" top="1" bottom="1" header="0.5" footer="0.5"/>
  <pageSetup scale="90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B75"/>
    <pageSetUpPr fitToPage="1"/>
  </sheetPr>
  <dimension ref="A1:N80"/>
  <sheetViews>
    <sheetView showGridLines="0" topLeftCell="A5" workbookViewId="0">
      <selection activeCell="D19" sqref="D19"/>
    </sheetView>
  </sheetViews>
  <sheetFormatPr baseColWidth="10" defaultColWidth="8.83203125" defaultRowHeight="15" x14ac:dyDescent="0.2"/>
  <cols>
    <col min="1" max="2" width="14" customWidth="1"/>
    <col min="3" max="3" width="16" customWidth="1"/>
    <col min="4" max="4" width="26" customWidth="1"/>
    <col min="5" max="6" width="14" customWidth="1"/>
    <col min="7" max="7" width="16" customWidth="1"/>
    <col min="13" max="14" width="13" hidden="1" customWidth="1"/>
  </cols>
  <sheetData>
    <row r="1" spans="1:14" x14ac:dyDescent="0.2">
      <c r="A1" s="213" t="str">
        <f>BizName</f>
        <v>PRARAMBHA DAIRY</v>
      </c>
      <c r="B1" s="202"/>
      <c r="C1" s="202"/>
      <c r="D1" s="202"/>
      <c r="E1" s="202"/>
      <c r="F1" s="202"/>
      <c r="G1" s="202"/>
    </row>
    <row r="2" spans="1:14" x14ac:dyDescent="0.2">
      <c r="A2" s="215" t="str">
        <f>"Phone: "&amp;Settings!B9&amp;"  |  PAN/VAT: "&amp;Settings!B11</f>
        <v>Phone: [Email Address]  |  PAN/VAT: [Registration No]</v>
      </c>
      <c r="B2" s="202"/>
      <c r="C2" s="202"/>
      <c r="D2" s="202"/>
      <c r="E2" s="202"/>
      <c r="F2" s="202"/>
      <c r="G2" s="202"/>
    </row>
    <row r="3" spans="1:14" ht="26" customHeight="1" x14ac:dyDescent="0.2">
      <c r="A3" s="214" t="s">
        <v>1008</v>
      </c>
      <c r="B3" s="202"/>
      <c r="C3" s="202"/>
      <c r="D3" s="202"/>
      <c r="E3" s="202"/>
      <c r="F3" s="202"/>
      <c r="G3" s="202"/>
      <c r="M3" t="s">
        <v>1009</v>
      </c>
      <c r="N3" t="s">
        <v>1010</v>
      </c>
    </row>
    <row r="4" spans="1:14" x14ac:dyDescent="0.2">
      <c r="M4" t="s">
        <v>1011</v>
      </c>
      <c r="N4" t="s">
        <v>1012</v>
      </c>
    </row>
    <row r="5" spans="1:14" ht="34" customHeight="1" x14ac:dyDescent="0.2">
      <c r="A5" s="1" t="s">
        <v>1013</v>
      </c>
      <c r="B5" s="42" t="s">
        <v>119</v>
      </c>
      <c r="E5" s="43" t="s">
        <v>1014</v>
      </c>
      <c r="F5" s="44">
        <f>SUMIFS(Party_Ledger!$F:$F,Party_Ledger!$B:$B,$B$5,Party_Ledger!$A:$A,"&lt;"&amp;$B$6)-SUMIFS(Party_Ledger!$G:$G,Party_Ledger!$B:$B,$B$5,Party_Ledger!$A:$A,"&lt;"&amp;$B$6)</f>
        <v>0</v>
      </c>
      <c r="M5" t="s">
        <v>1015</v>
      </c>
      <c r="N5" t="s">
        <v>1016</v>
      </c>
    </row>
    <row r="6" spans="1:14" ht="16" customHeight="1" x14ac:dyDescent="0.2">
      <c r="A6" s="45" t="s">
        <v>23</v>
      </c>
      <c r="B6" s="164" t="s">
        <v>40</v>
      </c>
      <c r="C6" s="45" t="s">
        <v>24</v>
      </c>
      <c r="D6" s="164" t="s">
        <v>41</v>
      </c>
      <c r="E6" s="43" t="s">
        <v>1017</v>
      </c>
      <c r="F6" s="44">
        <f>SUMIFS(Party_Ledger!$F:$F,Party_Ledger!$B:$B,$B$5,Party_Ledger!$A:$A,"&gt;="&amp;$B$6,Party_Ledger!$A:$A,"&lt;="&amp;$D$6)</f>
        <v>11900</v>
      </c>
      <c r="M6" t="s">
        <v>1018</v>
      </c>
      <c r="N6" t="s">
        <v>1019</v>
      </c>
    </row>
    <row r="7" spans="1:14" x14ac:dyDescent="0.2">
      <c r="A7" s="8" t="str">
        <f>"Period: "&amp;TEXT($B$6,"dd-mmm-yyyy")&amp;"  to  "&amp;TEXT($D$6,"dd-mmm-yyyy")</f>
        <v>Period: 15-Mar-2083  to  09-Apr-2083</v>
      </c>
      <c r="E7" s="43" t="s">
        <v>1020</v>
      </c>
      <c r="F7" s="44">
        <f>SUMIFS(Party_Ledger!$G:$G,Party_Ledger!$B:$B,$B$5,Party_Ledger!$A:$A,"&gt;="&amp;$B$6,Party_Ledger!$A:$A,"&lt;="&amp;$D$6)</f>
        <v>0</v>
      </c>
      <c r="M7" t="s">
        <v>1021</v>
      </c>
      <c r="N7" t="s">
        <v>1022</v>
      </c>
    </row>
    <row r="8" spans="1:14" x14ac:dyDescent="0.2">
      <c r="E8" s="46" t="s">
        <v>1023</v>
      </c>
      <c r="F8" s="47">
        <f>F5+F6-F7</f>
        <v>11900</v>
      </c>
      <c r="M8" t="s">
        <v>1024</v>
      </c>
      <c r="N8" t="s">
        <v>1025</v>
      </c>
    </row>
    <row r="9" spans="1:14" x14ac:dyDescent="0.2">
      <c r="E9" s="43" t="s">
        <v>1026</v>
      </c>
      <c r="F9" s="48" t="str">
        <f>IF(ROUND(F8,0)=0,"Settled",IF(F8&gt;0,"Receivable","Payable/Advance"))</f>
        <v>Receivable</v>
      </c>
      <c r="M9" t="s">
        <v>1027</v>
      </c>
      <c r="N9" t="s">
        <v>1028</v>
      </c>
    </row>
    <row r="10" spans="1:14" x14ac:dyDescent="0.2">
      <c r="M10" t="s">
        <v>1029</v>
      </c>
      <c r="N10" t="s">
        <v>1030</v>
      </c>
    </row>
    <row r="11" spans="1:14" ht="28" customHeight="1" x14ac:dyDescent="0.2">
      <c r="A11" s="3" t="s">
        <v>11</v>
      </c>
      <c r="B11" s="3" t="s">
        <v>1004</v>
      </c>
      <c r="C11" s="3" t="s">
        <v>978</v>
      </c>
      <c r="D11" s="3" t="s">
        <v>1005</v>
      </c>
      <c r="E11" s="3" t="s">
        <v>1006</v>
      </c>
      <c r="F11" s="3" t="s">
        <v>64</v>
      </c>
      <c r="G11" s="3" t="s">
        <v>979</v>
      </c>
      <c r="M11" t="s">
        <v>1031</v>
      </c>
    </row>
    <row r="12" spans="1:14" x14ac:dyDescent="0.2">
      <c r="A12" s="49"/>
      <c r="B12" s="49"/>
      <c r="C12" s="49"/>
      <c r="D12" s="50" t="s">
        <v>1032</v>
      </c>
      <c r="E12" s="49"/>
      <c r="F12" s="49"/>
      <c r="G12" s="51">
        <f>F5</f>
        <v>0</v>
      </c>
      <c r="M12" t="s">
        <v>1033</v>
      </c>
    </row>
    <row r="13" spans="1:14" x14ac:dyDescent="0.2">
      <c r="A13" s="137" t="str">
        <f>IFERROR(INDEX(Party_Ledger!$A$3:$A$1039,MATCH(1,Party_Ledger!$J$3:$J$1039,0)),"")</f>
        <v/>
      </c>
      <c r="B13" s="76" t="str">
        <f>IFERROR(INDEX(Party_Ledger!$C$3:$C$1039,MATCH(1,Party_Ledger!$J$3:$J$1039,0)),"")</f>
        <v/>
      </c>
      <c r="C13" s="76" t="str">
        <f>IFERROR(INDEX(Party_Ledger!$D$3:$D$1039,MATCH(1,Party_Ledger!$J$3:$J$1039,0)),"")</f>
        <v/>
      </c>
      <c r="D13" s="77" t="str">
        <f>IFERROR(INDEX(Party_Ledger!$E$3:$E$1039,MATCH(1,Party_Ledger!$J$3:$J$1039,0)),"")</f>
        <v/>
      </c>
      <c r="E13" s="78" t="str">
        <f>IFERROR(INDEX(Party_Ledger!$F$3:$F$1039,MATCH(1,Party_Ledger!$J$3:$J$1039,0)),"")</f>
        <v/>
      </c>
      <c r="F13" s="78" t="str">
        <f>IFERROR(INDEX(Party_Ledger!$G$3:$G$1039,MATCH(1,Party_Ledger!$J$3:$J$1039,0)),"")</f>
        <v/>
      </c>
      <c r="G13" s="78" t="str">
        <f t="shared" ref="G13:G44" si="0">IF($A13="","",N($G12)+N($E13)-N($F13))</f>
        <v/>
      </c>
      <c r="M13" t="s">
        <v>1034</v>
      </c>
    </row>
    <row r="14" spans="1:14" x14ac:dyDescent="0.2">
      <c r="A14" s="137" t="str">
        <f>IFERROR(INDEX(Party_Ledger!$A$3:$A$1039,MATCH(2,Party_Ledger!$J$3:$J$1039,0)),"")</f>
        <v/>
      </c>
      <c r="B14" s="76" t="str">
        <f>IFERROR(INDEX(Party_Ledger!$C$3:$C$1039,MATCH(2,Party_Ledger!$J$3:$J$1039,0)),"")</f>
        <v/>
      </c>
      <c r="C14" s="76" t="str">
        <f>IFERROR(INDEX(Party_Ledger!$D$3:$D$1039,MATCH(2,Party_Ledger!$J$3:$J$1039,0)),"")</f>
        <v/>
      </c>
      <c r="D14" s="77" t="str">
        <f>IFERROR(INDEX(Party_Ledger!$E$3:$E$1039,MATCH(2,Party_Ledger!$J$3:$J$1039,0)),"")</f>
        <v/>
      </c>
      <c r="E14" s="78" t="str">
        <f>IFERROR(INDEX(Party_Ledger!$F$3:$F$1039,MATCH(2,Party_Ledger!$J$3:$J$1039,0)),"")</f>
        <v/>
      </c>
      <c r="F14" s="78" t="str">
        <f>IFERROR(INDEX(Party_Ledger!$G$3:$G$1039,MATCH(2,Party_Ledger!$J$3:$J$1039,0)),"")</f>
        <v/>
      </c>
      <c r="G14" s="78" t="str">
        <f t="shared" si="0"/>
        <v/>
      </c>
      <c r="M14" t="s">
        <v>1035</v>
      </c>
    </row>
    <row r="15" spans="1:14" x14ac:dyDescent="0.2">
      <c r="A15" s="137" t="str">
        <f>IFERROR(INDEX(Party_Ledger!$A$3:$A$1039,MATCH(3,Party_Ledger!$J$3:$J$1039,0)),"")</f>
        <v/>
      </c>
      <c r="B15" s="76" t="str">
        <f>IFERROR(INDEX(Party_Ledger!$C$3:$C$1039,MATCH(3,Party_Ledger!$J$3:$J$1039,0)),"")</f>
        <v/>
      </c>
      <c r="C15" s="76" t="str">
        <f>IFERROR(INDEX(Party_Ledger!$D$3:$D$1039,MATCH(3,Party_Ledger!$J$3:$J$1039,0)),"")</f>
        <v/>
      </c>
      <c r="D15" s="77" t="str">
        <f>IFERROR(INDEX(Party_Ledger!$E$3:$E$1039,MATCH(3,Party_Ledger!$J$3:$J$1039,0)),"")</f>
        <v/>
      </c>
      <c r="E15" s="78" t="str">
        <f>IFERROR(INDEX(Party_Ledger!$F$3:$F$1039,MATCH(3,Party_Ledger!$J$3:$J$1039,0)),"")</f>
        <v/>
      </c>
      <c r="F15" s="78" t="str">
        <f>IFERROR(INDEX(Party_Ledger!$G$3:$G$1039,MATCH(3,Party_Ledger!$J$3:$J$1039,0)),"")</f>
        <v/>
      </c>
      <c r="G15" s="78" t="str">
        <f t="shared" si="0"/>
        <v/>
      </c>
      <c r="M15" t="s">
        <v>1036</v>
      </c>
    </row>
    <row r="16" spans="1:14" x14ac:dyDescent="0.2">
      <c r="A16" s="137" t="str">
        <f>IFERROR(INDEX(Party_Ledger!$A$3:$A$1039,MATCH(4,Party_Ledger!$J$3:$J$1039,0)),"")</f>
        <v/>
      </c>
      <c r="B16" s="168" t="str">
        <f>IFERROR(INDEX(Party_Ledger!$C$3:$C$1039,MATCH(4,Party_Ledger!$J$3:$J$1039,0)),"")</f>
        <v/>
      </c>
      <c r="C16" s="76" t="str">
        <f>IFERROR(INDEX(Party_Ledger!$D$3:$D$1039,MATCH(4,Party_Ledger!$J$3:$J$1039,0)),"")</f>
        <v/>
      </c>
      <c r="D16" s="77" t="str">
        <f>IFERROR(INDEX(Party_Ledger!$E$3:$E$1039,MATCH(4,Party_Ledger!$J$3:$J$1039,0)),"")</f>
        <v/>
      </c>
      <c r="E16" s="78" t="str">
        <f>IFERROR(INDEX(Party_Ledger!$F$3:$F$1039,MATCH(4,Party_Ledger!$J$3:$J$1039,0)),"")</f>
        <v/>
      </c>
      <c r="F16" s="78" t="str">
        <f>IFERROR(INDEX(Party_Ledger!$G$3:$G$1039,MATCH(4,Party_Ledger!$J$3:$J$1039,0)),"")</f>
        <v/>
      </c>
      <c r="G16" s="78" t="str">
        <f t="shared" si="0"/>
        <v/>
      </c>
      <c r="M16" t="s">
        <v>1037</v>
      </c>
    </row>
    <row r="17" spans="1:13" x14ac:dyDescent="0.2">
      <c r="A17" s="137" t="str">
        <f>IFERROR(INDEX(Party_Ledger!$A$3:$A$1039,MATCH(5,Party_Ledger!$J$3:$J$1039,0)),"")</f>
        <v/>
      </c>
      <c r="B17" s="76" t="str">
        <f>IFERROR(INDEX(Party_Ledger!$C$3:$C$1039,MATCH(5,Party_Ledger!$J$3:$J$1039,0)),"")</f>
        <v/>
      </c>
      <c r="C17" s="76" t="str">
        <f>IFERROR(INDEX(Party_Ledger!$D$3:$D$1039,MATCH(5,Party_Ledger!$J$3:$J$1039,0)),"")</f>
        <v/>
      </c>
      <c r="D17" s="77" t="str">
        <f>IFERROR(INDEX(Party_Ledger!$E$3:$E$1039,MATCH(5,Party_Ledger!$J$3:$J$1039,0)),"")</f>
        <v/>
      </c>
      <c r="E17" s="78" t="str">
        <f>IFERROR(INDEX(Party_Ledger!$F$3:$F$1039,MATCH(5,Party_Ledger!$J$3:$J$1039,0)),"")</f>
        <v/>
      </c>
      <c r="F17" s="78" t="str">
        <f>IFERROR(INDEX(Party_Ledger!$G$3:$G$1039,MATCH(5,Party_Ledger!$J$3:$J$1039,0)),"")</f>
        <v/>
      </c>
      <c r="G17" s="78" t="str">
        <f t="shared" si="0"/>
        <v/>
      </c>
      <c r="M17" t="s">
        <v>1038</v>
      </c>
    </row>
    <row r="18" spans="1:13" x14ac:dyDescent="0.2">
      <c r="A18" s="137" t="str">
        <f>IFERROR(INDEX(Party_Ledger!$A$3:$A$1039,MATCH(6,Party_Ledger!$J$3:$J$1039,0)),"")</f>
        <v/>
      </c>
      <c r="B18" s="76" t="str">
        <f>IFERROR(INDEX(Party_Ledger!$C$3:$C$1039,MATCH(6,Party_Ledger!$J$3:$J$1039,0)),"")</f>
        <v/>
      </c>
      <c r="C18" s="76" t="str">
        <f>IFERROR(INDEX(Party_Ledger!$D$3:$D$1039,MATCH(6,Party_Ledger!$J$3:$J$1039,0)),"")</f>
        <v/>
      </c>
      <c r="D18" s="77" t="str">
        <f>IFERROR(INDEX(Party_Ledger!$E$3:$E$1039,MATCH(6,Party_Ledger!$J$3:$J$1039,0)),"")</f>
        <v/>
      </c>
      <c r="E18" s="78" t="str">
        <f>IFERROR(INDEX(Party_Ledger!$F$3:$F$1039,MATCH(6,Party_Ledger!$J$3:$J$1039,0)),"")</f>
        <v/>
      </c>
      <c r="F18" s="78" t="str">
        <f>IFERROR(INDEX(Party_Ledger!$G$3:$G$1039,MATCH(6,Party_Ledger!$J$3:$J$1039,0)),"")</f>
        <v/>
      </c>
      <c r="G18" s="78" t="str">
        <f t="shared" si="0"/>
        <v/>
      </c>
      <c r="M18" t="s">
        <v>1039</v>
      </c>
    </row>
    <row r="19" spans="1:13" x14ac:dyDescent="0.2">
      <c r="A19" s="137" t="str">
        <f>IFERROR(INDEX(Party_Ledger!$A$3:$A$1039,MATCH(7,Party_Ledger!$J$3:$J$1039,0)),"")</f>
        <v/>
      </c>
      <c r="B19" s="76" t="str">
        <f>IFERROR(INDEX(Party_Ledger!$C$3:$C$1039,MATCH(7,Party_Ledger!$J$3:$J$1039,0)),"")</f>
        <v/>
      </c>
      <c r="C19" s="76" t="str">
        <f>IFERROR(INDEX(Party_Ledger!$D$3:$D$1039,MATCH(7,Party_Ledger!$J$3:$J$1039,0)),"")</f>
        <v/>
      </c>
      <c r="D19" s="77" t="str">
        <f>IFERROR(INDEX(Party_Ledger!$E$3:$E$1039,MATCH(7,Party_Ledger!$J$3:$J$1039,0)),"")</f>
        <v/>
      </c>
      <c r="E19" s="78" t="str">
        <f>IFERROR(INDEX(Party_Ledger!$F$3:$F$1039,MATCH(7,Party_Ledger!$J$3:$J$1039,0)),"")</f>
        <v/>
      </c>
      <c r="F19" s="78" t="str">
        <f>IFERROR(INDEX(Party_Ledger!$G$3:$G$1039,MATCH(7,Party_Ledger!$J$3:$J$1039,0)),"")</f>
        <v/>
      </c>
      <c r="G19" s="78" t="str">
        <f t="shared" si="0"/>
        <v/>
      </c>
      <c r="M19" t="s">
        <v>1040</v>
      </c>
    </row>
    <row r="20" spans="1:13" x14ac:dyDescent="0.2">
      <c r="A20" s="137" t="str">
        <f>IFERROR(INDEX(Party_Ledger!$A$3:$A$1039,MATCH(8,Party_Ledger!$J$3:$J$1039,0)),"")</f>
        <v/>
      </c>
      <c r="B20" s="76" t="str">
        <f>IFERROR(INDEX(Party_Ledger!$C$3:$C$1039,MATCH(8,Party_Ledger!$J$3:$J$1039,0)),"")</f>
        <v/>
      </c>
      <c r="C20" s="76" t="str">
        <f>IFERROR(INDEX(Party_Ledger!$D$3:$D$1039,MATCH(8,Party_Ledger!$J$3:$J$1039,0)),"")</f>
        <v/>
      </c>
      <c r="D20" s="77" t="str">
        <f>IFERROR(INDEX(Party_Ledger!$E$3:$E$1039,MATCH(8,Party_Ledger!$J$3:$J$1039,0)),"")</f>
        <v/>
      </c>
      <c r="E20" s="78" t="str">
        <f>IFERROR(INDEX(Party_Ledger!$F$3:$F$1039,MATCH(8,Party_Ledger!$J$3:$J$1039,0)),"")</f>
        <v/>
      </c>
      <c r="F20" s="78" t="str">
        <f>IFERROR(INDEX(Party_Ledger!$G$3:$G$1039,MATCH(8,Party_Ledger!$J$3:$J$1039,0)),"")</f>
        <v/>
      </c>
      <c r="G20" s="78" t="str">
        <f t="shared" si="0"/>
        <v/>
      </c>
      <c r="M20" t="s">
        <v>1041</v>
      </c>
    </row>
    <row r="21" spans="1:13" x14ac:dyDescent="0.2">
      <c r="A21" s="137" t="str">
        <f>IFERROR(INDEX(Party_Ledger!$A$3:$A$1039,MATCH(9,Party_Ledger!$J$3:$J$1039,0)),"")</f>
        <v/>
      </c>
      <c r="B21" s="76" t="str">
        <f>IFERROR(INDEX(Party_Ledger!$C$3:$C$1039,MATCH(9,Party_Ledger!$J$3:$J$1039,0)),"")</f>
        <v/>
      </c>
      <c r="C21" s="76" t="str">
        <f>IFERROR(INDEX(Party_Ledger!$D$3:$D$1039,MATCH(9,Party_Ledger!$J$3:$J$1039,0)),"")</f>
        <v/>
      </c>
      <c r="D21" s="77" t="str">
        <f>IFERROR(INDEX(Party_Ledger!$E$3:$E$1039,MATCH(9,Party_Ledger!$J$3:$J$1039,0)),"")</f>
        <v/>
      </c>
      <c r="E21" s="78" t="str">
        <f>IFERROR(INDEX(Party_Ledger!$F$3:$F$1039,MATCH(9,Party_Ledger!$J$3:$J$1039,0)),"")</f>
        <v/>
      </c>
      <c r="F21" s="78" t="str">
        <f>IFERROR(INDEX(Party_Ledger!$G$3:$G$1039,MATCH(9,Party_Ledger!$J$3:$J$1039,0)),"")</f>
        <v/>
      </c>
      <c r="G21" s="78" t="str">
        <f t="shared" si="0"/>
        <v/>
      </c>
      <c r="M21" t="s">
        <v>1042</v>
      </c>
    </row>
    <row r="22" spans="1:13" x14ac:dyDescent="0.2">
      <c r="A22" s="137" t="str">
        <f>IFERROR(INDEX(Party_Ledger!$A$3:$A$1039,MATCH(10,Party_Ledger!$J$3:$J$1039,0)),"")</f>
        <v/>
      </c>
      <c r="B22" s="76" t="str">
        <f>IFERROR(INDEX(Party_Ledger!$C$3:$C$1039,MATCH(10,Party_Ledger!$J$3:$J$1039,0)),"")</f>
        <v/>
      </c>
      <c r="C22" s="76" t="str">
        <f>IFERROR(INDEX(Party_Ledger!$D$3:$D$1039,MATCH(10,Party_Ledger!$J$3:$J$1039,0)),"")</f>
        <v/>
      </c>
      <c r="D22" s="77" t="str">
        <f>IFERROR(INDEX(Party_Ledger!$E$3:$E$1039,MATCH(10,Party_Ledger!$J$3:$J$1039,0)),"")</f>
        <v/>
      </c>
      <c r="E22" s="78" t="str">
        <f>IFERROR(INDEX(Party_Ledger!$F$3:$F$1039,MATCH(10,Party_Ledger!$J$3:$J$1039,0)),"")</f>
        <v/>
      </c>
      <c r="F22" s="78" t="str">
        <f>IFERROR(INDEX(Party_Ledger!$G$3:$G$1039,MATCH(10,Party_Ledger!$J$3:$J$1039,0)),"")</f>
        <v/>
      </c>
      <c r="G22" s="78" t="str">
        <f t="shared" si="0"/>
        <v/>
      </c>
    </row>
    <row r="23" spans="1:13" x14ac:dyDescent="0.2">
      <c r="A23" s="137" t="str">
        <f>IFERROR(INDEX(Party_Ledger!$A$3:$A$1039,MATCH(11,Party_Ledger!$J$3:$J$1039,0)),"")</f>
        <v/>
      </c>
      <c r="B23" s="76" t="str">
        <f>IFERROR(INDEX(Party_Ledger!$C$3:$C$1039,MATCH(11,Party_Ledger!$J$3:$J$1039,0)),"")</f>
        <v/>
      </c>
      <c r="C23" s="76" t="str">
        <f>IFERROR(INDEX(Party_Ledger!$D$3:$D$1039,MATCH(11,Party_Ledger!$J$3:$J$1039,0)),"")</f>
        <v/>
      </c>
      <c r="D23" s="77" t="str">
        <f>IFERROR(INDEX(Party_Ledger!$E$3:$E$1039,MATCH(11,Party_Ledger!$J$3:$J$1039,0)),"")</f>
        <v/>
      </c>
      <c r="E23" s="78" t="str">
        <f>IFERROR(INDEX(Party_Ledger!$F$3:$F$1039,MATCH(11,Party_Ledger!$J$3:$J$1039,0)),"")</f>
        <v/>
      </c>
      <c r="F23" s="78" t="str">
        <f>IFERROR(INDEX(Party_Ledger!$G$3:$G$1039,MATCH(11,Party_Ledger!$J$3:$J$1039,0)),"")</f>
        <v/>
      </c>
      <c r="G23" s="78" t="str">
        <f t="shared" si="0"/>
        <v/>
      </c>
    </row>
    <row r="24" spans="1:13" x14ac:dyDescent="0.2">
      <c r="A24" s="137" t="str">
        <f>IFERROR(INDEX(Party_Ledger!$A$3:$A$1039,MATCH(12,Party_Ledger!$J$3:$J$1039,0)),"")</f>
        <v/>
      </c>
      <c r="B24" s="76" t="str">
        <f>IFERROR(INDEX(Party_Ledger!$C$3:$C$1039,MATCH(12,Party_Ledger!$J$3:$J$1039,0)),"")</f>
        <v/>
      </c>
      <c r="C24" s="76" t="str">
        <f>IFERROR(INDEX(Party_Ledger!$D$3:$D$1039,MATCH(12,Party_Ledger!$J$3:$J$1039,0)),"")</f>
        <v/>
      </c>
      <c r="D24" s="77" t="str">
        <f>IFERROR(INDEX(Party_Ledger!$E$3:$E$1039,MATCH(12,Party_Ledger!$J$3:$J$1039,0)),"")</f>
        <v/>
      </c>
      <c r="E24" s="78" t="str">
        <f>IFERROR(INDEX(Party_Ledger!$F$3:$F$1039,MATCH(12,Party_Ledger!$J$3:$J$1039,0)),"")</f>
        <v/>
      </c>
      <c r="F24" s="78" t="str">
        <f>IFERROR(INDEX(Party_Ledger!$G$3:$G$1039,MATCH(12,Party_Ledger!$J$3:$J$1039,0)),"")</f>
        <v/>
      </c>
      <c r="G24" s="78" t="str">
        <f t="shared" si="0"/>
        <v/>
      </c>
    </row>
    <row r="25" spans="1:13" x14ac:dyDescent="0.2">
      <c r="A25" s="137" t="str">
        <f>IFERROR(INDEX(Party_Ledger!$A$3:$A$1039,MATCH(13,Party_Ledger!$J$3:$J$1039,0)),"")</f>
        <v/>
      </c>
      <c r="B25" s="76" t="str">
        <f>IFERROR(INDEX(Party_Ledger!$C$3:$C$1039,MATCH(13,Party_Ledger!$J$3:$J$1039,0)),"")</f>
        <v/>
      </c>
      <c r="C25" s="76" t="str">
        <f>IFERROR(INDEX(Party_Ledger!$D$3:$D$1039,MATCH(13,Party_Ledger!$J$3:$J$1039,0)),"")</f>
        <v/>
      </c>
      <c r="D25" s="77" t="str">
        <f>IFERROR(INDEX(Party_Ledger!$E$3:$E$1039,MATCH(13,Party_Ledger!$J$3:$J$1039,0)),"")</f>
        <v/>
      </c>
      <c r="E25" s="78" t="str">
        <f>IFERROR(INDEX(Party_Ledger!$F$3:$F$1039,MATCH(13,Party_Ledger!$J$3:$J$1039,0)),"")</f>
        <v/>
      </c>
      <c r="F25" s="78" t="str">
        <f>IFERROR(INDEX(Party_Ledger!$G$3:$G$1039,MATCH(13,Party_Ledger!$J$3:$J$1039,0)),"")</f>
        <v/>
      </c>
      <c r="G25" s="78" t="str">
        <f t="shared" si="0"/>
        <v/>
      </c>
    </row>
    <row r="26" spans="1:13" x14ac:dyDescent="0.2">
      <c r="A26" s="137" t="str">
        <f>IFERROR(INDEX(Party_Ledger!$A$3:$A$1039,MATCH(14,Party_Ledger!$J$3:$J$1039,0)),"")</f>
        <v/>
      </c>
      <c r="B26" s="76" t="str">
        <f>IFERROR(INDEX(Party_Ledger!$C$3:$C$1039,MATCH(14,Party_Ledger!$J$3:$J$1039,0)),"")</f>
        <v/>
      </c>
      <c r="C26" s="76" t="str">
        <f>IFERROR(INDEX(Party_Ledger!$D$3:$D$1039,MATCH(14,Party_Ledger!$J$3:$J$1039,0)),"")</f>
        <v/>
      </c>
      <c r="D26" s="77" t="str">
        <f>IFERROR(INDEX(Party_Ledger!$E$3:$E$1039,MATCH(14,Party_Ledger!$J$3:$J$1039,0)),"")</f>
        <v/>
      </c>
      <c r="E26" s="78" t="str">
        <f>IFERROR(INDEX(Party_Ledger!$F$3:$F$1039,MATCH(14,Party_Ledger!$J$3:$J$1039,0)),"")</f>
        <v/>
      </c>
      <c r="F26" s="78" t="str">
        <f>IFERROR(INDEX(Party_Ledger!$G$3:$G$1039,MATCH(14,Party_Ledger!$J$3:$J$1039,0)),"")</f>
        <v/>
      </c>
      <c r="G26" s="78" t="str">
        <f t="shared" si="0"/>
        <v/>
      </c>
    </row>
    <row r="27" spans="1:13" x14ac:dyDescent="0.2">
      <c r="A27" s="137" t="str">
        <f>IFERROR(INDEX(Party_Ledger!$A$3:$A$1039,MATCH(15,Party_Ledger!$J$3:$J$1039,0)),"")</f>
        <v/>
      </c>
      <c r="B27" s="76" t="str">
        <f>IFERROR(INDEX(Party_Ledger!$C$3:$C$1039,MATCH(15,Party_Ledger!$J$3:$J$1039,0)),"")</f>
        <v/>
      </c>
      <c r="C27" s="76" t="str">
        <f>IFERROR(INDEX(Party_Ledger!$D$3:$D$1039,MATCH(15,Party_Ledger!$J$3:$J$1039,0)),"")</f>
        <v/>
      </c>
      <c r="D27" s="77" t="str">
        <f>IFERROR(INDEX(Party_Ledger!$E$3:$E$1039,MATCH(15,Party_Ledger!$J$3:$J$1039,0)),"")</f>
        <v/>
      </c>
      <c r="E27" s="78" t="str">
        <f>IFERROR(INDEX(Party_Ledger!$F$3:$F$1039,MATCH(15,Party_Ledger!$J$3:$J$1039,0)),"")</f>
        <v/>
      </c>
      <c r="F27" s="78" t="str">
        <f>IFERROR(INDEX(Party_Ledger!$G$3:$G$1039,MATCH(15,Party_Ledger!$J$3:$J$1039,0)),"")</f>
        <v/>
      </c>
      <c r="G27" s="78" t="str">
        <f t="shared" si="0"/>
        <v/>
      </c>
    </row>
    <row r="28" spans="1:13" x14ac:dyDescent="0.2">
      <c r="A28" s="137" t="str">
        <f>IFERROR(INDEX(Party_Ledger!$A$3:$A$1039,MATCH(16,Party_Ledger!$J$3:$J$1039,0)),"")</f>
        <v/>
      </c>
      <c r="B28" s="76" t="str">
        <f>IFERROR(INDEX(Party_Ledger!$C$3:$C$1039,MATCH(16,Party_Ledger!$J$3:$J$1039,0)),"")</f>
        <v/>
      </c>
      <c r="C28" s="76" t="str">
        <f>IFERROR(INDEX(Party_Ledger!$D$3:$D$1039,MATCH(16,Party_Ledger!$J$3:$J$1039,0)),"")</f>
        <v/>
      </c>
      <c r="D28" s="77" t="str">
        <f>IFERROR(INDEX(Party_Ledger!$E$3:$E$1039,MATCH(16,Party_Ledger!$J$3:$J$1039,0)),"")</f>
        <v/>
      </c>
      <c r="E28" s="78" t="str">
        <f>IFERROR(INDEX(Party_Ledger!$F$3:$F$1039,MATCH(16,Party_Ledger!$J$3:$J$1039,0)),"")</f>
        <v/>
      </c>
      <c r="F28" s="78" t="str">
        <f>IFERROR(INDEX(Party_Ledger!$G$3:$G$1039,MATCH(16,Party_Ledger!$J$3:$J$1039,0)),"")</f>
        <v/>
      </c>
      <c r="G28" s="78" t="str">
        <f t="shared" si="0"/>
        <v/>
      </c>
    </row>
    <row r="29" spans="1:13" x14ac:dyDescent="0.2">
      <c r="A29" s="137" t="str">
        <f>IFERROR(INDEX(Party_Ledger!$A$3:$A$1039,MATCH(17,Party_Ledger!$J$3:$J$1039,0)),"")</f>
        <v/>
      </c>
      <c r="B29" s="76" t="str">
        <f>IFERROR(INDEX(Party_Ledger!$C$3:$C$1039,MATCH(17,Party_Ledger!$J$3:$J$1039,0)),"")</f>
        <v/>
      </c>
      <c r="C29" s="76" t="str">
        <f>IFERROR(INDEX(Party_Ledger!$D$3:$D$1039,MATCH(17,Party_Ledger!$J$3:$J$1039,0)),"")</f>
        <v/>
      </c>
      <c r="D29" s="77" t="str">
        <f>IFERROR(INDEX(Party_Ledger!$E$3:$E$1039,MATCH(17,Party_Ledger!$J$3:$J$1039,0)),"")</f>
        <v/>
      </c>
      <c r="E29" s="78" t="str">
        <f>IFERROR(INDEX(Party_Ledger!$F$3:$F$1039,MATCH(17,Party_Ledger!$J$3:$J$1039,0)),"")</f>
        <v/>
      </c>
      <c r="F29" s="78" t="str">
        <f>IFERROR(INDEX(Party_Ledger!$G$3:$G$1039,MATCH(17,Party_Ledger!$J$3:$J$1039,0)),"")</f>
        <v/>
      </c>
      <c r="G29" s="78" t="str">
        <f t="shared" si="0"/>
        <v/>
      </c>
    </row>
    <row r="30" spans="1:13" x14ac:dyDescent="0.2">
      <c r="A30" s="137" t="str">
        <f>IFERROR(INDEX(Party_Ledger!$A$3:$A$1039,MATCH(18,Party_Ledger!$J$3:$J$1039,0)),"")</f>
        <v/>
      </c>
      <c r="B30" s="76" t="str">
        <f>IFERROR(INDEX(Party_Ledger!$C$3:$C$1039,MATCH(18,Party_Ledger!$J$3:$J$1039,0)),"")</f>
        <v/>
      </c>
      <c r="C30" s="76" t="str">
        <f>IFERROR(INDEX(Party_Ledger!$D$3:$D$1039,MATCH(18,Party_Ledger!$J$3:$J$1039,0)),"")</f>
        <v/>
      </c>
      <c r="D30" s="77" t="str">
        <f>IFERROR(INDEX(Party_Ledger!$E$3:$E$1039,MATCH(18,Party_Ledger!$J$3:$J$1039,0)),"")</f>
        <v/>
      </c>
      <c r="E30" s="78" t="str">
        <f>IFERROR(INDEX(Party_Ledger!$F$3:$F$1039,MATCH(18,Party_Ledger!$J$3:$J$1039,0)),"")</f>
        <v/>
      </c>
      <c r="F30" s="78" t="str">
        <f>IFERROR(INDEX(Party_Ledger!$G$3:$G$1039,MATCH(18,Party_Ledger!$J$3:$J$1039,0)),"")</f>
        <v/>
      </c>
      <c r="G30" s="78" t="str">
        <f t="shared" si="0"/>
        <v/>
      </c>
    </row>
    <row r="31" spans="1:13" x14ac:dyDescent="0.2">
      <c r="A31" s="137" t="str">
        <f>IFERROR(INDEX(Party_Ledger!$A$3:$A$1039,MATCH(19,Party_Ledger!$J$3:$J$1039,0)),"")</f>
        <v/>
      </c>
      <c r="B31" s="76" t="str">
        <f>IFERROR(INDEX(Party_Ledger!$C$3:$C$1039,MATCH(19,Party_Ledger!$J$3:$J$1039,0)),"")</f>
        <v/>
      </c>
      <c r="C31" s="76" t="str">
        <f>IFERROR(INDEX(Party_Ledger!$D$3:$D$1039,MATCH(19,Party_Ledger!$J$3:$J$1039,0)),"")</f>
        <v/>
      </c>
      <c r="D31" s="77" t="str">
        <f>IFERROR(INDEX(Party_Ledger!$E$3:$E$1039,MATCH(19,Party_Ledger!$J$3:$J$1039,0)),"")</f>
        <v/>
      </c>
      <c r="E31" s="78" t="str">
        <f>IFERROR(INDEX(Party_Ledger!$F$3:$F$1039,MATCH(19,Party_Ledger!$J$3:$J$1039,0)),"")</f>
        <v/>
      </c>
      <c r="F31" s="78" t="str">
        <f>IFERROR(INDEX(Party_Ledger!$G$3:$G$1039,MATCH(19,Party_Ledger!$J$3:$J$1039,0)),"")</f>
        <v/>
      </c>
      <c r="G31" s="78" t="str">
        <f t="shared" si="0"/>
        <v/>
      </c>
    </row>
    <row r="32" spans="1:13" x14ac:dyDescent="0.2">
      <c r="A32" s="137" t="str">
        <f>IFERROR(INDEX(Party_Ledger!$A$3:$A$1039,MATCH(20,Party_Ledger!$J$3:$J$1039,0)),"")</f>
        <v/>
      </c>
      <c r="B32" s="76" t="str">
        <f>IFERROR(INDEX(Party_Ledger!$C$3:$C$1039,MATCH(20,Party_Ledger!$J$3:$J$1039,0)),"")</f>
        <v/>
      </c>
      <c r="C32" s="76" t="str">
        <f>IFERROR(INDEX(Party_Ledger!$D$3:$D$1039,MATCH(20,Party_Ledger!$J$3:$J$1039,0)),"")</f>
        <v/>
      </c>
      <c r="D32" s="77" t="str">
        <f>IFERROR(INDEX(Party_Ledger!$E$3:$E$1039,MATCH(20,Party_Ledger!$J$3:$J$1039,0)),"")</f>
        <v/>
      </c>
      <c r="E32" s="78" t="str">
        <f>IFERROR(INDEX(Party_Ledger!$F$3:$F$1039,MATCH(20,Party_Ledger!$J$3:$J$1039,0)),"")</f>
        <v/>
      </c>
      <c r="F32" s="78" t="str">
        <f>IFERROR(INDEX(Party_Ledger!$G$3:$G$1039,MATCH(20,Party_Ledger!$J$3:$J$1039,0)),"")</f>
        <v/>
      </c>
      <c r="G32" s="78" t="str">
        <f t="shared" si="0"/>
        <v/>
      </c>
    </row>
    <row r="33" spans="1:7" x14ac:dyDescent="0.2">
      <c r="A33" s="137" t="str">
        <f>IFERROR(INDEX(Party_Ledger!$A$3:$A$1039,MATCH(21,Party_Ledger!$J$3:$J$1039,0)),"")</f>
        <v/>
      </c>
      <c r="B33" s="76" t="str">
        <f>IFERROR(INDEX(Party_Ledger!$C$3:$C$1039,MATCH(21,Party_Ledger!$J$3:$J$1039,0)),"")</f>
        <v/>
      </c>
      <c r="C33" s="76" t="str">
        <f>IFERROR(INDEX(Party_Ledger!$D$3:$D$1039,MATCH(21,Party_Ledger!$J$3:$J$1039,0)),"")</f>
        <v/>
      </c>
      <c r="D33" s="77" t="str">
        <f>IFERROR(INDEX(Party_Ledger!$E$3:$E$1039,MATCH(21,Party_Ledger!$J$3:$J$1039,0)),"")</f>
        <v/>
      </c>
      <c r="E33" s="78" t="str">
        <f>IFERROR(INDEX(Party_Ledger!$F$3:$F$1039,MATCH(21,Party_Ledger!$J$3:$J$1039,0)),"")</f>
        <v/>
      </c>
      <c r="F33" s="78" t="str">
        <f>IFERROR(INDEX(Party_Ledger!$G$3:$G$1039,MATCH(21,Party_Ledger!$J$3:$J$1039,0)),"")</f>
        <v/>
      </c>
      <c r="G33" s="78" t="str">
        <f t="shared" si="0"/>
        <v/>
      </c>
    </row>
    <row r="34" spans="1:7" x14ac:dyDescent="0.2">
      <c r="A34" s="137" t="str">
        <f>IFERROR(INDEX(Party_Ledger!$A$3:$A$1039,MATCH(22,Party_Ledger!$J$3:$J$1039,0)),"")</f>
        <v/>
      </c>
      <c r="B34" s="76" t="str">
        <f>IFERROR(INDEX(Party_Ledger!$C$3:$C$1039,MATCH(22,Party_Ledger!$J$3:$J$1039,0)),"")</f>
        <v/>
      </c>
      <c r="C34" s="76" t="str">
        <f>IFERROR(INDEX(Party_Ledger!$D$3:$D$1039,MATCH(22,Party_Ledger!$J$3:$J$1039,0)),"")</f>
        <v/>
      </c>
      <c r="D34" s="77" t="str">
        <f>IFERROR(INDEX(Party_Ledger!$E$3:$E$1039,MATCH(22,Party_Ledger!$J$3:$J$1039,0)),"")</f>
        <v/>
      </c>
      <c r="E34" s="78" t="str">
        <f>IFERROR(INDEX(Party_Ledger!$F$3:$F$1039,MATCH(22,Party_Ledger!$J$3:$J$1039,0)),"")</f>
        <v/>
      </c>
      <c r="F34" s="78" t="str">
        <f>IFERROR(INDEX(Party_Ledger!$G$3:$G$1039,MATCH(22,Party_Ledger!$J$3:$J$1039,0)),"")</f>
        <v/>
      </c>
      <c r="G34" s="78" t="str">
        <f t="shared" si="0"/>
        <v/>
      </c>
    </row>
    <row r="35" spans="1:7" x14ac:dyDescent="0.2">
      <c r="A35" s="137" t="str">
        <f>IFERROR(INDEX(Party_Ledger!$A$3:$A$1039,MATCH(23,Party_Ledger!$J$3:$J$1039,0)),"")</f>
        <v/>
      </c>
      <c r="B35" s="76" t="str">
        <f>IFERROR(INDEX(Party_Ledger!$C$3:$C$1039,MATCH(23,Party_Ledger!$J$3:$J$1039,0)),"")</f>
        <v/>
      </c>
      <c r="C35" s="76" t="str">
        <f>IFERROR(INDEX(Party_Ledger!$D$3:$D$1039,MATCH(23,Party_Ledger!$J$3:$J$1039,0)),"")</f>
        <v/>
      </c>
      <c r="D35" s="77" t="str">
        <f>IFERROR(INDEX(Party_Ledger!$E$3:$E$1039,MATCH(23,Party_Ledger!$J$3:$J$1039,0)),"")</f>
        <v/>
      </c>
      <c r="E35" s="78" t="str">
        <f>IFERROR(INDEX(Party_Ledger!$F$3:$F$1039,MATCH(23,Party_Ledger!$J$3:$J$1039,0)),"")</f>
        <v/>
      </c>
      <c r="F35" s="78" t="str">
        <f>IFERROR(INDEX(Party_Ledger!$G$3:$G$1039,MATCH(23,Party_Ledger!$J$3:$J$1039,0)),"")</f>
        <v/>
      </c>
      <c r="G35" s="78" t="str">
        <f t="shared" si="0"/>
        <v/>
      </c>
    </row>
    <row r="36" spans="1:7" x14ac:dyDescent="0.2">
      <c r="A36" s="137" t="str">
        <f>IFERROR(INDEX(Party_Ledger!$A$3:$A$1039,MATCH(24,Party_Ledger!$J$3:$J$1039,0)),"")</f>
        <v/>
      </c>
      <c r="B36" s="168" t="str">
        <f>IFERROR(INDEX(Party_Ledger!$C$3:$C$1039,MATCH(24,Party_Ledger!$J$3:$J$1039,0)),"")</f>
        <v/>
      </c>
      <c r="C36" s="76" t="str">
        <f>IFERROR(INDEX(Party_Ledger!$D$3:$D$1039,MATCH(24,Party_Ledger!$J$3:$J$1039,0)),"")</f>
        <v/>
      </c>
      <c r="D36" s="77" t="str">
        <f>IFERROR(INDEX(Party_Ledger!$E$3:$E$1039,MATCH(24,Party_Ledger!$J$3:$J$1039,0)),"")</f>
        <v/>
      </c>
      <c r="E36" s="78" t="str">
        <f>IFERROR(INDEX(Party_Ledger!$F$3:$F$1039,MATCH(24,Party_Ledger!$J$3:$J$1039,0)),"")</f>
        <v/>
      </c>
      <c r="F36" s="78" t="str">
        <f>IFERROR(INDEX(Party_Ledger!$G$3:$G$1039,MATCH(24,Party_Ledger!$J$3:$J$1039,0)),"")</f>
        <v/>
      </c>
      <c r="G36" s="78" t="str">
        <f t="shared" si="0"/>
        <v/>
      </c>
    </row>
    <row r="37" spans="1:7" x14ac:dyDescent="0.2">
      <c r="A37" s="137" t="str">
        <f>IFERROR(INDEX(Party_Ledger!$A$3:$A$1039,MATCH(25,Party_Ledger!$J$3:$J$1039,0)),"")</f>
        <v/>
      </c>
      <c r="B37" s="76" t="str">
        <f>IFERROR(INDEX(Party_Ledger!$C$3:$C$1039,MATCH(25,Party_Ledger!$J$3:$J$1039,0)),"")</f>
        <v/>
      </c>
      <c r="C37" s="76" t="str">
        <f>IFERROR(INDEX(Party_Ledger!$D$3:$D$1039,MATCH(25,Party_Ledger!$J$3:$J$1039,0)),"")</f>
        <v/>
      </c>
      <c r="D37" s="77" t="str">
        <f>IFERROR(INDEX(Party_Ledger!$E$3:$E$1039,MATCH(25,Party_Ledger!$J$3:$J$1039,0)),"")</f>
        <v/>
      </c>
      <c r="E37" s="78" t="str">
        <f>IFERROR(INDEX(Party_Ledger!$F$3:$F$1039,MATCH(25,Party_Ledger!$J$3:$J$1039,0)),"")</f>
        <v/>
      </c>
      <c r="F37" s="78" t="str">
        <f>IFERROR(INDEX(Party_Ledger!$G$3:$G$1039,MATCH(25,Party_Ledger!$J$3:$J$1039,0)),"")</f>
        <v/>
      </c>
      <c r="G37" s="78" t="str">
        <f t="shared" si="0"/>
        <v/>
      </c>
    </row>
    <row r="38" spans="1:7" x14ac:dyDescent="0.2">
      <c r="A38" s="137" t="str">
        <f>IFERROR(INDEX(Party_Ledger!$A$3:$A$1039,MATCH(26,Party_Ledger!$J$3:$J$1039,0)),"")</f>
        <v/>
      </c>
      <c r="B38" s="76" t="str">
        <f>IFERROR(INDEX(Party_Ledger!$C$3:$C$1039,MATCH(26,Party_Ledger!$J$3:$J$1039,0)),"")</f>
        <v/>
      </c>
      <c r="C38" s="76" t="str">
        <f>IFERROR(INDEX(Party_Ledger!$D$3:$D$1039,MATCH(26,Party_Ledger!$J$3:$J$1039,0)),"")</f>
        <v/>
      </c>
      <c r="D38" s="77" t="str">
        <f>IFERROR(INDEX(Party_Ledger!$E$3:$E$1039,MATCH(26,Party_Ledger!$J$3:$J$1039,0)),"")</f>
        <v/>
      </c>
      <c r="E38" s="78" t="str">
        <f>IFERROR(INDEX(Party_Ledger!$F$3:$F$1039,MATCH(26,Party_Ledger!$J$3:$J$1039,0)),"")</f>
        <v/>
      </c>
      <c r="F38" s="78" t="str">
        <f>IFERROR(INDEX(Party_Ledger!$G$3:$G$1039,MATCH(26,Party_Ledger!$J$3:$J$1039,0)),"")</f>
        <v/>
      </c>
      <c r="G38" s="78" t="str">
        <f t="shared" si="0"/>
        <v/>
      </c>
    </row>
    <row r="39" spans="1:7" x14ac:dyDescent="0.2">
      <c r="A39" s="137" t="str">
        <f>IFERROR(INDEX(Party_Ledger!$A$3:$A$1039,MATCH(27,Party_Ledger!$J$3:$J$1039,0)),"")</f>
        <v/>
      </c>
      <c r="B39" s="76" t="str">
        <f>IFERROR(INDEX(Party_Ledger!$C$3:$C$1039,MATCH(27,Party_Ledger!$J$3:$J$1039,0)),"")</f>
        <v/>
      </c>
      <c r="C39" s="76" t="str">
        <f>IFERROR(INDEX(Party_Ledger!$D$3:$D$1039,MATCH(27,Party_Ledger!$J$3:$J$1039,0)),"")</f>
        <v/>
      </c>
      <c r="D39" s="77" t="str">
        <f>IFERROR(INDEX(Party_Ledger!$E$3:$E$1039,MATCH(27,Party_Ledger!$J$3:$J$1039,0)),"")</f>
        <v/>
      </c>
      <c r="E39" s="78" t="str">
        <f>IFERROR(INDEX(Party_Ledger!$F$3:$F$1039,MATCH(27,Party_Ledger!$J$3:$J$1039,0)),"")</f>
        <v/>
      </c>
      <c r="F39" s="78" t="str">
        <f>IFERROR(INDEX(Party_Ledger!$G$3:$G$1039,MATCH(27,Party_Ledger!$J$3:$J$1039,0)),"")</f>
        <v/>
      </c>
      <c r="G39" s="78" t="str">
        <f t="shared" si="0"/>
        <v/>
      </c>
    </row>
    <row r="40" spans="1:7" x14ac:dyDescent="0.2">
      <c r="A40" s="137" t="str">
        <f>IFERROR(INDEX(Party_Ledger!$A$3:$A$1039,MATCH(28,Party_Ledger!$J$3:$J$1039,0)),"")</f>
        <v/>
      </c>
      <c r="B40" s="76" t="str">
        <f>IFERROR(INDEX(Party_Ledger!$C$3:$C$1039,MATCH(28,Party_Ledger!$J$3:$J$1039,0)),"")</f>
        <v/>
      </c>
      <c r="C40" s="76" t="str">
        <f>IFERROR(INDEX(Party_Ledger!$D$3:$D$1039,MATCH(28,Party_Ledger!$J$3:$J$1039,0)),"")</f>
        <v/>
      </c>
      <c r="D40" s="77" t="str">
        <f>IFERROR(INDEX(Party_Ledger!$E$3:$E$1039,MATCH(28,Party_Ledger!$J$3:$J$1039,0)),"")</f>
        <v/>
      </c>
      <c r="E40" s="78" t="str">
        <f>IFERROR(INDEX(Party_Ledger!$F$3:$F$1039,MATCH(28,Party_Ledger!$J$3:$J$1039,0)),"")</f>
        <v/>
      </c>
      <c r="F40" s="78" t="str">
        <f>IFERROR(INDEX(Party_Ledger!$G$3:$G$1039,MATCH(28,Party_Ledger!$J$3:$J$1039,0)),"")</f>
        <v/>
      </c>
      <c r="G40" s="78" t="str">
        <f t="shared" si="0"/>
        <v/>
      </c>
    </row>
    <row r="41" spans="1:7" x14ac:dyDescent="0.2">
      <c r="A41" s="137" t="str">
        <f>IFERROR(INDEX(Party_Ledger!$A$3:$A$1039,MATCH(29,Party_Ledger!$J$3:$J$1039,0)),"")</f>
        <v/>
      </c>
      <c r="B41" s="76" t="str">
        <f>IFERROR(INDEX(Party_Ledger!$C$3:$C$1039,MATCH(29,Party_Ledger!$J$3:$J$1039,0)),"")</f>
        <v/>
      </c>
      <c r="C41" s="76" t="str">
        <f>IFERROR(INDEX(Party_Ledger!$D$3:$D$1039,MATCH(29,Party_Ledger!$J$3:$J$1039,0)),"")</f>
        <v/>
      </c>
      <c r="D41" s="77" t="str">
        <f>IFERROR(INDEX(Party_Ledger!$E$3:$E$1039,MATCH(29,Party_Ledger!$J$3:$J$1039,0)),"")</f>
        <v/>
      </c>
      <c r="E41" s="78" t="str">
        <f>IFERROR(INDEX(Party_Ledger!$F$3:$F$1039,MATCH(29,Party_Ledger!$J$3:$J$1039,0)),"")</f>
        <v/>
      </c>
      <c r="F41" s="78" t="str">
        <f>IFERROR(INDEX(Party_Ledger!$G$3:$G$1039,MATCH(29,Party_Ledger!$J$3:$J$1039,0)),"")</f>
        <v/>
      </c>
      <c r="G41" s="78" t="str">
        <f t="shared" si="0"/>
        <v/>
      </c>
    </row>
    <row r="42" spans="1:7" x14ac:dyDescent="0.2">
      <c r="A42" s="137" t="str">
        <f>IFERROR(INDEX(Party_Ledger!$A$3:$A$1039,MATCH(30,Party_Ledger!$J$3:$J$1039,0)),"")</f>
        <v/>
      </c>
      <c r="B42" s="76" t="str">
        <f>IFERROR(INDEX(Party_Ledger!$C$3:$C$1039,MATCH(30,Party_Ledger!$J$3:$J$1039,0)),"")</f>
        <v/>
      </c>
      <c r="C42" s="76" t="str">
        <f>IFERROR(INDEX(Party_Ledger!$D$3:$D$1039,MATCH(30,Party_Ledger!$J$3:$J$1039,0)),"")</f>
        <v/>
      </c>
      <c r="D42" s="77" t="str">
        <f>IFERROR(INDEX(Party_Ledger!$E$3:$E$1039,MATCH(30,Party_Ledger!$J$3:$J$1039,0)),"")</f>
        <v/>
      </c>
      <c r="E42" s="78" t="str">
        <f>IFERROR(INDEX(Party_Ledger!$F$3:$F$1039,MATCH(30,Party_Ledger!$J$3:$J$1039,0)),"")</f>
        <v/>
      </c>
      <c r="F42" s="78" t="str">
        <f>IFERROR(INDEX(Party_Ledger!$G$3:$G$1039,MATCH(30,Party_Ledger!$J$3:$J$1039,0)),"")</f>
        <v/>
      </c>
      <c r="G42" s="78" t="str">
        <f t="shared" si="0"/>
        <v/>
      </c>
    </row>
    <row r="43" spans="1:7" x14ac:dyDescent="0.2">
      <c r="A43" s="137" t="str">
        <f>IFERROR(INDEX(Party_Ledger!$A$3:$A$1039,MATCH(31,Party_Ledger!$J$3:$J$1039,0)),"")</f>
        <v/>
      </c>
      <c r="B43" s="76" t="str">
        <f>IFERROR(INDEX(Party_Ledger!$C$3:$C$1039,MATCH(31,Party_Ledger!$J$3:$J$1039,0)),"")</f>
        <v/>
      </c>
      <c r="C43" s="76" t="str">
        <f>IFERROR(INDEX(Party_Ledger!$D$3:$D$1039,MATCH(31,Party_Ledger!$J$3:$J$1039,0)),"")</f>
        <v/>
      </c>
      <c r="D43" s="77" t="str">
        <f>IFERROR(INDEX(Party_Ledger!$E$3:$E$1039,MATCH(31,Party_Ledger!$J$3:$J$1039,0)),"")</f>
        <v/>
      </c>
      <c r="E43" s="78" t="str">
        <f>IFERROR(INDEX(Party_Ledger!$F$3:$F$1039,MATCH(31,Party_Ledger!$J$3:$J$1039,0)),"")</f>
        <v/>
      </c>
      <c r="F43" s="78" t="str">
        <f>IFERROR(INDEX(Party_Ledger!$G$3:$G$1039,MATCH(31,Party_Ledger!$J$3:$J$1039,0)),"")</f>
        <v/>
      </c>
      <c r="G43" s="78" t="str">
        <f t="shared" si="0"/>
        <v/>
      </c>
    </row>
    <row r="44" spans="1:7" x14ac:dyDescent="0.2">
      <c r="A44" s="137" t="str">
        <f>IFERROR(INDEX(Party_Ledger!$A$3:$A$1039,MATCH(32,Party_Ledger!$J$3:$J$1039,0)),"")</f>
        <v/>
      </c>
      <c r="B44" s="76" t="str">
        <f>IFERROR(INDEX(Party_Ledger!$C$3:$C$1039,MATCH(32,Party_Ledger!$J$3:$J$1039,0)),"")</f>
        <v/>
      </c>
      <c r="C44" s="76" t="str">
        <f>IFERROR(INDEX(Party_Ledger!$D$3:$D$1039,MATCH(32,Party_Ledger!$J$3:$J$1039,0)),"")</f>
        <v/>
      </c>
      <c r="D44" s="77" t="str">
        <f>IFERROR(INDEX(Party_Ledger!$E$3:$E$1039,MATCH(32,Party_Ledger!$J$3:$J$1039,0)),"")</f>
        <v/>
      </c>
      <c r="E44" s="78" t="str">
        <f>IFERROR(INDEX(Party_Ledger!$F$3:$F$1039,MATCH(32,Party_Ledger!$J$3:$J$1039,0)),"")</f>
        <v/>
      </c>
      <c r="F44" s="78" t="str">
        <f>IFERROR(INDEX(Party_Ledger!$G$3:$G$1039,MATCH(32,Party_Ledger!$J$3:$J$1039,0)),"")</f>
        <v/>
      </c>
      <c r="G44" s="78" t="str">
        <f t="shared" si="0"/>
        <v/>
      </c>
    </row>
    <row r="45" spans="1:7" x14ac:dyDescent="0.2">
      <c r="A45" s="137" t="str">
        <f>IFERROR(INDEX(Party_Ledger!$A$3:$A$1039,MATCH(33,Party_Ledger!$J$3:$J$1039,0)),"")</f>
        <v/>
      </c>
      <c r="B45" s="76" t="str">
        <f>IFERROR(INDEX(Party_Ledger!$C$3:$C$1039,MATCH(33,Party_Ledger!$J$3:$J$1039,0)),"")</f>
        <v/>
      </c>
      <c r="C45" s="76" t="str">
        <f>IFERROR(INDEX(Party_Ledger!$D$3:$D$1039,MATCH(33,Party_Ledger!$J$3:$J$1039,0)),"")</f>
        <v/>
      </c>
      <c r="D45" s="77" t="str">
        <f>IFERROR(INDEX(Party_Ledger!$E$3:$E$1039,MATCH(33,Party_Ledger!$J$3:$J$1039,0)),"")</f>
        <v/>
      </c>
      <c r="E45" s="78" t="str">
        <f>IFERROR(INDEX(Party_Ledger!$F$3:$F$1039,MATCH(33,Party_Ledger!$J$3:$J$1039,0)),"")</f>
        <v/>
      </c>
      <c r="F45" s="78" t="str">
        <f>IFERROR(INDEX(Party_Ledger!$G$3:$G$1039,MATCH(33,Party_Ledger!$J$3:$J$1039,0)),"")</f>
        <v/>
      </c>
      <c r="G45" s="78" t="str">
        <f t="shared" ref="G45:G79" si="1">IF($A45="","",N($G44)+N($E45)-N($F45))</f>
        <v/>
      </c>
    </row>
    <row r="46" spans="1:7" x14ac:dyDescent="0.2">
      <c r="A46" s="137" t="str">
        <f>IFERROR(INDEX(Party_Ledger!$A$3:$A$1039,MATCH(34,Party_Ledger!$J$3:$J$1039,0)),"")</f>
        <v/>
      </c>
      <c r="B46" s="76" t="str">
        <f>IFERROR(INDEX(Party_Ledger!$C$3:$C$1039,MATCH(34,Party_Ledger!$J$3:$J$1039,0)),"")</f>
        <v/>
      </c>
      <c r="C46" s="76" t="str">
        <f>IFERROR(INDEX(Party_Ledger!$D$3:$D$1039,MATCH(34,Party_Ledger!$J$3:$J$1039,0)),"")</f>
        <v/>
      </c>
      <c r="D46" s="77" t="str">
        <f>IFERROR(INDEX(Party_Ledger!$E$3:$E$1039,MATCH(34,Party_Ledger!$J$3:$J$1039,0)),"")</f>
        <v/>
      </c>
      <c r="E46" s="78" t="str">
        <f>IFERROR(INDEX(Party_Ledger!$F$3:$F$1039,MATCH(34,Party_Ledger!$J$3:$J$1039,0)),"")</f>
        <v/>
      </c>
      <c r="F46" s="78" t="str">
        <f>IFERROR(INDEX(Party_Ledger!$G$3:$G$1039,MATCH(34,Party_Ledger!$J$3:$J$1039,0)),"")</f>
        <v/>
      </c>
      <c r="G46" s="78" t="str">
        <f t="shared" si="1"/>
        <v/>
      </c>
    </row>
    <row r="47" spans="1:7" x14ac:dyDescent="0.2">
      <c r="A47" s="137" t="str">
        <f>IFERROR(INDEX(Party_Ledger!$A$3:$A$1039,MATCH(35,Party_Ledger!$J$3:$J$1039,0)),"")</f>
        <v/>
      </c>
      <c r="B47" s="76" t="str">
        <f>IFERROR(INDEX(Party_Ledger!$C$3:$C$1039,MATCH(35,Party_Ledger!$J$3:$J$1039,0)),"")</f>
        <v/>
      </c>
      <c r="C47" s="76" t="str">
        <f>IFERROR(INDEX(Party_Ledger!$D$3:$D$1039,MATCH(35,Party_Ledger!$J$3:$J$1039,0)),"")</f>
        <v/>
      </c>
      <c r="D47" s="77" t="str">
        <f>IFERROR(INDEX(Party_Ledger!$E$3:$E$1039,MATCH(35,Party_Ledger!$J$3:$J$1039,0)),"")</f>
        <v/>
      </c>
      <c r="E47" s="78" t="str">
        <f>IFERROR(INDEX(Party_Ledger!$F$3:$F$1039,MATCH(35,Party_Ledger!$J$3:$J$1039,0)),"")</f>
        <v/>
      </c>
      <c r="F47" s="78" t="str">
        <f>IFERROR(INDEX(Party_Ledger!$G$3:$G$1039,MATCH(35,Party_Ledger!$J$3:$J$1039,0)),"")</f>
        <v/>
      </c>
      <c r="G47" s="78" t="str">
        <f t="shared" si="1"/>
        <v/>
      </c>
    </row>
    <row r="48" spans="1:7" x14ac:dyDescent="0.2">
      <c r="A48" s="137" t="str">
        <f>IFERROR(INDEX(Party_Ledger!$A$3:$A$1039,MATCH(36,Party_Ledger!$J$3:$J$1039,0)),"")</f>
        <v/>
      </c>
      <c r="B48" s="76" t="str">
        <f>IFERROR(INDEX(Party_Ledger!$C$3:$C$1039,MATCH(36,Party_Ledger!$J$3:$J$1039,0)),"")</f>
        <v/>
      </c>
      <c r="C48" s="76" t="str">
        <f>IFERROR(INDEX(Party_Ledger!$D$3:$D$1039,MATCH(36,Party_Ledger!$J$3:$J$1039,0)),"")</f>
        <v/>
      </c>
      <c r="D48" s="77" t="str">
        <f>IFERROR(INDEX(Party_Ledger!$E$3:$E$1039,MATCH(36,Party_Ledger!$J$3:$J$1039,0)),"")</f>
        <v/>
      </c>
      <c r="E48" s="78" t="str">
        <f>IFERROR(INDEX(Party_Ledger!$F$3:$F$1039,MATCH(36,Party_Ledger!$J$3:$J$1039,0)),"")</f>
        <v/>
      </c>
      <c r="F48" s="78" t="str">
        <f>IFERROR(INDEX(Party_Ledger!$G$3:$G$1039,MATCH(36,Party_Ledger!$J$3:$J$1039,0)),"")</f>
        <v/>
      </c>
      <c r="G48" s="78" t="str">
        <f t="shared" si="1"/>
        <v/>
      </c>
    </row>
    <row r="49" spans="1:7" x14ac:dyDescent="0.2">
      <c r="A49" s="137" t="str">
        <f>IFERROR(INDEX(Party_Ledger!$A$3:$A$1039,MATCH(37,Party_Ledger!$J$3:$J$1039,0)),"")</f>
        <v/>
      </c>
      <c r="B49" s="76" t="str">
        <f>IFERROR(INDEX(Party_Ledger!$C$3:$C$1039,MATCH(37,Party_Ledger!$J$3:$J$1039,0)),"")</f>
        <v/>
      </c>
      <c r="C49" s="76" t="str">
        <f>IFERROR(INDEX(Party_Ledger!$D$3:$D$1039,MATCH(37,Party_Ledger!$J$3:$J$1039,0)),"")</f>
        <v/>
      </c>
      <c r="D49" s="77" t="str">
        <f>IFERROR(INDEX(Party_Ledger!$E$3:$E$1039,MATCH(37,Party_Ledger!$J$3:$J$1039,0)),"")</f>
        <v/>
      </c>
      <c r="E49" s="78" t="str">
        <f>IFERROR(INDEX(Party_Ledger!$F$3:$F$1039,MATCH(37,Party_Ledger!$J$3:$J$1039,0)),"")</f>
        <v/>
      </c>
      <c r="F49" s="78" t="str">
        <f>IFERROR(INDEX(Party_Ledger!$G$3:$G$1039,MATCH(37,Party_Ledger!$J$3:$J$1039,0)),"")</f>
        <v/>
      </c>
      <c r="G49" s="78" t="str">
        <f t="shared" si="1"/>
        <v/>
      </c>
    </row>
    <row r="50" spans="1:7" x14ac:dyDescent="0.2">
      <c r="A50" s="137" t="str">
        <f>IFERROR(INDEX(Party_Ledger!$A$3:$A$1039,MATCH(38,Party_Ledger!$J$3:$J$1039,0)),"")</f>
        <v/>
      </c>
      <c r="B50" s="76" t="str">
        <f>IFERROR(INDEX(Party_Ledger!$C$3:$C$1039,MATCH(38,Party_Ledger!$J$3:$J$1039,0)),"")</f>
        <v/>
      </c>
      <c r="C50" s="76" t="str">
        <f>IFERROR(INDEX(Party_Ledger!$D$3:$D$1039,MATCH(38,Party_Ledger!$J$3:$J$1039,0)),"")</f>
        <v/>
      </c>
      <c r="D50" s="77" t="str">
        <f>IFERROR(INDEX(Party_Ledger!$E$3:$E$1039,MATCH(38,Party_Ledger!$J$3:$J$1039,0)),"")</f>
        <v/>
      </c>
      <c r="E50" s="78" t="str">
        <f>IFERROR(INDEX(Party_Ledger!$F$3:$F$1039,MATCH(38,Party_Ledger!$J$3:$J$1039,0)),"")</f>
        <v/>
      </c>
      <c r="F50" s="78" t="str">
        <f>IFERROR(INDEX(Party_Ledger!$G$3:$G$1039,MATCH(38,Party_Ledger!$J$3:$J$1039,0)),"")</f>
        <v/>
      </c>
      <c r="G50" s="78" t="str">
        <f t="shared" si="1"/>
        <v/>
      </c>
    </row>
    <row r="51" spans="1:7" x14ac:dyDescent="0.2">
      <c r="A51" s="137" t="str">
        <f>IFERROR(INDEX(Party_Ledger!$A$3:$A$1039,MATCH(39,Party_Ledger!$J$3:$J$1039,0)),"")</f>
        <v/>
      </c>
      <c r="B51" s="76" t="str">
        <f>IFERROR(INDEX(Party_Ledger!$C$3:$C$1039,MATCH(39,Party_Ledger!$J$3:$J$1039,0)),"")</f>
        <v/>
      </c>
      <c r="C51" s="76" t="str">
        <f>IFERROR(INDEX(Party_Ledger!$D$3:$D$1039,MATCH(39,Party_Ledger!$J$3:$J$1039,0)),"")</f>
        <v/>
      </c>
      <c r="D51" s="77" t="str">
        <f>IFERROR(INDEX(Party_Ledger!$E$3:$E$1039,MATCH(39,Party_Ledger!$J$3:$J$1039,0)),"")</f>
        <v/>
      </c>
      <c r="E51" s="78" t="str">
        <f>IFERROR(INDEX(Party_Ledger!$F$3:$F$1039,MATCH(39,Party_Ledger!$J$3:$J$1039,0)),"")</f>
        <v/>
      </c>
      <c r="F51" s="78" t="str">
        <f>IFERROR(INDEX(Party_Ledger!$G$3:$G$1039,MATCH(39,Party_Ledger!$J$3:$J$1039,0)),"")</f>
        <v/>
      </c>
      <c r="G51" s="78" t="str">
        <f t="shared" si="1"/>
        <v/>
      </c>
    </row>
    <row r="52" spans="1:7" x14ac:dyDescent="0.2">
      <c r="A52" s="137" t="str">
        <f>IFERROR(INDEX(Party_Ledger!$A$3:$A$1039,MATCH(40,Party_Ledger!$J$3:$J$1039,0)),"")</f>
        <v/>
      </c>
      <c r="B52" s="76" t="str">
        <f>IFERROR(INDEX(Party_Ledger!$C$3:$C$1039,MATCH(40,Party_Ledger!$J$3:$J$1039,0)),"")</f>
        <v/>
      </c>
      <c r="C52" s="76" t="str">
        <f>IFERROR(INDEX(Party_Ledger!$D$3:$D$1039,MATCH(40,Party_Ledger!$J$3:$J$1039,0)),"")</f>
        <v/>
      </c>
      <c r="D52" s="77" t="str">
        <f>IFERROR(INDEX(Party_Ledger!$E$3:$E$1039,MATCH(40,Party_Ledger!$J$3:$J$1039,0)),"")</f>
        <v/>
      </c>
      <c r="E52" s="78" t="str">
        <f>IFERROR(INDEX(Party_Ledger!$F$3:$F$1039,MATCH(40,Party_Ledger!$J$3:$J$1039,0)),"")</f>
        <v/>
      </c>
      <c r="F52" s="78" t="str">
        <f>IFERROR(INDEX(Party_Ledger!$G$3:$G$1039,MATCH(40,Party_Ledger!$J$3:$J$1039,0)),"")</f>
        <v/>
      </c>
      <c r="G52" s="78" t="str">
        <f t="shared" si="1"/>
        <v/>
      </c>
    </row>
    <row r="53" spans="1:7" x14ac:dyDescent="0.2">
      <c r="A53" s="138" t="str">
        <f>IFERROR(INDEX(Party_Ledger!$A$3:$A$1039,MATCH(41,Party_Ledger!$J$3:$J$1039,0)),"")</f>
        <v/>
      </c>
      <c r="B53" s="79" t="str">
        <f>IFERROR(INDEX(Party_Ledger!$C$3:$C$1039,MATCH(41,Party_Ledger!$J$3:$J$1039,0)),"")</f>
        <v/>
      </c>
      <c r="C53" s="79" t="str">
        <f>IFERROR(INDEX(Party_Ledger!$D$3:$D$1039,MATCH(41,Party_Ledger!$J$3:$J$1039,0)),"")</f>
        <v/>
      </c>
      <c r="D53" s="80" t="str">
        <f>IFERROR(INDEX(Party_Ledger!$E$3:$E$1039,MATCH(41,Party_Ledger!$J$3:$J$1039,0)),"")</f>
        <v/>
      </c>
      <c r="E53" s="81" t="str">
        <f>IFERROR(INDEX(Party_Ledger!$F$3:$F$1039,MATCH(41,Party_Ledger!$J$3:$J$1039,0)),"")</f>
        <v/>
      </c>
      <c r="F53" s="81" t="str">
        <f>IFERROR(INDEX(Party_Ledger!$G$3:$G$1039,MATCH(41,Party_Ledger!$J$3:$J$1039,0)),"")</f>
        <v/>
      </c>
      <c r="G53" s="81" t="str">
        <f t="shared" si="1"/>
        <v/>
      </c>
    </row>
    <row r="54" spans="1:7" x14ac:dyDescent="0.2">
      <c r="A54" s="137" t="str">
        <f>IFERROR(INDEX(Party_Ledger!$A$3:$A$1039,MATCH(42,Party_Ledger!$J$3:$J$1039,0)),"")</f>
        <v/>
      </c>
      <c r="B54" s="76" t="str">
        <f>IFERROR(INDEX(Party_Ledger!$C$3:$C$1039,MATCH(42,Party_Ledger!$J$3:$J$1039,0)),"")</f>
        <v/>
      </c>
      <c r="C54" s="76" t="str">
        <f>IFERROR(INDEX(Party_Ledger!$D$3:$D$1039,MATCH(42,Party_Ledger!$J$3:$J$1039,0)),"")</f>
        <v/>
      </c>
      <c r="D54" s="77" t="str">
        <f>IFERROR(INDEX(Party_Ledger!$E$3:$E$1039,MATCH(42,Party_Ledger!$J$3:$J$1039,0)),"")</f>
        <v/>
      </c>
      <c r="E54" s="78" t="str">
        <f>IFERROR(INDEX(Party_Ledger!$F$3:$F$1039,MATCH(42,Party_Ledger!$J$3:$J$1039,0)),"")</f>
        <v/>
      </c>
      <c r="F54" s="78" t="str">
        <f>IFERROR(INDEX(Party_Ledger!$G$3:$G$1039,MATCH(42,Party_Ledger!$J$3:$J$1039,0)),"")</f>
        <v/>
      </c>
      <c r="G54" s="78" t="str">
        <f t="shared" si="1"/>
        <v/>
      </c>
    </row>
    <row r="55" spans="1:7" x14ac:dyDescent="0.2">
      <c r="A55" s="137" t="str">
        <f>IFERROR(INDEX(Party_Ledger!$A$3:$A$1039,MATCH(43,Party_Ledger!$J$3:$J$1039,0)),"")</f>
        <v/>
      </c>
      <c r="B55" s="76" t="str">
        <f>IFERROR(INDEX(Party_Ledger!$C$3:$C$1039,MATCH(43,Party_Ledger!$J$3:$J$1039,0)),"")</f>
        <v/>
      </c>
      <c r="C55" s="76" t="str">
        <f>IFERROR(INDEX(Party_Ledger!$D$3:$D$1039,MATCH(43,Party_Ledger!$J$3:$J$1039,0)),"")</f>
        <v/>
      </c>
      <c r="D55" s="77" t="str">
        <f>IFERROR(INDEX(Party_Ledger!$E$3:$E$1039,MATCH(43,Party_Ledger!$J$3:$J$1039,0)),"")</f>
        <v/>
      </c>
      <c r="E55" s="78" t="str">
        <f>IFERROR(INDEX(Party_Ledger!$F$3:$F$1039,MATCH(43,Party_Ledger!$J$3:$J$1039,0)),"")</f>
        <v/>
      </c>
      <c r="F55" s="78" t="str">
        <f>IFERROR(INDEX(Party_Ledger!$G$3:$G$1039,MATCH(43,Party_Ledger!$J$3:$J$1039,0)),"")</f>
        <v/>
      </c>
      <c r="G55" s="78" t="str">
        <f t="shared" si="1"/>
        <v/>
      </c>
    </row>
    <row r="56" spans="1:7" x14ac:dyDescent="0.2">
      <c r="A56" s="137" t="str">
        <f>IFERROR(INDEX(Party_Ledger!$A$3:$A$1039,MATCH(44,Party_Ledger!$J$3:$J$1039,0)),"")</f>
        <v/>
      </c>
      <c r="B56" s="76" t="str">
        <f>IFERROR(INDEX(Party_Ledger!$C$3:$C$1039,MATCH(44,Party_Ledger!$J$3:$J$1039,0)),"")</f>
        <v/>
      </c>
      <c r="C56" s="76" t="str">
        <f>IFERROR(INDEX(Party_Ledger!$D$3:$D$1039,MATCH(44,Party_Ledger!$J$3:$J$1039,0)),"")</f>
        <v/>
      </c>
      <c r="D56" s="77" t="str">
        <f>IFERROR(INDEX(Party_Ledger!$E$3:$E$1039,MATCH(44,Party_Ledger!$J$3:$J$1039,0)),"")</f>
        <v/>
      </c>
      <c r="E56" s="78" t="str">
        <f>IFERROR(INDEX(Party_Ledger!$F$3:$F$1039,MATCH(44,Party_Ledger!$J$3:$J$1039,0)),"")</f>
        <v/>
      </c>
      <c r="F56" s="78" t="str">
        <f>IFERROR(INDEX(Party_Ledger!$G$3:$G$1039,MATCH(44,Party_Ledger!$J$3:$J$1039,0)),"")</f>
        <v/>
      </c>
      <c r="G56" s="78" t="str">
        <f t="shared" si="1"/>
        <v/>
      </c>
    </row>
    <row r="57" spans="1:7" x14ac:dyDescent="0.2">
      <c r="A57" s="137" t="str">
        <f>IFERROR(INDEX(Party_Ledger!$A$3:$A$1039,MATCH(45,Party_Ledger!$J$3:$J$1039,0)),"")</f>
        <v/>
      </c>
      <c r="B57" s="76" t="str">
        <f>IFERROR(INDEX(Party_Ledger!$C$3:$C$1039,MATCH(45,Party_Ledger!$J$3:$J$1039,0)),"")</f>
        <v/>
      </c>
      <c r="C57" s="76" t="str">
        <f>IFERROR(INDEX(Party_Ledger!$D$3:$D$1039,MATCH(45,Party_Ledger!$J$3:$J$1039,0)),"")</f>
        <v/>
      </c>
      <c r="D57" s="77" t="str">
        <f>IFERROR(INDEX(Party_Ledger!$E$3:$E$1039,MATCH(45,Party_Ledger!$J$3:$J$1039,0)),"")</f>
        <v/>
      </c>
      <c r="E57" s="78" t="str">
        <f>IFERROR(INDEX(Party_Ledger!$F$3:$F$1039,MATCH(45,Party_Ledger!$J$3:$J$1039,0)),"")</f>
        <v/>
      </c>
      <c r="F57" s="78" t="str">
        <f>IFERROR(INDEX(Party_Ledger!$G$3:$G$1039,MATCH(45,Party_Ledger!$J$3:$J$1039,0)),"")</f>
        <v/>
      </c>
      <c r="G57" s="78" t="str">
        <f t="shared" si="1"/>
        <v/>
      </c>
    </row>
    <row r="58" spans="1:7" x14ac:dyDescent="0.2">
      <c r="A58" s="137" t="str">
        <f>IFERROR(INDEX(Party_Ledger!$A$3:$A$1039,MATCH(46,Party_Ledger!$J$3:$J$1039,0)),"")</f>
        <v/>
      </c>
      <c r="B58" s="76" t="str">
        <f>IFERROR(INDEX(Party_Ledger!$C$3:$C$1039,MATCH(46,Party_Ledger!$J$3:$J$1039,0)),"")</f>
        <v/>
      </c>
      <c r="C58" s="76" t="str">
        <f>IFERROR(INDEX(Party_Ledger!$D$3:$D$1039,MATCH(46,Party_Ledger!$J$3:$J$1039,0)),"")</f>
        <v/>
      </c>
      <c r="D58" s="77" t="str">
        <f>IFERROR(INDEX(Party_Ledger!$E$3:$E$1039,MATCH(46,Party_Ledger!$J$3:$J$1039,0)),"")</f>
        <v/>
      </c>
      <c r="E58" s="78" t="str">
        <f>IFERROR(INDEX(Party_Ledger!$F$3:$F$1039,MATCH(46,Party_Ledger!$J$3:$J$1039,0)),"")</f>
        <v/>
      </c>
      <c r="F58" s="78" t="str">
        <f>IFERROR(INDEX(Party_Ledger!$G$3:$G$1039,MATCH(46,Party_Ledger!$J$3:$J$1039,0)),"")</f>
        <v/>
      </c>
      <c r="G58" s="78" t="str">
        <f t="shared" si="1"/>
        <v/>
      </c>
    </row>
    <row r="59" spans="1:7" x14ac:dyDescent="0.2">
      <c r="A59" s="137" t="str">
        <f>IFERROR(INDEX(Party_Ledger!$A$3:$A$1039,MATCH(47,Party_Ledger!$J$3:$J$1039,0)),"")</f>
        <v/>
      </c>
      <c r="B59" s="76" t="str">
        <f>IFERROR(INDEX(Party_Ledger!$C$3:$C$1039,MATCH(47,Party_Ledger!$J$3:$J$1039,0)),"")</f>
        <v/>
      </c>
      <c r="C59" s="76" t="str">
        <f>IFERROR(INDEX(Party_Ledger!$D$3:$D$1039,MATCH(47,Party_Ledger!$J$3:$J$1039,0)),"")</f>
        <v/>
      </c>
      <c r="D59" s="77" t="str">
        <f>IFERROR(INDEX(Party_Ledger!$E$3:$E$1039,MATCH(47,Party_Ledger!$J$3:$J$1039,0)),"")</f>
        <v/>
      </c>
      <c r="E59" s="78" t="str">
        <f>IFERROR(INDEX(Party_Ledger!$F$3:$F$1039,MATCH(47,Party_Ledger!$J$3:$J$1039,0)),"")</f>
        <v/>
      </c>
      <c r="F59" s="78" t="str">
        <f>IFERROR(INDEX(Party_Ledger!$G$3:$G$1039,MATCH(47,Party_Ledger!$J$3:$J$1039,0)),"")</f>
        <v/>
      </c>
      <c r="G59" s="78" t="str">
        <f t="shared" si="1"/>
        <v/>
      </c>
    </row>
    <row r="60" spans="1:7" x14ac:dyDescent="0.2">
      <c r="A60" s="137" t="str">
        <f>IFERROR(INDEX(Party_Ledger!$A$3:$A$1039,MATCH(48,Party_Ledger!$J$3:$J$1039,0)),"")</f>
        <v/>
      </c>
      <c r="B60" s="76" t="str">
        <f>IFERROR(INDEX(Party_Ledger!$C$3:$C$1039,MATCH(48,Party_Ledger!$J$3:$J$1039,0)),"")</f>
        <v/>
      </c>
      <c r="C60" s="76" t="str">
        <f>IFERROR(INDEX(Party_Ledger!$D$3:$D$1039,MATCH(48,Party_Ledger!$J$3:$J$1039,0)),"")</f>
        <v/>
      </c>
      <c r="D60" s="77" t="str">
        <f>IFERROR(INDEX(Party_Ledger!$E$3:$E$1039,MATCH(48,Party_Ledger!$J$3:$J$1039,0)),"")</f>
        <v/>
      </c>
      <c r="E60" s="78" t="str">
        <f>IFERROR(INDEX(Party_Ledger!$F$3:$F$1039,MATCH(48,Party_Ledger!$J$3:$J$1039,0)),"")</f>
        <v/>
      </c>
      <c r="F60" s="78" t="str">
        <f>IFERROR(INDEX(Party_Ledger!$G$3:$G$1039,MATCH(48,Party_Ledger!$J$3:$J$1039,0)),"")</f>
        <v/>
      </c>
      <c r="G60" s="78" t="str">
        <f t="shared" si="1"/>
        <v/>
      </c>
    </row>
    <row r="61" spans="1:7" x14ac:dyDescent="0.2">
      <c r="A61" s="137" t="str">
        <f>IFERROR(INDEX(Party_Ledger!$A$3:$A$1039,MATCH(49,Party_Ledger!$J$3:$J$1039,0)),"")</f>
        <v/>
      </c>
      <c r="B61" s="76" t="str">
        <f>IFERROR(INDEX(Party_Ledger!$C$3:$C$1039,MATCH(49,Party_Ledger!$J$3:$J$1039,0)),"")</f>
        <v/>
      </c>
      <c r="C61" s="76" t="str">
        <f>IFERROR(INDEX(Party_Ledger!$D$3:$D$1039,MATCH(49,Party_Ledger!$J$3:$J$1039,0)),"")</f>
        <v/>
      </c>
      <c r="D61" s="77" t="str">
        <f>IFERROR(INDEX(Party_Ledger!$E$3:$E$1039,MATCH(49,Party_Ledger!$J$3:$J$1039,0)),"")</f>
        <v/>
      </c>
      <c r="E61" s="78" t="str">
        <f>IFERROR(INDEX(Party_Ledger!$F$3:$F$1039,MATCH(49,Party_Ledger!$J$3:$J$1039,0)),"")</f>
        <v/>
      </c>
      <c r="F61" s="78" t="str">
        <f>IFERROR(INDEX(Party_Ledger!$G$3:$G$1039,MATCH(49,Party_Ledger!$J$3:$J$1039,0)),"")</f>
        <v/>
      </c>
      <c r="G61" s="78" t="str">
        <f t="shared" si="1"/>
        <v/>
      </c>
    </row>
    <row r="62" spans="1:7" x14ac:dyDescent="0.2">
      <c r="A62" s="137" t="str">
        <f>IFERROR(INDEX(Party_Ledger!$A$3:$A$1039,MATCH(50,Party_Ledger!$J$3:$J$1039,0)),"")</f>
        <v/>
      </c>
      <c r="B62" s="76" t="str">
        <f>IFERROR(INDEX(Party_Ledger!$C$3:$C$1039,MATCH(50,Party_Ledger!$J$3:$J$1039,0)),"")</f>
        <v/>
      </c>
      <c r="C62" s="76" t="str">
        <f>IFERROR(INDEX(Party_Ledger!$D$3:$D$1039,MATCH(50,Party_Ledger!$J$3:$J$1039,0)),"")</f>
        <v/>
      </c>
      <c r="D62" s="77" t="str">
        <f>IFERROR(INDEX(Party_Ledger!$E$3:$E$1039,MATCH(50,Party_Ledger!$J$3:$J$1039,0)),"")</f>
        <v/>
      </c>
      <c r="E62" s="78" t="str">
        <f>IFERROR(INDEX(Party_Ledger!$F$3:$F$1039,MATCH(50,Party_Ledger!$J$3:$J$1039,0)),"")</f>
        <v/>
      </c>
      <c r="F62" s="78" t="str">
        <f>IFERROR(INDEX(Party_Ledger!$G$3:$G$1039,MATCH(50,Party_Ledger!$J$3:$J$1039,0)),"")</f>
        <v/>
      </c>
      <c r="G62" s="78" t="str">
        <f t="shared" si="1"/>
        <v/>
      </c>
    </row>
    <row r="63" spans="1:7" x14ac:dyDescent="0.2">
      <c r="A63" s="137" t="str">
        <f>IFERROR(INDEX(Party_Ledger!$A$3:$A$1039,MATCH(51,Party_Ledger!$J$3:$J$1039,0)),"")</f>
        <v/>
      </c>
      <c r="B63" s="76" t="str">
        <f>IFERROR(INDEX(Party_Ledger!$C$3:$C$1039,MATCH(51,Party_Ledger!$J$3:$J$1039,0)),"")</f>
        <v/>
      </c>
      <c r="C63" s="76" t="str">
        <f>IFERROR(INDEX(Party_Ledger!$D$3:$D$1039,MATCH(51,Party_Ledger!$J$3:$J$1039,0)),"")</f>
        <v/>
      </c>
      <c r="D63" s="77" t="str">
        <f>IFERROR(INDEX(Party_Ledger!$E$3:$E$1039,MATCH(51,Party_Ledger!$J$3:$J$1039,0)),"")</f>
        <v/>
      </c>
      <c r="E63" s="78" t="str">
        <f>IFERROR(INDEX(Party_Ledger!$F$3:$F$1039,MATCH(51,Party_Ledger!$J$3:$J$1039,0)),"")</f>
        <v/>
      </c>
      <c r="F63" s="78" t="str">
        <f>IFERROR(INDEX(Party_Ledger!$G$3:$G$1039,MATCH(51,Party_Ledger!$J$3:$J$1039,0)),"")</f>
        <v/>
      </c>
      <c r="G63" s="78" t="str">
        <f t="shared" si="1"/>
        <v/>
      </c>
    </row>
    <row r="64" spans="1:7" x14ac:dyDescent="0.2">
      <c r="A64" s="137" t="str">
        <f>IFERROR(INDEX(Party_Ledger!$A$3:$A$1039,MATCH(52,Party_Ledger!$J$3:$J$1039,0)),"")</f>
        <v/>
      </c>
      <c r="B64" s="76" t="str">
        <f>IFERROR(INDEX(Party_Ledger!$C$3:$C$1039,MATCH(52,Party_Ledger!$J$3:$J$1039,0)),"")</f>
        <v/>
      </c>
      <c r="C64" s="76" t="str">
        <f>IFERROR(INDEX(Party_Ledger!$D$3:$D$1039,MATCH(52,Party_Ledger!$J$3:$J$1039,0)),"")</f>
        <v/>
      </c>
      <c r="D64" s="77" t="str">
        <f>IFERROR(INDEX(Party_Ledger!$E$3:$E$1039,MATCH(52,Party_Ledger!$J$3:$J$1039,0)),"")</f>
        <v/>
      </c>
      <c r="E64" s="78" t="str">
        <f>IFERROR(INDEX(Party_Ledger!$F$3:$F$1039,MATCH(52,Party_Ledger!$J$3:$J$1039,0)),"")</f>
        <v/>
      </c>
      <c r="F64" s="78" t="str">
        <f>IFERROR(INDEX(Party_Ledger!$G$3:$G$1039,MATCH(52,Party_Ledger!$J$3:$J$1039,0)),"")</f>
        <v/>
      </c>
      <c r="G64" s="78" t="str">
        <f t="shared" si="1"/>
        <v/>
      </c>
    </row>
    <row r="65" spans="1:7" x14ac:dyDescent="0.2">
      <c r="A65" s="137" t="str">
        <f>IFERROR(INDEX(Party_Ledger!$A$3:$A$1039,MATCH(53,Party_Ledger!$J$3:$J$1039,0)),"")</f>
        <v/>
      </c>
      <c r="B65" s="76" t="str">
        <f>IFERROR(INDEX(Party_Ledger!$C$3:$C$1039,MATCH(53,Party_Ledger!$J$3:$J$1039,0)),"")</f>
        <v/>
      </c>
      <c r="C65" s="76" t="str">
        <f>IFERROR(INDEX(Party_Ledger!$D$3:$D$1039,MATCH(53,Party_Ledger!$J$3:$J$1039,0)),"")</f>
        <v/>
      </c>
      <c r="D65" s="77" t="str">
        <f>IFERROR(INDEX(Party_Ledger!$E$3:$E$1039,MATCH(53,Party_Ledger!$J$3:$J$1039,0)),"")</f>
        <v/>
      </c>
      <c r="E65" s="78" t="str">
        <f>IFERROR(INDEX(Party_Ledger!$F$3:$F$1039,MATCH(53,Party_Ledger!$J$3:$J$1039,0)),"")</f>
        <v/>
      </c>
      <c r="F65" s="78" t="str">
        <f>IFERROR(INDEX(Party_Ledger!$G$3:$G$1039,MATCH(53,Party_Ledger!$J$3:$J$1039,0)),"")</f>
        <v/>
      </c>
      <c r="G65" s="78" t="str">
        <f t="shared" si="1"/>
        <v/>
      </c>
    </row>
    <row r="66" spans="1:7" x14ac:dyDescent="0.2">
      <c r="A66" s="137" t="str">
        <f>IFERROR(INDEX(Party_Ledger!$A$3:$A$1039,MATCH(54,Party_Ledger!$J$3:$J$1039,0)),"")</f>
        <v/>
      </c>
      <c r="B66" s="76" t="str">
        <f>IFERROR(INDEX(Party_Ledger!$C$3:$C$1039,MATCH(54,Party_Ledger!$J$3:$J$1039,0)),"")</f>
        <v/>
      </c>
      <c r="C66" s="76" t="str">
        <f>IFERROR(INDEX(Party_Ledger!$D$3:$D$1039,MATCH(54,Party_Ledger!$J$3:$J$1039,0)),"")</f>
        <v/>
      </c>
      <c r="D66" s="77" t="str">
        <f>IFERROR(INDEX(Party_Ledger!$E$3:$E$1039,MATCH(54,Party_Ledger!$J$3:$J$1039,0)),"")</f>
        <v/>
      </c>
      <c r="E66" s="78" t="str">
        <f>IFERROR(INDEX(Party_Ledger!$F$3:$F$1039,MATCH(54,Party_Ledger!$J$3:$J$1039,0)),"")</f>
        <v/>
      </c>
      <c r="F66" s="78" t="str">
        <f>IFERROR(INDEX(Party_Ledger!$G$3:$G$1039,MATCH(54,Party_Ledger!$J$3:$J$1039,0)),"")</f>
        <v/>
      </c>
      <c r="G66" s="78" t="str">
        <f t="shared" si="1"/>
        <v/>
      </c>
    </row>
    <row r="67" spans="1:7" x14ac:dyDescent="0.2">
      <c r="A67" s="137" t="str">
        <f>IFERROR(INDEX(Party_Ledger!$A$3:$A$1039,MATCH(55,Party_Ledger!$J$3:$J$1039,0)),"")</f>
        <v/>
      </c>
      <c r="B67" s="76" t="str">
        <f>IFERROR(INDEX(Party_Ledger!$C$3:$C$1039,MATCH(55,Party_Ledger!$J$3:$J$1039,0)),"")</f>
        <v/>
      </c>
      <c r="C67" s="76" t="str">
        <f>IFERROR(INDEX(Party_Ledger!$D$3:$D$1039,MATCH(55,Party_Ledger!$J$3:$J$1039,0)),"")</f>
        <v/>
      </c>
      <c r="D67" s="77" t="str">
        <f>IFERROR(INDEX(Party_Ledger!$E$3:$E$1039,MATCH(55,Party_Ledger!$J$3:$J$1039,0)),"")</f>
        <v/>
      </c>
      <c r="E67" s="78" t="str">
        <f>IFERROR(INDEX(Party_Ledger!$F$3:$F$1039,MATCH(55,Party_Ledger!$J$3:$J$1039,0)),"")</f>
        <v/>
      </c>
      <c r="F67" s="78" t="str">
        <f>IFERROR(INDEX(Party_Ledger!$G$3:$G$1039,MATCH(55,Party_Ledger!$J$3:$J$1039,0)),"")</f>
        <v/>
      </c>
      <c r="G67" s="78" t="str">
        <f t="shared" si="1"/>
        <v/>
      </c>
    </row>
    <row r="68" spans="1:7" x14ac:dyDescent="0.2">
      <c r="A68" s="137" t="str">
        <f>IFERROR(INDEX(Party_Ledger!$A$3:$A$1039,MATCH(56,Party_Ledger!$J$3:$J$1039,0)),"")</f>
        <v/>
      </c>
      <c r="B68" s="76" t="str">
        <f>IFERROR(INDEX(Party_Ledger!$C$3:$C$1039,MATCH(56,Party_Ledger!$J$3:$J$1039,0)),"")</f>
        <v/>
      </c>
      <c r="C68" s="76" t="str">
        <f>IFERROR(INDEX(Party_Ledger!$D$3:$D$1039,MATCH(56,Party_Ledger!$J$3:$J$1039,0)),"")</f>
        <v/>
      </c>
      <c r="D68" s="77" t="str">
        <f>IFERROR(INDEX(Party_Ledger!$E$3:$E$1039,MATCH(56,Party_Ledger!$J$3:$J$1039,0)),"")</f>
        <v/>
      </c>
      <c r="E68" s="78" t="str">
        <f>IFERROR(INDEX(Party_Ledger!$F$3:$F$1039,MATCH(56,Party_Ledger!$J$3:$J$1039,0)),"")</f>
        <v/>
      </c>
      <c r="F68" s="78" t="str">
        <f>IFERROR(INDEX(Party_Ledger!$G$3:$G$1039,MATCH(56,Party_Ledger!$J$3:$J$1039,0)),"")</f>
        <v/>
      </c>
      <c r="G68" s="78" t="str">
        <f t="shared" si="1"/>
        <v/>
      </c>
    </row>
    <row r="69" spans="1:7" x14ac:dyDescent="0.2">
      <c r="A69" s="137" t="str">
        <f>IFERROR(INDEX(Party_Ledger!$A$3:$A$1039,MATCH(57,Party_Ledger!$J$3:$J$1039,0)),"")</f>
        <v/>
      </c>
      <c r="B69" s="76" t="str">
        <f>IFERROR(INDEX(Party_Ledger!$C$3:$C$1039,MATCH(57,Party_Ledger!$J$3:$J$1039,0)),"")</f>
        <v/>
      </c>
      <c r="C69" s="76" t="str">
        <f>IFERROR(INDEX(Party_Ledger!$D$3:$D$1039,MATCH(57,Party_Ledger!$J$3:$J$1039,0)),"")</f>
        <v/>
      </c>
      <c r="D69" s="77" t="str">
        <f>IFERROR(INDEX(Party_Ledger!$E$3:$E$1039,MATCH(57,Party_Ledger!$J$3:$J$1039,0)),"")</f>
        <v/>
      </c>
      <c r="E69" s="78" t="str">
        <f>IFERROR(INDEX(Party_Ledger!$F$3:$F$1039,MATCH(57,Party_Ledger!$J$3:$J$1039,0)),"")</f>
        <v/>
      </c>
      <c r="F69" s="78" t="str">
        <f>IFERROR(INDEX(Party_Ledger!$G$3:$G$1039,MATCH(57,Party_Ledger!$J$3:$J$1039,0)),"")</f>
        <v/>
      </c>
      <c r="G69" s="78" t="str">
        <f t="shared" si="1"/>
        <v/>
      </c>
    </row>
    <row r="70" spans="1:7" x14ac:dyDescent="0.2">
      <c r="A70" s="137" t="str">
        <f>IFERROR(INDEX(Party_Ledger!$A$3:$A$1039,MATCH(58,Party_Ledger!$J$3:$J$1039,0)),"")</f>
        <v/>
      </c>
      <c r="B70" s="76" t="str">
        <f>IFERROR(INDEX(Party_Ledger!$C$3:$C$1039,MATCH(58,Party_Ledger!$J$3:$J$1039,0)),"")</f>
        <v/>
      </c>
      <c r="C70" s="76" t="str">
        <f>IFERROR(INDEX(Party_Ledger!$D$3:$D$1039,MATCH(58,Party_Ledger!$J$3:$J$1039,0)),"")</f>
        <v/>
      </c>
      <c r="D70" s="77" t="str">
        <f>IFERROR(INDEX(Party_Ledger!$E$3:$E$1039,MATCH(58,Party_Ledger!$J$3:$J$1039,0)),"")</f>
        <v/>
      </c>
      <c r="E70" s="78" t="str">
        <f>IFERROR(INDEX(Party_Ledger!$F$3:$F$1039,MATCH(58,Party_Ledger!$J$3:$J$1039,0)),"")</f>
        <v/>
      </c>
      <c r="F70" s="78" t="str">
        <f>IFERROR(INDEX(Party_Ledger!$G$3:$G$1039,MATCH(58,Party_Ledger!$J$3:$J$1039,0)),"")</f>
        <v/>
      </c>
      <c r="G70" s="78" t="str">
        <f t="shared" si="1"/>
        <v/>
      </c>
    </row>
    <row r="71" spans="1:7" x14ac:dyDescent="0.2">
      <c r="A71" s="137" t="str">
        <f>IFERROR(INDEX(Party_Ledger!$A$3:$A$1039,MATCH(59,Party_Ledger!$J$3:$J$1039,0)),"")</f>
        <v/>
      </c>
      <c r="B71" s="76" t="str">
        <f>IFERROR(INDEX(Party_Ledger!$C$3:$C$1039,MATCH(59,Party_Ledger!$J$3:$J$1039,0)),"")</f>
        <v/>
      </c>
      <c r="C71" s="76" t="str">
        <f>IFERROR(INDEX(Party_Ledger!$D$3:$D$1039,MATCH(59,Party_Ledger!$J$3:$J$1039,0)),"")</f>
        <v/>
      </c>
      <c r="D71" s="77" t="str">
        <f>IFERROR(INDEX(Party_Ledger!$E$3:$E$1039,MATCH(59,Party_Ledger!$J$3:$J$1039,0)),"")</f>
        <v/>
      </c>
      <c r="E71" s="78" t="str">
        <f>IFERROR(INDEX(Party_Ledger!$F$3:$F$1039,MATCH(59,Party_Ledger!$J$3:$J$1039,0)),"")</f>
        <v/>
      </c>
      <c r="F71" s="78" t="str">
        <f>IFERROR(INDEX(Party_Ledger!$G$3:$G$1039,MATCH(59,Party_Ledger!$J$3:$J$1039,0)),"")</f>
        <v/>
      </c>
      <c r="G71" s="78" t="str">
        <f t="shared" si="1"/>
        <v/>
      </c>
    </row>
    <row r="72" spans="1:7" x14ac:dyDescent="0.2">
      <c r="A72" s="137" t="str">
        <f>IFERROR(INDEX(Party_Ledger!$A$3:$A$1039,MATCH(60,Party_Ledger!$J$3:$J$1039,0)),"")</f>
        <v/>
      </c>
      <c r="B72" s="76" t="str">
        <f>IFERROR(INDEX(Party_Ledger!$C$3:$C$1039,MATCH(60,Party_Ledger!$J$3:$J$1039,0)),"")</f>
        <v/>
      </c>
      <c r="C72" s="76" t="str">
        <f>IFERROR(INDEX(Party_Ledger!$D$3:$D$1039,MATCH(60,Party_Ledger!$J$3:$J$1039,0)),"")</f>
        <v/>
      </c>
      <c r="D72" s="77" t="str">
        <f>IFERROR(INDEX(Party_Ledger!$E$3:$E$1039,MATCH(60,Party_Ledger!$J$3:$J$1039,0)),"")</f>
        <v/>
      </c>
      <c r="E72" s="78" t="str">
        <f>IFERROR(INDEX(Party_Ledger!$F$3:$F$1039,MATCH(60,Party_Ledger!$J$3:$J$1039,0)),"")</f>
        <v/>
      </c>
      <c r="F72" s="78" t="str">
        <f>IFERROR(INDEX(Party_Ledger!$G$3:$G$1039,MATCH(60,Party_Ledger!$J$3:$J$1039,0)),"")</f>
        <v/>
      </c>
      <c r="G72" s="78" t="str">
        <f t="shared" si="1"/>
        <v/>
      </c>
    </row>
    <row r="73" spans="1:7" x14ac:dyDescent="0.2">
      <c r="A73" t="str">
        <f>IFERROR(INDEX(Party_Ledger!$A$3:$A$1039,MATCH(61,Party_Ledger!$J$3:$J$1039,0)),"")</f>
        <v/>
      </c>
      <c r="B73" t="str">
        <f>IFERROR(INDEX(Party_Ledger!$C$3:$C$1039,MATCH(61,Party_Ledger!$J$3:$J$1039,0)),"")</f>
        <v/>
      </c>
      <c r="C73" t="str">
        <f>IFERROR(INDEX(Party_Ledger!$D$3:$D$1039,MATCH(61,Party_Ledger!$J$3:$J$1039,0)),"")</f>
        <v/>
      </c>
      <c r="D73" t="str">
        <f>IFERROR(INDEX(Party_Ledger!$E$3:$E$1039,MATCH(61,Party_Ledger!$J$3:$J$1039,0)),"")</f>
        <v/>
      </c>
      <c r="E73" t="str">
        <f>IFERROR(INDEX(Party_Ledger!$F$3:$F$1039,MATCH(61,Party_Ledger!$J$3:$J$1039,0)),"")</f>
        <v/>
      </c>
      <c r="F73" t="str">
        <f>IFERROR(INDEX(Party_Ledger!$G$3:$G$1039,MATCH(61,Party_Ledger!$J$3:$J$1039,0)),"")</f>
        <v/>
      </c>
      <c r="G73" t="str">
        <f t="shared" si="1"/>
        <v/>
      </c>
    </row>
    <row r="74" spans="1:7" x14ac:dyDescent="0.2">
      <c r="A74" t="str">
        <f>IFERROR(INDEX(Party_Ledger!$A$3:$A$1039,MATCH(62,Party_Ledger!$J$3:$J$1039,0)),"")</f>
        <v/>
      </c>
      <c r="B74" t="str">
        <f>IFERROR(INDEX(Party_Ledger!$C$3:$C$1039,MATCH(62,Party_Ledger!$J$3:$J$1039,0)),"")</f>
        <v/>
      </c>
      <c r="C74" t="str">
        <f>IFERROR(INDEX(Party_Ledger!$D$3:$D$1039,MATCH(62,Party_Ledger!$J$3:$J$1039,0)),"")</f>
        <v/>
      </c>
      <c r="D74" t="str">
        <f>IFERROR(INDEX(Party_Ledger!$E$3:$E$1039,MATCH(62,Party_Ledger!$J$3:$J$1039,0)),"")</f>
        <v/>
      </c>
      <c r="E74" t="str">
        <f>IFERROR(INDEX(Party_Ledger!$F$3:$F$1039,MATCH(62,Party_Ledger!$J$3:$J$1039,0)),"")</f>
        <v/>
      </c>
      <c r="F74" t="str">
        <f>IFERROR(INDEX(Party_Ledger!$G$3:$G$1039,MATCH(62,Party_Ledger!$J$3:$J$1039,0)),"")</f>
        <v/>
      </c>
      <c r="G74" t="str">
        <f t="shared" si="1"/>
        <v/>
      </c>
    </row>
    <row r="75" spans="1:7" x14ac:dyDescent="0.2">
      <c r="A75" t="str">
        <f>IFERROR(INDEX(Party_Ledger!$A$3:$A$1039,MATCH(63,Party_Ledger!$J$3:$J$1039,0)),"")</f>
        <v/>
      </c>
      <c r="B75" t="str">
        <f>IFERROR(INDEX(Party_Ledger!$C$3:$C$1039,MATCH(63,Party_Ledger!$J$3:$J$1039,0)),"")</f>
        <v/>
      </c>
      <c r="C75" t="str">
        <f>IFERROR(INDEX(Party_Ledger!$D$3:$D$1039,MATCH(63,Party_Ledger!$J$3:$J$1039,0)),"")</f>
        <v/>
      </c>
      <c r="D75" t="str">
        <f>IFERROR(INDEX(Party_Ledger!$E$3:$E$1039,MATCH(63,Party_Ledger!$J$3:$J$1039,0)),"")</f>
        <v/>
      </c>
      <c r="E75" t="str">
        <f>IFERROR(INDEX(Party_Ledger!$F$3:$F$1039,MATCH(63,Party_Ledger!$J$3:$J$1039,0)),"")</f>
        <v/>
      </c>
      <c r="F75" t="str">
        <f>IFERROR(INDEX(Party_Ledger!$G$3:$G$1039,MATCH(63,Party_Ledger!$J$3:$J$1039,0)),"")</f>
        <v/>
      </c>
      <c r="G75" t="str">
        <f t="shared" si="1"/>
        <v/>
      </c>
    </row>
    <row r="76" spans="1:7" x14ac:dyDescent="0.2">
      <c r="A76" t="str">
        <f>IFERROR(INDEX(Party_Ledger!$A$3:$A$1039,MATCH(64,Party_Ledger!$J$3:$J$1039,0)),"")</f>
        <v/>
      </c>
      <c r="B76" t="str">
        <f>IFERROR(INDEX(Party_Ledger!$C$3:$C$1039,MATCH(64,Party_Ledger!$J$3:$J$1039,0)),"")</f>
        <v/>
      </c>
      <c r="C76" t="str">
        <f>IFERROR(INDEX(Party_Ledger!$D$3:$D$1039,MATCH(64,Party_Ledger!$J$3:$J$1039,0)),"")</f>
        <v/>
      </c>
      <c r="D76" t="str">
        <f>IFERROR(INDEX(Party_Ledger!$E$3:$E$1039,MATCH(64,Party_Ledger!$J$3:$J$1039,0)),"")</f>
        <v/>
      </c>
      <c r="E76" t="str">
        <f>IFERROR(INDEX(Party_Ledger!$F$3:$F$1039,MATCH(64,Party_Ledger!$J$3:$J$1039,0)),"")</f>
        <v/>
      </c>
      <c r="F76" t="str">
        <f>IFERROR(INDEX(Party_Ledger!$G$3:$G$1039,MATCH(64,Party_Ledger!$J$3:$J$1039,0)),"")</f>
        <v/>
      </c>
      <c r="G76" t="str">
        <f t="shared" si="1"/>
        <v/>
      </c>
    </row>
    <row r="77" spans="1:7" x14ac:dyDescent="0.2">
      <c r="A77" t="str">
        <f>IFERROR(INDEX(Party_Ledger!$A$3:$A$1039,MATCH(65,Party_Ledger!$J$3:$J$1039,0)),"")</f>
        <v/>
      </c>
      <c r="B77" t="str">
        <f>IFERROR(INDEX(Party_Ledger!$C$3:$C$1039,MATCH(65,Party_Ledger!$J$3:$J$1039,0)),"")</f>
        <v/>
      </c>
      <c r="C77" t="str">
        <f>IFERROR(INDEX(Party_Ledger!$D$3:$D$1039,MATCH(65,Party_Ledger!$J$3:$J$1039,0)),"")</f>
        <v/>
      </c>
      <c r="D77" t="str">
        <f>IFERROR(INDEX(Party_Ledger!$E$3:$E$1039,MATCH(65,Party_Ledger!$J$3:$J$1039,0)),"")</f>
        <v/>
      </c>
      <c r="E77" t="str">
        <f>IFERROR(INDEX(Party_Ledger!$F$3:$F$1039,MATCH(65,Party_Ledger!$J$3:$J$1039,0)),"")</f>
        <v/>
      </c>
      <c r="F77" t="str">
        <f>IFERROR(INDEX(Party_Ledger!$G$3:$G$1039,MATCH(65,Party_Ledger!$J$3:$J$1039,0)),"")</f>
        <v/>
      </c>
      <c r="G77" t="str">
        <f t="shared" si="1"/>
        <v/>
      </c>
    </row>
    <row r="78" spans="1:7" x14ac:dyDescent="0.2">
      <c r="A78" t="str">
        <f>IFERROR(INDEX(Party_Ledger!$A$3:$A$1039,MATCH(66,Party_Ledger!$J$3:$J$1039,0)),"")</f>
        <v/>
      </c>
      <c r="B78" t="str">
        <f>IFERROR(INDEX(Party_Ledger!$C$3:$C$1039,MATCH(66,Party_Ledger!$J$3:$J$1039,0)),"")</f>
        <v/>
      </c>
      <c r="C78" t="str">
        <f>IFERROR(INDEX(Party_Ledger!$D$3:$D$1039,MATCH(66,Party_Ledger!$J$3:$J$1039,0)),"")</f>
        <v/>
      </c>
      <c r="D78" t="str">
        <f>IFERROR(INDEX(Party_Ledger!$E$3:$E$1039,MATCH(66,Party_Ledger!$J$3:$J$1039,0)),"")</f>
        <v/>
      </c>
      <c r="E78" t="str">
        <f>IFERROR(INDEX(Party_Ledger!$F$3:$F$1039,MATCH(66,Party_Ledger!$J$3:$J$1039,0)),"")</f>
        <v/>
      </c>
      <c r="F78" t="str">
        <f>IFERROR(INDEX(Party_Ledger!$G$3:$G$1039,MATCH(66,Party_Ledger!$J$3:$J$1039,0)),"")</f>
        <v/>
      </c>
      <c r="G78" t="str">
        <f t="shared" si="1"/>
        <v/>
      </c>
    </row>
    <row r="79" spans="1:7" x14ac:dyDescent="0.2">
      <c r="A79" t="str">
        <f>IFERROR(INDEX(Party_Ledger!$A$3:$A$1039,MATCH(67,Party_Ledger!$J$3:$J$1039,0)),"")</f>
        <v/>
      </c>
      <c r="B79" t="str">
        <f>IFERROR(INDEX(Party_Ledger!$C$3:$C$1039,MATCH(67,Party_Ledger!$J$3:$J$1039,0)),"")</f>
        <v/>
      </c>
      <c r="C79" t="str">
        <f>IFERROR(INDEX(Party_Ledger!$D$3:$D$1039,MATCH(67,Party_Ledger!$J$3:$J$1039,0)),"")</f>
        <v/>
      </c>
      <c r="D79" t="str">
        <f>IFERROR(INDEX(Party_Ledger!$E$3:$E$1039,MATCH(67,Party_Ledger!$J$3:$J$1039,0)),"")</f>
        <v/>
      </c>
      <c r="E79" t="str">
        <f>IFERROR(INDEX(Party_Ledger!$F$3:$F$1039,MATCH(67,Party_Ledger!$J$3:$J$1039,0)),"")</f>
        <v/>
      </c>
      <c r="F79" t="str">
        <f>IFERROR(INDEX(Party_Ledger!$G$3:$G$1039,MATCH(67,Party_Ledger!$J$3:$J$1039,0)),"")</f>
        <v/>
      </c>
      <c r="G79" t="str">
        <f t="shared" si="1"/>
        <v/>
      </c>
    </row>
    <row r="80" spans="1:7" x14ac:dyDescent="0.2">
      <c r="A80" s="216" t="s">
        <v>1043</v>
      </c>
      <c r="B80" s="202"/>
      <c r="C80" s="217"/>
      <c r="D80" s="218"/>
      <c r="E80" s="218"/>
      <c r="F80" s="218"/>
      <c r="G80" s="219"/>
    </row>
  </sheetData>
  <mergeCells count="5">
    <mergeCell ref="A1:G1"/>
    <mergeCell ref="A3:G3"/>
    <mergeCell ref="A2:G2"/>
    <mergeCell ref="A80:B80"/>
    <mergeCell ref="C80:G80"/>
  </mergeCells>
  <printOptions horizontalCentered="1"/>
  <pageMargins left="0.75" right="0.75" top="1" bottom="1" header="0.5" footer="0.5"/>
  <pageSetup scale="73"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6000"/>
    <pageSetUpPr fitToPage="1"/>
  </sheetPr>
  <dimension ref="A1:J42"/>
  <sheetViews>
    <sheetView showGridLines="0" workbookViewId="0">
      <pane ySplit="2" topLeftCell="A3" activePane="bottomLeft" state="frozen"/>
      <selection pane="bottomLeft" activeCell="E3" sqref="E3:E5"/>
    </sheetView>
  </sheetViews>
  <sheetFormatPr baseColWidth="10" defaultColWidth="8.83203125" defaultRowHeight="15" x14ac:dyDescent="0.2"/>
  <cols>
    <col min="1" max="1" width="20" customWidth="1"/>
    <col min="8" max="8" width="11.5" bestFit="1" customWidth="1"/>
    <col min="9" max="9" width="13.6640625" bestFit="1" customWidth="1"/>
  </cols>
  <sheetData>
    <row r="1" spans="1:10" ht="32" customHeight="1" x14ac:dyDescent="0.2">
      <c r="A1" s="201" t="s">
        <v>1044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 ht="28" customHeight="1" x14ac:dyDescent="0.2">
      <c r="A2" s="3" t="s">
        <v>1045</v>
      </c>
      <c r="B2" s="3" t="s">
        <v>1046</v>
      </c>
      <c r="C2" s="3" t="s">
        <v>1047</v>
      </c>
      <c r="D2" s="3" t="s">
        <v>1048</v>
      </c>
      <c r="E2" s="3" t="s">
        <v>1049</v>
      </c>
      <c r="F2" s="3" t="s">
        <v>1050</v>
      </c>
      <c r="G2" s="3" t="s">
        <v>1051</v>
      </c>
      <c r="H2" s="3" t="s">
        <v>1052</v>
      </c>
      <c r="I2" s="3" t="s">
        <v>20</v>
      </c>
      <c r="J2" s="3" t="s">
        <v>15</v>
      </c>
    </row>
    <row r="3" spans="1:10" x14ac:dyDescent="0.2">
      <c r="A3" s="4" t="s">
        <v>63</v>
      </c>
      <c r="B3" s="4" t="s">
        <v>1053</v>
      </c>
      <c r="C3" s="36">
        <v>0</v>
      </c>
      <c r="D3" s="36">
        <f>IF($A3="","",SUMIF(Purchase_Entry!$D:$D,$A3,Purchase_Entry!$K:$K))</f>
        <v>2036</v>
      </c>
      <c r="E3" s="36">
        <f>IF($A3="","",SUMIF(Sales_Entry!$D:$D,$A3,Sales_Entry!$E:$E))</f>
        <v>13415.9</v>
      </c>
      <c r="F3" s="36">
        <f t="shared" ref="F3:F41" si="0">IF($A3="","",$C3+$D3-$E3)</f>
        <v>-11379.9</v>
      </c>
      <c r="G3" s="4">
        <v>10</v>
      </c>
      <c r="H3" s="5">
        <v>85</v>
      </c>
      <c r="I3" s="5">
        <f t="shared" ref="I3:I41" si="1">IF($A3="","",$F3*$H3)</f>
        <v>-967291.5</v>
      </c>
      <c r="J3" s="4" t="str">
        <f t="shared" ref="J3:J41" si="2">IF($A3="","",IF($F3&lt;=$G3,"⚠ Reorder","In Stock"))</f>
        <v>⚠ Reorder</v>
      </c>
    </row>
    <row r="4" spans="1:10" x14ac:dyDescent="0.2">
      <c r="A4" s="4" t="s">
        <v>72</v>
      </c>
      <c r="B4" s="4" t="s">
        <v>1053</v>
      </c>
      <c r="C4" s="36">
        <v>0</v>
      </c>
      <c r="D4" s="36">
        <f>IF($A4="","",SUMIF(Purchase_Entry!$D:$D,$A4,Purchase_Entry!$K:$K))</f>
        <v>2117.8000000000006</v>
      </c>
      <c r="E4" s="36">
        <f>IF($A4="","",SUMIF(Sales_Entry!$D:$D,$A4,Sales_Entry!$E:$E))</f>
        <v>85</v>
      </c>
      <c r="F4" s="36">
        <f t="shared" si="0"/>
        <v>2032.8000000000006</v>
      </c>
      <c r="G4" s="4">
        <v>10</v>
      </c>
      <c r="H4" s="5">
        <v>80</v>
      </c>
      <c r="I4" s="5">
        <f t="shared" si="1"/>
        <v>162624.00000000006</v>
      </c>
      <c r="J4" s="4" t="str">
        <f t="shared" si="2"/>
        <v>In Stock</v>
      </c>
    </row>
    <row r="5" spans="1:10" x14ac:dyDescent="0.2">
      <c r="A5" s="4" t="s">
        <v>760</v>
      </c>
      <c r="B5" s="4" t="s">
        <v>1053</v>
      </c>
      <c r="C5" s="36">
        <v>0</v>
      </c>
      <c r="D5" s="36">
        <f>IF($A5="","",SUMIF(Purchase_Entry!$D:$D,$A5,Purchase_Entry!$K:$K))</f>
        <v>3422.8000000000006</v>
      </c>
      <c r="E5" s="36">
        <f>IF($A5="","",SUMIF(Sales_Entry!$D:$D,$A5,Sales_Entry!$E:$E))</f>
        <v>0</v>
      </c>
      <c r="F5" s="36">
        <f t="shared" si="0"/>
        <v>3422.8000000000006</v>
      </c>
      <c r="G5" s="4">
        <v>10</v>
      </c>
      <c r="H5" s="5">
        <v>95</v>
      </c>
      <c r="I5" s="5">
        <f t="shared" si="1"/>
        <v>325166.00000000006</v>
      </c>
      <c r="J5" s="4" t="str">
        <f t="shared" si="2"/>
        <v>In Stock</v>
      </c>
    </row>
    <row r="6" spans="1:10" x14ac:dyDescent="0.2">
      <c r="A6" s="4" t="s">
        <v>95</v>
      </c>
      <c r="B6" s="4" t="s">
        <v>1054</v>
      </c>
      <c r="C6" s="36">
        <v>0</v>
      </c>
      <c r="D6" s="36">
        <f>IF($A6="","",SUMIF(Purchase_Entry!$D:$D,$A6,Purchase_Entry!$K:$K))</f>
        <v>18</v>
      </c>
      <c r="E6" s="36">
        <f>IF($A6="","",SUMIF(Sales_Entry!$D:$D,$A6,Sales_Entry!$E:$E))</f>
        <v>63.5</v>
      </c>
      <c r="F6" s="36">
        <f t="shared" si="0"/>
        <v>-45.5</v>
      </c>
      <c r="G6" s="4">
        <v>10</v>
      </c>
      <c r="H6" s="5">
        <v>1100</v>
      </c>
      <c r="I6" s="5">
        <f t="shared" si="1"/>
        <v>-50050</v>
      </c>
      <c r="J6" s="4" t="str">
        <f t="shared" si="2"/>
        <v>⚠ Reorder</v>
      </c>
    </row>
    <row r="7" spans="1:10" x14ac:dyDescent="0.2">
      <c r="A7" s="4" t="s">
        <v>96</v>
      </c>
      <c r="B7" s="4" t="s">
        <v>1054</v>
      </c>
      <c r="C7" s="36">
        <v>0</v>
      </c>
      <c r="D7" s="36">
        <f>IF($A7="","",SUMIF(Purchase_Entry!$D:$D,$A7,Purchase_Entry!$K:$K))</f>
        <v>6.5</v>
      </c>
      <c r="E7" s="36">
        <f>IF($A7="","",SUMIF(Sales_Entry!$D:$D,$A7,Sales_Entry!$E:$E))</f>
        <v>58</v>
      </c>
      <c r="F7" s="36">
        <f t="shared" si="0"/>
        <v>-51.5</v>
      </c>
      <c r="G7" s="4">
        <v>10</v>
      </c>
      <c r="H7" s="5">
        <v>800</v>
      </c>
      <c r="I7" s="5">
        <f t="shared" si="1"/>
        <v>-41200</v>
      </c>
      <c r="J7" s="4" t="str">
        <f t="shared" si="2"/>
        <v>⚠ Reorder</v>
      </c>
    </row>
    <row r="8" spans="1:10" x14ac:dyDescent="0.2">
      <c r="A8" s="4" t="s">
        <v>164</v>
      </c>
      <c r="B8" s="4" t="s">
        <v>1054</v>
      </c>
      <c r="C8" s="36">
        <v>0</v>
      </c>
      <c r="D8" s="36">
        <f>IF($A8="","",SUMIF(Purchase_Entry!$D:$D,$A8,Purchase_Entry!$K:$K))</f>
        <v>1</v>
      </c>
      <c r="E8" s="36">
        <f>IF($A8="","",SUMIF(Sales_Entry!$D:$D,$A8,Sales_Entry!$E:$E))</f>
        <v>22.75</v>
      </c>
      <c r="F8" s="36">
        <f t="shared" si="0"/>
        <v>-21.75</v>
      </c>
      <c r="G8" s="4">
        <v>10</v>
      </c>
      <c r="H8" s="5">
        <v>800</v>
      </c>
      <c r="I8" s="5">
        <f t="shared" si="1"/>
        <v>-17400</v>
      </c>
      <c r="J8" s="4" t="str">
        <f t="shared" si="2"/>
        <v>⚠ Reorder</v>
      </c>
    </row>
    <row r="9" spans="1:10" x14ac:dyDescent="0.2">
      <c r="A9" s="4" t="s">
        <v>351</v>
      </c>
      <c r="B9" s="4" t="s">
        <v>1054</v>
      </c>
      <c r="C9" s="36">
        <v>0</v>
      </c>
      <c r="D9" s="36">
        <f>IF($A9="","",SUMIF(Purchase_Entry!$D:$D,$A9,Purchase_Entry!$K:$K))</f>
        <v>35</v>
      </c>
      <c r="E9" s="36">
        <f>IF($A9="","",SUMIF(Sales_Entry!$D:$D,$A9,Sales_Entry!$E:$E))</f>
        <v>35</v>
      </c>
      <c r="F9" s="36">
        <f t="shared" si="0"/>
        <v>0</v>
      </c>
      <c r="G9" s="4">
        <v>10</v>
      </c>
      <c r="H9" s="5">
        <v>48</v>
      </c>
      <c r="I9" s="5">
        <f t="shared" si="1"/>
        <v>0</v>
      </c>
      <c r="J9" s="4" t="str">
        <f t="shared" si="2"/>
        <v>⚠ Reorder</v>
      </c>
    </row>
    <row r="10" spans="1:10" x14ac:dyDescent="0.2">
      <c r="A10" s="4" t="s">
        <v>753</v>
      </c>
      <c r="B10" s="4" t="s">
        <v>1054</v>
      </c>
      <c r="C10" s="36">
        <v>0</v>
      </c>
      <c r="D10" s="36">
        <f>IF($A10="","",SUMIF(Purchase_Entry!$D:$D,$A10,Purchase_Entry!$K:$K))</f>
        <v>135</v>
      </c>
      <c r="E10" s="36">
        <f>IF($A10="","",SUMIF(Sales_Entry!$D:$D,$A10,Sales_Entry!$E:$E))</f>
        <v>0</v>
      </c>
      <c r="F10" s="36">
        <f t="shared" si="0"/>
        <v>135</v>
      </c>
      <c r="G10" s="4">
        <v>20</v>
      </c>
      <c r="H10" s="5">
        <v>550</v>
      </c>
      <c r="I10" s="5">
        <f t="shared" si="1"/>
        <v>74250</v>
      </c>
      <c r="J10" s="4" t="str">
        <f t="shared" si="2"/>
        <v>In Stock</v>
      </c>
    </row>
    <row r="11" spans="1:10" x14ac:dyDescent="0.2">
      <c r="A11" s="4"/>
      <c r="B11" s="4"/>
      <c r="C11" s="36"/>
      <c r="D11" s="36" t="str">
        <f>IF($A11="","",SUMIF(Purchase_Entry!$D:$D,$A11,Purchase_Entry!$K:$K))</f>
        <v/>
      </c>
      <c r="E11" s="36" t="str">
        <f>IF($A11="","",SUMIF(Sales_Entry!$D:$D,$A11,Sales_Entry!$E:$E))</f>
        <v/>
      </c>
      <c r="F11" s="36" t="str">
        <f t="shared" si="0"/>
        <v/>
      </c>
      <c r="G11" s="4"/>
      <c r="H11" s="5"/>
      <c r="I11" s="5" t="str">
        <f t="shared" si="1"/>
        <v/>
      </c>
      <c r="J11" s="4" t="str">
        <f t="shared" si="2"/>
        <v/>
      </c>
    </row>
    <row r="12" spans="1:10" x14ac:dyDescent="0.2">
      <c r="A12" s="4"/>
      <c r="B12" s="4"/>
      <c r="C12" s="36"/>
      <c r="D12" s="36" t="str">
        <f>IF($A12="","",SUMIF(Purchase_Entry!$D:$D,$A12,Purchase_Entry!$K:$K))</f>
        <v/>
      </c>
      <c r="E12" s="36" t="str">
        <f>IF($A12="","",SUMIF(Sales_Entry!$D:$D,$A12,Sales_Entry!$E:$E))</f>
        <v/>
      </c>
      <c r="F12" s="36" t="str">
        <f t="shared" si="0"/>
        <v/>
      </c>
      <c r="G12" s="4"/>
      <c r="H12" s="5"/>
      <c r="I12" s="5" t="str">
        <f t="shared" si="1"/>
        <v/>
      </c>
      <c r="J12" s="4" t="str">
        <f t="shared" si="2"/>
        <v/>
      </c>
    </row>
    <row r="13" spans="1:10" x14ac:dyDescent="0.2">
      <c r="A13" s="4"/>
      <c r="B13" s="4"/>
      <c r="C13" s="36"/>
      <c r="D13" s="36" t="str">
        <f>IF($A13="","",SUMIF(Purchase_Entry!$D:$D,$A13,Purchase_Entry!$K:$K))</f>
        <v/>
      </c>
      <c r="E13" s="36" t="str">
        <f>IF($A13="","",SUMIF(Sales_Entry!$D:$D,$A13,Sales_Entry!$E:$E))</f>
        <v/>
      </c>
      <c r="F13" s="36" t="str">
        <f t="shared" si="0"/>
        <v/>
      </c>
      <c r="G13" s="4"/>
      <c r="H13" s="5"/>
      <c r="I13" s="5" t="str">
        <f t="shared" si="1"/>
        <v/>
      </c>
      <c r="J13" s="4" t="str">
        <f t="shared" si="2"/>
        <v/>
      </c>
    </row>
    <row r="14" spans="1:10" x14ac:dyDescent="0.2">
      <c r="A14" s="4"/>
      <c r="B14" s="4"/>
      <c r="C14" s="36"/>
      <c r="D14" s="36" t="str">
        <f>IF($A14="","",SUMIF(Purchase_Entry!$D:$D,$A14,Purchase_Entry!$K:$K))</f>
        <v/>
      </c>
      <c r="E14" s="36" t="str">
        <f>IF($A14="","",SUMIF(Sales_Entry!$D:$D,$A14,Sales_Entry!$E:$E))</f>
        <v/>
      </c>
      <c r="F14" s="36" t="str">
        <f t="shared" si="0"/>
        <v/>
      </c>
      <c r="G14" s="4"/>
      <c r="H14" s="5"/>
      <c r="I14" s="5" t="str">
        <f t="shared" si="1"/>
        <v/>
      </c>
      <c r="J14" s="4" t="str">
        <f t="shared" si="2"/>
        <v/>
      </c>
    </row>
    <row r="15" spans="1:10" x14ac:dyDescent="0.2">
      <c r="A15" s="4"/>
      <c r="B15" s="4"/>
      <c r="C15" s="36"/>
      <c r="D15" s="36" t="str">
        <f>IF($A15="","",SUMIF(Purchase_Entry!$D:$D,$A15,Purchase_Entry!$K:$K))</f>
        <v/>
      </c>
      <c r="E15" s="36" t="str">
        <f>IF($A15="","",SUMIF(Sales_Entry!$D:$D,$A15,Sales_Entry!$E:$E))</f>
        <v/>
      </c>
      <c r="F15" s="36" t="str">
        <f t="shared" si="0"/>
        <v/>
      </c>
      <c r="G15" s="4"/>
      <c r="H15" s="5"/>
      <c r="I15" s="5" t="str">
        <f t="shared" si="1"/>
        <v/>
      </c>
      <c r="J15" s="4" t="str">
        <f t="shared" si="2"/>
        <v/>
      </c>
    </row>
    <row r="16" spans="1:10" x14ac:dyDescent="0.2">
      <c r="A16" s="4"/>
      <c r="B16" s="4"/>
      <c r="C16" s="36"/>
      <c r="D16" s="36" t="str">
        <f>IF($A16="","",SUMIF(Purchase_Entry!$D:$D,$A16,Purchase_Entry!$K:$K))</f>
        <v/>
      </c>
      <c r="E16" s="36" t="str">
        <f>IF($A16="","",SUMIF(Sales_Entry!$D:$D,$A16,Sales_Entry!$E:$E))</f>
        <v/>
      </c>
      <c r="F16" s="36" t="str">
        <f t="shared" si="0"/>
        <v/>
      </c>
      <c r="G16" s="4"/>
      <c r="H16" s="5"/>
      <c r="I16" s="5" t="str">
        <f t="shared" si="1"/>
        <v/>
      </c>
      <c r="J16" s="4" t="str">
        <f t="shared" si="2"/>
        <v/>
      </c>
    </row>
    <row r="17" spans="1:10" x14ac:dyDescent="0.2">
      <c r="A17" s="4"/>
      <c r="B17" s="4"/>
      <c r="C17" s="36"/>
      <c r="D17" s="36" t="str">
        <f>IF($A17="","",SUMIF(Purchase_Entry!$D:$D,$A17,Purchase_Entry!$K:$K))</f>
        <v/>
      </c>
      <c r="E17" s="36" t="str">
        <f>IF($A17="","",SUMIF(Sales_Entry!$D:$D,$A17,Sales_Entry!$E:$E))</f>
        <v/>
      </c>
      <c r="F17" s="36" t="str">
        <f t="shared" si="0"/>
        <v/>
      </c>
      <c r="G17" s="4"/>
      <c r="H17" s="5"/>
      <c r="I17" s="5" t="str">
        <f t="shared" si="1"/>
        <v/>
      </c>
      <c r="J17" s="4" t="str">
        <f t="shared" si="2"/>
        <v/>
      </c>
    </row>
    <row r="18" spans="1:10" x14ac:dyDescent="0.2">
      <c r="A18" s="4"/>
      <c r="B18" s="4"/>
      <c r="C18" s="36"/>
      <c r="D18" s="36" t="str">
        <f>IF($A18="","",SUMIF(Purchase_Entry!$D:$D,$A18,Purchase_Entry!$K:$K))</f>
        <v/>
      </c>
      <c r="E18" s="36" t="str">
        <f>IF($A18="","",SUMIF(Sales_Entry!$D:$D,$A18,Sales_Entry!$E:$E))</f>
        <v/>
      </c>
      <c r="F18" s="36" t="str">
        <f t="shared" si="0"/>
        <v/>
      </c>
      <c r="G18" s="4"/>
      <c r="H18" s="5"/>
      <c r="I18" s="5" t="str">
        <f t="shared" si="1"/>
        <v/>
      </c>
      <c r="J18" s="4" t="str">
        <f t="shared" si="2"/>
        <v/>
      </c>
    </row>
    <row r="19" spans="1:10" x14ac:dyDescent="0.2">
      <c r="A19" s="4"/>
      <c r="B19" s="4"/>
      <c r="C19" s="36"/>
      <c r="D19" s="36" t="str">
        <f>IF($A19="","",SUMIF(Purchase_Entry!$D:$D,$A19,Purchase_Entry!$K:$K))</f>
        <v/>
      </c>
      <c r="E19" s="36" t="str">
        <f>IF($A19="","",SUMIF(Sales_Entry!$D:$D,$A19,Sales_Entry!$E:$E))</f>
        <v/>
      </c>
      <c r="F19" s="36" t="str">
        <f t="shared" si="0"/>
        <v/>
      </c>
      <c r="G19" s="4"/>
      <c r="H19" s="5"/>
      <c r="I19" s="5" t="str">
        <f t="shared" si="1"/>
        <v/>
      </c>
      <c r="J19" s="4" t="str">
        <f t="shared" si="2"/>
        <v/>
      </c>
    </row>
    <row r="20" spans="1:10" x14ac:dyDescent="0.2">
      <c r="A20" s="4"/>
      <c r="B20" s="4"/>
      <c r="C20" s="36"/>
      <c r="D20" s="36" t="str">
        <f>IF($A20="","",SUMIF(Purchase_Entry!$D:$D,$A20,Purchase_Entry!$K:$K))</f>
        <v/>
      </c>
      <c r="E20" s="36" t="str">
        <f>IF($A20="","",SUMIF(Sales_Entry!$D:$D,$A20,Sales_Entry!$E:$E))</f>
        <v/>
      </c>
      <c r="F20" s="36" t="str">
        <f t="shared" si="0"/>
        <v/>
      </c>
      <c r="G20" s="4"/>
      <c r="H20" s="5"/>
      <c r="I20" s="5" t="str">
        <f t="shared" si="1"/>
        <v/>
      </c>
      <c r="J20" s="4" t="str">
        <f t="shared" si="2"/>
        <v/>
      </c>
    </row>
    <row r="21" spans="1:10" x14ac:dyDescent="0.2">
      <c r="A21" s="4"/>
      <c r="B21" s="4"/>
      <c r="C21" s="36"/>
      <c r="D21" s="36" t="str">
        <f>IF($A21="","",SUMIF(Purchase_Entry!$D:$D,$A21,Purchase_Entry!$K:$K))</f>
        <v/>
      </c>
      <c r="E21" s="36" t="str">
        <f>IF($A21="","",SUMIF(Sales_Entry!$D:$D,$A21,Sales_Entry!$E:$E))</f>
        <v/>
      </c>
      <c r="F21" s="36" t="str">
        <f t="shared" si="0"/>
        <v/>
      </c>
      <c r="G21" s="4"/>
      <c r="H21" s="5"/>
      <c r="I21" s="5" t="str">
        <f t="shared" si="1"/>
        <v/>
      </c>
      <c r="J21" s="4" t="str">
        <f t="shared" si="2"/>
        <v/>
      </c>
    </row>
    <row r="22" spans="1:10" x14ac:dyDescent="0.2">
      <c r="A22" s="4"/>
      <c r="B22" s="4"/>
      <c r="C22" s="36"/>
      <c r="D22" s="36" t="str">
        <f>IF($A22="","",SUMIF(Purchase_Entry!$D:$D,$A22,Purchase_Entry!$K:$K))</f>
        <v/>
      </c>
      <c r="E22" s="36" t="str">
        <f>IF($A22="","",SUMIF(Sales_Entry!$D:$D,$A22,Sales_Entry!$E:$E))</f>
        <v/>
      </c>
      <c r="F22" s="36" t="str">
        <f t="shared" si="0"/>
        <v/>
      </c>
      <c r="G22" s="4"/>
      <c r="H22" s="5"/>
      <c r="I22" s="5" t="str">
        <f t="shared" si="1"/>
        <v/>
      </c>
      <c r="J22" s="4" t="str">
        <f t="shared" si="2"/>
        <v/>
      </c>
    </row>
    <row r="23" spans="1:10" x14ac:dyDescent="0.2">
      <c r="A23" s="4"/>
      <c r="B23" s="4"/>
      <c r="C23" s="36"/>
      <c r="D23" s="36" t="str">
        <f>IF($A23="","",SUMIF(Purchase_Entry!$D:$D,$A23,Purchase_Entry!$K:$K))</f>
        <v/>
      </c>
      <c r="E23" s="36" t="str">
        <f>IF($A23="","",SUMIF(Sales_Entry!$D:$D,$A23,Sales_Entry!$E:$E))</f>
        <v/>
      </c>
      <c r="F23" s="36" t="str">
        <f t="shared" si="0"/>
        <v/>
      </c>
      <c r="G23" s="4"/>
      <c r="H23" s="5"/>
      <c r="I23" s="5" t="str">
        <f t="shared" si="1"/>
        <v/>
      </c>
      <c r="J23" s="4" t="str">
        <f t="shared" si="2"/>
        <v/>
      </c>
    </row>
    <row r="24" spans="1:10" x14ac:dyDescent="0.2">
      <c r="A24" s="4"/>
      <c r="B24" s="4"/>
      <c r="C24" s="36"/>
      <c r="D24" s="36" t="str">
        <f>IF($A24="","",SUMIF(Purchase_Entry!$D:$D,$A24,Purchase_Entry!$K:$K))</f>
        <v/>
      </c>
      <c r="E24" s="36" t="str">
        <f>IF($A24="","",SUMIF(Sales_Entry!$D:$D,$A24,Sales_Entry!$E:$E))</f>
        <v/>
      </c>
      <c r="F24" s="36" t="str">
        <f t="shared" si="0"/>
        <v/>
      </c>
      <c r="G24" s="4"/>
      <c r="H24" s="5"/>
      <c r="I24" s="5" t="str">
        <f t="shared" si="1"/>
        <v/>
      </c>
      <c r="J24" s="4" t="str">
        <f t="shared" si="2"/>
        <v/>
      </c>
    </row>
    <row r="25" spans="1:10" x14ac:dyDescent="0.2">
      <c r="A25" s="4"/>
      <c r="B25" s="4"/>
      <c r="C25" s="36"/>
      <c r="D25" s="36" t="str">
        <f>IF($A25="","",SUMIF(Purchase_Entry!$D:$D,$A25,Purchase_Entry!$K:$K))</f>
        <v/>
      </c>
      <c r="E25" s="36" t="str">
        <f>IF($A25="","",SUMIF(Sales_Entry!$D:$D,$A25,Sales_Entry!$E:$E))</f>
        <v/>
      </c>
      <c r="F25" s="36" t="str">
        <f t="shared" si="0"/>
        <v/>
      </c>
      <c r="G25" s="4"/>
      <c r="H25" s="5"/>
      <c r="I25" s="5" t="str">
        <f t="shared" si="1"/>
        <v/>
      </c>
      <c r="J25" s="4" t="str">
        <f t="shared" si="2"/>
        <v/>
      </c>
    </row>
    <row r="26" spans="1:10" x14ac:dyDescent="0.2">
      <c r="A26" s="4"/>
      <c r="B26" s="4"/>
      <c r="C26" s="36"/>
      <c r="D26" s="36" t="str">
        <f>IF($A26="","",SUMIF(Purchase_Entry!$D:$D,$A26,Purchase_Entry!$K:$K))</f>
        <v/>
      </c>
      <c r="E26" s="36" t="str">
        <f>IF($A26="","",SUMIF(Sales_Entry!$D:$D,$A26,Sales_Entry!$E:$E))</f>
        <v/>
      </c>
      <c r="F26" s="36" t="str">
        <f t="shared" si="0"/>
        <v/>
      </c>
      <c r="G26" s="4"/>
      <c r="H26" s="5"/>
      <c r="I26" s="5" t="str">
        <f t="shared" si="1"/>
        <v/>
      </c>
      <c r="J26" s="4" t="str">
        <f t="shared" si="2"/>
        <v/>
      </c>
    </row>
    <row r="27" spans="1:10" x14ac:dyDescent="0.2">
      <c r="A27" s="4"/>
      <c r="B27" s="4"/>
      <c r="C27" s="36"/>
      <c r="D27" s="36" t="str">
        <f>IF($A27="","",SUMIF(Purchase_Entry!$D:$D,$A27,Purchase_Entry!$K:$K))</f>
        <v/>
      </c>
      <c r="E27" s="36" t="str">
        <f>IF($A27="","",SUMIF(Sales_Entry!$D:$D,$A27,Sales_Entry!$E:$E))</f>
        <v/>
      </c>
      <c r="F27" s="36" t="str">
        <f t="shared" si="0"/>
        <v/>
      </c>
      <c r="G27" s="4"/>
      <c r="H27" s="5"/>
      <c r="I27" s="5" t="str">
        <f t="shared" si="1"/>
        <v/>
      </c>
      <c r="J27" s="4" t="str">
        <f t="shared" si="2"/>
        <v/>
      </c>
    </row>
    <row r="28" spans="1:10" x14ac:dyDescent="0.2">
      <c r="A28" s="4"/>
      <c r="B28" s="4"/>
      <c r="C28" s="36"/>
      <c r="D28" s="36" t="str">
        <f>IF($A28="","",SUMIF(Purchase_Entry!$D:$D,$A28,Purchase_Entry!$K:$K))</f>
        <v/>
      </c>
      <c r="E28" s="36" t="str">
        <f>IF($A28="","",SUMIF(Sales_Entry!$D:$D,$A28,Sales_Entry!$E:$E))</f>
        <v/>
      </c>
      <c r="F28" s="36" t="str">
        <f t="shared" si="0"/>
        <v/>
      </c>
      <c r="G28" s="4"/>
      <c r="H28" s="5"/>
      <c r="I28" s="5" t="str">
        <f t="shared" si="1"/>
        <v/>
      </c>
      <c r="J28" s="4" t="str">
        <f t="shared" si="2"/>
        <v/>
      </c>
    </row>
    <row r="29" spans="1:10" x14ac:dyDescent="0.2">
      <c r="A29" s="4"/>
      <c r="B29" s="4"/>
      <c r="C29" s="36"/>
      <c r="D29" s="36" t="str">
        <f>IF($A29="","",SUMIF(Purchase_Entry!$D:$D,$A29,Purchase_Entry!$K:$K))</f>
        <v/>
      </c>
      <c r="E29" s="36" t="str">
        <f>IF($A29="","",SUMIF(Sales_Entry!$D:$D,$A29,Sales_Entry!$E:$E))</f>
        <v/>
      </c>
      <c r="F29" s="36" t="str">
        <f t="shared" si="0"/>
        <v/>
      </c>
      <c r="G29" s="4"/>
      <c r="H29" s="5"/>
      <c r="I29" s="5" t="str">
        <f t="shared" si="1"/>
        <v/>
      </c>
      <c r="J29" s="4" t="str">
        <f t="shared" si="2"/>
        <v/>
      </c>
    </row>
    <row r="30" spans="1:10" x14ac:dyDescent="0.2">
      <c r="A30" s="4"/>
      <c r="B30" s="4"/>
      <c r="C30" s="36"/>
      <c r="D30" s="36" t="str">
        <f>IF($A30="","",SUMIF(Purchase_Entry!$D:$D,$A30,Purchase_Entry!$K:$K))</f>
        <v/>
      </c>
      <c r="E30" s="36" t="str">
        <f>IF($A30="","",SUMIF(Sales_Entry!$D:$D,$A30,Sales_Entry!$E:$E))</f>
        <v/>
      </c>
      <c r="F30" s="36" t="str">
        <f t="shared" si="0"/>
        <v/>
      </c>
      <c r="G30" s="4"/>
      <c r="H30" s="5"/>
      <c r="I30" s="5" t="str">
        <f t="shared" si="1"/>
        <v/>
      </c>
      <c r="J30" s="4" t="str">
        <f t="shared" si="2"/>
        <v/>
      </c>
    </row>
    <row r="31" spans="1:10" x14ac:dyDescent="0.2">
      <c r="A31" s="4"/>
      <c r="B31" s="4"/>
      <c r="C31" s="36"/>
      <c r="D31" s="36" t="str">
        <f>IF($A31="","",SUMIF(Purchase_Entry!$D:$D,$A31,Purchase_Entry!$K:$K))</f>
        <v/>
      </c>
      <c r="E31" s="36" t="str">
        <f>IF($A31="","",SUMIF(Sales_Entry!$D:$D,$A31,Sales_Entry!$E:$E))</f>
        <v/>
      </c>
      <c r="F31" s="36" t="str">
        <f t="shared" si="0"/>
        <v/>
      </c>
      <c r="G31" s="4"/>
      <c r="H31" s="5"/>
      <c r="I31" s="5" t="str">
        <f t="shared" si="1"/>
        <v/>
      </c>
      <c r="J31" s="4" t="str">
        <f t="shared" si="2"/>
        <v/>
      </c>
    </row>
    <row r="32" spans="1:10" x14ac:dyDescent="0.2">
      <c r="A32" s="4"/>
      <c r="B32" s="4"/>
      <c r="C32" s="36"/>
      <c r="D32" s="36" t="str">
        <f>IF($A32="","",SUMIF(Purchase_Entry!$D:$D,$A32,Purchase_Entry!$K:$K))</f>
        <v/>
      </c>
      <c r="E32" s="36" t="str">
        <f>IF($A32="","",SUMIF(Sales_Entry!$D:$D,$A32,Sales_Entry!$E:$E))</f>
        <v/>
      </c>
      <c r="F32" s="36" t="str">
        <f t="shared" si="0"/>
        <v/>
      </c>
      <c r="G32" s="4"/>
      <c r="H32" s="5"/>
      <c r="I32" s="5" t="str">
        <f t="shared" si="1"/>
        <v/>
      </c>
      <c r="J32" s="4" t="str">
        <f t="shared" si="2"/>
        <v/>
      </c>
    </row>
    <row r="33" spans="1:10" x14ac:dyDescent="0.2">
      <c r="A33" s="4"/>
      <c r="B33" s="4"/>
      <c r="C33" s="36"/>
      <c r="D33" s="36" t="str">
        <f>IF($A33="","",SUMIF(Purchase_Entry!$D:$D,$A33,Purchase_Entry!$K:$K))</f>
        <v/>
      </c>
      <c r="E33" s="36" t="str">
        <f>IF($A33="","",SUMIF(Sales_Entry!$D:$D,$A33,Sales_Entry!$E:$E))</f>
        <v/>
      </c>
      <c r="F33" s="36" t="str">
        <f t="shared" si="0"/>
        <v/>
      </c>
      <c r="G33" s="4"/>
      <c r="H33" s="5"/>
      <c r="I33" s="5" t="str">
        <f t="shared" si="1"/>
        <v/>
      </c>
      <c r="J33" s="4" t="str">
        <f t="shared" si="2"/>
        <v/>
      </c>
    </row>
    <row r="34" spans="1:10" x14ac:dyDescent="0.2">
      <c r="A34" s="4"/>
      <c r="B34" s="4"/>
      <c r="C34" s="36"/>
      <c r="D34" s="36" t="str">
        <f>IF($A34="","",SUMIF(Purchase_Entry!$D:$D,$A34,Purchase_Entry!$K:$K))</f>
        <v/>
      </c>
      <c r="E34" s="36" t="str">
        <f>IF($A34="","",SUMIF(Sales_Entry!$D:$D,$A34,Sales_Entry!$E:$E))</f>
        <v/>
      </c>
      <c r="F34" s="36" t="str">
        <f t="shared" si="0"/>
        <v/>
      </c>
      <c r="G34" s="4"/>
      <c r="H34" s="5"/>
      <c r="I34" s="5" t="str">
        <f t="shared" si="1"/>
        <v/>
      </c>
      <c r="J34" s="4" t="str">
        <f t="shared" si="2"/>
        <v/>
      </c>
    </row>
    <row r="35" spans="1:10" x14ac:dyDescent="0.2">
      <c r="A35" s="4"/>
      <c r="B35" s="4"/>
      <c r="C35" s="36"/>
      <c r="D35" s="36" t="str">
        <f>IF($A35="","",SUMIF(Purchase_Entry!$D:$D,$A35,Purchase_Entry!$K:$K))</f>
        <v/>
      </c>
      <c r="E35" s="36" t="str">
        <f>IF($A35="","",SUMIF(Sales_Entry!$D:$D,$A35,Sales_Entry!$E:$E))</f>
        <v/>
      </c>
      <c r="F35" s="36" t="str">
        <f t="shared" si="0"/>
        <v/>
      </c>
      <c r="G35" s="4"/>
      <c r="H35" s="5"/>
      <c r="I35" s="5" t="str">
        <f t="shared" si="1"/>
        <v/>
      </c>
      <c r="J35" s="4" t="str">
        <f t="shared" si="2"/>
        <v/>
      </c>
    </row>
    <row r="36" spans="1:10" x14ac:dyDescent="0.2">
      <c r="A36" s="4"/>
      <c r="B36" s="4"/>
      <c r="C36" s="36"/>
      <c r="D36" s="36" t="str">
        <f>IF($A36="","",SUMIF(Purchase_Entry!$D:$D,$A36,Purchase_Entry!$K:$K))</f>
        <v/>
      </c>
      <c r="E36" s="36" t="str">
        <f>IF($A36="","",SUMIF(Sales_Entry!$D:$D,$A36,Sales_Entry!$E:$E))</f>
        <v/>
      </c>
      <c r="F36" s="36" t="str">
        <f t="shared" si="0"/>
        <v/>
      </c>
      <c r="G36" s="4"/>
      <c r="H36" s="5"/>
      <c r="I36" s="5" t="str">
        <f t="shared" si="1"/>
        <v/>
      </c>
      <c r="J36" s="4" t="str">
        <f t="shared" si="2"/>
        <v/>
      </c>
    </row>
    <row r="37" spans="1:10" x14ac:dyDescent="0.2">
      <c r="A37" s="4"/>
      <c r="B37" s="4"/>
      <c r="C37" s="36"/>
      <c r="D37" s="36" t="str">
        <f>IF($A37="","",SUMIF(Purchase_Entry!$D:$D,$A37,Purchase_Entry!$K:$K))</f>
        <v/>
      </c>
      <c r="E37" s="36" t="str">
        <f>IF($A37="","",SUMIF(Sales_Entry!$D:$D,$A37,Sales_Entry!$E:$E))</f>
        <v/>
      </c>
      <c r="F37" s="36" t="str">
        <f t="shared" si="0"/>
        <v/>
      </c>
      <c r="G37" s="4"/>
      <c r="H37" s="5"/>
      <c r="I37" s="5" t="str">
        <f t="shared" si="1"/>
        <v/>
      </c>
      <c r="J37" s="4" t="str">
        <f t="shared" si="2"/>
        <v/>
      </c>
    </row>
    <row r="38" spans="1:10" x14ac:dyDescent="0.2">
      <c r="A38" s="4"/>
      <c r="B38" s="4"/>
      <c r="C38" s="36"/>
      <c r="D38" s="36" t="str">
        <f>IF($A38="","",SUMIF(Purchase_Entry!$D:$D,$A38,Purchase_Entry!$K:$K))</f>
        <v/>
      </c>
      <c r="E38" s="36" t="str">
        <f>IF($A38="","",SUMIF(Sales_Entry!$D:$D,$A38,Sales_Entry!$E:$E))</f>
        <v/>
      </c>
      <c r="F38" s="36" t="str">
        <f t="shared" si="0"/>
        <v/>
      </c>
      <c r="G38" s="4"/>
      <c r="H38" s="5"/>
      <c r="I38" s="5" t="str">
        <f t="shared" si="1"/>
        <v/>
      </c>
      <c r="J38" s="4" t="str">
        <f t="shared" si="2"/>
        <v/>
      </c>
    </row>
    <row r="39" spans="1:10" x14ac:dyDescent="0.2">
      <c r="A39" s="4"/>
      <c r="B39" s="4"/>
      <c r="C39" s="36"/>
      <c r="D39" s="36" t="str">
        <f>IF($A39="","",SUMIF(Purchase_Entry!$D:$D,$A39,Purchase_Entry!$K:$K))</f>
        <v/>
      </c>
      <c r="E39" s="36" t="str">
        <f>IF($A39="","",SUMIF(Sales_Entry!$D:$D,$A39,Sales_Entry!$E:$E))</f>
        <v/>
      </c>
      <c r="F39" s="36" t="str">
        <f t="shared" si="0"/>
        <v/>
      </c>
      <c r="G39" s="4"/>
      <c r="H39" s="5"/>
      <c r="I39" s="5" t="str">
        <f t="shared" si="1"/>
        <v/>
      </c>
      <c r="J39" s="4" t="str">
        <f t="shared" si="2"/>
        <v/>
      </c>
    </row>
    <row r="40" spans="1:10" x14ac:dyDescent="0.2">
      <c r="A40" s="4"/>
      <c r="B40" s="4"/>
      <c r="C40" s="36"/>
      <c r="D40" s="36" t="str">
        <f>IF($A40="","",SUMIF(Purchase_Entry!$D:$D,$A40,Purchase_Entry!$K:$K))</f>
        <v/>
      </c>
      <c r="E40" s="36" t="str">
        <f>IF($A40="","",SUMIF(Sales_Entry!$D:$D,$A40,Sales_Entry!$E:$E))</f>
        <v/>
      </c>
      <c r="F40" s="36" t="str">
        <f t="shared" si="0"/>
        <v/>
      </c>
      <c r="G40" s="4"/>
      <c r="H40" s="5"/>
      <c r="I40" s="5" t="str">
        <f t="shared" si="1"/>
        <v/>
      </c>
      <c r="J40" s="4" t="str">
        <f t="shared" si="2"/>
        <v/>
      </c>
    </row>
    <row r="41" spans="1:10" x14ac:dyDescent="0.2">
      <c r="A41" s="4"/>
      <c r="B41" s="4"/>
      <c r="C41" s="36"/>
      <c r="D41" s="36" t="str">
        <f>IF($A41="","",SUMIF(Purchase_Entry!$D:$D,$A41,Purchase_Entry!$K:$K))</f>
        <v/>
      </c>
      <c r="E41" s="36" t="str">
        <f>IF($A41="","",SUMIF(Sales_Entry!$D:$D,$A41,Sales_Entry!$E:$E))</f>
        <v/>
      </c>
      <c r="F41" s="36" t="str">
        <f t="shared" si="0"/>
        <v/>
      </c>
      <c r="G41" s="4"/>
      <c r="H41" s="5"/>
      <c r="I41" s="5" t="str">
        <f t="shared" si="1"/>
        <v/>
      </c>
      <c r="J41" s="4" t="str">
        <f t="shared" si="2"/>
        <v/>
      </c>
    </row>
    <row r="42" spans="1:10" ht="24" customHeight="1" x14ac:dyDescent="0.2">
      <c r="A42" s="39" t="s">
        <v>1055</v>
      </c>
      <c r="B42" s="38"/>
      <c r="C42" s="38"/>
      <c r="D42" s="38"/>
      <c r="E42" s="38"/>
      <c r="F42" s="38"/>
      <c r="G42" s="38"/>
      <c r="H42" s="38"/>
      <c r="I42" s="40" t="str">
        <f ca="1">SUBTOTAL(9,I3:I501)</f>
        <v/>
      </c>
      <c r="J42" s="38"/>
    </row>
  </sheetData>
  <mergeCells count="1">
    <mergeCell ref="A1:J1"/>
  </mergeCells>
  <conditionalFormatting sqref="F3:F41">
    <cfRule type="cellIs" dxfId="3" priority="3" operator="lessThan">
      <formula>0</formula>
    </cfRule>
  </conditionalFormatting>
  <conditionalFormatting sqref="J3:J41">
    <cfRule type="cellIs" dxfId="2" priority="1" operator="equal">
      <formula>"⚠ Reorder"</formula>
    </cfRule>
    <cfRule type="cellIs" dxfId="1" priority="2" operator="equal">
      <formula>"In Stock"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6000"/>
    <pageSetUpPr fitToPage="1"/>
  </sheetPr>
  <dimension ref="A1:H53"/>
  <sheetViews>
    <sheetView showGridLines="0" workbookViewId="0">
      <pane ySplit="8" topLeftCell="A9" activePane="bottomLeft" state="frozen"/>
      <selection pane="bottomLeft" activeCell="H9" sqref="H9"/>
    </sheetView>
  </sheetViews>
  <sheetFormatPr baseColWidth="10" defaultColWidth="8.83203125" defaultRowHeight="15" x14ac:dyDescent="0.2"/>
  <cols>
    <col min="1" max="1" width="20" customWidth="1"/>
    <col min="2" max="2" width="10.6640625" bestFit="1" customWidth="1"/>
    <col min="3" max="3" width="14" customWidth="1"/>
    <col min="4" max="4" width="12" bestFit="1" customWidth="1"/>
    <col min="5" max="5" width="12" customWidth="1"/>
    <col min="6" max="6" width="14" customWidth="1"/>
    <col min="7" max="7" width="12" customWidth="1"/>
    <col min="8" max="8" width="16" customWidth="1"/>
  </cols>
  <sheetData>
    <row r="1" spans="1:8" x14ac:dyDescent="0.2">
      <c r="A1" s="213" t="str">
        <f>BizName</f>
        <v>PRARAMBHA DAIRY</v>
      </c>
      <c r="B1" s="202"/>
      <c r="C1" s="202"/>
      <c r="D1" s="202"/>
      <c r="E1" s="202"/>
      <c r="F1" s="202"/>
      <c r="G1" s="202"/>
      <c r="H1" s="202"/>
    </row>
    <row r="2" spans="1:8" x14ac:dyDescent="0.2">
      <c r="A2" s="215" t="str">
        <f>"Phone: "&amp;Settings!B9&amp;"  |  PAN/VAT: "&amp;Settings!B11</f>
        <v>Phone: [Email Address]  |  PAN/VAT: [Registration No]</v>
      </c>
      <c r="B2" s="202"/>
      <c r="C2" s="202"/>
      <c r="D2" s="202"/>
      <c r="E2" s="202"/>
      <c r="F2" s="202"/>
      <c r="G2" s="202"/>
      <c r="H2" s="202"/>
    </row>
    <row r="3" spans="1:8" ht="26" customHeight="1" x14ac:dyDescent="0.2">
      <c r="A3" s="214" t="s">
        <v>1056</v>
      </c>
      <c r="B3" s="202"/>
      <c r="C3" s="202"/>
      <c r="D3" s="202"/>
      <c r="E3" s="202"/>
      <c r="F3" s="202"/>
      <c r="G3" s="202"/>
      <c r="H3" s="202"/>
    </row>
    <row r="5" spans="1:8" x14ac:dyDescent="0.2">
      <c r="A5" s="45" t="s">
        <v>23</v>
      </c>
      <c r="B5" s="136">
        <v>66915</v>
      </c>
      <c r="C5" s="45" t="s">
        <v>24</v>
      </c>
      <c r="D5" s="141">
        <v>66915</v>
      </c>
      <c r="F5" s="54" t="s">
        <v>1057</v>
      </c>
      <c r="H5" s="55">
        <f>SUM(H9:H47)</f>
        <v>121790</v>
      </c>
    </row>
    <row r="6" spans="1:8" x14ac:dyDescent="0.2">
      <c r="A6" s="8" t="str">
        <f>"Period: "&amp;TEXT($B$5,"dd-mmm-yyyy")&amp;"  to  "&amp;TEXT($D$5,"dd-mmm-yyyy")</f>
        <v>Period: 15-Mar-2083  to  15-Mar-2083</v>
      </c>
      <c r="F6" s="54" t="s">
        <v>1058</v>
      </c>
      <c r="H6" s="56">
        <f>COUNTIF(F9:F47,"&lt;="&amp;0)</f>
        <v>2</v>
      </c>
    </row>
    <row r="8" spans="1:8" ht="28" customHeight="1" x14ac:dyDescent="0.2">
      <c r="A8" s="3" t="s">
        <v>55</v>
      </c>
      <c r="B8" s="3" t="s">
        <v>1046</v>
      </c>
      <c r="C8" s="3" t="s">
        <v>1047</v>
      </c>
      <c r="D8" s="3" t="s">
        <v>1048</v>
      </c>
      <c r="E8" s="3" t="s">
        <v>1049</v>
      </c>
      <c r="F8" s="3" t="s">
        <v>1059</v>
      </c>
      <c r="G8" s="3" t="s">
        <v>1052</v>
      </c>
      <c r="H8" s="3" t="s">
        <v>1060</v>
      </c>
    </row>
    <row r="9" spans="1:8" x14ac:dyDescent="0.2">
      <c r="A9" s="4" t="str">
        <f>IF(Stock_Master!$A$3="","",Stock_Master!$A$3)</f>
        <v>Mix Milk</v>
      </c>
      <c r="B9" s="4" t="str">
        <f>IF(Stock_Master!$A$3="","",Stock_Master!$B$3)</f>
        <v>Liter</v>
      </c>
      <c r="C9" s="36">
        <f>IF($A9="","",Stock_Master!$C$3+SUMIFS(Purchase_Entry!$K$3:$K$633,Purchase_Entry!$D$3:$D$633,$A9,Purchase_Entry!$A$3:$A$633,"&lt;"&amp;$B$5)-SUMIFS(Sales_Entry!$E$3:$E$833,Sales_Entry!$D$3:$D$833,$A9,Sales_Entry!$A$3:$A$833,"&lt;"&amp;$B$5))</f>
        <v>0</v>
      </c>
      <c r="D9" s="36">
        <f>IF($A9="","",SUMIFS(Purchase_Entry!$K$3:$K$633,Purchase_Entry!$D$3:$D$633,$A9,Purchase_Entry!$A$3:$A$633,"&gt;="&amp;$B$5,Purchase_Entry!$A$3:$A$633,"&lt;="&amp;$D$5))</f>
        <v>236</v>
      </c>
      <c r="E9" s="36">
        <f>IF($A9="","",SUMIFS(Sales_Entry!$E$3:$E$833,Sales_Entry!$D$3:$D$833,$A9,Sales_Entry!$A$3:$A$833,"&gt;="&amp;$B$5,Sales_Entry!$A$3:$A$833,"&lt;="&amp;$D$5))</f>
        <v>0</v>
      </c>
      <c r="F9" s="36">
        <f t="shared" ref="F9:F47" si="0">IF($A9="","",$C9+$D9-$E9)</f>
        <v>236</v>
      </c>
      <c r="G9" s="5">
        <f>IF($A9="","",Stock_Master!$H$3)</f>
        <v>85</v>
      </c>
      <c r="H9" s="5">
        <f t="shared" ref="H9:H47" si="1">IF($A9="","",$F9*$G9)</f>
        <v>20060</v>
      </c>
    </row>
    <row r="10" spans="1:8" x14ac:dyDescent="0.2">
      <c r="A10" s="4" t="str">
        <f>IF(Stock_Master!$A$4="","",Stock_Master!$A$4)</f>
        <v>Cow Milk</v>
      </c>
      <c r="B10" s="4" t="str">
        <f>IF(Stock_Master!$A$4="","",Stock_Master!$B$4)</f>
        <v>Liter</v>
      </c>
      <c r="C10" s="36">
        <f>IF($A10="","",Stock_Master!$C$4+SUMIFS(Purchase_Entry!$K$3:$K$633,Purchase_Entry!$D$3:$D$633,$A10,Purchase_Entry!$A$3:$A$633,"&lt;"&amp;$B$5)-SUMIFS(Sales_Entry!$E$3:$E$833,Sales_Entry!$D$3:$D$833,$A10,Sales_Entry!$A$3:$A$833,"&lt;"&amp;$B$5))</f>
        <v>0</v>
      </c>
      <c r="D10" s="36">
        <f>IF($A10="","",SUMIFS(Purchase_Entry!$K$3:$K$633,Purchase_Entry!$D$3:$D$633,$A10,Purchase_Entry!$A$3:$A$633,"&gt;="&amp;$B$5,Purchase_Entry!$A$3:$A$633,"&lt;="&amp;$D$5))</f>
        <v>0</v>
      </c>
      <c r="E10" s="36">
        <f>IF($A10="","",SUMIFS(Sales_Entry!$E$3:$E$833,Sales_Entry!$D$3:$D$833,$A10,Sales_Entry!$A$3:$A$833,"&gt;="&amp;$B$5,Sales_Entry!$A$3:$A$833,"&lt;="&amp;$D$5))</f>
        <v>0</v>
      </c>
      <c r="F10" s="36">
        <f t="shared" si="0"/>
        <v>0</v>
      </c>
      <c r="G10" s="5">
        <f>IF($A10="","",Stock_Master!$H$4)</f>
        <v>80</v>
      </c>
      <c r="H10" s="5">
        <f t="shared" si="1"/>
        <v>0</v>
      </c>
    </row>
    <row r="11" spans="1:8" x14ac:dyDescent="0.2">
      <c r="A11" s="4" t="str">
        <f>IF(Stock_Master!$A$6="","",Stock_Master!$A$6)</f>
        <v>Ghee</v>
      </c>
      <c r="B11" s="4" t="str">
        <f>IF(Stock_Master!$A$6="","",Stock_Master!$B$6)</f>
        <v>Kg</v>
      </c>
      <c r="C11" s="36">
        <f>IF($A11="","",Stock_Master!$C$6+SUMIFS(Purchase_Entry!$K$3:$K$633,Purchase_Entry!$D$3:$D$633,$A11,Purchase_Entry!$A$3:$A$633,"&lt;"&amp;$B$5)-SUMIFS(Sales_Entry!$E$3:$E$833,Sales_Entry!$D$3:$D$833,$A11,Sales_Entry!$A$3:$A$833,"&lt;"&amp;$B$5))</f>
        <v>0</v>
      </c>
      <c r="D11" s="36">
        <f>IF($A11="","",SUMIFS(Purchase_Entry!$K$3:$K$633,Purchase_Entry!$D$3:$D$633,$A11,Purchase_Entry!$A$3:$A$633,"&gt;="&amp;$B$5,Purchase_Entry!$A$3:$A$633,"&lt;="&amp;$D$5))</f>
        <v>18</v>
      </c>
      <c r="E11" s="36">
        <f>IF($A11="","",SUMIFS(Sales_Entry!$E$3:$E$833,Sales_Entry!$D$3:$D$833,$A11,Sales_Entry!$A$3:$A$833,"&gt;="&amp;$B$5,Sales_Entry!$A$3:$A$833,"&lt;="&amp;$D$5))</f>
        <v>0</v>
      </c>
      <c r="F11" s="36">
        <f t="shared" si="0"/>
        <v>18</v>
      </c>
      <c r="G11" s="5">
        <f>IF($A11="","",Stock_Master!$H$6)</f>
        <v>1100</v>
      </c>
      <c r="H11" s="5">
        <f t="shared" si="1"/>
        <v>19800</v>
      </c>
    </row>
    <row r="12" spans="1:8" x14ac:dyDescent="0.2">
      <c r="A12" s="4" t="str">
        <f>IF(Stock_Master!$A$7="","",Stock_Master!$A$7)</f>
        <v>NAUNI</v>
      </c>
      <c r="B12" s="4" t="str">
        <f>IF(Stock_Master!$A$7="","",Stock_Master!$B$7)</f>
        <v>Kg</v>
      </c>
      <c r="C12" s="36">
        <f>IF($A12="","",Stock_Master!$C$7+SUMIFS(Purchase_Entry!$K$3:$K$633,Purchase_Entry!$D$3:$D$633,$A12,Purchase_Entry!$A$3:$A$633,"&lt;"&amp;$B$5)-SUMIFS(Sales_Entry!$E$3:$E$833,Sales_Entry!$D$3:$D$833,$A12,Sales_Entry!$A$3:$A$833,"&lt;"&amp;$B$5))</f>
        <v>0</v>
      </c>
      <c r="D12" s="36">
        <f>IF($A12="","",SUMIFS(Purchase_Entry!$K$3:$K$633,Purchase_Entry!$D$3:$D$633,$A12,Purchase_Entry!$A$3:$A$633,"&gt;="&amp;$B$5,Purchase_Entry!$A$3:$A$633,"&lt;="&amp;$D$5))</f>
        <v>6.5</v>
      </c>
      <c r="E12" s="36">
        <f>IF($A12="","",SUMIFS(Sales_Entry!$E$3:$E$833,Sales_Entry!$D$3:$D$833,$A12,Sales_Entry!$A$3:$A$833,"&gt;="&amp;$B$5,Sales_Entry!$A$3:$A$833,"&lt;="&amp;$D$5))</f>
        <v>0</v>
      </c>
      <c r="F12" s="36">
        <f t="shared" si="0"/>
        <v>6.5</v>
      </c>
      <c r="G12" s="5">
        <f>IF($A12="","",Stock_Master!$H$7)</f>
        <v>800</v>
      </c>
      <c r="H12" s="5">
        <f t="shared" si="1"/>
        <v>5200</v>
      </c>
    </row>
    <row r="13" spans="1:8" x14ac:dyDescent="0.2">
      <c r="A13" s="4" t="str">
        <f>IF(Stock_Master!$A$8="","",Stock_Master!$A$8)</f>
        <v>PANEER</v>
      </c>
      <c r="B13" s="4" t="str">
        <f>IF(Stock_Master!$A$8="","",Stock_Master!$B$8)</f>
        <v>Kg</v>
      </c>
      <c r="C13" s="36">
        <f>IF($A13="","",Stock_Master!$C$8+SUMIFS(Purchase_Entry!$K$3:$K$633,Purchase_Entry!$D$3:$D$633,$A13,Purchase_Entry!$A$3:$A$633,"&lt;"&amp;$B$5)-SUMIFS(Sales_Entry!$E$3:$E$833,Sales_Entry!$D$3:$D$833,$A13,Sales_Entry!$A$3:$A$833,"&lt;"&amp;$B$5))</f>
        <v>0</v>
      </c>
      <c r="D13" s="36">
        <f>IF($A13="","",SUMIFS(Purchase_Entry!$K$3:$K$633,Purchase_Entry!$D$3:$D$633,$A13,Purchase_Entry!$A$3:$A$633,"&gt;="&amp;$B$5,Purchase_Entry!$A$3:$A$633,"&lt;="&amp;$D$5))</f>
        <v>1</v>
      </c>
      <c r="E13" s="36">
        <f>IF($A13="","",SUMIFS(Sales_Entry!$E$3:$E$833,Sales_Entry!$D$3:$D$833,$A13,Sales_Entry!$A$3:$A$833,"&gt;="&amp;$B$5,Sales_Entry!$A$3:$A$833,"&lt;="&amp;$D$5))</f>
        <v>0</v>
      </c>
      <c r="F13" s="36">
        <f t="shared" si="0"/>
        <v>1</v>
      </c>
      <c r="G13" s="5">
        <f>IF($A13="","",Stock_Master!$H$8)</f>
        <v>800</v>
      </c>
      <c r="H13" s="5">
        <f t="shared" si="1"/>
        <v>800</v>
      </c>
    </row>
    <row r="14" spans="1:8" x14ac:dyDescent="0.2">
      <c r="A14" s="4" t="str">
        <f>IF(Stock_Master!$A$9="","",Stock_Master!$A$9)</f>
        <v>DANA</v>
      </c>
      <c r="B14" s="4" t="str">
        <f>IF(Stock_Master!$A$9="","",Stock_Master!$B$9)</f>
        <v>Kg</v>
      </c>
      <c r="C14" s="36">
        <f>IF($A14="","",Stock_Master!$C$9+SUMIFS(Purchase_Entry!$K$3:$K$633,Purchase_Entry!$D$3:$D$633,$A14,Purchase_Entry!$A$3:$A$633,"&lt;"&amp;$B$5)-SUMIFS(Sales_Entry!$E$3:$E$833,Sales_Entry!$D$3:$D$833,$A14,Sales_Entry!$A$3:$A$833,"&lt;"&amp;$B$5))</f>
        <v>0</v>
      </c>
      <c r="D14" s="36">
        <f>IF($A14="","",SUMIFS(Purchase_Entry!$K$3:$K$633,Purchase_Entry!$D$3:$D$633,$A14,Purchase_Entry!$A$3:$A$633,"&gt;="&amp;$B$5,Purchase_Entry!$A$3:$A$633,"&lt;="&amp;$D$5))</f>
        <v>35</v>
      </c>
      <c r="E14" s="36">
        <f>IF($A14="","",SUMIFS(Sales_Entry!$E$3:$E$833,Sales_Entry!$D$3:$D$833,$A14,Sales_Entry!$A$3:$A$833,"&gt;="&amp;$B$5,Sales_Entry!$A$3:$A$833,"&lt;="&amp;$D$5))</f>
        <v>0</v>
      </c>
      <c r="F14" s="36">
        <f t="shared" si="0"/>
        <v>35</v>
      </c>
      <c r="G14" s="5">
        <f>IF($A14="","",Stock_Master!$H$9)</f>
        <v>48</v>
      </c>
      <c r="H14" s="5">
        <f t="shared" si="1"/>
        <v>1680</v>
      </c>
    </row>
    <row r="15" spans="1:8" x14ac:dyDescent="0.2">
      <c r="A15" s="4" t="str">
        <f>IF(Stock_Master!$A$5="","",Stock_Master!$A$5)</f>
        <v>Buffalo Milk</v>
      </c>
      <c r="B15" s="4" t="str">
        <f>IF(Stock_Master!$A$5="","",Stock_Master!$B$5)</f>
        <v>Liter</v>
      </c>
      <c r="C15" s="36">
        <f>IF($A15="","",Stock_Master!$C$5+SUMIFS(Purchase_Entry!$K$3:$K$633,Purchase_Entry!$D$3:$D$633,$A15,Purchase_Entry!$A$3:$A$633,"&lt;"&amp;$B$5)-SUMIFS(Sales_Entry!$E$3:$E$833,Sales_Entry!$D$3:$D$833,$A15,Sales_Entry!$A$3:$A$833,"&lt;"&amp;$B$5))</f>
        <v>0</v>
      </c>
      <c r="D15" s="36">
        <f>IF($A15="","",SUMIFS(Purchase_Entry!$K$3:$K$633,Purchase_Entry!$D$3:$D$633,$A15,Purchase_Entry!$A$3:$A$633,"&gt;="&amp;$B$5,Purchase_Entry!$A$3:$A$633,"&lt;="&amp;$D$5))</f>
        <v>0</v>
      </c>
      <c r="E15" s="36">
        <f>IF($A15="","",SUMIFS(Sales_Entry!$E$3:$E$833,Sales_Entry!$D$3:$D$833,$A15,Sales_Entry!$A$3:$A$833,"&gt;="&amp;$B$5,Sales_Entry!$A$3:$A$833,"&lt;="&amp;$D$5))</f>
        <v>0</v>
      </c>
      <c r="F15" s="36">
        <f t="shared" si="0"/>
        <v>0</v>
      </c>
      <c r="G15" s="5">
        <f>IF($A15="","",Stock_Master!$H$5)</f>
        <v>95</v>
      </c>
      <c r="H15" s="5">
        <f t="shared" si="1"/>
        <v>0</v>
      </c>
    </row>
    <row r="16" spans="1:8" x14ac:dyDescent="0.2">
      <c r="A16" s="4" t="str">
        <f>IF(Stock_Master!$A$10="","",Stock_Master!$A$10)</f>
        <v>Cream</v>
      </c>
      <c r="B16" s="4" t="str">
        <f>IF(Stock_Master!$A$10="","",Stock_Master!$B$10)</f>
        <v>Kg</v>
      </c>
      <c r="C16" s="36">
        <f>IF($A16="","",Stock_Master!$C$10+SUMIFS(Purchase_Entry!$K$3:$K$633,Purchase_Entry!$D$3:$D$633,$A16,Purchase_Entry!$A$3:$A$633,"&lt;"&amp;$B$5)-SUMIFS(Sales_Entry!$E$3:$E$833,Sales_Entry!$D$3:$D$833,$A16,Sales_Entry!$A$3:$A$833,"&lt;"&amp;$B$5))</f>
        <v>0</v>
      </c>
      <c r="D16" s="36">
        <f>IF($A16="","",SUMIFS(Purchase_Entry!$K$3:$K$633,Purchase_Entry!$D$3:$D$633,$A16,Purchase_Entry!$A$3:$A$633,"&gt;="&amp;$B$5,Purchase_Entry!$A$3:$A$633,"&lt;="&amp;$D$5))</f>
        <v>135</v>
      </c>
      <c r="E16" s="36">
        <f>IF($A16="","",SUMIFS(Sales_Entry!$E$3:$E$833,Sales_Entry!$D$3:$D$833,$A16,Sales_Entry!$A$3:$A$833,"&gt;="&amp;$B$5,Sales_Entry!$A$3:$A$833,"&lt;="&amp;$D$5))</f>
        <v>0</v>
      </c>
      <c r="F16" s="36">
        <f t="shared" si="0"/>
        <v>135</v>
      </c>
      <c r="G16" s="5">
        <f>IF($A16="","",Stock_Master!$H$10)</f>
        <v>550</v>
      </c>
      <c r="H16" s="5">
        <f t="shared" si="1"/>
        <v>74250</v>
      </c>
    </row>
    <row r="17" spans="1:8" x14ac:dyDescent="0.2">
      <c r="A17" s="4" t="str">
        <f>IF(Stock_Master!$A$11="","",Stock_Master!$A$11)</f>
        <v/>
      </c>
      <c r="B17" s="4" t="str">
        <f>IF(Stock_Master!$A$11="","",Stock_Master!$B$11)</f>
        <v/>
      </c>
      <c r="C17" s="36" t="str">
        <f>IF($A17="","",Stock_Master!$C$11+SUMIFS(Purchase_Entry!$K$3:$K$633,Purchase_Entry!$D$3:$D$633,$A17,Purchase_Entry!$A$3:$A$633,"&lt;"&amp;$B$5)-SUMIFS(Sales_Entry!$E$3:$E$833,Sales_Entry!$D$3:$D$833,$A17,Sales_Entry!$A$3:$A$833,"&lt;"&amp;$B$5))</f>
        <v/>
      </c>
      <c r="D17" s="36" t="str">
        <f>IF($A17="","",SUMIFS(Purchase_Entry!$K$3:$K$633,Purchase_Entry!$D$3:$D$633,$A17,Purchase_Entry!$A$3:$A$633,"&gt;="&amp;$B$5,Purchase_Entry!$A$3:$A$633,"&lt;="&amp;$D$5))</f>
        <v/>
      </c>
      <c r="E17" s="36" t="str">
        <f>IF($A17="","",SUMIFS(Sales_Entry!$E$3:$E$833,Sales_Entry!$D$3:$D$833,$A17,Sales_Entry!$A$3:$A$833,"&gt;="&amp;$B$5,Sales_Entry!$A$3:$A$833,"&lt;="&amp;$D$5))</f>
        <v/>
      </c>
      <c r="F17" s="36" t="str">
        <f t="shared" si="0"/>
        <v/>
      </c>
      <c r="G17" s="5" t="str">
        <f>IF($A17="","",Stock_Master!$H$11)</f>
        <v/>
      </c>
      <c r="H17" s="5" t="str">
        <f t="shared" si="1"/>
        <v/>
      </c>
    </row>
    <row r="18" spans="1:8" x14ac:dyDescent="0.2">
      <c r="A18" s="4" t="str">
        <f>IF(Stock_Master!$A$12="","",Stock_Master!$A$12)</f>
        <v/>
      </c>
      <c r="B18" s="4" t="str">
        <f>IF(Stock_Master!$A$12="","",Stock_Master!$B$12)</f>
        <v/>
      </c>
      <c r="C18" s="36" t="str">
        <f>IF($A18="","",Stock_Master!$C$12+SUMIFS(Purchase_Entry!$K$3:$K$633,Purchase_Entry!$D$3:$D$633,$A18,Purchase_Entry!$A$3:$A$633,"&lt;"&amp;$B$5)-SUMIFS(Sales_Entry!$E$3:$E$833,Sales_Entry!$D$3:$D$833,$A18,Sales_Entry!$A$3:$A$833,"&lt;"&amp;$B$5))</f>
        <v/>
      </c>
      <c r="D18" s="36" t="str">
        <f>IF($A18="","",SUMIFS(Purchase_Entry!$K$3:$K$633,Purchase_Entry!$D$3:$D$633,$A18,Purchase_Entry!$A$3:$A$633,"&gt;="&amp;$B$5,Purchase_Entry!$A$3:$A$633,"&lt;="&amp;$D$5))</f>
        <v/>
      </c>
      <c r="E18" s="36" t="str">
        <f>IF($A18="","",SUMIFS(Sales_Entry!$E$3:$E$833,Sales_Entry!$D$3:$D$833,$A18,Sales_Entry!$A$3:$A$833,"&gt;="&amp;$B$5,Sales_Entry!$A$3:$A$833,"&lt;="&amp;$D$5))</f>
        <v/>
      </c>
      <c r="F18" s="36" t="str">
        <f t="shared" si="0"/>
        <v/>
      </c>
      <c r="G18" s="5" t="str">
        <f>IF($A18="","",Stock_Master!$H$12)</f>
        <v/>
      </c>
      <c r="H18" s="5" t="str">
        <f t="shared" si="1"/>
        <v/>
      </c>
    </row>
    <row r="19" spans="1:8" x14ac:dyDescent="0.2">
      <c r="A19" s="4" t="str">
        <f>IF(Stock_Master!$A$13="","",Stock_Master!$A$13)</f>
        <v/>
      </c>
      <c r="B19" s="4" t="str">
        <f>IF(Stock_Master!$A$13="","",Stock_Master!$B$13)</f>
        <v/>
      </c>
      <c r="C19" s="36" t="str">
        <f>IF($A19="","",Stock_Master!$C$13+SUMIFS(Purchase_Entry!$K$3:$K$633,Purchase_Entry!$D$3:$D$633,$A19,Purchase_Entry!$A$3:$A$633,"&lt;"&amp;$B$5)-SUMIFS(Sales_Entry!$E$3:$E$833,Sales_Entry!$D$3:$D$833,$A19,Sales_Entry!$A$3:$A$833,"&lt;"&amp;$B$5))</f>
        <v/>
      </c>
      <c r="D19" s="36" t="str">
        <f>IF($A19="","",SUMIFS(Purchase_Entry!$K$3:$K$633,Purchase_Entry!$D$3:$D$633,$A19,Purchase_Entry!$A$3:$A$633,"&gt;="&amp;$B$5,Purchase_Entry!$A$3:$A$633,"&lt;="&amp;$D$5))</f>
        <v/>
      </c>
      <c r="E19" s="36" t="str">
        <f>IF($A19="","",SUMIFS(Sales_Entry!$E$3:$E$833,Sales_Entry!$D$3:$D$833,$A19,Sales_Entry!$A$3:$A$833,"&gt;="&amp;$B$5,Sales_Entry!$A$3:$A$833,"&lt;="&amp;$D$5))</f>
        <v/>
      </c>
      <c r="F19" s="36" t="str">
        <f t="shared" si="0"/>
        <v/>
      </c>
      <c r="G19" s="5" t="str">
        <f>IF($A19="","",Stock_Master!$H$13)</f>
        <v/>
      </c>
      <c r="H19" s="5" t="str">
        <f t="shared" si="1"/>
        <v/>
      </c>
    </row>
    <row r="20" spans="1:8" x14ac:dyDescent="0.2">
      <c r="A20" s="4" t="str">
        <f>IF(Stock_Master!$A$14="","",Stock_Master!$A$14)</f>
        <v/>
      </c>
      <c r="B20" s="4" t="str">
        <f>IF(Stock_Master!$A$14="","",Stock_Master!$B$14)</f>
        <v/>
      </c>
      <c r="C20" s="36" t="str">
        <f>IF($A20="","",Stock_Master!$C$14+SUMIFS(Purchase_Entry!$K$3:$K$633,Purchase_Entry!$D$3:$D$633,$A20,Purchase_Entry!$A$3:$A$633,"&lt;"&amp;$B$5)-SUMIFS(Sales_Entry!$E$3:$E$833,Sales_Entry!$D$3:$D$833,$A20,Sales_Entry!$A$3:$A$833,"&lt;"&amp;$B$5))</f>
        <v/>
      </c>
      <c r="D20" s="36" t="str">
        <f>IF($A20="","",SUMIFS(Purchase_Entry!$K$3:$K$633,Purchase_Entry!$D$3:$D$633,$A20,Purchase_Entry!$A$3:$A$633,"&gt;="&amp;$B$5,Purchase_Entry!$A$3:$A$633,"&lt;="&amp;$D$5))</f>
        <v/>
      </c>
      <c r="E20" s="36" t="str">
        <f>IF($A20="","",SUMIFS(Sales_Entry!$E$3:$E$833,Sales_Entry!$D$3:$D$833,$A20,Sales_Entry!$A$3:$A$833,"&gt;="&amp;$B$5,Sales_Entry!$A$3:$A$833,"&lt;="&amp;$D$5))</f>
        <v/>
      </c>
      <c r="F20" s="36" t="str">
        <f t="shared" si="0"/>
        <v/>
      </c>
      <c r="G20" s="5" t="str">
        <f>IF($A20="","",Stock_Master!$H$14)</f>
        <v/>
      </c>
      <c r="H20" s="5" t="str">
        <f t="shared" si="1"/>
        <v/>
      </c>
    </row>
    <row r="21" spans="1:8" x14ac:dyDescent="0.2">
      <c r="A21" s="4" t="str">
        <f>IF(Stock_Master!$A$15="","",Stock_Master!$A$15)</f>
        <v/>
      </c>
      <c r="B21" s="4" t="str">
        <f>IF(Stock_Master!$A$15="","",Stock_Master!$B$15)</f>
        <v/>
      </c>
      <c r="C21" s="36" t="str">
        <f>IF($A21="","",Stock_Master!$C$15+SUMIFS(Purchase_Entry!$K$3:$K$633,Purchase_Entry!$D$3:$D$633,$A21,Purchase_Entry!$A$3:$A$633,"&lt;"&amp;$B$5)-SUMIFS(Sales_Entry!$E$3:$E$833,Sales_Entry!$D$3:$D$833,$A21,Sales_Entry!$A$3:$A$833,"&lt;"&amp;$B$5))</f>
        <v/>
      </c>
      <c r="D21" s="36" t="str">
        <f>IF($A21="","",SUMIFS(Purchase_Entry!$K$3:$K$633,Purchase_Entry!$D$3:$D$633,$A21,Purchase_Entry!$A$3:$A$633,"&gt;="&amp;$B$5,Purchase_Entry!$A$3:$A$633,"&lt;="&amp;$D$5))</f>
        <v/>
      </c>
      <c r="E21" s="36" t="str">
        <f>IF($A21="","",SUMIFS(Sales_Entry!$E$3:$E$833,Sales_Entry!$D$3:$D$833,$A21,Sales_Entry!$A$3:$A$833,"&gt;="&amp;$B$5,Sales_Entry!$A$3:$A$833,"&lt;="&amp;$D$5))</f>
        <v/>
      </c>
      <c r="F21" s="36" t="str">
        <f t="shared" si="0"/>
        <v/>
      </c>
      <c r="G21" s="5" t="str">
        <f>IF($A21="","",Stock_Master!$H$15)</f>
        <v/>
      </c>
      <c r="H21" s="5" t="str">
        <f t="shared" si="1"/>
        <v/>
      </c>
    </row>
    <row r="22" spans="1:8" x14ac:dyDescent="0.2">
      <c r="A22" s="4" t="str">
        <f>IF(Stock_Master!$A$16="","",Stock_Master!$A$16)</f>
        <v/>
      </c>
      <c r="B22" s="4" t="str">
        <f>IF(Stock_Master!$A$16="","",Stock_Master!$B$16)</f>
        <v/>
      </c>
      <c r="C22" s="36" t="str">
        <f>IF($A22="","",Stock_Master!$C$16+SUMIFS(Purchase_Entry!$K$3:$K$633,Purchase_Entry!$D$3:$D$633,$A22,Purchase_Entry!$A$3:$A$633,"&lt;"&amp;$B$5)-SUMIFS(Sales_Entry!$E$3:$E$833,Sales_Entry!$D$3:$D$833,$A22,Sales_Entry!$A$3:$A$833,"&lt;"&amp;$B$5))</f>
        <v/>
      </c>
      <c r="D22" s="36" t="str">
        <f>IF($A22="","",SUMIFS(Purchase_Entry!$K$3:$K$633,Purchase_Entry!$D$3:$D$633,$A22,Purchase_Entry!$A$3:$A$633,"&gt;="&amp;$B$5,Purchase_Entry!$A$3:$A$633,"&lt;="&amp;$D$5))</f>
        <v/>
      </c>
      <c r="E22" s="36" t="str">
        <f>IF($A22="","",SUMIFS(Sales_Entry!$E$3:$E$833,Sales_Entry!$D$3:$D$833,$A22,Sales_Entry!$A$3:$A$833,"&gt;="&amp;$B$5,Sales_Entry!$A$3:$A$833,"&lt;="&amp;$D$5))</f>
        <v/>
      </c>
      <c r="F22" s="36" t="str">
        <f t="shared" si="0"/>
        <v/>
      </c>
      <c r="G22" s="5" t="str">
        <f>IF($A22="","",Stock_Master!$H$16)</f>
        <v/>
      </c>
      <c r="H22" s="5" t="str">
        <f t="shared" si="1"/>
        <v/>
      </c>
    </row>
    <row r="23" spans="1:8" x14ac:dyDescent="0.2">
      <c r="A23" s="4" t="str">
        <f>IF(Stock_Master!$A$17="","",Stock_Master!$A$17)</f>
        <v/>
      </c>
      <c r="B23" s="4" t="str">
        <f>IF(Stock_Master!$A$17="","",Stock_Master!$B$17)</f>
        <v/>
      </c>
      <c r="C23" s="36" t="str">
        <f>IF($A23="","",Stock_Master!$C$17+SUMIFS(Purchase_Entry!$K$3:$K$633,Purchase_Entry!$D$3:$D$633,$A23,Purchase_Entry!$A$3:$A$633,"&lt;"&amp;$B$5)-SUMIFS(Sales_Entry!$E$3:$E$833,Sales_Entry!$D$3:$D$833,$A23,Sales_Entry!$A$3:$A$833,"&lt;"&amp;$B$5))</f>
        <v/>
      </c>
      <c r="D23" s="36" t="str">
        <f>IF($A23="","",SUMIFS(Purchase_Entry!$K$3:$K$633,Purchase_Entry!$D$3:$D$633,$A23,Purchase_Entry!$A$3:$A$633,"&gt;="&amp;$B$5,Purchase_Entry!$A$3:$A$633,"&lt;="&amp;$D$5))</f>
        <v/>
      </c>
      <c r="E23" s="36" t="str">
        <f>IF($A23="","",SUMIFS(Sales_Entry!$E$3:$E$833,Sales_Entry!$D$3:$D$833,$A23,Sales_Entry!$A$3:$A$833,"&gt;="&amp;$B$5,Sales_Entry!$A$3:$A$833,"&lt;="&amp;$D$5))</f>
        <v/>
      </c>
      <c r="F23" s="36" t="str">
        <f t="shared" si="0"/>
        <v/>
      </c>
      <c r="G23" s="5" t="str">
        <f>IF($A23="","",Stock_Master!$H$17)</f>
        <v/>
      </c>
      <c r="H23" s="5" t="str">
        <f t="shared" si="1"/>
        <v/>
      </c>
    </row>
    <row r="24" spans="1:8" x14ac:dyDescent="0.2">
      <c r="A24" s="4" t="str">
        <f>IF(Stock_Master!$A$18="","",Stock_Master!$A$18)</f>
        <v/>
      </c>
      <c r="B24" s="4" t="str">
        <f>IF(Stock_Master!$A$18="","",Stock_Master!$B$18)</f>
        <v/>
      </c>
      <c r="C24" s="36" t="str">
        <f>IF($A24="","",Stock_Master!$C$18+SUMIFS(Purchase_Entry!$K$3:$K$633,Purchase_Entry!$D$3:$D$633,$A24,Purchase_Entry!$A$3:$A$633,"&lt;"&amp;$B$5)-SUMIFS(Sales_Entry!$E$3:$E$833,Sales_Entry!$D$3:$D$833,$A24,Sales_Entry!$A$3:$A$833,"&lt;"&amp;$B$5))</f>
        <v/>
      </c>
      <c r="D24" s="36" t="str">
        <f>IF($A24="","",SUMIFS(Purchase_Entry!$K$3:$K$633,Purchase_Entry!$D$3:$D$633,$A24,Purchase_Entry!$A$3:$A$633,"&gt;="&amp;$B$5,Purchase_Entry!$A$3:$A$633,"&lt;="&amp;$D$5))</f>
        <v/>
      </c>
      <c r="E24" s="36" t="str">
        <f>IF($A24="","",SUMIFS(Sales_Entry!$E$3:$E$833,Sales_Entry!$D$3:$D$833,$A24,Sales_Entry!$A$3:$A$833,"&gt;="&amp;$B$5,Sales_Entry!$A$3:$A$833,"&lt;="&amp;$D$5))</f>
        <v/>
      </c>
      <c r="F24" s="36" t="str">
        <f t="shared" si="0"/>
        <v/>
      </c>
      <c r="G24" s="5" t="str">
        <f>IF($A24="","",Stock_Master!$H$18)</f>
        <v/>
      </c>
      <c r="H24" s="5" t="str">
        <f t="shared" si="1"/>
        <v/>
      </c>
    </row>
    <row r="25" spans="1:8" x14ac:dyDescent="0.2">
      <c r="A25" s="4" t="str">
        <f>IF(Stock_Master!$A$19="","",Stock_Master!$A$19)</f>
        <v/>
      </c>
      <c r="B25" s="4" t="str">
        <f>IF(Stock_Master!$A$19="","",Stock_Master!$B$19)</f>
        <v/>
      </c>
      <c r="C25" s="36" t="str">
        <f>IF($A25="","",Stock_Master!$C$19+SUMIFS(Purchase_Entry!$K$3:$K$633,Purchase_Entry!$D$3:$D$633,$A25,Purchase_Entry!$A$3:$A$633,"&lt;"&amp;$B$5)-SUMIFS(Sales_Entry!$E$3:$E$833,Sales_Entry!$D$3:$D$833,$A25,Sales_Entry!$A$3:$A$833,"&lt;"&amp;$B$5))</f>
        <v/>
      </c>
      <c r="D25" s="36" t="str">
        <f>IF($A25="","",SUMIFS(Purchase_Entry!$K$3:$K$633,Purchase_Entry!$D$3:$D$633,$A25,Purchase_Entry!$A$3:$A$633,"&gt;="&amp;$B$5,Purchase_Entry!$A$3:$A$633,"&lt;="&amp;$D$5))</f>
        <v/>
      </c>
      <c r="E25" s="36" t="str">
        <f>IF($A25="","",SUMIFS(Sales_Entry!$E$3:$E$833,Sales_Entry!$D$3:$D$833,$A25,Sales_Entry!$A$3:$A$833,"&gt;="&amp;$B$5,Sales_Entry!$A$3:$A$833,"&lt;="&amp;$D$5))</f>
        <v/>
      </c>
      <c r="F25" s="36" t="str">
        <f t="shared" si="0"/>
        <v/>
      </c>
      <c r="G25" s="5" t="str">
        <f>IF($A25="","",Stock_Master!$H$19)</f>
        <v/>
      </c>
      <c r="H25" s="5" t="str">
        <f t="shared" si="1"/>
        <v/>
      </c>
    </row>
    <row r="26" spans="1:8" x14ac:dyDescent="0.2">
      <c r="A26" s="4" t="str">
        <f>IF(Stock_Master!$A$20="","",Stock_Master!$A$20)</f>
        <v/>
      </c>
      <c r="B26" s="4" t="str">
        <f>IF(Stock_Master!$A$20="","",Stock_Master!$B$20)</f>
        <v/>
      </c>
      <c r="C26" s="36" t="str">
        <f>IF($A26="","",Stock_Master!$C$20+SUMIFS(Purchase_Entry!$K$3:$K$633,Purchase_Entry!$D$3:$D$633,$A26,Purchase_Entry!$A$3:$A$633,"&lt;"&amp;$B$5)-SUMIFS(Sales_Entry!$E$3:$E$833,Sales_Entry!$D$3:$D$833,$A26,Sales_Entry!$A$3:$A$833,"&lt;"&amp;$B$5))</f>
        <v/>
      </c>
      <c r="D26" s="36" t="str">
        <f>IF($A26="","",SUMIFS(Purchase_Entry!$K$3:$K$633,Purchase_Entry!$D$3:$D$633,$A26,Purchase_Entry!$A$3:$A$633,"&gt;="&amp;$B$5,Purchase_Entry!$A$3:$A$633,"&lt;="&amp;$D$5))</f>
        <v/>
      </c>
      <c r="E26" s="36" t="str">
        <f>IF($A26="","",SUMIFS(Sales_Entry!$E$3:$E$833,Sales_Entry!$D$3:$D$833,$A26,Sales_Entry!$A$3:$A$833,"&gt;="&amp;$B$5,Sales_Entry!$A$3:$A$833,"&lt;="&amp;$D$5))</f>
        <v/>
      </c>
      <c r="F26" s="36" t="str">
        <f t="shared" si="0"/>
        <v/>
      </c>
      <c r="G26" s="5" t="str">
        <f>IF($A26="","",Stock_Master!$H$20)</f>
        <v/>
      </c>
      <c r="H26" s="5" t="str">
        <f t="shared" si="1"/>
        <v/>
      </c>
    </row>
    <row r="27" spans="1:8" x14ac:dyDescent="0.2">
      <c r="A27" s="4" t="str">
        <f>IF(Stock_Master!$A$21="","",Stock_Master!$A$21)</f>
        <v/>
      </c>
      <c r="B27" s="4" t="str">
        <f>IF(Stock_Master!$A$21="","",Stock_Master!$B$21)</f>
        <v/>
      </c>
      <c r="C27" s="36" t="str">
        <f>IF($A27="","",Stock_Master!$C$21+SUMIFS(Purchase_Entry!$K$3:$K$633,Purchase_Entry!$D$3:$D$633,$A27,Purchase_Entry!$A$3:$A$633,"&lt;"&amp;$B$5)-SUMIFS(Sales_Entry!$E$3:$E$833,Sales_Entry!$D$3:$D$833,$A27,Sales_Entry!$A$3:$A$833,"&lt;"&amp;$B$5))</f>
        <v/>
      </c>
      <c r="D27" s="36" t="str">
        <f>IF($A27="","",SUMIFS(Purchase_Entry!$K$3:$K$633,Purchase_Entry!$D$3:$D$633,$A27,Purchase_Entry!$A$3:$A$633,"&gt;="&amp;$B$5,Purchase_Entry!$A$3:$A$633,"&lt;="&amp;$D$5))</f>
        <v/>
      </c>
      <c r="E27" s="36" t="str">
        <f>IF($A27="","",SUMIFS(Sales_Entry!$E$3:$E$833,Sales_Entry!$D$3:$D$833,$A27,Sales_Entry!$A$3:$A$833,"&gt;="&amp;$B$5,Sales_Entry!$A$3:$A$833,"&lt;="&amp;$D$5))</f>
        <v/>
      </c>
      <c r="F27" s="36" t="str">
        <f t="shared" si="0"/>
        <v/>
      </c>
      <c r="G27" s="5" t="str">
        <f>IF($A27="","",Stock_Master!$H$21)</f>
        <v/>
      </c>
      <c r="H27" s="5" t="str">
        <f t="shared" si="1"/>
        <v/>
      </c>
    </row>
    <row r="28" spans="1:8" x14ac:dyDescent="0.2">
      <c r="A28" s="4" t="str">
        <f>IF(Stock_Master!$A$22="","",Stock_Master!$A$22)</f>
        <v/>
      </c>
      <c r="B28" s="4" t="str">
        <f>IF(Stock_Master!$A$22="","",Stock_Master!$B$22)</f>
        <v/>
      </c>
      <c r="C28" s="36" t="str">
        <f>IF($A28="","",Stock_Master!$C$22+SUMIFS(Purchase_Entry!$K$3:$K$633,Purchase_Entry!$D$3:$D$633,$A28,Purchase_Entry!$A$3:$A$633,"&lt;"&amp;$B$5)-SUMIFS(Sales_Entry!$E$3:$E$833,Sales_Entry!$D$3:$D$833,$A28,Sales_Entry!$A$3:$A$833,"&lt;"&amp;$B$5))</f>
        <v/>
      </c>
      <c r="D28" s="36" t="str">
        <f>IF($A28="","",SUMIFS(Purchase_Entry!$K$3:$K$633,Purchase_Entry!$D$3:$D$633,$A28,Purchase_Entry!$A$3:$A$633,"&gt;="&amp;$B$5,Purchase_Entry!$A$3:$A$633,"&lt;="&amp;$D$5))</f>
        <v/>
      </c>
      <c r="E28" s="36" t="str">
        <f>IF($A28="","",SUMIFS(Sales_Entry!$E$3:$E$833,Sales_Entry!$D$3:$D$833,$A28,Sales_Entry!$A$3:$A$833,"&gt;="&amp;$B$5,Sales_Entry!$A$3:$A$833,"&lt;="&amp;$D$5))</f>
        <v/>
      </c>
      <c r="F28" s="36" t="str">
        <f t="shared" si="0"/>
        <v/>
      </c>
      <c r="G28" s="5" t="str">
        <f>IF($A28="","",Stock_Master!$H$22)</f>
        <v/>
      </c>
      <c r="H28" s="5" t="str">
        <f t="shared" si="1"/>
        <v/>
      </c>
    </row>
    <row r="29" spans="1:8" x14ac:dyDescent="0.2">
      <c r="A29" s="4" t="str">
        <f>IF(Stock_Master!$A$23="","",Stock_Master!$A$23)</f>
        <v/>
      </c>
      <c r="B29" s="4" t="str">
        <f>IF(Stock_Master!$A$23="","",Stock_Master!$B$23)</f>
        <v/>
      </c>
      <c r="C29" s="36" t="str">
        <f>IF($A29="","",Stock_Master!$C$23+SUMIFS(Purchase_Entry!$K$3:$K$633,Purchase_Entry!$D$3:$D$633,$A29,Purchase_Entry!$A$3:$A$633,"&lt;"&amp;$B$5)-SUMIFS(Sales_Entry!$E$3:$E$833,Sales_Entry!$D$3:$D$833,$A29,Sales_Entry!$A$3:$A$833,"&lt;"&amp;$B$5))</f>
        <v/>
      </c>
      <c r="D29" s="36" t="str">
        <f>IF($A29="","",SUMIFS(Purchase_Entry!$K$3:$K$633,Purchase_Entry!$D$3:$D$633,$A29,Purchase_Entry!$A$3:$A$633,"&gt;="&amp;$B$5,Purchase_Entry!$A$3:$A$633,"&lt;="&amp;$D$5))</f>
        <v/>
      </c>
      <c r="E29" s="36" t="str">
        <f>IF($A29="","",SUMIFS(Sales_Entry!$E$3:$E$833,Sales_Entry!$D$3:$D$833,$A29,Sales_Entry!$A$3:$A$833,"&gt;="&amp;$B$5,Sales_Entry!$A$3:$A$833,"&lt;="&amp;$D$5))</f>
        <v/>
      </c>
      <c r="F29" s="36" t="str">
        <f t="shared" si="0"/>
        <v/>
      </c>
      <c r="G29" s="5" t="str">
        <f>IF($A29="","",Stock_Master!$H$23)</f>
        <v/>
      </c>
      <c r="H29" s="5" t="str">
        <f t="shared" si="1"/>
        <v/>
      </c>
    </row>
    <row r="30" spans="1:8" x14ac:dyDescent="0.2">
      <c r="A30" s="4" t="str">
        <f>IF(Stock_Master!$A$24="","",Stock_Master!$A$24)</f>
        <v/>
      </c>
      <c r="B30" s="4" t="str">
        <f>IF(Stock_Master!$A$24="","",Stock_Master!$B$24)</f>
        <v/>
      </c>
      <c r="C30" s="36" t="str">
        <f>IF($A30="","",Stock_Master!$C$24+SUMIFS(Purchase_Entry!$K$3:$K$633,Purchase_Entry!$D$3:$D$633,$A30,Purchase_Entry!$A$3:$A$633,"&lt;"&amp;$B$5)-SUMIFS(Sales_Entry!$E$3:$E$833,Sales_Entry!$D$3:$D$833,$A30,Sales_Entry!$A$3:$A$833,"&lt;"&amp;$B$5))</f>
        <v/>
      </c>
      <c r="D30" s="36" t="str">
        <f>IF($A30="","",SUMIFS(Purchase_Entry!$K$3:$K$633,Purchase_Entry!$D$3:$D$633,$A30,Purchase_Entry!$A$3:$A$633,"&gt;="&amp;$B$5,Purchase_Entry!$A$3:$A$633,"&lt;="&amp;$D$5))</f>
        <v/>
      </c>
      <c r="E30" s="36" t="str">
        <f>IF($A30="","",SUMIFS(Sales_Entry!$E$3:$E$833,Sales_Entry!$D$3:$D$833,$A30,Sales_Entry!$A$3:$A$833,"&gt;="&amp;$B$5,Sales_Entry!$A$3:$A$833,"&lt;="&amp;$D$5))</f>
        <v/>
      </c>
      <c r="F30" s="36" t="str">
        <f t="shared" si="0"/>
        <v/>
      </c>
      <c r="G30" s="5" t="str">
        <f>IF($A30="","",Stock_Master!$H$24)</f>
        <v/>
      </c>
      <c r="H30" s="5" t="str">
        <f t="shared" si="1"/>
        <v/>
      </c>
    </row>
    <row r="31" spans="1:8" x14ac:dyDescent="0.2">
      <c r="A31" s="4" t="str">
        <f>IF(Stock_Master!$A$25="","",Stock_Master!$A$25)</f>
        <v/>
      </c>
      <c r="B31" s="4" t="str">
        <f>IF(Stock_Master!$A$25="","",Stock_Master!$B$25)</f>
        <v/>
      </c>
      <c r="C31" s="36" t="str">
        <f>IF($A31="","",Stock_Master!$C$25+SUMIFS(Purchase_Entry!$K$3:$K$633,Purchase_Entry!$D$3:$D$633,$A31,Purchase_Entry!$A$3:$A$633,"&lt;"&amp;$B$5)-SUMIFS(Sales_Entry!$E$3:$E$833,Sales_Entry!$D$3:$D$833,$A31,Sales_Entry!$A$3:$A$833,"&lt;"&amp;$B$5))</f>
        <v/>
      </c>
      <c r="D31" s="36" t="str">
        <f>IF($A31="","",SUMIFS(Purchase_Entry!$K$3:$K$633,Purchase_Entry!$D$3:$D$633,$A31,Purchase_Entry!$A$3:$A$633,"&gt;="&amp;$B$5,Purchase_Entry!$A$3:$A$633,"&lt;="&amp;$D$5))</f>
        <v/>
      </c>
      <c r="E31" s="36" t="str">
        <f>IF($A31="","",SUMIFS(Sales_Entry!$E$3:$E$833,Sales_Entry!$D$3:$D$833,$A31,Sales_Entry!$A$3:$A$833,"&gt;="&amp;$B$5,Sales_Entry!$A$3:$A$833,"&lt;="&amp;$D$5))</f>
        <v/>
      </c>
      <c r="F31" s="36" t="str">
        <f t="shared" si="0"/>
        <v/>
      </c>
      <c r="G31" s="5" t="str">
        <f>IF($A31="","",Stock_Master!$H$25)</f>
        <v/>
      </c>
      <c r="H31" s="5" t="str">
        <f t="shared" si="1"/>
        <v/>
      </c>
    </row>
    <row r="32" spans="1:8" x14ac:dyDescent="0.2">
      <c r="A32" s="4" t="str">
        <f>IF(Stock_Master!$A$26="","",Stock_Master!$A$26)</f>
        <v/>
      </c>
      <c r="B32" s="4" t="str">
        <f>IF(Stock_Master!$A$26="","",Stock_Master!$B$26)</f>
        <v/>
      </c>
      <c r="C32" s="36" t="str">
        <f>IF($A32="","",Stock_Master!$C$26+SUMIFS(Purchase_Entry!$K$3:$K$633,Purchase_Entry!$D$3:$D$633,$A32,Purchase_Entry!$A$3:$A$633,"&lt;"&amp;$B$5)-SUMIFS(Sales_Entry!$E$3:$E$833,Sales_Entry!$D$3:$D$833,$A32,Sales_Entry!$A$3:$A$833,"&lt;"&amp;$B$5))</f>
        <v/>
      </c>
      <c r="D32" s="36" t="str">
        <f>IF($A32="","",SUMIFS(Purchase_Entry!$K$3:$K$633,Purchase_Entry!$D$3:$D$633,$A32,Purchase_Entry!$A$3:$A$633,"&gt;="&amp;$B$5,Purchase_Entry!$A$3:$A$633,"&lt;="&amp;$D$5))</f>
        <v/>
      </c>
      <c r="E32" s="36" t="str">
        <f>IF($A32="","",SUMIFS(Sales_Entry!$E$3:$E$833,Sales_Entry!$D$3:$D$833,$A32,Sales_Entry!$A$3:$A$833,"&gt;="&amp;$B$5,Sales_Entry!$A$3:$A$833,"&lt;="&amp;$D$5))</f>
        <v/>
      </c>
      <c r="F32" s="36" t="str">
        <f t="shared" si="0"/>
        <v/>
      </c>
      <c r="G32" s="5" t="str">
        <f>IF($A32="","",Stock_Master!$H$26)</f>
        <v/>
      </c>
      <c r="H32" s="5" t="str">
        <f t="shared" si="1"/>
        <v/>
      </c>
    </row>
    <row r="33" spans="1:8" x14ac:dyDescent="0.2">
      <c r="A33" s="4" t="str">
        <f>IF(Stock_Master!$A$27="","",Stock_Master!$A$27)</f>
        <v/>
      </c>
      <c r="B33" s="4" t="str">
        <f>IF(Stock_Master!$A$27="","",Stock_Master!$B$27)</f>
        <v/>
      </c>
      <c r="C33" s="36" t="str">
        <f>IF($A33="","",Stock_Master!$C$27+SUMIFS(Purchase_Entry!$K$3:$K$633,Purchase_Entry!$D$3:$D$633,$A33,Purchase_Entry!$A$3:$A$633,"&lt;"&amp;$B$5)-SUMIFS(Sales_Entry!$E$3:$E$833,Sales_Entry!$D$3:$D$833,$A33,Sales_Entry!$A$3:$A$833,"&lt;"&amp;$B$5))</f>
        <v/>
      </c>
      <c r="D33" s="36" t="str">
        <f>IF($A33="","",SUMIFS(Purchase_Entry!$K$3:$K$633,Purchase_Entry!$D$3:$D$633,$A33,Purchase_Entry!$A$3:$A$633,"&gt;="&amp;$B$5,Purchase_Entry!$A$3:$A$633,"&lt;="&amp;$D$5))</f>
        <v/>
      </c>
      <c r="E33" s="36" t="str">
        <f>IF($A33="","",SUMIFS(Sales_Entry!$E$3:$E$833,Sales_Entry!$D$3:$D$833,$A33,Sales_Entry!$A$3:$A$833,"&gt;="&amp;$B$5,Sales_Entry!$A$3:$A$833,"&lt;="&amp;$D$5))</f>
        <v/>
      </c>
      <c r="F33" s="36" t="str">
        <f t="shared" si="0"/>
        <v/>
      </c>
      <c r="G33" s="5" t="str">
        <f>IF($A33="","",Stock_Master!$H$27)</f>
        <v/>
      </c>
      <c r="H33" s="5" t="str">
        <f t="shared" si="1"/>
        <v/>
      </c>
    </row>
    <row r="34" spans="1:8" x14ac:dyDescent="0.2">
      <c r="A34" s="4" t="str">
        <f>IF(Stock_Master!$A$28="","",Stock_Master!$A$28)</f>
        <v/>
      </c>
      <c r="B34" s="4" t="str">
        <f>IF(Stock_Master!$A$28="","",Stock_Master!$B$28)</f>
        <v/>
      </c>
      <c r="C34" s="36" t="str">
        <f>IF($A34="","",Stock_Master!$C$28+SUMIFS(Purchase_Entry!$K$3:$K$633,Purchase_Entry!$D$3:$D$633,$A34,Purchase_Entry!$A$3:$A$633,"&lt;"&amp;$B$5)-SUMIFS(Sales_Entry!$E$3:$E$833,Sales_Entry!$D$3:$D$833,$A34,Sales_Entry!$A$3:$A$833,"&lt;"&amp;$B$5))</f>
        <v/>
      </c>
      <c r="D34" s="36" t="str">
        <f>IF($A34="","",SUMIFS(Purchase_Entry!$K$3:$K$633,Purchase_Entry!$D$3:$D$633,$A34,Purchase_Entry!$A$3:$A$633,"&gt;="&amp;$B$5,Purchase_Entry!$A$3:$A$633,"&lt;="&amp;$D$5))</f>
        <v/>
      </c>
      <c r="E34" s="36" t="str">
        <f>IF($A34="","",SUMIFS(Sales_Entry!$E$3:$E$833,Sales_Entry!$D$3:$D$833,$A34,Sales_Entry!$A$3:$A$833,"&gt;="&amp;$B$5,Sales_Entry!$A$3:$A$833,"&lt;="&amp;$D$5))</f>
        <v/>
      </c>
      <c r="F34" s="36" t="str">
        <f t="shared" si="0"/>
        <v/>
      </c>
      <c r="G34" s="5" t="str">
        <f>IF($A34="","",Stock_Master!$H$28)</f>
        <v/>
      </c>
      <c r="H34" s="5" t="str">
        <f t="shared" si="1"/>
        <v/>
      </c>
    </row>
    <row r="35" spans="1:8" x14ac:dyDescent="0.2">
      <c r="A35" s="4" t="str">
        <f>IF(Stock_Master!$A$29="","",Stock_Master!$A$29)</f>
        <v/>
      </c>
      <c r="B35" s="4" t="str">
        <f>IF(Stock_Master!$A$29="","",Stock_Master!$B$29)</f>
        <v/>
      </c>
      <c r="C35" s="36" t="str">
        <f>IF($A35="","",Stock_Master!$C$29+SUMIFS(Purchase_Entry!$K$3:$K$633,Purchase_Entry!$D$3:$D$633,$A35,Purchase_Entry!$A$3:$A$633,"&lt;"&amp;$B$5)-SUMIFS(Sales_Entry!$E$3:$E$833,Sales_Entry!$D$3:$D$833,$A35,Sales_Entry!$A$3:$A$833,"&lt;"&amp;$B$5))</f>
        <v/>
      </c>
      <c r="D35" s="36" t="str">
        <f>IF($A35="","",SUMIFS(Purchase_Entry!$K$3:$K$633,Purchase_Entry!$D$3:$D$633,$A35,Purchase_Entry!$A$3:$A$633,"&gt;="&amp;$B$5,Purchase_Entry!$A$3:$A$633,"&lt;="&amp;$D$5))</f>
        <v/>
      </c>
      <c r="E35" s="36" t="str">
        <f>IF($A35="","",SUMIFS(Sales_Entry!$E$3:$E$833,Sales_Entry!$D$3:$D$833,$A35,Sales_Entry!$A$3:$A$833,"&gt;="&amp;$B$5,Sales_Entry!$A$3:$A$833,"&lt;="&amp;$D$5))</f>
        <v/>
      </c>
      <c r="F35" s="36" t="str">
        <f t="shared" si="0"/>
        <v/>
      </c>
      <c r="G35" s="5" t="str">
        <f>IF($A35="","",Stock_Master!$H$29)</f>
        <v/>
      </c>
      <c r="H35" s="5" t="str">
        <f t="shared" si="1"/>
        <v/>
      </c>
    </row>
    <row r="36" spans="1:8" x14ac:dyDescent="0.2">
      <c r="A36" s="4" t="str">
        <f>IF(Stock_Master!$A$30="","",Stock_Master!$A$30)</f>
        <v/>
      </c>
      <c r="B36" s="4" t="str">
        <f>IF(Stock_Master!$A$30="","",Stock_Master!$B$30)</f>
        <v/>
      </c>
      <c r="C36" s="36" t="str">
        <f>IF($A36="","",Stock_Master!$C$30+SUMIFS(Purchase_Entry!$K$3:$K$633,Purchase_Entry!$D$3:$D$633,$A36,Purchase_Entry!$A$3:$A$633,"&lt;"&amp;$B$5)-SUMIFS(Sales_Entry!$E$3:$E$833,Sales_Entry!$D$3:$D$833,$A36,Sales_Entry!$A$3:$A$833,"&lt;"&amp;$B$5))</f>
        <v/>
      </c>
      <c r="D36" s="36" t="str">
        <f>IF($A36="","",SUMIFS(Purchase_Entry!$K$3:$K$633,Purchase_Entry!$D$3:$D$633,$A36,Purchase_Entry!$A$3:$A$633,"&gt;="&amp;$B$5,Purchase_Entry!$A$3:$A$633,"&lt;="&amp;$D$5))</f>
        <v/>
      </c>
      <c r="E36" s="36" t="str">
        <f>IF($A36="","",SUMIFS(Sales_Entry!$E$3:$E$833,Sales_Entry!$D$3:$D$833,$A36,Sales_Entry!$A$3:$A$833,"&gt;="&amp;$B$5,Sales_Entry!$A$3:$A$833,"&lt;="&amp;$D$5))</f>
        <v/>
      </c>
      <c r="F36" s="36" t="str">
        <f t="shared" si="0"/>
        <v/>
      </c>
      <c r="G36" s="5" t="str">
        <f>IF($A36="","",Stock_Master!$H$30)</f>
        <v/>
      </c>
      <c r="H36" s="5" t="str">
        <f t="shared" si="1"/>
        <v/>
      </c>
    </row>
    <row r="37" spans="1:8" x14ac:dyDescent="0.2">
      <c r="A37" s="4" t="str">
        <f>IF(Stock_Master!$A$31="","",Stock_Master!$A$31)</f>
        <v/>
      </c>
      <c r="B37" s="4" t="str">
        <f>IF(Stock_Master!$A$31="","",Stock_Master!$B$31)</f>
        <v/>
      </c>
      <c r="C37" s="36" t="str">
        <f>IF($A37="","",Stock_Master!$C$31+SUMIFS(Purchase_Entry!$K$3:$K$633,Purchase_Entry!$D$3:$D$633,$A37,Purchase_Entry!$A$3:$A$633,"&lt;"&amp;$B$5)-SUMIFS(Sales_Entry!$E$3:$E$833,Sales_Entry!$D$3:$D$833,$A37,Sales_Entry!$A$3:$A$833,"&lt;"&amp;$B$5))</f>
        <v/>
      </c>
      <c r="D37" s="36" t="str">
        <f>IF($A37="","",SUMIFS(Purchase_Entry!$K$3:$K$633,Purchase_Entry!$D$3:$D$633,$A37,Purchase_Entry!$A$3:$A$633,"&gt;="&amp;$B$5,Purchase_Entry!$A$3:$A$633,"&lt;="&amp;$D$5))</f>
        <v/>
      </c>
      <c r="E37" s="36" t="str">
        <f>IF($A37="","",SUMIFS(Sales_Entry!$E$3:$E$833,Sales_Entry!$D$3:$D$833,$A37,Sales_Entry!$A$3:$A$833,"&gt;="&amp;$B$5,Sales_Entry!$A$3:$A$833,"&lt;="&amp;$D$5))</f>
        <v/>
      </c>
      <c r="F37" s="36" t="str">
        <f t="shared" si="0"/>
        <v/>
      </c>
      <c r="G37" s="5" t="str">
        <f>IF($A37="","",Stock_Master!$H$31)</f>
        <v/>
      </c>
      <c r="H37" s="5" t="str">
        <f t="shared" si="1"/>
        <v/>
      </c>
    </row>
    <row r="38" spans="1:8" x14ac:dyDescent="0.2">
      <c r="A38" s="4" t="str">
        <f>IF(Stock_Master!$A$32="","",Stock_Master!$A$32)</f>
        <v/>
      </c>
      <c r="B38" s="4" t="str">
        <f>IF(Stock_Master!$A$32="","",Stock_Master!$B$32)</f>
        <v/>
      </c>
      <c r="C38" s="36" t="str">
        <f>IF($A38="","",Stock_Master!$C$32+SUMIFS(Purchase_Entry!$K$3:$K$633,Purchase_Entry!$D$3:$D$633,$A38,Purchase_Entry!$A$3:$A$633,"&lt;"&amp;$B$5)-SUMIFS(Sales_Entry!$E$3:$E$833,Sales_Entry!$D$3:$D$833,$A38,Sales_Entry!$A$3:$A$833,"&lt;"&amp;$B$5))</f>
        <v/>
      </c>
      <c r="D38" s="36" t="str">
        <f>IF($A38="","",SUMIFS(Purchase_Entry!$K$3:$K$633,Purchase_Entry!$D$3:$D$633,$A38,Purchase_Entry!$A$3:$A$633,"&gt;="&amp;$B$5,Purchase_Entry!$A$3:$A$633,"&lt;="&amp;$D$5))</f>
        <v/>
      </c>
      <c r="E38" s="36" t="str">
        <f>IF($A38="","",SUMIFS(Sales_Entry!$E$3:$E$833,Sales_Entry!$D$3:$D$833,$A38,Sales_Entry!$A$3:$A$833,"&gt;="&amp;$B$5,Sales_Entry!$A$3:$A$833,"&lt;="&amp;$D$5))</f>
        <v/>
      </c>
      <c r="F38" s="36" t="str">
        <f t="shared" si="0"/>
        <v/>
      </c>
      <c r="G38" s="5" t="str">
        <f>IF($A38="","",Stock_Master!$H$32)</f>
        <v/>
      </c>
      <c r="H38" s="5" t="str">
        <f t="shared" si="1"/>
        <v/>
      </c>
    </row>
    <row r="39" spans="1:8" x14ac:dyDescent="0.2">
      <c r="A39" s="4" t="str">
        <f>IF(Stock_Master!$A$33="","",Stock_Master!$A$33)</f>
        <v/>
      </c>
      <c r="B39" s="4" t="str">
        <f>IF(Stock_Master!$A$33="","",Stock_Master!$B$33)</f>
        <v/>
      </c>
      <c r="C39" s="36" t="str">
        <f>IF($A39="","",Stock_Master!$C$33+SUMIFS(Purchase_Entry!$K$3:$K$633,Purchase_Entry!$D$3:$D$633,$A39,Purchase_Entry!$A$3:$A$633,"&lt;"&amp;$B$5)-SUMIFS(Sales_Entry!$E$3:$E$833,Sales_Entry!$D$3:$D$833,$A39,Sales_Entry!$A$3:$A$833,"&lt;"&amp;$B$5))</f>
        <v/>
      </c>
      <c r="D39" s="36" t="str">
        <f>IF($A39="","",SUMIFS(Purchase_Entry!$K$3:$K$633,Purchase_Entry!$D$3:$D$633,$A39,Purchase_Entry!$A$3:$A$633,"&gt;="&amp;$B$5,Purchase_Entry!$A$3:$A$633,"&lt;="&amp;$D$5))</f>
        <v/>
      </c>
      <c r="E39" s="36" t="str">
        <f>IF($A39="","",SUMIFS(Sales_Entry!$E$3:$E$833,Sales_Entry!$D$3:$D$833,$A39,Sales_Entry!$A$3:$A$833,"&gt;="&amp;$B$5,Sales_Entry!$A$3:$A$833,"&lt;="&amp;$D$5))</f>
        <v/>
      </c>
      <c r="F39" s="36" t="str">
        <f t="shared" si="0"/>
        <v/>
      </c>
      <c r="G39" s="5" t="str">
        <f>IF($A39="","",Stock_Master!$H$33)</f>
        <v/>
      </c>
      <c r="H39" s="5" t="str">
        <f t="shared" si="1"/>
        <v/>
      </c>
    </row>
    <row r="40" spans="1:8" x14ac:dyDescent="0.2">
      <c r="A40" s="4" t="str">
        <f>IF(Stock_Master!$A$34="","",Stock_Master!$A$34)</f>
        <v/>
      </c>
      <c r="B40" s="4" t="str">
        <f>IF(Stock_Master!$A$34="","",Stock_Master!$B$34)</f>
        <v/>
      </c>
      <c r="C40" s="36" t="str">
        <f>IF($A40="","",Stock_Master!$C$34+SUMIFS(Purchase_Entry!$K$3:$K$633,Purchase_Entry!$D$3:$D$633,$A40,Purchase_Entry!$A$3:$A$633,"&lt;"&amp;$B$5)-SUMIFS(Sales_Entry!$E$3:$E$833,Sales_Entry!$D$3:$D$833,$A40,Sales_Entry!$A$3:$A$833,"&lt;"&amp;$B$5))</f>
        <v/>
      </c>
      <c r="D40" s="36" t="str">
        <f>IF($A40="","",SUMIFS(Purchase_Entry!$K$3:$K$633,Purchase_Entry!$D$3:$D$633,$A40,Purchase_Entry!$A$3:$A$633,"&gt;="&amp;$B$5,Purchase_Entry!$A$3:$A$633,"&lt;="&amp;$D$5))</f>
        <v/>
      </c>
      <c r="E40" s="36" t="str">
        <f>IF($A40="","",SUMIFS(Sales_Entry!$E$3:$E$833,Sales_Entry!$D$3:$D$833,$A40,Sales_Entry!$A$3:$A$833,"&gt;="&amp;$B$5,Sales_Entry!$A$3:$A$833,"&lt;="&amp;$D$5))</f>
        <v/>
      </c>
      <c r="F40" s="36" t="str">
        <f t="shared" si="0"/>
        <v/>
      </c>
      <c r="G40" s="5" t="str">
        <f>IF($A40="","",Stock_Master!$H$34)</f>
        <v/>
      </c>
      <c r="H40" s="5" t="str">
        <f t="shared" si="1"/>
        <v/>
      </c>
    </row>
    <row r="41" spans="1:8" x14ac:dyDescent="0.2">
      <c r="A41" s="4" t="str">
        <f>IF(Stock_Master!$A$35="","",Stock_Master!$A$35)</f>
        <v/>
      </c>
      <c r="B41" s="4" t="str">
        <f>IF(Stock_Master!$A$35="","",Stock_Master!$B$35)</f>
        <v/>
      </c>
      <c r="C41" s="36" t="str">
        <f>IF($A41="","",Stock_Master!$C$35+SUMIFS(Purchase_Entry!$K$3:$K$633,Purchase_Entry!$D$3:$D$633,$A41,Purchase_Entry!$A$3:$A$633,"&lt;"&amp;$B$5)-SUMIFS(Sales_Entry!$E$3:$E$833,Sales_Entry!$D$3:$D$833,$A41,Sales_Entry!$A$3:$A$833,"&lt;"&amp;$B$5))</f>
        <v/>
      </c>
      <c r="D41" s="36" t="str">
        <f>IF($A41="","",SUMIFS(Purchase_Entry!$K$3:$K$633,Purchase_Entry!$D$3:$D$633,$A41,Purchase_Entry!$A$3:$A$633,"&gt;="&amp;$B$5,Purchase_Entry!$A$3:$A$633,"&lt;="&amp;$D$5))</f>
        <v/>
      </c>
      <c r="E41" s="36" t="str">
        <f>IF($A41="","",SUMIFS(Sales_Entry!$E$3:$E$833,Sales_Entry!$D$3:$D$833,$A41,Sales_Entry!$A$3:$A$833,"&gt;="&amp;$B$5,Sales_Entry!$A$3:$A$833,"&lt;="&amp;$D$5))</f>
        <v/>
      </c>
      <c r="F41" s="36" t="str">
        <f t="shared" si="0"/>
        <v/>
      </c>
      <c r="G41" s="5" t="str">
        <f>IF($A41="","",Stock_Master!$H$35)</f>
        <v/>
      </c>
      <c r="H41" s="5" t="str">
        <f t="shared" si="1"/>
        <v/>
      </c>
    </row>
    <row r="42" spans="1:8" x14ac:dyDescent="0.2">
      <c r="A42" s="4" t="str">
        <f>IF(Stock_Master!$A$36="","",Stock_Master!$A$36)</f>
        <v/>
      </c>
      <c r="B42" s="4" t="str">
        <f>IF(Stock_Master!$A$36="","",Stock_Master!$B$36)</f>
        <v/>
      </c>
      <c r="C42" s="36" t="str">
        <f>IF($A42="","",Stock_Master!$C$36+SUMIFS(Purchase_Entry!$K$3:$K$633,Purchase_Entry!$D$3:$D$633,$A42,Purchase_Entry!$A$3:$A$633,"&lt;"&amp;$B$5)-SUMIFS(Sales_Entry!$E$3:$E$833,Sales_Entry!$D$3:$D$833,$A42,Sales_Entry!$A$3:$A$833,"&lt;"&amp;$B$5))</f>
        <v/>
      </c>
      <c r="D42" s="36" t="str">
        <f>IF($A42="","",SUMIFS(Purchase_Entry!$K$3:$K$633,Purchase_Entry!$D$3:$D$633,$A42,Purchase_Entry!$A$3:$A$633,"&gt;="&amp;$B$5,Purchase_Entry!$A$3:$A$633,"&lt;="&amp;$D$5))</f>
        <v/>
      </c>
      <c r="E42" s="36" t="str">
        <f>IF($A42="","",SUMIFS(Sales_Entry!$E$3:$E$833,Sales_Entry!$D$3:$D$833,$A42,Sales_Entry!$A$3:$A$833,"&gt;="&amp;$B$5,Sales_Entry!$A$3:$A$833,"&lt;="&amp;$D$5))</f>
        <v/>
      </c>
      <c r="F42" s="36" t="str">
        <f t="shared" si="0"/>
        <v/>
      </c>
      <c r="G42" s="5" t="str">
        <f>IF($A42="","",Stock_Master!$H$36)</f>
        <v/>
      </c>
      <c r="H42" s="5" t="str">
        <f t="shared" si="1"/>
        <v/>
      </c>
    </row>
    <row r="43" spans="1:8" x14ac:dyDescent="0.2">
      <c r="A43" s="4" t="str">
        <f>IF(Stock_Master!$A$37="","",Stock_Master!$A$37)</f>
        <v/>
      </c>
      <c r="B43" s="4" t="str">
        <f>IF(Stock_Master!$A$37="","",Stock_Master!$B$37)</f>
        <v/>
      </c>
      <c r="C43" s="36" t="str">
        <f>IF($A43="","",Stock_Master!$C$37+SUMIFS(Purchase_Entry!$K$3:$K$633,Purchase_Entry!$D$3:$D$633,$A43,Purchase_Entry!$A$3:$A$633,"&lt;"&amp;$B$5)-SUMIFS(Sales_Entry!$E$3:$E$833,Sales_Entry!$D$3:$D$833,$A43,Sales_Entry!$A$3:$A$833,"&lt;"&amp;$B$5))</f>
        <v/>
      </c>
      <c r="D43" s="36" t="str">
        <f>IF($A43="","",SUMIFS(Purchase_Entry!$K$3:$K$633,Purchase_Entry!$D$3:$D$633,$A43,Purchase_Entry!$A$3:$A$633,"&gt;="&amp;$B$5,Purchase_Entry!$A$3:$A$633,"&lt;="&amp;$D$5))</f>
        <v/>
      </c>
      <c r="E43" s="36" t="str">
        <f>IF($A43="","",SUMIFS(Sales_Entry!$E$3:$E$833,Sales_Entry!$D$3:$D$833,$A43,Sales_Entry!$A$3:$A$833,"&gt;="&amp;$B$5,Sales_Entry!$A$3:$A$833,"&lt;="&amp;$D$5))</f>
        <v/>
      </c>
      <c r="F43" s="36" t="str">
        <f t="shared" si="0"/>
        <v/>
      </c>
      <c r="G43" s="5" t="str">
        <f>IF($A43="","",Stock_Master!$H$37)</f>
        <v/>
      </c>
      <c r="H43" s="5" t="str">
        <f t="shared" si="1"/>
        <v/>
      </c>
    </row>
    <row r="44" spans="1:8" x14ac:dyDescent="0.2">
      <c r="A44" s="4" t="str">
        <f>IF(Stock_Master!$A$38="","",Stock_Master!$A$38)</f>
        <v/>
      </c>
      <c r="B44" s="4" t="str">
        <f>IF(Stock_Master!$A$38="","",Stock_Master!$B$38)</f>
        <v/>
      </c>
      <c r="C44" s="36" t="str">
        <f>IF($A44="","",Stock_Master!$C$38+SUMIFS(Purchase_Entry!$K$3:$K$633,Purchase_Entry!$D$3:$D$633,$A44,Purchase_Entry!$A$3:$A$633,"&lt;"&amp;$B$5)-SUMIFS(Sales_Entry!$E$3:$E$833,Sales_Entry!$D$3:$D$833,$A44,Sales_Entry!$A$3:$A$833,"&lt;"&amp;$B$5))</f>
        <v/>
      </c>
      <c r="D44" s="36" t="str">
        <f>IF($A44="","",SUMIFS(Purchase_Entry!$K$3:$K$633,Purchase_Entry!$D$3:$D$633,$A44,Purchase_Entry!$A$3:$A$633,"&gt;="&amp;$B$5,Purchase_Entry!$A$3:$A$633,"&lt;="&amp;$D$5))</f>
        <v/>
      </c>
      <c r="E44" s="36" t="str">
        <f>IF($A44="","",SUMIFS(Sales_Entry!$E$3:$E$833,Sales_Entry!$D$3:$D$833,$A44,Sales_Entry!$A$3:$A$833,"&gt;="&amp;$B$5,Sales_Entry!$A$3:$A$833,"&lt;="&amp;$D$5))</f>
        <v/>
      </c>
      <c r="F44" s="36" t="str">
        <f t="shared" si="0"/>
        <v/>
      </c>
      <c r="G44" s="5" t="str">
        <f>IF($A44="","",Stock_Master!$H$38)</f>
        <v/>
      </c>
      <c r="H44" s="5" t="str">
        <f t="shared" si="1"/>
        <v/>
      </c>
    </row>
    <row r="45" spans="1:8" x14ac:dyDescent="0.2">
      <c r="A45" s="4" t="str">
        <f>IF(Stock_Master!$A$39="","",Stock_Master!$A$39)</f>
        <v/>
      </c>
      <c r="B45" s="4" t="str">
        <f>IF(Stock_Master!$A$39="","",Stock_Master!$B$39)</f>
        <v/>
      </c>
      <c r="C45" s="36" t="str">
        <f>IF($A45="","",Stock_Master!$C$39+SUMIFS(Purchase_Entry!$K$3:$K$633,Purchase_Entry!$D$3:$D$633,$A45,Purchase_Entry!$A$3:$A$633,"&lt;"&amp;$B$5)-SUMIFS(Sales_Entry!$E$3:$E$833,Sales_Entry!$D$3:$D$833,$A45,Sales_Entry!$A$3:$A$833,"&lt;"&amp;$B$5))</f>
        <v/>
      </c>
      <c r="D45" s="36" t="str">
        <f>IF($A45="","",SUMIFS(Purchase_Entry!$K$3:$K$633,Purchase_Entry!$D$3:$D$633,$A45,Purchase_Entry!$A$3:$A$633,"&gt;="&amp;$B$5,Purchase_Entry!$A$3:$A$633,"&lt;="&amp;$D$5))</f>
        <v/>
      </c>
      <c r="E45" s="36" t="str">
        <f>IF($A45="","",SUMIFS(Sales_Entry!$E$3:$E$833,Sales_Entry!$D$3:$D$833,$A45,Sales_Entry!$A$3:$A$833,"&gt;="&amp;$B$5,Sales_Entry!$A$3:$A$833,"&lt;="&amp;$D$5))</f>
        <v/>
      </c>
      <c r="F45" s="36" t="str">
        <f t="shared" si="0"/>
        <v/>
      </c>
      <c r="G45" s="5" t="str">
        <f>IF($A45="","",Stock_Master!$H$39)</f>
        <v/>
      </c>
      <c r="H45" s="5" t="str">
        <f t="shared" si="1"/>
        <v/>
      </c>
    </row>
    <row r="46" spans="1:8" x14ac:dyDescent="0.2">
      <c r="A46" s="4" t="str">
        <f>IF(Stock_Master!$A$40="","",Stock_Master!$A$40)</f>
        <v/>
      </c>
      <c r="B46" s="4" t="str">
        <f>IF(Stock_Master!$A$40="","",Stock_Master!$B$40)</f>
        <v/>
      </c>
      <c r="C46" s="36" t="str">
        <f>IF($A46="","",Stock_Master!$C$40+SUMIFS(Purchase_Entry!$K$3:$K$633,Purchase_Entry!$D$3:$D$633,$A46,Purchase_Entry!$A$3:$A$633,"&lt;"&amp;$B$5)-SUMIFS(Sales_Entry!$E$3:$E$833,Sales_Entry!$D$3:$D$833,$A46,Sales_Entry!$A$3:$A$833,"&lt;"&amp;$B$5))</f>
        <v/>
      </c>
      <c r="D46" s="36" t="str">
        <f>IF($A46="","",SUMIFS(Purchase_Entry!$K$3:$K$633,Purchase_Entry!$D$3:$D$633,$A46,Purchase_Entry!$A$3:$A$633,"&gt;="&amp;$B$5,Purchase_Entry!$A$3:$A$633,"&lt;="&amp;$D$5))</f>
        <v/>
      </c>
      <c r="E46" s="36" t="str">
        <f>IF($A46="","",SUMIFS(Sales_Entry!$E$3:$E$833,Sales_Entry!$D$3:$D$833,$A46,Sales_Entry!$A$3:$A$833,"&gt;="&amp;$B$5,Sales_Entry!$A$3:$A$833,"&lt;="&amp;$D$5))</f>
        <v/>
      </c>
      <c r="F46" s="36" t="str">
        <f t="shared" si="0"/>
        <v/>
      </c>
      <c r="G46" s="5" t="str">
        <f>IF($A46="","",Stock_Master!$H$40)</f>
        <v/>
      </c>
      <c r="H46" s="5" t="str">
        <f t="shared" si="1"/>
        <v/>
      </c>
    </row>
    <row r="47" spans="1:8" x14ac:dyDescent="0.2">
      <c r="A47" s="4" t="str">
        <f>IF(Stock_Master!$A$41="","",Stock_Master!$A$41)</f>
        <v/>
      </c>
      <c r="B47" s="4" t="str">
        <f>IF(Stock_Master!$A$41="","",Stock_Master!$B$41)</f>
        <v/>
      </c>
      <c r="C47" s="36" t="str">
        <f>IF($A47="","",Stock_Master!$C$41+SUMIFS(Purchase_Entry!$K$3:$K$633,Purchase_Entry!$D$3:$D$633,$A47,Purchase_Entry!$A$3:$A$633,"&lt;"&amp;$B$5)-SUMIFS(Sales_Entry!$E$3:$E$833,Sales_Entry!$D$3:$D$833,$A47,Sales_Entry!$A$3:$A$833,"&lt;"&amp;$B$5))</f>
        <v/>
      </c>
      <c r="D47" s="36" t="str">
        <f>IF($A47="","",SUMIFS(Purchase_Entry!$K$3:$K$633,Purchase_Entry!$D$3:$D$633,$A47,Purchase_Entry!$A$3:$A$633,"&gt;="&amp;$B$5,Purchase_Entry!$A$3:$A$633,"&lt;="&amp;$D$5))</f>
        <v/>
      </c>
      <c r="E47" s="36" t="str">
        <f>IF($A47="","",SUMIFS(Sales_Entry!$E$3:$E$833,Sales_Entry!$D$3:$D$833,$A47,Sales_Entry!$A$3:$A$833,"&gt;="&amp;$B$5,Sales_Entry!$A$3:$A$833,"&lt;="&amp;$D$5))</f>
        <v/>
      </c>
      <c r="F47" s="36" t="str">
        <f t="shared" si="0"/>
        <v/>
      </c>
      <c r="G47" s="5" t="str">
        <f>IF($A47="","",Stock_Master!$H$41)</f>
        <v/>
      </c>
      <c r="H47" s="5" t="str">
        <f t="shared" si="1"/>
        <v/>
      </c>
    </row>
    <row r="48" spans="1:8" ht="16" customHeight="1" x14ac:dyDescent="0.2">
      <c r="A48" s="38"/>
      <c r="B48" s="39" t="s">
        <v>50</v>
      </c>
      <c r="C48" s="57">
        <f>SUM(C9:C47)</f>
        <v>0</v>
      </c>
      <c r="D48" s="57">
        <f>SUM(D9:D47)</f>
        <v>431.5</v>
      </c>
      <c r="E48" s="57">
        <f>SUM(E9:E47)</f>
        <v>0</v>
      </c>
      <c r="F48" s="57">
        <f>SUM(F9:F47)</f>
        <v>431.5</v>
      </c>
      <c r="G48" s="38"/>
      <c r="H48" s="40">
        <f>SUM(H9:H47)</f>
        <v>121790</v>
      </c>
    </row>
    <row r="50" spans="1:7" x14ac:dyDescent="0.2">
      <c r="A50" s="53" t="s">
        <v>1061</v>
      </c>
    </row>
    <row r="51" spans="1:7" x14ac:dyDescent="0.2">
      <c r="A51" s="52" t="s">
        <v>1062</v>
      </c>
    </row>
    <row r="53" spans="1:7" x14ac:dyDescent="0.2">
      <c r="G53" s="54" t="s">
        <v>1063</v>
      </c>
    </row>
  </sheetData>
  <mergeCells count="3">
    <mergeCell ref="A3:H3"/>
    <mergeCell ref="A2:H2"/>
    <mergeCell ref="A1:H1"/>
  </mergeCells>
  <conditionalFormatting sqref="F9:F47">
    <cfRule type="cellIs" dxfId="0" priority="1" operator="lessThanOrEqual">
      <formula>0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2E7D32"/>
  </sheetPr>
  <dimension ref="A1:N211"/>
  <sheetViews>
    <sheetView workbookViewId="0">
      <pane xSplit="1" ySplit="6" topLeftCell="B7" activePane="bottomRight" state="frozen"/>
      <selection pane="topRight"/>
      <selection pane="bottomLeft"/>
      <selection pane="bottomRight" sqref="A1:N1"/>
    </sheetView>
  </sheetViews>
  <sheetFormatPr baseColWidth="10" defaultColWidth="8.83203125" defaultRowHeight="15" x14ac:dyDescent="0.2"/>
  <cols>
    <col min="1" max="1" width="14" customWidth="1"/>
    <col min="2" max="2" width="11.1640625" bestFit="1" customWidth="1"/>
    <col min="3" max="3" width="7" customWidth="1"/>
    <col min="4" max="4" width="11.1640625" bestFit="1" customWidth="1"/>
    <col min="5" max="10" width="7" customWidth="1"/>
    <col min="11" max="12" width="16" customWidth="1"/>
    <col min="13" max="13" width="12" customWidth="1"/>
    <col min="14" max="14" width="20" customWidth="1"/>
  </cols>
  <sheetData>
    <row r="1" spans="1:14" ht="21" customHeight="1" x14ac:dyDescent="0.2">
      <c r="A1" s="223" t="str">
        <f>BizName</f>
        <v>PRARAMBHA DAIRY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</row>
    <row r="2" spans="1:14" ht="24" customHeight="1" x14ac:dyDescent="0.2">
      <c r="A2" s="222" t="s">
        <v>1064</v>
      </c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</row>
    <row r="4" spans="1:14" ht="16" customHeight="1" x14ac:dyDescent="0.2">
      <c r="A4" s="104" t="s">
        <v>23</v>
      </c>
      <c r="B4" s="132">
        <v>66916</v>
      </c>
      <c r="C4" s="104" t="s">
        <v>24</v>
      </c>
      <c r="D4" s="132">
        <v>66931</v>
      </c>
      <c r="K4" s="220" t="s">
        <v>1065</v>
      </c>
      <c r="L4" s="202"/>
      <c r="M4" s="221">
        <f>SUMIFS($K$7:$K$206,$A$7:$A$206,"&gt;="&amp;$B$4,$A$7:$A$206,"&lt;="&amp;$D$4)</f>
        <v>0</v>
      </c>
      <c r="N4" s="202"/>
    </row>
    <row r="6" spans="1:14" x14ac:dyDescent="0.2">
      <c r="A6" s="105" t="s">
        <v>11</v>
      </c>
      <c r="B6" s="105" t="s">
        <v>962</v>
      </c>
      <c r="C6" s="105" t="s">
        <v>963</v>
      </c>
      <c r="D6" s="105" t="s">
        <v>964</v>
      </c>
      <c r="E6" s="105" t="s">
        <v>965</v>
      </c>
      <c r="F6" s="105" t="s">
        <v>966</v>
      </c>
      <c r="G6" s="105" t="s">
        <v>967</v>
      </c>
      <c r="H6" s="105" t="s">
        <v>968</v>
      </c>
      <c r="I6" s="105" t="s">
        <v>969</v>
      </c>
      <c r="J6" s="105" t="s">
        <v>970</v>
      </c>
      <c r="K6" s="105" t="s">
        <v>1066</v>
      </c>
      <c r="L6" s="118" t="s">
        <v>1067</v>
      </c>
      <c r="M6" s="105" t="s">
        <v>1068</v>
      </c>
      <c r="N6" s="105" t="s">
        <v>60</v>
      </c>
    </row>
    <row r="7" spans="1:14" x14ac:dyDescent="0.2">
      <c r="A7" s="133">
        <v>66915</v>
      </c>
      <c r="B7" s="106"/>
      <c r="C7" s="106"/>
      <c r="D7" s="106"/>
      <c r="E7" s="106"/>
      <c r="F7" s="106"/>
      <c r="G7" s="106"/>
      <c r="H7" s="106"/>
      <c r="I7" s="106"/>
      <c r="J7" s="106">
        <v>0</v>
      </c>
      <c r="K7" s="107">
        <f t="shared" ref="K7:K38" si="0">IF($A7="","",N($B7)*1000+N($C7)*500+N($D7)*100+N($E7)*50+N($F7)*20+N($G7)*10+N($H7)*5+N($I7)*2+N($J7)*1)</f>
        <v>0</v>
      </c>
      <c r="L7" s="108"/>
      <c r="M7" s="108"/>
      <c r="N7" s="109"/>
    </row>
    <row r="8" spans="1:14" x14ac:dyDescent="0.2">
      <c r="A8" s="134"/>
      <c r="B8" s="106"/>
      <c r="C8" s="106"/>
      <c r="D8" s="106"/>
      <c r="E8" s="106"/>
      <c r="F8" s="106"/>
      <c r="G8" s="106"/>
      <c r="H8" s="106"/>
      <c r="I8" s="106"/>
      <c r="J8" s="106"/>
      <c r="K8" s="110" t="str">
        <f t="shared" si="0"/>
        <v/>
      </c>
      <c r="L8" s="111"/>
      <c r="M8" s="111"/>
      <c r="N8" s="112"/>
    </row>
    <row r="9" spans="1:14" x14ac:dyDescent="0.2">
      <c r="A9" s="133"/>
      <c r="B9" s="106"/>
      <c r="C9" s="106"/>
      <c r="D9" s="106"/>
      <c r="E9" s="106"/>
      <c r="F9" s="106"/>
      <c r="G9" s="106"/>
      <c r="H9" s="106"/>
      <c r="I9" s="106"/>
      <c r="J9" s="106"/>
      <c r="K9" s="107" t="str">
        <f t="shared" si="0"/>
        <v/>
      </c>
      <c r="L9" s="108"/>
      <c r="M9" s="108"/>
      <c r="N9" s="109"/>
    </row>
    <row r="10" spans="1:14" x14ac:dyDescent="0.2">
      <c r="A10" s="134"/>
      <c r="B10" s="106"/>
      <c r="C10" s="106"/>
      <c r="D10" s="106"/>
      <c r="E10" s="106"/>
      <c r="F10" s="106"/>
      <c r="G10" s="106"/>
      <c r="H10" s="106"/>
      <c r="I10" s="106"/>
      <c r="J10" s="106"/>
      <c r="K10" s="110" t="str">
        <f t="shared" si="0"/>
        <v/>
      </c>
      <c r="L10" s="111"/>
      <c r="M10" s="111"/>
      <c r="N10" s="112"/>
    </row>
    <row r="11" spans="1:14" x14ac:dyDescent="0.2">
      <c r="A11" s="133"/>
      <c r="B11" s="106"/>
      <c r="C11" s="106"/>
      <c r="D11" s="106"/>
      <c r="E11" s="106"/>
      <c r="F11" s="106"/>
      <c r="G11" s="106"/>
      <c r="H11" s="106"/>
      <c r="I11" s="106"/>
      <c r="J11" s="106"/>
      <c r="K11" s="107" t="str">
        <f t="shared" si="0"/>
        <v/>
      </c>
      <c r="L11" s="108"/>
      <c r="M11" s="108"/>
      <c r="N11" s="109"/>
    </row>
    <row r="12" spans="1:14" x14ac:dyDescent="0.2">
      <c r="A12" s="134"/>
      <c r="B12" s="106"/>
      <c r="C12" s="106"/>
      <c r="D12" s="106"/>
      <c r="E12" s="106"/>
      <c r="F12" s="106"/>
      <c r="G12" s="106"/>
      <c r="H12" s="106"/>
      <c r="I12" s="106"/>
      <c r="J12" s="106"/>
      <c r="K12" s="110" t="str">
        <f t="shared" si="0"/>
        <v/>
      </c>
      <c r="L12" s="111"/>
      <c r="M12" s="111"/>
      <c r="N12" s="112"/>
    </row>
    <row r="13" spans="1:14" x14ac:dyDescent="0.2">
      <c r="A13" s="133"/>
      <c r="B13" s="106"/>
      <c r="C13" s="106"/>
      <c r="D13" s="106"/>
      <c r="E13" s="106"/>
      <c r="F13" s="106"/>
      <c r="G13" s="106"/>
      <c r="H13" s="106"/>
      <c r="I13" s="106"/>
      <c r="J13" s="106"/>
      <c r="K13" s="107" t="str">
        <f t="shared" si="0"/>
        <v/>
      </c>
      <c r="L13" s="108"/>
      <c r="M13" s="108"/>
      <c r="N13" s="109"/>
    </row>
    <row r="14" spans="1:14" x14ac:dyDescent="0.2">
      <c r="A14" s="134"/>
      <c r="B14" s="106"/>
      <c r="C14" s="106"/>
      <c r="D14" s="106"/>
      <c r="E14" s="106"/>
      <c r="F14" s="106"/>
      <c r="G14" s="106"/>
      <c r="H14" s="106"/>
      <c r="I14" s="106"/>
      <c r="J14" s="106"/>
      <c r="K14" s="110" t="str">
        <f t="shared" si="0"/>
        <v/>
      </c>
      <c r="L14" s="111"/>
      <c r="M14" s="111"/>
      <c r="N14" s="112"/>
    </row>
    <row r="15" spans="1:14" x14ac:dyDescent="0.2">
      <c r="A15" s="133"/>
      <c r="B15" s="106"/>
      <c r="C15" s="106"/>
      <c r="D15" s="106"/>
      <c r="E15" s="106"/>
      <c r="F15" s="106"/>
      <c r="G15" s="106"/>
      <c r="H15" s="106"/>
      <c r="I15" s="106"/>
      <c r="J15" s="106"/>
      <c r="K15" s="107" t="str">
        <f t="shared" si="0"/>
        <v/>
      </c>
      <c r="L15" s="108"/>
      <c r="M15" s="108"/>
      <c r="N15" s="109"/>
    </row>
    <row r="16" spans="1:14" x14ac:dyDescent="0.2">
      <c r="A16" s="134"/>
      <c r="B16" s="106"/>
      <c r="C16" s="106"/>
      <c r="D16" s="106"/>
      <c r="E16" s="106"/>
      <c r="F16" s="106"/>
      <c r="G16" s="106"/>
      <c r="H16" s="106"/>
      <c r="I16" s="106"/>
      <c r="J16" s="106"/>
      <c r="K16" s="110" t="str">
        <f t="shared" si="0"/>
        <v/>
      </c>
      <c r="L16" s="111"/>
      <c r="M16" s="111"/>
      <c r="N16" s="112"/>
    </row>
    <row r="17" spans="1:14" x14ac:dyDescent="0.2">
      <c r="A17" s="133"/>
      <c r="B17" s="106"/>
      <c r="C17" s="106"/>
      <c r="D17" s="106"/>
      <c r="E17" s="106"/>
      <c r="F17" s="106"/>
      <c r="G17" s="106"/>
      <c r="H17" s="106"/>
      <c r="I17" s="106"/>
      <c r="J17" s="106"/>
      <c r="K17" s="107" t="str">
        <f t="shared" si="0"/>
        <v/>
      </c>
      <c r="L17" s="108"/>
      <c r="M17" s="108"/>
      <c r="N17" s="109"/>
    </row>
    <row r="18" spans="1:14" x14ac:dyDescent="0.2">
      <c r="A18" s="134"/>
      <c r="B18" s="106"/>
      <c r="C18" s="106"/>
      <c r="D18" s="106"/>
      <c r="E18" s="106"/>
      <c r="F18" s="106"/>
      <c r="G18" s="106"/>
      <c r="H18" s="106"/>
      <c r="I18" s="106"/>
      <c r="J18" s="106"/>
      <c r="K18" s="110" t="str">
        <f t="shared" si="0"/>
        <v/>
      </c>
      <c r="L18" s="111"/>
      <c r="M18" s="111"/>
      <c r="N18" s="112"/>
    </row>
    <row r="19" spans="1:14" x14ac:dyDescent="0.2">
      <c r="A19" s="133"/>
      <c r="B19" s="106"/>
      <c r="C19" s="106"/>
      <c r="D19" s="106"/>
      <c r="E19" s="106"/>
      <c r="F19" s="106"/>
      <c r="G19" s="106"/>
      <c r="H19" s="106"/>
      <c r="I19" s="106"/>
      <c r="J19" s="106"/>
      <c r="K19" s="107" t="str">
        <f t="shared" si="0"/>
        <v/>
      </c>
      <c r="L19" s="108"/>
      <c r="M19" s="108"/>
      <c r="N19" s="109"/>
    </row>
    <row r="20" spans="1:14" x14ac:dyDescent="0.2">
      <c r="A20" s="134"/>
      <c r="B20" s="106"/>
      <c r="C20" s="106"/>
      <c r="D20" s="106"/>
      <c r="E20" s="106"/>
      <c r="F20" s="106"/>
      <c r="G20" s="106"/>
      <c r="H20" s="106"/>
      <c r="I20" s="106"/>
      <c r="J20" s="106"/>
      <c r="K20" s="110" t="str">
        <f t="shared" si="0"/>
        <v/>
      </c>
      <c r="L20" s="111"/>
      <c r="M20" s="111"/>
      <c r="N20" s="112"/>
    </row>
    <row r="21" spans="1:14" x14ac:dyDescent="0.2">
      <c r="A21" s="133"/>
      <c r="B21" s="106"/>
      <c r="C21" s="106"/>
      <c r="D21" s="106"/>
      <c r="E21" s="106"/>
      <c r="F21" s="106"/>
      <c r="G21" s="106"/>
      <c r="H21" s="106"/>
      <c r="I21" s="106"/>
      <c r="J21" s="106"/>
      <c r="K21" s="107" t="str">
        <f t="shared" si="0"/>
        <v/>
      </c>
      <c r="L21" s="108"/>
      <c r="M21" s="108"/>
      <c r="N21" s="109"/>
    </row>
    <row r="22" spans="1:14" x14ac:dyDescent="0.2">
      <c r="A22" s="134"/>
      <c r="B22" s="106"/>
      <c r="C22" s="106"/>
      <c r="D22" s="106"/>
      <c r="E22" s="106"/>
      <c r="F22" s="106"/>
      <c r="G22" s="106"/>
      <c r="H22" s="106"/>
      <c r="I22" s="106"/>
      <c r="J22" s="106"/>
      <c r="K22" s="110" t="str">
        <f t="shared" si="0"/>
        <v/>
      </c>
      <c r="L22" s="111"/>
      <c r="M22" s="111"/>
      <c r="N22" s="112"/>
    </row>
    <row r="23" spans="1:14" x14ac:dyDescent="0.2">
      <c r="A23" s="133"/>
      <c r="B23" s="106"/>
      <c r="C23" s="106"/>
      <c r="D23" s="106"/>
      <c r="E23" s="106"/>
      <c r="F23" s="106"/>
      <c r="G23" s="106"/>
      <c r="H23" s="106"/>
      <c r="I23" s="106"/>
      <c r="J23" s="106"/>
      <c r="K23" s="107" t="str">
        <f t="shared" si="0"/>
        <v/>
      </c>
      <c r="L23" s="108"/>
      <c r="M23" s="108"/>
      <c r="N23" s="109"/>
    </row>
    <row r="24" spans="1:14" x14ac:dyDescent="0.2">
      <c r="A24" s="134"/>
      <c r="B24" s="106"/>
      <c r="C24" s="106"/>
      <c r="D24" s="106"/>
      <c r="E24" s="106"/>
      <c r="F24" s="106"/>
      <c r="G24" s="106"/>
      <c r="H24" s="106"/>
      <c r="I24" s="106"/>
      <c r="J24" s="106"/>
      <c r="K24" s="110" t="str">
        <f t="shared" si="0"/>
        <v/>
      </c>
      <c r="L24" s="111"/>
      <c r="M24" s="111"/>
      <c r="N24" s="112"/>
    </row>
    <row r="25" spans="1:14" x14ac:dyDescent="0.2">
      <c r="A25" s="133"/>
      <c r="B25" s="106"/>
      <c r="C25" s="106"/>
      <c r="D25" s="106"/>
      <c r="E25" s="106"/>
      <c r="F25" s="106"/>
      <c r="G25" s="106"/>
      <c r="H25" s="106"/>
      <c r="I25" s="106"/>
      <c r="J25" s="106"/>
      <c r="K25" s="107" t="str">
        <f t="shared" si="0"/>
        <v/>
      </c>
      <c r="L25" s="108"/>
      <c r="M25" s="108"/>
      <c r="N25" s="109"/>
    </row>
    <row r="26" spans="1:14" x14ac:dyDescent="0.2">
      <c r="A26" s="134"/>
      <c r="B26" s="106"/>
      <c r="C26" s="106"/>
      <c r="D26" s="106"/>
      <c r="E26" s="106"/>
      <c r="F26" s="106"/>
      <c r="G26" s="106"/>
      <c r="H26" s="106"/>
      <c r="I26" s="106"/>
      <c r="J26" s="106"/>
      <c r="K26" s="110" t="str">
        <f t="shared" si="0"/>
        <v/>
      </c>
      <c r="L26" s="111"/>
      <c r="M26" s="111"/>
      <c r="N26" s="112"/>
    </row>
    <row r="27" spans="1:14" x14ac:dyDescent="0.2">
      <c r="A27" s="133"/>
      <c r="B27" s="106"/>
      <c r="C27" s="106"/>
      <c r="D27" s="106"/>
      <c r="E27" s="106"/>
      <c r="F27" s="106"/>
      <c r="G27" s="106"/>
      <c r="H27" s="106"/>
      <c r="I27" s="106"/>
      <c r="J27" s="106"/>
      <c r="K27" s="107" t="str">
        <f t="shared" si="0"/>
        <v/>
      </c>
      <c r="L27" s="108"/>
      <c r="M27" s="108"/>
      <c r="N27" s="109"/>
    </row>
    <row r="28" spans="1:14" x14ac:dyDescent="0.2">
      <c r="A28" s="134"/>
      <c r="B28" s="106"/>
      <c r="C28" s="106"/>
      <c r="D28" s="106"/>
      <c r="E28" s="106"/>
      <c r="F28" s="106"/>
      <c r="G28" s="106"/>
      <c r="H28" s="106"/>
      <c r="I28" s="106"/>
      <c r="J28" s="106"/>
      <c r="K28" s="110" t="str">
        <f t="shared" si="0"/>
        <v/>
      </c>
      <c r="L28" s="111"/>
      <c r="M28" s="111"/>
      <c r="N28" s="112"/>
    </row>
    <row r="29" spans="1:14" x14ac:dyDescent="0.2">
      <c r="A29" s="133"/>
      <c r="B29" s="106"/>
      <c r="C29" s="106"/>
      <c r="D29" s="106"/>
      <c r="E29" s="106"/>
      <c r="F29" s="106"/>
      <c r="G29" s="106"/>
      <c r="H29" s="106"/>
      <c r="I29" s="106"/>
      <c r="J29" s="106"/>
      <c r="K29" s="107" t="str">
        <f t="shared" si="0"/>
        <v/>
      </c>
      <c r="L29" s="108"/>
      <c r="M29" s="108"/>
      <c r="N29" s="109"/>
    </row>
    <row r="30" spans="1:14" x14ac:dyDescent="0.2">
      <c r="A30" s="134"/>
      <c r="B30" s="106"/>
      <c r="C30" s="106"/>
      <c r="D30" s="106"/>
      <c r="E30" s="106"/>
      <c r="F30" s="106"/>
      <c r="G30" s="106"/>
      <c r="H30" s="106"/>
      <c r="I30" s="106"/>
      <c r="J30" s="106"/>
      <c r="K30" s="110" t="str">
        <f t="shared" si="0"/>
        <v/>
      </c>
      <c r="L30" s="111"/>
      <c r="M30" s="111"/>
      <c r="N30" s="112"/>
    </row>
    <row r="31" spans="1:14" x14ac:dyDescent="0.2">
      <c r="A31" s="133"/>
      <c r="B31" s="106"/>
      <c r="C31" s="106"/>
      <c r="D31" s="106"/>
      <c r="E31" s="106"/>
      <c r="F31" s="106"/>
      <c r="G31" s="106"/>
      <c r="H31" s="106"/>
      <c r="I31" s="106"/>
      <c r="J31" s="106"/>
      <c r="K31" s="107" t="str">
        <f t="shared" si="0"/>
        <v/>
      </c>
      <c r="L31" s="108"/>
      <c r="M31" s="108"/>
      <c r="N31" s="109"/>
    </row>
    <row r="32" spans="1:14" x14ac:dyDescent="0.2">
      <c r="A32" s="134"/>
      <c r="B32" s="106"/>
      <c r="C32" s="106"/>
      <c r="D32" s="106"/>
      <c r="E32" s="106"/>
      <c r="F32" s="106"/>
      <c r="G32" s="106"/>
      <c r="H32" s="106"/>
      <c r="I32" s="106"/>
      <c r="J32" s="106"/>
      <c r="K32" s="110" t="str">
        <f t="shared" si="0"/>
        <v/>
      </c>
      <c r="L32" s="111"/>
      <c r="M32" s="111"/>
      <c r="N32" s="112"/>
    </row>
    <row r="33" spans="1:14" x14ac:dyDescent="0.2">
      <c r="A33" s="133"/>
      <c r="B33" s="106"/>
      <c r="C33" s="106"/>
      <c r="D33" s="106"/>
      <c r="E33" s="106"/>
      <c r="F33" s="106"/>
      <c r="G33" s="106"/>
      <c r="H33" s="106"/>
      <c r="I33" s="106"/>
      <c r="J33" s="106"/>
      <c r="K33" s="107" t="str">
        <f t="shared" si="0"/>
        <v/>
      </c>
      <c r="L33" s="108"/>
      <c r="M33" s="108"/>
      <c r="N33" s="109"/>
    </row>
    <row r="34" spans="1:14" x14ac:dyDescent="0.2">
      <c r="A34" s="134"/>
      <c r="B34" s="106"/>
      <c r="C34" s="106"/>
      <c r="D34" s="106"/>
      <c r="E34" s="106"/>
      <c r="F34" s="106"/>
      <c r="G34" s="106"/>
      <c r="H34" s="106"/>
      <c r="I34" s="106"/>
      <c r="J34" s="106"/>
      <c r="K34" s="110" t="str">
        <f t="shared" si="0"/>
        <v/>
      </c>
      <c r="L34" s="111"/>
      <c r="M34" s="111"/>
      <c r="N34" s="112"/>
    </row>
    <row r="35" spans="1:14" x14ac:dyDescent="0.2">
      <c r="A35" s="133"/>
      <c r="B35" s="106"/>
      <c r="C35" s="106"/>
      <c r="D35" s="106"/>
      <c r="E35" s="106"/>
      <c r="F35" s="106"/>
      <c r="G35" s="106"/>
      <c r="H35" s="106"/>
      <c r="I35" s="106"/>
      <c r="J35" s="106"/>
      <c r="K35" s="107" t="str">
        <f t="shared" si="0"/>
        <v/>
      </c>
      <c r="L35" s="108"/>
      <c r="M35" s="108"/>
      <c r="N35" s="109"/>
    </row>
    <row r="36" spans="1:14" x14ac:dyDescent="0.2">
      <c r="A36" s="134"/>
      <c r="B36" s="106"/>
      <c r="C36" s="106"/>
      <c r="D36" s="106"/>
      <c r="E36" s="106"/>
      <c r="F36" s="106"/>
      <c r="G36" s="106"/>
      <c r="H36" s="106"/>
      <c r="I36" s="106"/>
      <c r="J36" s="106"/>
      <c r="K36" s="110" t="str">
        <f t="shared" si="0"/>
        <v/>
      </c>
      <c r="L36" s="111"/>
      <c r="M36" s="111"/>
      <c r="N36" s="112"/>
    </row>
    <row r="37" spans="1:14" x14ac:dyDescent="0.2">
      <c r="A37" s="133"/>
      <c r="B37" s="106"/>
      <c r="C37" s="106"/>
      <c r="D37" s="106"/>
      <c r="E37" s="106"/>
      <c r="F37" s="106"/>
      <c r="G37" s="106"/>
      <c r="H37" s="106"/>
      <c r="I37" s="106"/>
      <c r="J37" s="106"/>
      <c r="K37" s="107" t="str">
        <f t="shared" si="0"/>
        <v/>
      </c>
      <c r="L37" s="108"/>
      <c r="M37" s="108"/>
      <c r="N37" s="109"/>
    </row>
    <row r="38" spans="1:14" x14ac:dyDescent="0.2">
      <c r="A38" s="134"/>
      <c r="B38" s="106"/>
      <c r="C38" s="106"/>
      <c r="D38" s="106"/>
      <c r="E38" s="106"/>
      <c r="F38" s="106"/>
      <c r="G38" s="106"/>
      <c r="H38" s="106"/>
      <c r="I38" s="106"/>
      <c r="J38" s="106"/>
      <c r="K38" s="110" t="str">
        <f t="shared" si="0"/>
        <v/>
      </c>
      <c r="L38" s="111"/>
      <c r="M38" s="111"/>
      <c r="N38" s="112"/>
    </row>
    <row r="39" spans="1:14" x14ac:dyDescent="0.2">
      <c r="A39" s="133"/>
      <c r="B39" s="106"/>
      <c r="C39" s="106"/>
      <c r="D39" s="106"/>
      <c r="E39" s="106"/>
      <c r="F39" s="106"/>
      <c r="G39" s="106"/>
      <c r="H39" s="106"/>
      <c r="I39" s="106"/>
      <c r="J39" s="106"/>
      <c r="K39" s="107" t="str">
        <f t="shared" ref="K39:K70" si="1">IF($A39="","",N($B39)*1000+N($C39)*500+N($D39)*100+N($E39)*50+N($F39)*20+N($G39)*10+N($H39)*5+N($I39)*2+N($J39)*1)</f>
        <v/>
      </c>
      <c r="L39" s="108"/>
      <c r="M39" s="108"/>
      <c r="N39" s="109"/>
    </row>
    <row r="40" spans="1:14" x14ac:dyDescent="0.2">
      <c r="A40" s="134"/>
      <c r="B40" s="106"/>
      <c r="C40" s="106"/>
      <c r="D40" s="106"/>
      <c r="E40" s="106"/>
      <c r="F40" s="106"/>
      <c r="G40" s="106"/>
      <c r="H40" s="106"/>
      <c r="I40" s="106"/>
      <c r="J40" s="106"/>
      <c r="K40" s="110" t="str">
        <f t="shared" si="1"/>
        <v/>
      </c>
      <c r="L40" s="111"/>
      <c r="M40" s="111"/>
      <c r="N40" s="112"/>
    </row>
    <row r="41" spans="1:14" x14ac:dyDescent="0.2">
      <c r="A41" s="133"/>
      <c r="B41" s="106"/>
      <c r="C41" s="106"/>
      <c r="D41" s="106"/>
      <c r="E41" s="106"/>
      <c r="F41" s="106"/>
      <c r="G41" s="106"/>
      <c r="H41" s="106"/>
      <c r="I41" s="106"/>
      <c r="J41" s="106"/>
      <c r="K41" s="107" t="str">
        <f t="shared" si="1"/>
        <v/>
      </c>
      <c r="L41" s="108"/>
      <c r="M41" s="108"/>
      <c r="N41" s="109"/>
    </row>
    <row r="42" spans="1:14" x14ac:dyDescent="0.2">
      <c r="A42" s="134"/>
      <c r="B42" s="106"/>
      <c r="C42" s="106"/>
      <c r="D42" s="106"/>
      <c r="E42" s="106"/>
      <c r="F42" s="106"/>
      <c r="G42" s="106"/>
      <c r="H42" s="106"/>
      <c r="I42" s="106"/>
      <c r="J42" s="106"/>
      <c r="K42" s="110" t="str">
        <f t="shared" si="1"/>
        <v/>
      </c>
      <c r="L42" s="111"/>
      <c r="M42" s="111"/>
      <c r="N42" s="112"/>
    </row>
    <row r="43" spans="1:14" x14ac:dyDescent="0.2">
      <c r="A43" s="133"/>
      <c r="B43" s="106"/>
      <c r="C43" s="106"/>
      <c r="D43" s="106"/>
      <c r="E43" s="106"/>
      <c r="F43" s="106"/>
      <c r="G43" s="106"/>
      <c r="H43" s="106"/>
      <c r="I43" s="106"/>
      <c r="J43" s="106"/>
      <c r="K43" s="107" t="str">
        <f t="shared" si="1"/>
        <v/>
      </c>
      <c r="L43" s="108"/>
      <c r="M43" s="108"/>
      <c r="N43" s="109"/>
    </row>
    <row r="44" spans="1:14" x14ac:dyDescent="0.2">
      <c r="A44" s="134"/>
      <c r="B44" s="106"/>
      <c r="C44" s="106"/>
      <c r="D44" s="106"/>
      <c r="E44" s="106"/>
      <c r="F44" s="106"/>
      <c r="G44" s="106"/>
      <c r="H44" s="106"/>
      <c r="I44" s="106"/>
      <c r="J44" s="106"/>
      <c r="K44" s="110" t="str">
        <f t="shared" si="1"/>
        <v/>
      </c>
      <c r="L44" s="111"/>
      <c r="M44" s="111"/>
      <c r="N44" s="112"/>
    </row>
    <row r="45" spans="1:14" x14ac:dyDescent="0.2">
      <c r="A45" s="133"/>
      <c r="B45" s="106"/>
      <c r="C45" s="106"/>
      <c r="D45" s="106"/>
      <c r="E45" s="106"/>
      <c r="F45" s="106"/>
      <c r="G45" s="106"/>
      <c r="H45" s="106"/>
      <c r="I45" s="106"/>
      <c r="J45" s="106"/>
      <c r="K45" s="107" t="str">
        <f t="shared" si="1"/>
        <v/>
      </c>
      <c r="L45" s="108"/>
      <c r="M45" s="108"/>
      <c r="N45" s="109"/>
    </row>
    <row r="46" spans="1:14" x14ac:dyDescent="0.2">
      <c r="A46" s="134"/>
      <c r="B46" s="106"/>
      <c r="C46" s="106"/>
      <c r="D46" s="106"/>
      <c r="E46" s="106"/>
      <c r="F46" s="106"/>
      <c r="G46" s="106"/>
      <c r="H46" s="106"/>
      <c r="I46" s="106"/>
      <c r="J46" s="106"/>
      <c r="K46" s="110" t="str">
        <f t="shared" si="1"/>
        <v/>
      </c>
      <c r="L46" s="111"/>
      <c r="M46" s="111"/>
      <c r="N46" s="112"/>
    </row>
    <row r="47" spans="1:14" x14ac:dyDescent="0.2">
      <c r="A47" s="133"/>
      <c r="B47" s="106"/>
      <c r="C47" s="106"/>
      <c r="D47" s="106"/>
      <c r="E47" s="106"/>
      <c r="F47" s="106"/>
      <c r="G47" s="106"/>
      <c r="H47" s="106"/>
      <c r="I47" s="106"/>
      <c r="J47" s="106"/>
      <c r="K47" s="107" t="str">
        <f t="shared" si="1"/>
        <v/>
      </c>
      <c r="L47" s="108"/>
      <c r="M47" s="108"/>
      <c r="N47" s="109"/>
    </row>
    <row r="48" spans="1:14" x14ac:dyDescent="0.2">
      <c r="A48" s="134"/>
      <c r="B48" s="106"/>
      <c r="C48" s="106"/>
      <c r="D48" s="106"/>
      <c r="E48" s="106"/>
      <c r="F48" s="106"/>
      <c r="G48" s="106"/>
      <c r="H48" s="106"/>
      <c r="I48" s="106"/>
      <c r="J48" s="106"/>
      <c r="K48" s="110" t="str">
        <f t="shared" si="1"/>
        <v/>
      </c>
      <c r="L48" s="111"/>
      <c r="M48" s="111"/>
      <c r="N48" s="112"/>
    </row>
    <row r="49" spans="1:14" x14ac:dyDescent="0.2">
      <c r="A49" s="133"/>
      <c r="B49" s="106"/>
      <c r="C49" s="106"/>
      <c r="D49" s="106"/>
      <c r="E49" s="106"/>
      <c r="F49" s="106"/>
      <c r="G49" s="106"/>
      <c r="H49" s="106"/>
      <c r="I49" s="106"/>
      <c r="J49" s="106"/>
      <c r="K49" s="107" t="str">
        <f t="shared" si="1"/>
        <v/>
      </c>
      <c r="L49" s="108"/>
      <c r="M49" s="108"/>
      <c r="N49" s="109"/>
    </row>
    <row r="50" spans="1:14" x14ac:dyDescent="0.2">
      <c r="A50" s="134"/>
      <c r="B50" s="106"/>
      <c r="C50" s="106"/>
      <c r="D50" s="106"/>
      <c r="E50" s="106"/>
      <c r="F50" s="106"/>
      <c r="G50" s="106"/>
      <c r="H50" s="106"/>
      <c r="I50" s="106"/>
      <c r="J50" s="106"/>
      <c r="K50" s="110" t="str">
        <f t="shared" si="1"/>
        <v/>
      </c>
      <c r="L50" s="111"/>
      <c r="M50" s="111"/>
      <c r="N50" s="112"/>
    </row>
    <row r="51" spans="1:14" x14ac:dyDescent="0.2">
      <c r="A51" s="133"/>
      <c r="B51" s="106"/>
      <c r="C51" s="106"/>
      <c r="D51" s="106"/>
      <c r="E51" s="106"/>
      <c r="F51" s="106"/>
      <c r="G51" s="106"/>
      <c r="H51" s="106"/>
      <c r="I51" s="106"/>
      <c r="J51" s="106"/>
      <c r="K51" s="107" t="str">
        <f t="shared" si="1"/>
        <v/>
      </c>
      <c r="L51" s="108"/>
      <c r="M51" s="108"/>
      <c r="N51" s="109"/>
    </row>
    <row r="52" spans="1:14" x14ac:dyDescent="0.2">
      <c r="A52" s="134"/>
      <c r="B52" s="106"/>
      <c r="C52" s="106"/>
      <c r="D52" s="106"/>
      <c r="E52" s="106"/>
      <c r="F52" s="106"/>
      <c r="G52" s="106"/>
      <c r="H52" s="106"/>
      <c r="I52" s="106"/>
      <c r="J52" s="106"/>
      <c r="K52" s="110" t="str">
        <f t="shared" si="1"/>
        <v/>
      </c>
      <c r="L52" s="111"/>
      <c r="M52" s="111"/>
      <c r="N52" s="112"/>
    </row>
    <row r="53" spans="1:14" x14ac:dyDescent="0.2">
      <c r="A53" s="133"/>
      <c r="B53" s="106"/>
      <c r="C53" s="106"/>
      <c r="D53" s="106"/>
      <c r="E53" s="106"/>
      <c r="F53" s="106"/>
      <c r="G53" s="106"/>
      <c r="H53" s="106"/>
      <c r="I53" s="106"/>
      <c r="J53" s="106"/>
      <c r="K53" s="107" t="str">
        <f t="shared" si="1"/>
        <v/>
      </c>
      <c r="L53" s="108"/>
      <c r="M53" s="108"/>
      <c r="N53" s="109"/>
    </row>
    <row r="54" spans="1:14" x14ac:dyDescent="0.2">
      <c r="A54" s="134"/>
      <c r="B54" s="106"/>
      <c r="C54" s="106"/>
      <c r="D54" s="106"/>
      <c r="E54" s="106"/>
      <c r="F54" s="106"/>
      <c r="G54" s="106"/>
      <c r="H54" s="106"/>
      <c r="I54" s="106"/>
      <c r="J54" s="106"/>
      <c r="K54" s="110" t="str">
        <f t="shared" si="1"/>
        <v/>
      </c>
      <c r="L54" s="111"/>
      <c r="M54" s="111"/>
      <c r="N54" s="112"/>
    </row>
    <row r="55" spans="1:14" x14ac:dyDescent="0.2">
      <c r="A55" s="133"/>
      <c r="B55" s="106"/>
      <c r="C55" s="106"/>
      <c r="D55" s="106"/>
      <c r="E55" s="106"/>
      <c r="F55" s="106"/>
      <c r="G55" s="106"/>
      <c r="H55" s="106"/>
      <c r="I55" s="106"/>
      <c r="J55" s="106"/>
      <c r="K55" s="107" t="str">
        <f t="shared" si="1"/>
        <v/>
      </c>
      <c r="L55" s="108"/>
      <c r="M55" s="108"/>
      <c r="N55" s="109"/>
    </row>
    <row r="56" spans="1:14" x14ac:dyDescent="0.2">
      <c r="A56" s="134"/>
      <c r="B56" s="106"/>
      <c r="C56" s="106"/>
      <c r="D56" s="106"/>
      <c r="E56" s="106"/>
      <c r="F56" s="106"/>
      <c r="G56" s="106"/>
      <c r="H56" s="106"/>
      <c r="I56" s="106"/>
      <c r="J56" s="106"/>
      <c r="K56" s="110" t="str">
        <f t="shared" si="1"/>
        <v/>
      </c>
      <c r="L56" s="111"/>
      <c r="M56" s="111"/>
      <c r="N56" s="112"/>
    </row>
    <row r="57" spans="1:14" x14ac:dyDescent="0.2">
      <c r="A57" s="133"/>
      <c r="B57" s="106"/>
      <c r="C57" s="106"/>
      <c r="D57" s="106"/>
      <c r="E57" s="106"/>
      <c r="F57" s="106"/>
      <c r="G57" s="106"/>
      <c r="H57" s="106"/>
      <c r="I57" s="106"/>
      <c r="J57" s="106"/>
      <c r="K57" s="107" t="str">
        <f t="shared" si="1"/>
        <v/>
      </c>
      <c r="L57" s="108"/>
      <c r="M57" s="108"/>
      <c r="N57" s="109"/>
    </row>
    <row r="58" spans="1:14" x14ac:dyDescent="0.2">
      <c r="A58" s="134"/>
      <c r="B58" s="106"/>
      <c r="C58" s="106"/>
      <c r="D58" s="106"/>
      <c r="E58" s="106"/>
      <c r="F58" s="106"/>
      <c r="G58" s="106"/>
      <c r="H58" s="106"/>
      <c r="I58" s="106"/>
      <c r="J58" s="106"/>
      <c r="K58" s="110" t="str">
        <f t="shared" si="1"/>
        <v/>
      </c>
      <c r="L58" s="111"/>
      <c r="M58" s="111"/>
      <c r="N58" s="112"/>
    </row>
    <row r="59" spans="1:14" x14ac:dyDescent="0.2">
      <c r="A59" s="133"/>
      <c r="B59" s="106"/>
      <c r="C59" s="106"/>
      <c r="D59" s="106"/>
      <c r="E59" s="106"/>
      <c r="F59" s="106"/>
      <c r="G59" s="106"/>
      <c r="H59" s="106"/>
      <c r="I59" s="106"/>
      <c r="J59" s="106"/>
      <c r="K59" s="107" t="str">
        <f t="shared" si="1"/>
        <v/>
      </c>
      <c r="L59" s="108"/>
      <c r="M59" s="108"/>
      <c r="N59" s="109"/>
    </row>
    <row r="60" spans="1:14" x14ac:dyDescent="0.2">
      <c r="A60" s="134"/>
      <c r="B60" s="106"/>
      <c r="C60" s="106"/>
      <c r="D60" s="106"/>
      <c r="E60" s="106"/>
      <c r="F60" s="106"/>
      <c r="G60" s="106"/>
      <c r="H60" s="106"/>
      <c r="I60" s="106"/>
      <c r="J60" s="106"/>
      <c r="K60" s="110" t="str">
        <f t="shared" si="1"/>
        <v/>
      </c>
      <c r="L60" s="111"/>
      <c r="M60" s="111"/>
      <c r="N60" s="112"/>
    </row>
    <row r="61" spans="1:14" x14ac:dyDescent="0.2">
      <c r="A61" s="133"/>
      <c r="B61" s="106"/>
      <c r="C61" s="106"/>
      <c r="D61" s="106"/>
      <c r="E61" s="106"/>
      <c r="F61" s="106"/>
      <c r="G61" s="106"/>
      <c r="H61" s="106"/>
      <c r="I61" s="106"/>
      <c r="J61" s="106"/>
      <c r="K61" s="107" t="str">
        <f t="shared" si="1"/>
        <v/>
      </c>
      <c r="L61" s="108"/>
      <c r="M61" s="108"/>
      <c r="N61" s="109"/>
    </row>
    <row r="62" spans="1:14" x14ac:dyDescent="0.2">
      <c r="A62" s="134"/>
      <c r="B62" s="106"/>
      <c r="C62" s="106"/>
      <c r="D62" s="106"/>
      <c r="E62" s="106"/>
      <c r="F62" s="106"/>
      <c r="G62" s="106"/>
      <c r="H62" s="106"/>
      <c r="I62" s="106"/>
      <c r="J62" s="106"/>
      <c r="K62" s="110" t="str">
        <f t="shared" si="1"/>
        <v/>
      </c>
      <c r="L62" s="111"/>
      <c r="M62" s="111"/>
      <c r="N62" s="112"/>
    </row>
    <row r="63" spans="1:14" x14ac:dyDescent="0.2">
      <c r="A63" s="133"/>
      <c r="B63" s="106"/>
      <c r="C63" s="106"/>
      <c r="D63" s="106"/>
      <c r="E63" s="106"/>
      <c r="F63" s="106"/>
      <c r="G63" s="106"/>
      <c r="H63" s="106"/>
      <c r="I63" s="106"/>
      <c r="J63" s="106"/>
      <c r="K63" s="107" t="str">
        <f t="shared" si="1"/>
        <v/>
      </c>
      <c r="L63" s="108"/>
      <c r="M63" s="108"/>
      <c r="N63" s="109"/>
    </row>
    <row r="64" spans="1:14" x14ac:dyDescent="0.2">
      <c r="A64" s="134"/>
      <c r="B64" s="106"/>
      <c r="C64" s="106"/>
      <c r="D64" s="106"/>
      <c r="E64" s="106"/>
      <c r="F64" s="106"/>
      <c r="G64" s="106"/>
      <c r="H64" s="106"/>
      <c r="I64" s="106"/>
      <c r="J64" s="106"/>
      <c r="K64" s="110" t="str">
        <f t="shared" si="1"/>
        <v/>
      </c>
      <c r="L64" s="111"/>
      <c r="M64" s="111"/>
      <c r="N64" s="112"/>
    </row>
    <row r="65" spans="1:14" x14ac:dyDescent="0.2">
      <c r="A65" s="133"/>
      <c r="B65" s="106"/>
      <c r="C65" s="106"/>
      <c r="D65" s="106"/>
      <c r="E65" s="106"/>
      <c r="F65" s="106"/>
      <c r="G65" s="106"/>
      <c r="H65" s="106"/>
      <c r="I65" s="106"/>
      <c r="J65" s="106"/>
      <c r="K65" s="107" t="str">
        <f t="shared" si="1"/>
        <v/>
      </c>
      <c r="L65" s="108"/>
      <c r="M65" s="108"/>
      <c r="N65" s="109"/>
    </row>
    <row r="66" spans="1:14" x14ac:dyDescent="0.2">
      <c r="A66" s="134"/>
      <c r="B66" s="106"/>
      <c r="C66" s="106"/>
      <c r="D66" s="106"/>
      <c r="E66" s="106"/>
      <c r="F66" s="106"/>
      <c r="G66" s="106"/>
      <c r="H66" s="106"/>
      <c r="I66" s="106"/>
      <c r="J66" s="106"/>
      <c r="K66" s="110" t="str">
        <f t="shared" si="1"/>
        <v/>
      </c>
      <c r="L66" s="111"/>
      <c r="M66" s="111"/>
      <c r="N66" s="112"/>
    </row>
    <row r="67" spans="1:14" x14ac:dyDescent="0.2">
      <c r="A67" s="133"/>
      <c r="B67" s="106"/>
      <c r="C67" s="106"/>
      <c r="D67" s="106"/>
      <c r="E67" s="106"/>
      <c r="F67" s="106"/>
      <c r="G67" s="106"/>
      <c r="H67" s="106"/>
      <c r="I67" s="106"/>
      <c r="J67" s="106"/>
      <c r="K67" s="107" t="str">
        <f t="shared" si="1"/>
        <v/>
      </c>
      <c r="L67" s="108"/>
      <c r="M67" s="108"/>
      <c r="N67" s="109"/>
    </row>
    <row r="68" spans="1:14" x14ac:dyDescent="0.2">
      <c r="A68" s="134"/>
      <c r="B68" s="106"/>
      <c r="C68" s="106"/>
      <c r="D68" s="106"/>
      <c r="E68" s="106"/>
      <c r="F68" s="106"/>
      <c r="G68" s="106"/>
      <c r="H68" s="106"/>
      <c r="I68" s="106"/>
      <c r="J68" s="106"/>
      <c r="K68" s="110" t="str">
        <f t="shared" si="1"/>
        <v/>
      </c>
      <c r="L68" s="111"/>
      <c r="M68" s="111"/>
      <c r="N68" s="112"/>
    </row>
    <row r="69" spans="1:14" x14ac:dyDescent="0.2">
      <c r="A69" s="133"/>
      <c r="B69" s="106"/>
      <c r="C69" s="106"/>
      <c r="D69" s="106"/>
      <c r="E69" s="106"/>
      <c r="F69" s="106"/>
      <c r="G69" s="106"/>
      <c r="H69" s="106"/>
      <c r="I69" s="106"/>
      <c r="J69" s="106"/>
      <c r="K69" s="107" t="str">
        <f t="shared" si="1"/>
        <v/>
      </c>
      <c r="L69" s="108"/>
      <c r="M69" s="108"/>
      <c r="N69" s="109"/>
    </row>
    <row r="70" spans="1:14" x14ac:dyDescent="0.2">
      <c r="A70" s="134"/>
      <c r="B70" s="106"/>
      <c r="C70" s="106"/>
      <c r="D70" s="106"/>
      <c r="E70" s="106"/>
      <c r="F70" s="106"/>
      <c r="G70" s="106"/>
      <c r="H70" s="106"/>
      <c r="I70" s="106"/>
      <c r="J70" s="106"/>
      <c r="K70" s="110" t="str">
        <f t="shared" si="1"/>
        <v/>
      </c>
      <c r="L70" s="111"/>
      <c r="M70" s="111"/>
      <c r="N70" s="112"/>
    </row>
    <row r="71" spans="1:14" x14ac:dyDescent="0.2">
      <c r="A71" s="133"/>
      <c r="B71" s="106"/>
      <c r="C71" s="106"/>
      <c r="D71" s="106"/>
      <c r="E71" s="106"/>
      <c r="F71" s="106"/>
      <c r="G71" s="106"/>
      <c r="H71" s="106"/>
      <c r="I71" s="106"/>
      <c r="J71" s="106"/>
      <c r="K71" s="107" t="str">
        <f t="shared" ref="K71:K102" si="2">IF($A71="","",N($B71)*1000+N($C71)*500+N($D71)*100+N($E71)*50+N($F71)*20+N($G71)*10+N($H71)*5+N($I71)*2+N($J71)*1)</f>
        <v/>
      </c>
      <c r="L71" s="108"/>
      <c r="M71" s="108"/>
      <c r="N71" s="109"/>
    </row>
    <row r="72" spans="1:14" x14ac:dyDescent="0.2">
      <c r="A72" s="134"/>
      <c r="B72" s="106"/>
      <c r="C72" s="106"/>
      <c r="D72" s="106"/>
      <c r="E72" s="106"/>
      <c r="F72" s="106"/>
      <c r="G72" s="106"/>
      <c r="H72" s="106"/>
      <c r="I72" s="106"/>
      <c r="J72" s="106"/>
      <c r="K72" s="110" t="str">
        <f t="shared" si="2"/>
        <v/>
      </c>
      <c r="L72" s="111"/>
      <c r="M72" s="111"/>
      <c r="N72" s="112"/>
    </row>
    <row r="73" spans="1:14" x14ac:dyDescent="0.2">
      <c r="A73" s="133"/>
      <c r="B73" s="106"/>
      <c r="C73" s="106"/>
      <c r="D73" s="106"/>
      <c r="E73" s="106"/>
      <c r="F73" s="106"/>
      <c r="G73" s="106"/>
      <c r="H73" s="106"/>
      <c r="I73" s="106"/>
      <c r="J73" s="106"/>
      <c r="K73" s="107" t="str">
        <f t="shared" si="2"/>
        <v/>
      </c>
      <c r="L73" s="108"/>
      <c r="M73" s="108"/>
      <c r="N73" s="109"/>
    </row>
    <row r="74" spans="1:14" x14ac:dyDescent="0.2">
      <c r="A74" s="134"/>
      <c r="B74" s="106"/>
      <c r="C74" s="106"/>
      <c r="D74" s="106"/>
      <c r="E74" s="106"/>
      <c r="F74" s="106"/>
      <c r="G74" s="106"/>
      <c r="H74" s="106"/>
      <c r="I74" s="106"/>
      <c r="J74" s="106"/>
      <c r="K74" s="110" t="str">
        <f t="shared" si="2"/>
        <v/>
      </c>
      <c r="L74" s="111"/>
      <c r="M74" s="111"/>
      <c r="N74" s="112"/>
    </row>
    <row r="75" spans="1:14" x14ac:dyDescent="0.2">
      <c r="A75" s="133"/>
      <c r="B75" s="106"/>
      <c r="C75" s="106"/>
      <c r="D75" s="106"/>
      <c r="E75" s="106"/>
      <c r="F75" s="106"/>
      <c r="G75" s="106"/>
      <c r="H75" s="106"/>
      <c r="I75" s="106"/>
      <c r="J75" s="106"/>
      <c r="K75" s="107" t="str">
        <f t="shared" si="2"/>
        <v/>
      </c>
      <c r="L75" s="108"/>
      <c r="M75" s="108"/>
      <c r="N75" s="109"/>
    </row>
    <row r="76" spans="1:14" x14ac:dyDescent="0.2">
      <c r="A76" s="134"/>
      <c r="B76" s="106"/>
      <c r="C76" s="106"/>
      <c r="D76" s="106"/>
      <c r="E76" s="106"/>
      <c r="F76" s="106"/>
      <c r="G76" s="106"/>
      <c r="H76" s="106"/>
      <c r="I76" s="106"/>
      <c r="J76" s="106"/>
      <c r="K76" s="110" t="str">
        <f t="shared" si="2"/>
        <v/>
      </c>
      <c r="L76" s="111"/>
      <c r="M76" s="111"/>
      <c r="N76" s="112"/>
    </row>
    <row r="77" spans="1:14" x14ac:dyDescent="0.2">
      <c r="A77" s="133"/>
      <c r="B77" s="106"/>
      <c r="C77" s="106"/>
      <c r="D77" s="106"/>
      <c r="E77" s="106"/>
      <c r="F77" s="106"/>
      <c r="G77" s="106"/>
      <c r="H77" s="106"/>
      <c r="I77" s="106"/>
      <c r="J77" s="106"/>
      <c r="K77" s="107" t="str">
        <f t="shared" si="2"/>
        <v/>
      </c>
      <c r="L77" s="108"/>
      <c r="M77" s="108"/>
      <c r="N77" s="109"/>
    </row>
    <row r="78" spans="1:14" x14ac:dyDescent="0.2">
      <c r="A78" s="134"/>
      <c r="B78" s="106"/>
      <c r="C78" s="106"/>
      <c r="D78" s="106"/>
      <c r="E78" s="106"/>
      <c r="F78" s="106"/>
      <c r="G78" s="106"/>
      <c r="H78" s="106"/>
      <c r="I78" s="106"/>
      <c r="J78" s="106"/>
      <c r="K78" s="110" t="str">
        <f t="shared" si="2"/>
        <v/>
      </c>
      <c r="L78" s="111"/>
      <c r="M78" s="111"/>
      <c r="N78" s="112"/>
    </row>
    <row r="79" spans="1:14" x14ac:dyDescent="0.2">
      <c r="A79" s="133"/>
      <c r="B79" s="106"/>
      <c r="C79" s="106"/>
      <c r="D79" s="106"/>
      <c r="E79" s="106"/>
      <c r="F79" s="106"/>
      <c r="G79" s="106"/>
      <c r="H79" s="106"/>
      <c r="I79" s="106"/>
      <c r="J79" s="106"/>
      <c r="K79" s="107" t="str">
        <f t="shared" si="2"/>
        <v/>
      </c>
      <c r="L79" s="108"/>
      <c r="M79" s="108"/>
      <c r="N79" s="109"/>
    </row>
    <row r="80" spans="1:14" x14ac:dyDescent="0.2">
      <c r="A80" s="134"/>
      <c r="B80" s="106"/>
      <c r="C80" s="106"/>
      <c r="D80" s="106"/>
      <c r="E80" s="106"/>
      <c r="F80" s="106"/>
      <c r="G80" s="106"/>
      <c r="H80" s="106"/>
      <c r="I80" s="106"/>
      <c r="J80" s="106"/>
      <c r="K80" s="110" t="str">
        <f t="shared" si="2"/>
        <v/>
      </c>
      <c r="L80" s="111"/>
      <c r="M80" s="111"/>
      <c r="N80" s="112"/>
    </row>
    <row r="81" spans="1:14" x14ac:dyDescent="0.2">
      <c r="A81" s="133"/>
      <c r="B81" s="106"/>
      <c r="C81" s="106"/>
      <c r="D81" s="106"/>
      <c r="E81" s="106"/>
      <c r="F81" s="106"/>
      <c r="G81" s="106"/>
      <c r="H81" s="106"/>
      <c r="I81" s="106"/>
      <c r="J81" s="106"/>
      <c r="K81" s="107" t="str">
        <f t="shared" si="2"/>
        <v/>
      </c>
      <c r="L81" s="108"/>
      <c r="M81" s="108"/>
      <c r="N81" s="109"/>
    </row>
    <row r="82" spans="1:14" x14ac:dyDescent="0.2">
      <c r="A82" s="134"/>
      <c r="B82" s="106"/>
      <c r="C82" s="106"/>
      <c r="D82" s="106"/>
      <c r="E82" s="106"/>
      <c r="F82" s="106"/>
      <c r="G82" s="106"/>
      <c r="H82" s="106"/>
      <c r="I82" s="106"/>
      <c r="J82" s="106"/>
      <c r="K82" s="110" t="str">
        <f t="shared" si="2"/>
        <v/>
      </c>
      <c r="L82" s="111"/>
      <c r="M82" s="111"/>
      <c r="N82" s="112"/>
    </row>
    <row r="83" spans="1:14" x14ac:dyDescent="0.2">
      <c r="A83" s="133"/>
      <c r="B83" s="106"/>
      <c r="C83" s="106"/>
      <c r="D83" s="106"/>
      <c r="E83" s="106"/>
      <c r="F83" s="106"/>
      <c r="G83" s="106"/>
      <c r="H83" s="106"/>
      <c r="I83" s="106"/>
      <c r="J83" s="106"/>
      <c r="K83" s="107" t="str">
        <f t="shared" si="2"/>
        <v/>
      </c>
      <c r="L83" s="108"/>
      <c r="M83" s="108"/>
      <c r="N83" s="109"/>
    </row>
    <row r="84" spans="1:14" x14ac:dyDescent="0.2">
      <c r="A84" s="134"/>
      <c r="B84" s="106"/>
      <c r="C84" s="106"/>
      <c r="D84" s="106"/>
      <c r="E84" s="106"/>
      <c r="F84" s="106"/>
      <c r="G84" s="106"/>
      <c r="H84" s="106"/>
      <c r="I84" s="106"/>
      <c r="J84" s="106"/>
      <c r="K84" s="110" t="str">
        <f t="shared" si="2"/>
        <v/>
      </c>
      <c r="L84" s="111"/>
      <c r="M84" s="111"/>
      <c r="N84" s="112"/>
    </row>
    <row r="85" spans="1:14" x14ac:dyDescent="0.2">
      <c r="A85" s="133"/>
      <c r="B85" s="106"/>
      <c r="C85" s="106"/>
      <c r="D85" s="106"/>
      <c r="E85" s="106"/>
      <c r="F85" s="106"/>
      <c r="G85" s="106"/>
      <c r="H85" s="106"/>
      <c r="I85" s="106"/>
      <c r="J85" s="106"/>
      <c r="K85" s="107" t="str">
        <f t="shared" si="2"/>
        <v/>
      </c>
      <c r="L85" s="108"/>
      <c r="M85" s="108"/>
      <c r="N85" s="109"/>
    </row>
    <row r="86" spans="1:14" x14ac:dyDescent="0.2">
      <c r="A86" s="134"/>
      <c r="B86" s="106"/>
      <c r="C86" s="106"/>
      <c r="D86" s="106"/>
      <c r="E86" s="106"/>
      <c r="F86" s="106"/>
      <c r="G86" s="106"/>
      <c r="H86" s="106"/>
      <c r="I86" s="106"/>
      <c r="J86" s="106"/>
      <c r="K86" s="110" t="str">
        <f t="shared" si="2"/>
        <v/>
      </c>
      <c r="L86" s="111"/>
      <c r="M86" s="111"/>
      <c r="N86" s="112"/>
    </row>
    <row r="87" spans="1:14" x14ac:dyDescent="0.2">
      <c r="A87" s="133"/>
      <c r="B87" s="106"/>
      <c r="C87" s="106"/>
      <c r="D87" s="106"/>
      <c r="E87" s="106"/>
      <c r="F87" s="106"/>
      <c r="G87" s="106"/>
      <c r="H87" s="106"/>
      <c r="I87" s="106"/>
      <c r="J87" s="106"/>
      <c r="K87" s="107" t="str">
        <f t="shared" si="2"/>
        <v/>
      </c>
      <c r="L87" s="108"/>
      <c r="M87" s="108"/>
      <c r="N87" s="109"/>
    </row>
    <row r="88" spans="1:14" x14ac:dyDescent="0.2">
      <c r="A88" s="134"/>
      <c r="B88" s="106"/>
      <c r="C88" s="106"/>
      <c r="D88" s="106"/>
      <c r="E88" s="106"/>
      <c r="F88" s="106"/>
      <c r="G88" s="106"/>
      <c r="H88" s="106"/>
      <c r="I88" s="106"/>
      <c r="J88" s="106"/>
      <c r="K88" s="110" t="str">
        <f t="shared" si="2"/>
        <v/>
      </c>
      <c r="L88" s="111"/>
      <c r="M88" s="111"/>
      <c r="N88" s="112"/>
    </row>
    <row r="89" spans="1:14" x14ac:dyDescent="0.2">
      <c r="A89" s="133"/>
      <c r="B89" s="106"/>
      <c r="C89" s="106"/>
      <c r="D89" s="106"/>
      <c r="E89" s="106"/>
      <c r="F89" s="106"/>
      <c r="G89" s="106"/>
      <c r="H89" s="106"/>
      <c r="I89" s="106"/>
      <c r="J89" s="106"/>
      <c r="K89" s="107" t="str">
        <f t="shared" si="2"/>
        <v/>
      </c>
      <c r="L89" s="108"/>
      <c r="M89" s="108"/>
      <c r="N89" s="109"/>
    </row>
    <row r="90" spans="1:14" x14ac:dyDescent="0.2">
      <c r="A90" s="134"/>
      <c r="B90" s="106"/>
      <c r="C90" s="106"/>
      <c r="D90" s="106"/>
      <c r="E90" s="106"/>
      <c r="F90" s="106"/>
      <c r="G90" s="106"/>
      <c r="H90" s="106"/>
      <c r="I90" s="106"/>
      <c r="J90" s="106"/>
      <c r="K90" s="110" t="str">
        <f t="shared" si="2"/>
        <v/>
      </c>
      <c r="L90" s="111"/>
      <c r="M90" s="111"/>
      <c r="N90" s="112"/>
    </row>
    <row r="91" spans="1:14" x14ac:dyDescent="0.2">
      <c r="A91" s="133"/>
      <c r="B91" s="106"/>
      <c r="C91" s="106"/>
      <c r="D91" s="106"/>
      <c r="E91" s="106"/>
      <c r="F91" s="106"/>
      <c r="G91" s="106"/>
      <c r="H91" s="106"/>
      <c r="I91" s="106"/>
      <c r="J91" s="106"/>
      <c r="K91" s="107" t="str">
        <f t="shared" si="2"/>
        <v/>
      </c>
      <c r="L91" s="108"/>
      <c r="M91" s="108"/>
      <c r="N91" s="109"/>
    </row>
    <row r="92" spans="1:14" x14ac:dyDescent="0.2">
      <c r="A92" s="134"/>
      <c r="B92" s="106"/>
      <c r="C92" s="106"/>
      <c r="D92" s="106"/>
      <c r="E92" s="106"/>
      <c r="F92" s="106"/>
      <c r="G92" s="106"/>
      <c r="H92" s="106"/>
      <c r="I92" s="106"/>
      <c r="J92" s="106"/>
      <c r="K92" s="110" t="str">
        <f t="shared" si="2"/>
        <v/>
      </c>
      <c r="L92" s="111"/>
      <c r="M92" s="111"/>
      <c r="N92" s="112"/>
    </row>
    <row r="93" spans="1:14" x14ac:dyDescent="0.2">
      <c r="A93" s="133"/>
      <c r="B93" s="106"/>
      <c r="C93" s="106"/>
      <c r="D93" s="106"/>
      <c r="E93" s="106"/>
      <c r="F93" s="106"/>
      <c r="G93" s="106"/>
      <c r="H93" s="106"/>
      <c r="I93" s="106"/>
      <c r="J93" s="106"/>
      <c r="K93" s="107" t="str">
        <f t="shared" si="2"/>
        <v/>
      </c>
      <c r="L93" s="108"/>
      <c r="M93" s="108"/>
      <c r="N93" s="109"/>
    </row>
    <row r="94" spans="1:14" x14ac:dyDescent="0.2">
      <c r="A94" s="134"/>
      <c r="B94" s="106"/>
      <c r="C94" s="106"/>
      <c r="D94" s="106"/>
      <c r="E94" s="106"/>
      <c r="F94" s="106"/>
      <c r="G94" s="106"/>
      <c r="H94" s="106"/>
      <c r="I94" s="106"/>
      <c r="J94" s="106"/>
      <c r="K94" s="110" t="str">
        <f t="shared" si="2"/>
        <v/>
      </c>
      <c r="L94" s="111"/>
      <c r="M94" s="111"/>
      <c r="N94" s="112"/>
    </row>
    <row r="95" spans="1:14" x14ac:dyDescent="0.2">
      <c r="A95" s="133"/>
      <c r="B95" s="106"/>
      <c r="C95" s="106"/>
      <c r="D95" s="106"/>
      <c r="E95" s="106"/>
      <c r="F95" s="106"/>
      <c r="G95" s="106"/>
      <c r="H95" s="106"/>
      <c r="I95" s="106"/>
      <c r="J95" s="106"/>
      <c r="K95" s="107" t="str">
        <f t="shared" si="2"/>
        <v/>
      </c>
      <c r="L95" s="108"/>
      <c r="M95" s="108"/>
      <c r="N95" s="109"/>
    </row>
    <row r="96" spans="1:14" x14ac:dyDescent="0.2">
      <c r="A96" s="134"/>
      <c r="B96" s="106"/>
      <c r="C96" s="106"/>
      <c r="D96" s="106"/>
      <c r="E96" s="106"/>
      <c r="F96" s="106"/>
      <c r="G96" s="106"/>
      <c r="H96" s="106"/>
      <c r="I96" s="106"/>
      <c r="J96" s="106"/>
      <c r="K96" s="110" t="str">
        <f t="shared" si="2"/>
        <v/>
      </c>
      <c r="L96" s="111"/>
      <c r="M96" s="111"/>
      <c r="N96" s="112"/>
    </row>
    <row r="97" spans="1:14" x14ac:dyDescent="0.2">
      <c r="A97" s="133"/>
      <c r="B97" s="106"/>
      <c r="C97" s="106"/>
      <c r="D97" s="106"/>
      <c r="E97" s="106"/>
      <c r="F97" s="106"/>
      <c r="G97" s="106"/>
      <c r="H97" s="106"/>
      <c r="I97" s="106"/>
      <c r="J97" s="106"/>
      <c r="K97" s="107" t="str">
        <f t="shared" si="2"/>
        <v/>
      </c>
      <c r="L97" s="108"/>
      <c r="M97" s="108"/>
      <c r="N97" s="109"/>
    </row>
    <row r="98" spans="1:14" x14ac:dyDescent="0.2">
      <c r="A98" s="134"/>
      <c r="B98" s="106"/>
      <c r="C98" s="106"/>
      <c r="D98" s="106"/>
      <c r="E98" s="106"/>
      <c r="F98" s="106"/>
      <c r="G98" s="106"/>
      <c r="H98" s="106"/>
      <c r="I98" s="106"/>
      <c r="J98" s="106"/>
      <c r="K98" s="110" t="str">
        <f t="shared" si="2"/>
        <v/>
      </c>
      <c r="L98" s="111"/>
      <c r="M98" s="111"/>
      <c r="N98" s="112"/>
    </row>
    <row r="99" spans="1:14" x14ac:dyDescent="0.2">
      <c r="A99" s="133"/>
      <c r="B99" s="106"/>
      <c r="C99" s="106"/>
      <c r="D99" s="106"/>
      <c r="E99" s="106"/>
      <c r="F99" s="106"/>
      <c r="G99" s="106"/>
      <c r="H99" s="106"/>
      <c r="I99" s="106"/>
      <c r="J99" s="106"/>
      <c r="K99" s="107" t="str">
        <f t="shared" si="2"/>
        <v/>
      </c>
      <c r="L99" s="108"/>
      <c r="M99" s="108"/>
      <c r="N99" s="109"/>
    </row>
    <row r="100" spans="1:14" x14ac:dyDescent="0.2">
      <c r="A100" s="134"/>
      <c r="B100" s="106"/>
      <c r="C100" s="106"/>
      <c r="D100" s="106"/>
      <c r="E100" s="106"/>
      <c r="F100" s="106"/>
      <c r="G100" s="106"/>
      <c r="H100" s="106"/>
      <c r="I100" s="106"/>
      <c r="J100" s="106"/>
      <c r="K100" s="110" t="str">
        <f t="shared" si="2"/>
        <v/>
      </c>
      <c r="L100" s="111"/>
      <c r="M100" s="111"/>
      <c r="N100" s="112"/>
    </row>
    <row r="101" spans="1:14" x14ac:dyDescent="0.2">
      <c r="A101" s="133"/>
      <c r="B101" s="106"/>
      <c r="C101" s="106"/>
      <c r="D101" s="106"/>
      <c r="E101" s="106"/>
      <c r="F101" s="106"/>
      <c r="G101" s="106"/>
      <c r="H101" s="106"/>
      <c r="I101" s="106"/>
      <c r="J101" s="106"/>
      <c r="K101" s="107" t="str">
        <f t="shared" si="2"/>
        <v/>
      </c>
      <c r="L101" s="108"/>
      <c r="M101" s="108"/>
      <c r="N101" s="109"/>
    </row>
    <row r="102" spans="1:14" x14ac:dyDescent="0.2">
      <c r="A102" s="134"/>
      <c r="B102" s="106"/>
      <c r="C102" s="106"/>
      <c r="D102" s="106"/>
      <c r="E102" s="106"/>
      <c r="F102" s="106"/>
      <c r="G102" s="106"/>
      <c r="H102" s="106"/>
      <c r="I102" s="106"/>
      <c r="J102" s="106"/>
      <c r="K102" s="110" t="str">
        <f t="shared" si="2"/>
        <v/>
      </c>
      <c r="L102" s="111"/>
      <c r="M102" s="111"/>
      <c r="N102" s="112"/>
    </row>
    <row r="103" spans="1:14" x14ac:dyDescent="0.2">
      <c r="A103" s="133"/>
      <c r="B103" s="106"/>
      <c r="C103" s="106"/>
      <c r="D103" s="106"/>
      <c r="E103" s="106"/>
      <c r="F103" s="106"/>
      <c r="G103" s="106"/>
      <c r="H103" s="106"/>
      <c r="I103" s="106"/>
      <c r="J103" s="106"/>
      <c r="K103" s="107" t="str">
        <f t="shared" ref="K103:K134" si="3">IF($A103="","",N($B103)*1000+N($C103)*500+N($D103)*100+N($E103)*50+N($F103)*20+N($G103)*10+N($H103)*5+N($I103)*2+N($J103)*1)</f>
        <v/>
      </c>
      <c r="L103" s="108"/>
      <c r="M103" s="108"/>
      <c r="N103" s="109"/>
    </row>
    <row r="104" spans="1:14" x14ac:dyDescent="0.2">
      <c r="A104" s="134"/>
      <c r="B104" s="106"/>
      <c r="C104" s="106"/>
      <c r="D104" s="106"/>
      <c r="E104" s="106"/>
      <c r="F104" s="106"/>
      <c r="G104" s="106"/>
      <c r="H104" s="106"/>
      <c r="I104" s="106"/>
      <c r="J104" s="106"/>
      <c r="K104" s="110" t="str">
        <f t="shared" si="3"/>
        <v/>
      </c>
      <c r="L104" s="111"/>
      <c r="M104" s="111"/>
      <c r="N104" s="112"/>
    </row>
    <row r="105" spans="1:14" x14ac:dyDescent="0.2">
      <c r="A105" s="133"/>
      <c r="B105" s="106"/>
      <c r="C105" s="106"/>
      <c r="D105" s="106"/>
      <c r="E105" s="106"/>
      <c r="F105" s="106"/>
      <c r="G105" s="106"/>
      <c r="H105" s="106"/>
      <c r="I105" s="106"/>
      <c r="J105" s="106"/>
      <c r="K105" s="107" t="str">
        <f t="shared" si="3"/>
        <v/>
      </c>
      <c r="L105" s="108"/>
      <c r="M105" s="108"/>
      <c r="N105" s="109"/>
    </row>
    <row r="106" spans="1:14" x14ac:dyDescent="0.2">
      <c r="A106" s="134"/>
      <c r="B106" s="106"/>
      <c r="C106" s="106"/>
      <c r="D106" s="106"/>
      <c r="E106" s="106"/>
      <c r="F106" s="106"/>
      <c r="G106" s="106"/>
      <c r="H106" s="106"/>
      <c r="I106" s="106"/>
      <c r="J106" s="106"/>
      <c r="K106" s="110" t="str">
        <f t="shared" si="3"/>
        <v/>
      </c>
      <c r="L106" s="111"/>
      <c r="M106" s="111"/>
      <c r="N106" s="112"/>
    </row>
    <row r="107" spans="1:14" x14ac:dyDescent="0.2">
      <c r="A107" s="133"/>
      <c r="B107" s="106"/>
      <c r="C107" s="106"/>
      <c r="D107" s="106"/>
      <c r="E107" s="106"/>
      <c r="F107" s="106"/>
      <c r="G107" s="106"/>
      <c r="H107" s="106"/>
      <c r="I107" s="106"/>
      <c r="J107" s="106"/>
      <c r="K107" s="107" t="str">
        <f t="shared" si="3"/>
        <v/>
      </c>
      <c r="L107" s="108"/>
      <c r="M107" s="108"/>
      <c r="N107" s="109"/>
    </row>
    <row r="108" spans="1:14" x14ac:dyDescent="0.2">
      <c r="A108" s="134"/>
      <c r="B108" s="106"/>
      <c r="C108" s="106"/>
      <c r="D108" s="106"/>
      <c r="E108" s="106"/>
      <c r="F108" s="106"/>
      <c r="G108" s="106"/>
      <c r="H108" s="106"/>
      <c r="I108" s="106"/>
      <c r="J108" s="106"/>
      <c r="K108" s="110" t="str">
        <f t="shared" si="3"/>
        <v/>
      </c>
      <c r="L108" s="111"/>
      <c r="M108" s="111"/>
      <c r="N108" s="112"/>
    </row>
    <row r="109" spans="1:14" x14ac:dyDescent="0.2">
      <c r="A109" s="133"/>
      <c r="B109" s="106"/>
      <c r="C109" s="106"/>
      <c r="D109" s="106"/>
      <c r="E109" s="106"/>
      <c r="F109" s="106"/>
      <c r="G109" s="106"/>
      <c r="H109" s="106"/>
      <c r="I109" s="106"/>
      <c r="J109" s="106"/>
      <c r="K109" s="107" t="str">
        <f t="shared" si="3"/>
        <v/>
      </c>
      <c r="L109" s="108"/>
      <c r="M109" s="108"/>
      <c r="N109" s="109"/>
    </row>
    <row r="110" spans="1:14" x14ac:dyDescent="0.2">
      <c r="A110" s="134"/>
      <c r="B110" s="106"/>
      <c r="C110" s="106"/>
      <c r="D110" s="106"/>
      <c r="E110" s="106"/>
      <c r="F110" s="106"/>
      <c r="G110" s="106"/>
      <c r="H110" s="106"/>
      <c r="I110" s="106"/>
      <c r="J110" s="106"/>
      <c r="K110" s="110" t="str">
        <f t="shared" si="3"/>
        <v/>
      </c>
      <c r="L110" s="111"/>
      <c r="M110" s="111"/>
      <c r="N110" s="112"/>
    </row>
    <row r="111" spans="1:14" x14ac:dyDescent="0.2">
      <c r="A111" s="133"/>
      <c r="B111" s="106"/>
      <c r="C111" s="106"/>
      <c r="D111" s="106"/>
      <c r="E111" s="106"/>
      <c r="F111" s="106"/>
      <c r="G111" s="106"/>
      <c r="H111" s="106"/>
      <c r="I111" s="106"/>
      <c r="J111" s="106"/>
      <c r="K111" s="107" t="str">
        <f t="shared" si="3"/>
        <v/>
      </c>
      <c r="L111" s="108"/>
      <c r="M111" s="108"/>
      <c r="N111" s="109"/>
    </row>
    <row r="112" spans="1:14" x14ac:dyDescent="0.2">
      <c r="A112" s="134"/>
      <c r="B112" s="106"/>
      <c r="C112" s="106"/>
      <c r="D112" s="106"/>
      <c r="E112" s="106"/>
      <c r="F112" s="106"/>
      <c r="G112" s="106"/>
      <c r="H112" s="106"/>
      <c r="I112" s="106"/>
      <c r="J112" s="106"/>
      <c r="K112" s="110" t="str">
        <f t="shared" si="3"/>
        <v/>
      </c>
      <c r="L112" s="111"/>
      <c r="M112" s="111"/>
      <c r="N112" s="112"/>
    </row>
    <row r="113" spans="1:14" x14ac:dyDescent="0.2">
      <c r="A113" s="133"/>
      <c r="B113" s="106"/>
      <c r="C113" s="106"/>
      <c r="D113" s="106"/>
      <c r="E113" s="106"/>
      <c r="F113" s="106"/>
      <c r="G113" s="106"/>
      <c r="H113" s="106"/>
      <c r="I113" s="106"/>
      <c r="J113" s="106"/>
      <c r="K113" s="107" t="str">
        <f t="shared" si="3"/>
        <v/>
      </c>
      <c r="L113" s="108"/>
      <c r="M113" s="108"/>
      <c r="N113" s="109"/>
    </row>
    <row r="114" spans="1:14" x14ac:dyDescent="0.2">
      <c r="A114" s="134"/>
      <c r="B114" s="106"/>
      <c r="C114" s="106"/>
      <c r="D114" s="106"/>
      <c r="E114" s="106"/>
      <c r="F114" s="106"/>
      <c r="G114" s="106"/>
      <c r="H114" s="106"/>
      <c r="I114" s="106"/>
      <c r="J114" s="106"/>
      <c r="K114" s="110" t="str">
        <f t="shared" si="3"/>
        <v/>
      </c>
      <c r="L114" s="111"/>
      <c r="M114" s="111"/>
      <c r="N114" s="112"/>
    </row>
    <row r="115" spans="1:14" x14ac:dyDescent="0.2">
      <c r="A115" s="133"/>
      <c r="B115" s="106"/>
      <c r="C115" s="106"/>
      <c r="D115" s="106"/>
      <c r="E115" s="106"/>
      <c r="F115" s="106"/>
      <c r="G115" s="106"/>
      <c r="H115" s="106"/>
      <c r="I115" s="106"/>
      <c r="J115" s="106"/>
      <c r="K115" s="107" t="str">
        <f t="shared" si="3"/>
        <v/>
      </c>
      <c r="L115" s="108"/>
      <c r="M115" s="108"/>
      <c r="N115" s="109"/>
    </row>
    <row r="116" spans="1:14" x14ac:dyDescent="0.2">
      <c r="A116" s="134"/>
      <c r="B116" s="106"/>
      <c r="C116" s="106"/>
      <c r="D116" s="106"/>
      <c r="E116" s="106"/>
      <c r="F116" s="106"/>
      <c r="G116" s="106"/>
      <c r="H116" s="106"/>
      <c r="I116" s="106"/>
      <c r="J116" s="106"/>
      <c r="K116" s="110" t="str">
        <f t="shared" si="3"/>
        <v/>
      </c>
      <c r="L116" s="111"/>
      <c r="M116" s="111"/>
      <c r="N116" s="112"/>
    </row>
    <row r="117" spans="1:14" x14ac:dyDescent="0.2">
      <c r="A117" s="133"/>
      <c r="B117" s="106"/>
      <c r="C117" s="106"/>
      <c r="D117" s="106"/>
      <c r="E117" s="106"/>
      <c r="F117" s="106"/>
      <c r="G117" s="106"/>
      <c r="H117" s="106"/>
      <c r="I117" s="106"/>
      <c r="J117" s="106"/>
      <c r="K117" s="107" t="str">
        <f t="shared" si="3"/>
        <v/>
      </c>
      <c r="L117" s="108"/>
      <c r="M117" s="108"/>
      <c r="N117" s="109"/>
    </row>
    <row r="118" spans="1:14" x14ac:dyDescent="0.2">
      <c r="A118" s="134"/>
      <c r="B118" s="106"/>
      <c r="C118" s="106"/>
      <c r="D118" s="106"/>
      <c r="E118" s="106"/>
      <c r="F118" s="106"/>
      <c r="G118" s="106"/>
      <c r="H118" s="106"/>
      <c r="I118" s="106"/>
      <c r="J118" s="106"/>
      <c r="K118" s="110" t="str">
        <f t="shared" si="3"/>
        <v/>
      </c>
      <c r="L118" s="111"/>
      <c r="M118" s="111"/>
      <c r="N118" s="112"/>
    </row>
    <row r="119" spans="1:14" x14ac:dyDescent="0.2">
      <c r="A119" s="133"/>
      <c r="B119" s="106"/>
      <c r="C119" s="106"/>
      <c r="D119" s="106"/>
      <c r="E119" s="106"/>
      <c r="F119" s="106"/>
      <c r="G119" s="106"/>
      <c r="H119" s="106"/>
      <c r="I119" s="106"/>
      <c r="J119" s="106"/>
      <c r="K119" s="107" t="str">
        <f t="shared" si="3"/>
        <v/>
      </c>
      <c r="L119" s="108"/>
      <c r="M119" s="108"/>
      <c r="N119" s="109"/>
    </row>
    <row r="120" spans="1:14" x14ac:dyDescent="0.2">
      <c r="A120" s="134"/>
      <c r="B120" s="106"/>
      <c r="C120" s="106"/>
      <c r="D120" s="106"/>
      <c r="E120" s="106"/>
      <c r="F120" s="106"/>
      <c r="G120" s="106"/>
      <c r="H120" s="106"/>
      <c r="I120" s="106"/>
      <c r="J120" s="106"/>
      <c r="K120" s="110" t="str">
        <f t="shared" si="3"/>
        <v/>
      </c>
      <c r="L120" s="111"/>
      <c r="M120" s="111"/>
      <c r="N120" s="112"/>
    </row>
    <row r="121" spans="1:14" x14ac:dyDescent="0.2">
      <c r="A121" s="133"/>
      <c r="B121" s="106"/>
      <c r="C121" s="106"/>
      <c r="D121" s="106"/>
      <c r="E121" s="106"/>
      <c r="F121" s="106"/>
      <c r="G121" s="106"/>
      <c r="H121" s="106"/>
      <c r="I121" s="106"/>
      <c r="J121" s="106"/>
      <c r="K121" s="107" t="str">
        <f t="shared" si="3"/>
        <v/>
      </c>
      <c r="L121" s="108"/>
      <c r="M121" s="108"/>
      <c r="N121" s="109"/>
    </row>
    <row r="122" spans="1:14" x14ac:dyDescent="0.2">
      <c r="A122" s="134"/>
      <c r="B122" s="106"/>
      <c r="C122" s="106"/>
      <c r="D122" s="106"/>
      <c r="E122" s="106"/>
      <c r="F122" s="106"/>
      <c r="G122" s="106"/>
      <c r="H122" s="106"/>
      <c r="I122" s="106"/>
      <c r="J122" s="106"/>
      <c r="K122" s="110" t="str">
        <f t="shared" si="3"/>
        <v/>
      </c>
      <c r="L122" s="111"/>
      <c r="M122" s="111"/>
      <c r="N122" s="112"/>
    </row>
    <row r="123" spans="1:14" x14ac:dyDescent="0.2">
      <c r="A123" s="133"/>
      <c r="B123" s="106"/>
      <c r="C123" s="106"/>
      <c r="D123" s="106"/>
      <c r="E123" s="106"/>
      <c r="F123" s="106"/>
      <c r="G123" s="106"/>
      <c r="H123" s="106"/>
      <c r="I123" s="106"/>
      <c r="J123" s="106"/>
      <c r="K123" s="107" t="str">
        <f t="shared" si="3"/>
        <v/>
      </c>
      <c r="L123" s="108"/>
      <c r="M123" s="108"/>
      <c r="N123" s="109"/>
    </row>
    <row r="124" spans="1:14" x14ac:dyDescent="0.2">
      <c r="A124" s="134"/>
      <c r="B124" s="106"/>
      <c r="C124" s="106"/>
      <c r="D124" s="106"/>
      <c r="E124" s="106"/>
      <c r="F124" s="106"/>
      <c r="G124" s="106"/>
      <c r="H124" s="106"/>
      <c r="I124" s="106"/>
      <c r="J124" s="106"/>
      <c r="K124" s="110" t="str">
        <f t="shared" si="3"/>
        <v/>
      </c>
      <c r="L124" s="111"/>
      <c r="M124" s="111"/>
      <c r="N124" s="112"/>
    </row>
    <row r="125" spans="1:14" x14ac:dyDescent="0.2">
      <c r="A125" s="133"/>
      <c r="B125" s="106"/>
      <c r="C125" s="106"/>
      <c r="D125" s="106"/>
      <c r="E125" s="106"/>
      <c r="F125" s="106"/>
      <c r="G125" s="106"/>
      <c r="H125" s="106"/>
      <c r="I125" s="106"/>
      <c r="J125" s="106"/>
      <c r="K125" s="107" t="str">
        <f t="shared" si="3"/>
        <v/>
      </c>
      <c r="L125" s="108"/>
      <c r="M125" s="108"/>
      <c r="N125" s="109"/>
    </row>
    <row r="126" spans="1:14" x14ac:dyDescent="0.2">
      <c r="A126" s="134"/>
      <c r="B126" s="106"/>
      <c r="C126" s="106"/>
      <c r="D126" s="106"/>
      <c r="E126" s="106"/>
      <c r="F126" s="106"/>
      <c r="G126" s="106"/>
      <c r="H126" s="106"/>
      <c r="I126" s="106"/>
      <c r="J126" s="106"/>
      <c r="K126" s="110" t="str">
        <f t="shared" si="3"/>
        <v/>
      </c>
      <c r="L126" s="111"/>
      <c r="M126" s="111"/>
      <c r="N126" s="112"/>
    </row>
    <row r="127" spans="1:14" x14ac:dyDescent="0.2">
      <c r="A127" s="133"/>
      <c r="B127" s="106"/>
      <c r="C127" s="106"/>
      <c r="D127" s="106"/>
      <c r="E127" s="106"/>
      <c r="F127" s="106"/>
      <c r="G127" s="106"/>
      <c r="H127" s="106"/>
      <c r="I127" s="106"/>
      <c r="J127" s="106"/>
      <c r="K127" s="107" t="str">
        <f t="shared" si="3"/>
        <v/>
      </c>
      <c r="L127" s="108"/>
      <c r="M127" s="108"/>
      <c r="N127" s="109"/>
    </row>
    <row r="128" spans="1:14" x14ac:dyDescent="0.2">
      <c r="A128" s="134"/>
      <c r="B128" s="106"/>
      <c r="C128" s="106"/>
      <c r="D128" s="106"/>
      <c r="E128" s="106"/>
      <c r="F128" s="106"/>
      <c r="G128" s="106"/>
      <c r="H128" s="106"/>
      <c r="I128" s="106"/>
      <c r="J128" s="106"/>
      <c r="K128" s="110" t="str">
        <f t="shared" si="3"/>
        <v/>
      </c>
      <c r="L128" s="111"/>
      <c r="M128" s="111"/>
      <c r="N128" s="112"/>
    </row>
    <row r="129" spans="1:14" x14ac:dyDescent="0.2">
      <c r="A129" s="133"/>
      <c r="B129" s="106"/>
      <c r="C129" s="106"/>
      <c r="D129" s="106"/>
      <c r="E129" s="106"/>
      <c r="F129" s="106"/>
      <c r="G129" s="106"/>
      <c r="H129" s="106"/>
      <c r="I129" s="106"/>
      <c r="J129" s="106"/>
      <c r="K129" s="107" t="str">
        <f t="shared" si="3"/>
        <v/>
      </c>
      <c r="L129" s="108"/>
      <c r="M129" s="108"/>
      <c r="N129" s="109"/>
    </row>
    <row r="130" spans="1:14" x14ac:dyDescent="0.2">
      <c r="A130" s="134"/>
      <c r="B130" s="106"/>
      <c r="C130" s="106"/>
      <c r="D130" s="106"/>
      <c r="E130" s="106"/>
      <c r="F130" s="106"/>
      <c r="G130" s="106"/>
      <c r="H130" s="106"/>
      <c r="I130" s="106"/>
      <c r="J130" s="106"/>
      <c r="K130" s="110" t="str">
        <f t="shared" si="3"/>
        <v/>
      </c>
      <c r="L130" s="111"/>
      <c r="M130" s="111"/>
      <c r="N130" s="112"/>
    </row>
    <row r="131" spans="1:14" x14ac:dyDescent="0.2">
      <c r="A131" s="133"/>
      <c r="B131" s="106"/>
      <c r="C131" s="106"/>
      <c r="D131" s="106"/>
      <c r="E131" s="106"/>
      <c r="F131" s="106"/>
      <c r="G131" s="106"/>
      <c r="H131" s="106"/>
      <c r="I131" s="106"/>
      <c r="J131" s="106"/>
      <c r="K131" s="107" t="str">
        <f t="shared" si="3"/>
        <v/>
      </c>
      <c r="L131" s="108"/>
      <c r="M131" s="108"/>
      <c r="N131" s="109"/>
    </row>
    <row r="132" spans="1:14" x14ac:dyDescent="0.2">
      <c r="A132" s="134"/>
      <c r="B132" s="106"/>
      <c r="C132" s="106"/>
      <c r="D132" s="106"/>
      <c r="E132" s="106"/>
      <c r="F132" s="106"/>
      <c r="G132" s="106"/>
      <c r="H132" s="106"/>
      <c r="I132" s="106"/>
      <c r="J132" s="106"/>
      <c r="K132" s="110" t="str">
        <f t="shared" si="3"/>
        <v/>
      </c>
      <c r="L132" s="111"/>
      <c r="M132" s="111"/>
      <c r="N132" s="112"/>
    </row>
    <row r="133" spans="1:14" x14ac:dyDescent="0.2">
      <c r="A133" s="133"/>
      <c r="B133" s="106"/>
      <c r="C133" s="106"/>
      <c r="D133" s="106"/>
      <c r="E133" s="106"/>
      <c r="F133" s="106"/>
      <c r="G133" s="106"/>
      <c r="H133" s="106"/>
      <c r="I133" s="106"/>
      <c r="J133" s="106"/>
      <c r="K133" s="107" t="str">
        <f t="shared" si="3"/>
        <v/>
      </c>
      <c r="L133" s="108"/>
      <c r="M133" s="108"/>
      <c r="N133" s="109"/>
    </row>
    <row r="134" spans="1:14" x14ac:dyDescent="0.2">
      <c r="A134" s="134"/>
      <c r="B134" s="106"/>
      <c r="C134" s="106"/>
      <c r="D134" s="106"/>
      <c r="E134" s="106"/>
      <c r="F134" s="106"/>
      <c r="G134" s="106"/>
      <c r="H134" s="106"/>
      <c r="I134" s="106"/>
      <c r="J134" s="106"/>
      <c r="K134" s="110" t="str">
        <f t="shared" si="3"/>
        <v/>
      </c>
      <c r="L134" s="111"/>
      <c r="M134" s="111"/>
      <c r="N134" s="112"/>
    </row>
    <row r="135" spans="1:14" x14ac:dyDescent="0.2">
      <c r="A135" s="133"/>
      <c r="B135" s="106"/>
      <c r="C135" s="106"/>
      <c r="D135" s="106"/>
      <c r="E135" s="106"/>
      <c r="F135" s="106"/>
      <c r="G135" s="106"/>
      <c r="H135" s="106"/>
      <c r="I135" s="106"/>
      <c r="J135" s="106"/>
      <c r="K135" s="107" t="str">
        <f t="shared" ref="K135:K166" si="4">IF($A135="","",N($B135)*1000+N($C135)*500+N($D135)*100+N($E135)*50+N($F135)*20+N($G135)*10+N($H135)*5+N($I135)*2+N($J135)*1)</f>
        <v/>
      </c>
      <c r="L135" s="108"/>
      <c r="M135" s="108"/>
      <c r="N135" s="109"/>
    </row>
    <row r="136" spans="1:14" x14ac:dyDescent="0.2">
      <c r="A136" s="134"/>
      <c r="B136" s="106"/>
      <c r="C136" s="106"/>
      <c r="D136" s="106"/>
      <c r="E136" s="106"/>
      <c r="F136" s="106"/>
      <c r="G136" s="106"/>
      <c r="H136" s="106"/>
      <c r="I136" s="106"/>
      <c r="J136" s="106"/>
      <c r="K136" s="110" t="str">
        <f t="shared" si="4"/>
        <v/>
      </c>
      <c r="L136" s="111"/>
      <c r="M136" s="111"/>
      <c r="N136" s="112"/>
    </row>
    <row r="137" spans="1:14" x14ac:dyDescent="0.2">
      <c r="A137" s="133"/>
      <c r="B137" s="106"/>
      <c r="C137" s="106"/>
      <c r="D137" s="106"/>
      <c r="E137" s="106"/>
      <c r="F137" s="106"/>
      <c r="G137" s="106"/>
      <c r="H137" s="106"/>
      <c r="I137" s="106"/>
      <c r="J137" s="106"/>
      <c r="K137" s="107" t="str">
        <f t="shared" si="4"/>
        <v/>
      </c>
      <c r="L137" s="108"/>
      <c r="M137" s="108"/>
      <c r="N137" s="109"/>
    </row>
    <row r="138" spans="1:14" x14ac:dyDescent="0.2">
      <c r="A138" s="134"/>
      <c r="B138" s="106"/>
      <c r="C138" s="106"/>
      <c r="D138" s="106"/>
      <c r="E138" s="106"/>
      <c r="F138" s="106"/>
      <c r="G138" s="106"/>
      <c r="H138" s="106"/>
      <c r="I138" s="106"/>
      <c r="J138" s="106"/>
      <c r="K138" s="110" t="str">
        <f t="shared" si="4"/>
        <v/>
      </c>
      <c r="L138" s="111"/>
      <c r="M138" s="111"/>
      <c r="N138" s="112"/>
    </row>
    <row r="139" spans="1:14" x14ac:dyDescent="0.2">
      <c r="A139" s="133"/>
      <c r="B139" s="106"/>
      <c r="C139" s="106"/>
      <c r="D139" s="106"/>
      <c r="E139" s="106"/>
      <c r="F139" s="106"/>
      <c r="G139" s="106"/>
      <c r="H139" s="106"/>
      <c r="I139" s="106"/>
      <c r="J139" s="106"/>
      <c r="K139" s="107" t="str">
        <f t="shared" si="4"/>
        <v/>
      </c>
      <c r="L139" s="108"/>
      <c r="M139" s="108"/>
      <c r="N139" s="109"/>
    </row>
    <row r="140" spans="1:14" x14ac:dyDescent="0.2">
      <c r="A140" s="134"/>
      <c r="B140" s="106"/>
      <c r="C140" s="106"/>
      <c r="D140" s="106"/>
      <c r="E140" s="106"/>
      <c r="F140" s="106"/>
      <c r="G140" s="106"/>
      <c r="H140" s="106"/>
      <c r="I140" s="106"/>
      <c r="J140" s="106"/>
      <c r="K140" s="110" t="str">
        <f t="shared" si="4"/>
        <v/>
      </c>
      <c r="L140" s="111"/>
      <c r="M140" s="111"/>
      <c r="N140" s="112"/>
    </row>
    <row r="141" spans="1:14" x14ac:dyDescent="0.2">
      <c r="A141" s="133"/>
      <c r="B141" s="106"/>
      <c r="C141" s="106"/>
      <c r="D141" s="106"/>
      <c r="E141" s="106"/>
      <c r="F141" s="106"/>
      <c r="G141" s="106"/>
      <c r="H141" s="106"/>
      <c r="I141" s="106"/>
      <c r="J141" s="106"/>
      <c r="K141" s="107" t="str">
        <f t="shared" si="4"/>
        <v/>
      </c>
      <c r="L141" s="108"/>
      <c r="M141" s="108"/>
      <c r="N141" s="109"/>
    </row>
    <row r="142" spans="1:14" x14ac:dyDescent="0.2">
      <c r="A142" s="134"/>
      <c r="B142" s="106"/>
      <c r="C142" s="106"/>
      <c r="D142" s="106"/>
      <c r="E142" s="106"/>
      <c r="F142" s="106"/>
      <c r="G142" s="106"/>
      <c r="H142" s="106"/>
      <c r="I142" s="106"/>
      <c r="J142" s="106"/>
      <c r="K142" s="110" t="str">
        <f t="shared" si="4"/>
        <v/>
      </c>
      <c r="L142" s="111"/>
      <c r="M142" s="111"/>
      <c r="N142" s="112"/>
    </row>
    <row r="143" spans="1:14" x14ac:dyDescent="0.2">
      <c r="A143" s="133"/>
      <c r="B143" s="106"/>
      <c r="C143" s="106"/>
      <c r="D143" s="106"/>
      <c r="E143" s="106"/>
      <c r="F143" s="106"/>
      <c r="G143" s="106"/>
      <c r="H143" s="106"/>
      <c r="I143" s="106"/>
      <c r="J143" s="106"/>
      <c r="K143" s="107" t="str">
        <f t="shared" si="4"/>
        <v/>
      </c>
      <c r="L143" s="108"/>
      <c r="M143" s="108"/>
      <c r="N143" s="109"/>
    </row>
    <row r="144" spans="1:14" x14ac:dyDescent="0.2">
      <c r="A144" s="134"/>
      <c r="B144" s="106"/>
      <c r="C144" s="106"/>
      <c r="D144" s="106"/>
      <c r="E144" s="106"/>
      <c r="F144" s="106"/>
      <c r="G144" s="106"/>
      <c r="H144" s="106"/>
      <c r="I144" s="106"/>
      <c r="J144" s="106"/>
      <c r="K144" s="110" t="str">
        <f t="shared" si="4"/>
        <v/>
      </c>
      <c r="L144" s="111"/>
      <c r="M144" s="111"/>
      <c r="N144" s="112"/>
    </row>
    <row r="145" spans="1:14" x14ac:dyDescent="0.2">
      <c r="A145" s="133"/>
      <c r="B145" s="106"/>
      <c r="C145" s="106"/>
      <c r="D145" s="106"/>
      <c r="E145" s="106"/>
      <c r="F145" s="106"/>
      <c r="G145" s="106"/>
      <c r="H145" s="106"/>
      <c r="I145" s="106"/>
      <c r="J145" s="106"/>
      <c r="K145" s="107" t="str">
        <f t="shared" si="4"/>
        <v/>
      </c>
      <c r="L145" s="108"/>
      <c r="M145" s="108"/>
      <c r="N145" s="109"/>
    </row>
    <row r="146" spans="1:14" x14ac:dyDescent="0.2">
      <c r="A146" s="134"/>
      <c r="B146" s="106"/>
      <c r="C146" s="106"/>
      <c r="D146" s="106"/>
      <c r="E146" s="106"/>
      <c r="F146" s="106"/>
      <c r="G146" s="106"/>
      <c r="H146" s="106"/>
      <c r="I146" s="106"/>
      <c r="J146" s="106"/>
      <c r="K146" s="110" t="str">
        <f t="shared" si="4"/>
        <v/>
      </c>
      <c r="L146" s="111"/>
      <c r="M146" s="111"/>
      <c r="N146" s="112"/>
    </row>
    <row r="147" spans="1:14" x14ac:dyDescent="0.2">
      <c r="A147" s="133"/>
      <c r="B147" s="106"/>
      <c r="C147" s="106"/>
      <c r="D147" s="106"/>
      <c r="E147" s="106"/>
      <c r="F147" s="106"/>
      <c r="G147" s="106"/>
      <c r="H147" s="106"/>
      <c r="I147" s="106"/>
      <c r="J147" s="106"/>
      <c r="K147" s="107" t="str">
        <f t="shared" si="4"/>
        <v/>
      </c>
      <c r="L147" s="108"/>
      <c r="M147" s="108"/>
      <c r="N147" s="109"/>
    </row>
    <row r="148" spans="1:14" x14ac:dyDescent="0.2">
      <c r="A148" s="134"/>
      <c r="B148" s="106"/>
      <c r="C148" s="106"/>
      <c r="D148" s="106"/>
      <c r="E148" s="106"/>
      <c r="F148" s="106"/>
      <c r="G148" s="106"/>
      <c r="H148" s="106"/>
      <c r="I148" s="106"/>
      <c r="J148" s="106"/>
      <c r="K148" s="110" t="str">
        <f t="shared" si="4"/>
        <v/>
      </c>
      <c r="L148" s="111"/>
      <c r="M148" s="111"/>
      <c r="N148" s="112"/>
    </row>
    <row r="149" spans="1:14" x14ac:dyDescent="0.2">
      <c r="A149" s="133"/>
      <c r="B149" s="106"/>
      <c r="C149" s="106"/>
      <c r="D149" s="106"/>
      <c r="E149" s="106"/>
      <c r="F149" s="106"/>
      <c r="G149" s="106"/>
      <c r="H149" s="106"/>
      <c r="I149" s="106"/>
      <c r="J149" s="106"/>
      <c r="K149" s="107" t="str">
        <f t="shared" si="4"/>
        <v/>
      </c>
      <c r="L149" s="108"/>
      <c r="M149" s="108"/>
      <c r="N149" s="109"/>
    </row>
    <row r="150" spans="1:14" x14ac:dyDescent="0.2">
      <c r="A150" s="134"/>
      <c r="B150" s="106"/>
      <c r="C150" s="106"/>
      <c r="D150" s="106"/>
      <c r="E150" s="106"/>
      <c r="F150" s="106"/>
      <c r="G150" s="106"/>
      <c r="H150" s="106"/>
      <c r="I150" s="106"/>
      <c r="J150" s="106"/>
      <c r="K150" s="110" t="str">
        <f t="shared" si="4"/>
        <v/>
      </c>
      <c r="L150" s="111"/>
      <c r="M150" s="111"/>
      <c r="N150" s="112"/>
    </row>
    <row r="151" spans="1:14" x14ac:dyDescent="0.2">
      <c r="A151" s="133"/>
      <c r="B151" s="106"/>
      <c r="C151" s="106"/>
      <c r="D151" s="106"/>
      <c r="E151" s="106"/>
      <c r="F151" s="106"/>
      <c r="G151" s="106"/>
      <c r="H151" s="106"/>
      <c r="I151" s="106"/>
      <c r="J151" s="106"/>
      <c r="K151" s="107" t="str">
        <f t="shared" si="4"/>
        <v/>
      </c>
      <c r="L151" s="108"/>
      <c r="M151" s="108"/>
      <c r="N151" s="109"/>
    </row>
    <row r="152" spans="1:14" x14ac:dyDescent="0.2">
      <c r="A152" s="134"/>
      <c r="B152" s="106"/>
      <c r="C152" s="106"/>
      <c r="D152" s="106"/>
      <c r="E152" s="106"/>
      <c r="F152" s="106"/>
      <c r="G152" s="106"/>
      <c r="H152" s="106"/>
      <c r="I152" s="106"/>
      <c r="J152" s="106"/>
      <c r="K152" s="110" t="str">
        <f t="shared" si="4"/>
        <v/>
      </c>
      <c r="L152" s="111"/>
      <c r="M152" s="111"/>
      <c r="N152" s="112"/>
    </row>
    <row r="153" spans="1:14" x14ac:dyDescent="0.2">
      <c r="A153" s="133"/>
      <c r="B153" s="106"/>
      <c r="C153" s="106"/>
      <c r="D153" s="106"/>
      <c r="E153" s="106"/>
      <c r="F153" s="106"/>
      <c r="G153" s="106"/>
      <c r="H153" s="106"/>
      <c r="I153" s="106"/>
      <c r="J153" s="106"/>
      <c r="K153" s="107" t="str">
        <f t="shared" si="4"/>
        <v/>
      </c>
      <c r="L153" s="108"/>
      <c r="M153" s="108"/>
      <c r="N153" s="109"/>
    </row>
    <row r="154" spans="1:14" x14ac:dyDescent="0.2">
      <c r="A154" s="134"/>
      <c r="B154" s="106"/>
      <c r="C154" s="106"/>
      <c r="D154" s="106"/>
      <c r="E154" s="106"/>
      <c r="F154" s="106"/>
      <c r="G154" s="106"/>
      <c r="H154" s="106"/>
      <c r="I154" s="106"/>
      <c r="J154" s="106"/>
      <c r="K154" s="110" t="str">
        <f t="shared" si="4"/>
        <v/>
      </c>
      <c r="L154" s="111"/>
      <c r="M154" s="111"/>
      <c r="N154" s="112"/>
    </row>
    <row r="155" spans="1:14" x14ac:dyDescent="0.2">
      <c r="A155" s="133"/>
      <c r="B155" s="106"/>
      <c r="C155" s="106"/>
      <c r="D155" s="106"/>
      <c r="E155" s="106"/>
      <c r="F155" s="106"/>
      <c r="G155" s="106"/>
      <c r="H155" s="106"/>
      <c r="I155" s="106"/>
      <c r="J155" s="106"/>
      <c r="K155" s="107" t="str">
        <f t="shared" si="4"/>
        <v/>
      </c>
      <c r="L155" s="108"/>
      <c r="M155" s="108"/>
      <c r="N155" s="109"/>
    </row>
    <row r="156" spans="1:14" x14ac:dyDescent="0.2">
      <c r="A156" s="134"/>
      <c r="B156" s="106"/>
      <c r="C156" s="106"/>
      <c r="D156" s="106"/>
      <c r="E156" s="106"/>
      <c r="F156" s="106"/>
      <c r="G156" s="106"/>
      <c r="H156" s="106"/>
      <c r="I156" s="106"/>
      <c r="J156" s="106"/>
      <c r="K156" s="110" t="str">
        <f t="shared" si="4"/>
        <v/>
      </c>
      <c r="L156" s="111"/>
      <c r="M156" s="111"/>
      <c r="N156" s="112"/>
    </row>
    <row r="157" spans="1:14" x14ac:dyDescent="0.2">
      <c r="A157" s="133"/>
      <c r="B157" s="106"/>
      <c r="C157" s="106"/>
      <c r="D157" s="106"/>
      <c r="E157" s="106"/>
      <c r="F157" s="106"/>
      <c r="G157" s="106"/>
      <c r="H157" s="106"/>
      <c r="I157" s="106"/>
      <c r="J157" s="106"/>
      <c r="K157" s="107" t="str">
        <f t="shared" si="4"/>
        <v/>
      </c>
      <c r="L157" s="108"/>
      <c r="M157" s="108"/>
      <c r="N157" s="109"/>
    </row>
    <row r="158" spans="1:14" x14ac:dyDescent="0.2">
      <c r="A158" s="134"/>
      <c r="B158" s="106"/>
      <c r="C158" s="106"/>
      <c r="D158" s="106"/>
      <c r="E158" s="106"/>
      <c r="F158" s="106"/>
      <c r="G158" s="106"/>
      <c r="H158" s="106"/>
      <c r="I158" s="106"/>
      <c r="J158" s="106"/>
      <c r="K158" s="110" t="str">
        <f t="shared" si="4"/>
        <v/>
      </c>
      <c r="L158" s="111"/>
      <c r="M158" s="111"/>
      <c r="N158" s="112"/>
    </row>
    <row r="159" spans="1:14" x14ac:dyDescent="0.2">
      <c r="A159" s="133"/>
      <c r="B159" s="106"/>
      <c r="C159" s="106"/>
      <c r="D159" s="106"/>
      <c r="E159" s="106"/>
      <c r="F159" s="106"/>
      <c r="G159" s="106"/>
      <c r="H159" s="106"/>
      <c r="I159" s="106"/>
      <c r="J159" s="106"/>
      <c r="K159" s="107" t="str">
        <f t="shared" si="4"/>
        <v/>
      </c>
      <c r="L159" s="108"/>
      <c r="M159" s="108"/>
      <c r="N159" s="109"/>
    </row>
    <row r="160" spans="1:14" x14ac:dyDescent="0.2">
      <c r="A160" s="134"/>
      <c r="B160" s="106"/>
      <c r="C160" s="106"/>
      <c r="D160" s="106"/>
      <c r="E160" s="106"/>
      <c r="F160" s="106"/>
      <c r="G160" s="106"/>
      <c r="H160" s="106"/>
      <c r="I160" s="106"/>
      <c r="J160" s="106"/>
      <c r="K160" s="110" t="str">
        <f t="shared" si="4"/>
        <v/>
      </c>
      <c r="L160" s="111"/>
      <c r="M160" s="111"/>
      <c r="N160" s="112"/>
    </row>
    <row r="161" spans="1:14" x14ac:dyDescent="0.2">
      <c r="A161" s="133"/>
      <c r="B161" s="106"/>
      <c r="C161" s="106"/>
      <c r="D161" s="106"/>
      <c r="E161" s="106"/>
      <c r="F161" s="106"/>
      <c r="G161" s="106"/>
      <c r="H161" s="106"/>
      <c r="I161" s="106"/>
      <c r="J161" s="106"/>
      <c r="K161" s="107" t="str">
        <f t="shared" si="4"/>
        <v/>
      </c>
      <c r="L161" s="108"/>
      <c r="M161" s="108"/>
      <c r="N161" s="109"/>
    </row>
    <row r="162" spans="1:14" x14ac:dyDescent="0.2">
      <c r="A162" s="134"/>
      <c r="B162" s="106"/>
      <c r="C162" s="106"/>
      <c r="D162" s="106"/>
      <c r="E162" s="106"/>
      <c r="F162" s="106"/>
      <c r="G162" s="106"/>
      <c r="H162" s="106"/>
      <c r="I162" s="106"/>
      <c r="J162" s="106"/>
      <c r="K162" s="110" t="str">
        <f t="shared" si="4"/>
        <v/>
      </c>
      <c r="L162" s="111"/>
      <c r="M162" s="111"/>
      <c r="N162" s="112"/>
    </row>
    <row r="163" spans="1:14" x14ac:dyDescent="0.2">
      <c r="A163" s="133"/>
      <c r="B163" s="106"/>
      <c r="C163" s="106"/>
      <c r="D163" s="106"/>
      <c r="E163" s="106"/>
      <c r="F163" s="106"/>
      <c r="G163" s="106"/>
      <c r="H163" s="106"/>
      <c r="I163" s="106"/>
      <c r="J163" s="106"/>
      <c r="K163" s="107" t="str">
        <f t="shared" si="4"/>
        <v/>
      </c>
      <c r="L163" s="108"/>
      <c r="M163" s="108"/>
      <c r="N163" s="109"/>
    </row>
    <row r="164" spans="1:14" x14ac:dyDescent="0.2">
      <c r="A164" s="134"/>
      <c r="B164" s="106"/>
      <c r="C164" s="106"/>
      <c r="D164" s="106"/>
      <c r="E164" s="106"/>
      <c r="F164" s="106"/>
      <c r="G164" s="106"/>
      <c r="H164" s="106"/>
      <c r="I164" s="106"/>
      <c r="J164" s="106"/>
      <c r="K164" s="110" t="str">
        <f t="shared" si="4"/>
        <v/>
      </c>
      <c r="L164" s="111"/>
      <c r="M164" s="111"/>
      <c r="N164" s="112"/>
    </row>
    <row r="165" spans="1:14" x14ac:dyDescent="0.2">
      <c r="A165" s="133"/>
      <c r="B165" s="106"/>
      <c r="C165" s="106"/>
      <c r="D165" s="106"/>
      <c r="E165" s="106"/>
      <c r="F165" s="106"/>
      <c r="G165" s="106"/>
      <c r="H165" s="106"/>
      <c r="I165" s="106"/>
      <c r="J165" s="106"/>
      <c r="K165" s="107" t="str">
        <f t="shared" si="4"/>
        <v/>
      </c>
      <c r="L165" s="108"/>
      <c r="M165" s="108"/>
      <c r="N165" s="109"/>
    </row>
    <row r="166" spans="1:14" x14ac:dyDescent="0.2">
      <c r="A166" s="134"/>
      <c r="B166" s="106"/>
      <c r="C166" s="106"/>
      <c r="D166" s="106"/>
      <c r="E166" s="106"/>
      <c r="F166" s="106"/>
      <c r="G166" s="106"/>
      <c r="H166" s="106"/>
      <c r="I166" s="106"/>
      <c r="J166" s="106"/>
      <c r="K166" s="110" t="str">
        <f t="shared" si="4"/>
        <v/>
      </c>
      <c r="L166" s="111"/>
      <c r="M166" s="111"/>
      <c r="N166" s="112"/>
    </row>
    <row r="167" spans="1:14" x14ac:dyDescent="0.2">
      <c r="A167" s="133"/>
      <c r="B167" s="106"/>
      <c r="C167" s="106"/>
      <c r="D167" s="106"/>
      <c r="E167" s="106"/>
      <c r="F167" s="106"/>
      <c r="G167" s="106"/>
      <c r="H167" s="106"/>
      <c r="I167" s="106"/>
      <c r="J167" s="106"/>
      <c r="K167" s="107" t="str">
        <f t="shared" ref="K167:K198" si="5">IF($A167="","",N($B167)*1000+N($C167)*500+N($D167)*100+N($E167)*50+N($F167)*20+N($G167)*10+N($H167)*5+N($I167)*2+N($J167)*1)</f>
        <v/>
      </c>
      <c r="L167" s="108"/>
      <c r="M167" s="108"/>
      <c r="N167" s="109"/>
    </row>
    <row r="168" spans="1:14" x14ac:dyDescent="0.2">
      <c r="A168" s="134"/>
      <c r="B168" s="106"/>
      <c r="C168" s="106"/>
      <c r="D168" s="106"/>
      <c r="E168" s="106"/>
      <c r="F168" s="106"/>
      <c r="G168" s="106"/>
      <c r="H168" s="106"/>
      <c r="I168" s="106"/>
      <c r="J168" s="106"/>
      <c r="K168" s="110" t="str">
        <f t="shared" si="5"/>
        <v/>
      </c>
      <c r="L168" s="111"/>
      <c r="M168" s="111"/>
      <c r="N168" s="112"/>
    </row>
    <row r="169" spans="1:14" x14ac:dyDescent="0.2">
      <c r="A169" s="133"/>
      <c r="B169" s="106"/>
      <c r="C169" s="106"/>
      <c r="D169" s="106"/>
      <c r="E169" s="106"/>
      <c r="F169" s="106"/>
      <c r="G169" s="106"/>
      <c r="H169" s="106"/>
      <c r="I169" s="106"/>
      <c r="J169" s="106"/>
      <c r="K169" s="107" t="str">
        <f t="shared" si="5"/>
        <v/>
      </c>
      <c r="L169" s="108"/>
      <c r="M169" s="108"/>
      <c r="N169" s="109"/>
    </row>
    <row r="170" spans="1:14" x14ac:dyDescent="0.2">
      <c r="A170" s="134"/>
      <c r="B170" s="106"/>
      <c r="C170" s="106"/>
      <c r="D170" s="106"/>
      <c r="E170" s="106"/>
      <c r="F170" s="106"/>
      <c r="G170" s="106"/>
      <c r="H170" s="106"/>
      <c r="I170" s="106"/>
      <c r="J170" s="106"/>
      <c r="K170" s="110" t="str">
        <f t="shared" si="5"/>
        <v/>
      </c>
      <c r="L170" s="111"/>
      <c r="M170" s="111"/>
      <c r="N170" s="112"/>
    </row>
    <row r="171" spans="1:14" x14ac:dyDescent="0.2">
      <c r="A171" s="133"/>
      <c r="B171" s="106"/>
      <c r="C171" s="106"/>
      <c r="D171" s="106"/>
      <c r="E171" s="106"/>
      <c r="F171" s="106"/>
      <c r="G171" s="106"/>
      <c r="H171" s="106"/>
      <c r="I171" s="106"/>
      <c r="J171" s="106"/>
      <c r="K171" s="107" t="str">
        <f t="shared" si="5"/>
        <v/>
      </c>
      <c r="L171" s="108"/>
      <c r="M171" s="108"/>
      <c r="N171" s="109"/>
    </row>
    <row r="172" spans="1:14" x14ac:dyDescent="0.2">
      <c r="A172" s="134"/>
      <c r="B172" s="106"/>
      <c r="C172" s="106"/>
      <c r="D172" s="106"/>
      <c r="E172" s="106"/>
      <c r="F172" s="106"/>
      <c r="G172" s="106"/>
      <c r="H172" s="106"/>
      <c r="I172" s="106"/>
      <c r="J172" s="106"/>
      <c r="K172" s="110" t="str">
        <f t="shared" si="5"/>
        <v/>
      </c>
      <c r="L172" s="111"/>
      <c r="M172" s="111"/>
      <c r="N172" s="112"/>
    </row>
    <row r="173" spans="1:14" x14ac:dyDescent="0.2">
      <c r="A173" s="133"/>
      <c r="B173" s="106"/>
      <c r="C173" s="106"/>
      <c r="D173" s="106"/>
      <c r="E173" s="106"/>
      <c r="F173" s="106"/>
      <c r="G173" s="106"/>
      <c r="H173" s="106"/>
      <c r="I173" s="106"/>
      <c r="J173" s="106"/>
      <c r="K173" s="107" t="str">
        <f t="shared" si="5"/>
        <v/>
      </c>
      <c r="L173" s="108"/>
      <c r="M173" s="108"/>
      <c r="N173" s="109"/>
    </row>
    <row r="174" spans="1:14" x14ac:dyDescent="0.2">
      <c r="A174" s="134"/>
      <c r="B174" s="106"/>
      <c r="C174" s="106"/>
      <c r="D174" s="106"/>
      <c r="E174" s="106"/>
      <c r="F174" s="106"/>
      <c r="G174" s="106"/>
      <c r="H174" s="106"/>
      <c r="I174" s="106"/>
      <c r="J174" s="106"/>
      <c r="K174" s="110" t="str">
        <f t="shared" si="5"/>
        <v/>
      </c>
      <c r="L174" s="111"/>
      <c r="M174" s="111"/>
      <c r="N174" s="112"/>
    </row>
    <row r="175" spans="1:14" x14ac:dyDescent="0.2">
      <c r="A175" s="133"/>
      <c r="B175" s="106"/>
      <c r="C175" s="106"/>
      <c r="D175" s="106"/>
      <c r="E175" s="106"/>
      <c r="F175" s="106"/>
      <c r="G175" s="106"/>
      <c r="H175" s="106"/>
      <c r="I175" s="106"/>
      <c r="J175" s="106"/>
      <c r="K175" s="107" t="str">
        <f t="shared" si="5"/>
        <v/>
      </c>
      <c r="L175" s="108"/>
      <c r="M175" s="108"/>
      <c r="N175" s="109"/>
    </row>
    <row r="176" spans="1:14" x14ac:dyDescent="0.2">
      <c r="A176" s="134"/>
      <c r="B176" s="106"/>
      <c r="C176" s="106"/>
      <c r="D176" s="106"/>
      <c r="E176" s="106"/>
      <c r="F176" s="106"/>
      <c r="G176" s="106"/>
      <c r="H176" s="106"/>
      <c r="I176" s="106"/>
      <c r="J176" s="106"/>
      <c r="K176" s="110" t="str">
        <f t="shared" si="5"/>
        <v/>
      </c>
      <c r="L176" s="111"/>
      <c r="M176" s="111"/>
      <c r="N176" s="112"/>
    </row>
    <row r="177" spans="1:14" x14ac:dyDescent="0.2">
      <c r="A177" s="133"/>
      <c r="B177" s="106"/>
      <c r="C177" s="106"/>
      <c r="D177" s="106"/>
      <c r="E177" s="106"/>
      <c r="F177" s="106"/>
      <c r="G177" s="106"/>
      <c r="H177" s="106"/>
      <c r="I177" s="106"/>
      <c r="J177" s="106"/>
      <c r="K177" s="107" t="str">
        <f t="shared" si="5"/>
        <v/>
      </c>
      <c r="L177" s="108"/>
      <c r="M177" s="108"/>
      <c r="N177" s="109"/>
    </row>
    <row r="178" spans="1:14" x14ac:dyDescent="0.2">
      <c r="A178" s="134"/>
      <c r="B178" s="106"/>
      <c r="C178" s="106"/>
      <c r="D178" s="106"/>
      <c r="E178" s="106"/>
      <c r="F178" s="106"/>
      <c r="G178" s="106"/>
      <c r="H178" s="106"/>
      <c r="I178" s="106"/>
      <c r="J178" s="106"/>
      <c r="K178" s="110" t="str">
        <f t="shared" si="5"/>
        <v/>
      </c>
      <c r="L178" s="111"/>
      <c r="M178" s="111"/>
      <c r="N178" s="112"/>
    </row>
    <row r="179" spans="1:14" x14ac:dyDescent="0.2">
      <c r="A179" s="133"/>
      <c r="B179" s="106"/>
      <c r="C179" s="106"/>
      <c r="D179" s="106"/>
      <c r="E179" s="106"/>
      <c r="F179" s="106"/>
      <c r="G179" s="106"/>
      <c r="H179" s="106"/>
      <c r="I179" s="106"/>
      <c r="J179" s="106"/>
      <c r="K179" s="107" t="str">
        <f t="shared" si="5"/>
        <v/>
      </c>
      <c r="L179" s="108"/>
      <c r="M179" s="108"/>
      <c r="N179" s="109"/>
    </row>
    <row r="180" spans="1:14" x14ac:dyDescent="0.2">
      <c r="A180" s="134"/>
      <c r="B180" s="106"/>
      <c r="C180" s="106"/>
      <c r="D180" s="106"/>
      <c r="E180" s="106"/>
      <c r="F180" s="106"/>
      <c r="G180" s="106"/>
      <c r="H180" s="106"/>
      <c r="I180" s="106"/>
      <c r="J180" s="106"/>
      <c r="K180" s="110" t="str">
        <f t="shared" si="5"/>
        <v/>
      </c>
      <c r="L180" s="111"/>
      <c r="M180" s="111"/>
      <c r="N180" s="112"/>
    </row>
    <row r="181" spans="1:14" x14ac:dyDescent="0.2">
      <c r="A181" s="133"/>
      <c r="B181" s="106"/>
      <c r="C181" s="106"/>
      <c r="D181" s="106"/>
      <c r="E181" s="106"/>
      <c r="F181" s="106"/>
      <c r="G181" s="106"/>
      <c r="H181" s="106"/>
      <c r="I181" s="106"/>
      <c r="J181" s="106"/>
      <c r="K181" s="107" t="str">
        <f t="shared" si="5"/>
        <v/>
      </c>
      <c r="L181" s="108"/>
      <c r="M181" s="108"/>
      <c r="N181" s="109"/>
    </row>
    <row r="182" spans="1:14" x14ac:dyDescent="0.2">
      <c r="A182" s="134"/>
      <c r="B182" s="106"/>
      <c r="C182" s="106"/>
      <c r="D182" s="106"/>
      <c r="E182" s="106"/>
      <c r="F182" s="106"/>
      <c r="G182" s="106"/>
      <c r="H182" s="106"/>
      <c r="I182" s="106"/>
      <c r="J182" s="106"/>
      <c r="K182" s="110" t="str">
        <f t="shared" si="5"/>
        <v/>
      </c>
      <c r="L182" s="111"/>
      <c r="M182" s="111"/>
      <c r="N182" s="112"/>
    </row>
    <row r="183" spans="1:14" x14ac:dyDescent="0.2">
      <c r="A183" s="133"/>
      <c r="B183" s="106"/>
      <c r="C183" s="106"/>
      <c r="D183" s="106"/>
      <c r="E183" s="106"/>
      <c r="F183" s="106"/>
      <c r="G183" s="106"/>
      <c r="H183" s="106"/>
      <c r="I183" s="106"/>
      <c r="J183" s="106"/>
      <c r="K183" s="107" t="str">
        <f t="shared" si="5"/>
        <v/>
      </c>
      <c r="L183" s="108"/>
      <c r="M183" s="108"/>
      <c r="N183" s="109"/>
    </row>
    <row r="184" spans="1:14" x14ac:dyDescent="0.2">
      <c r="A184" s="134"/>
      <c r="B184" s="106"/>
      <c r="C184" s="106"/>
      <c r="D184" s="106"/>
      <c r="E184" s="106"/>
      <c r="F184" s="106"/>
      <c r="G184" s="106"/>
      <c r="H184" s="106"/>
      <c r="I184" s="106"/>
      <c r="J184" s="106"/>
      <c r="K184" s="110" t="str">
        <f t="shared" si="5"/>
        <v/>
      </c>
      <c r="L184" s="111"/>
      <c r="M184" s="111"/>
      <c r="N184" s="112"/>
    </row>
    <row r="185" spans="1:14" x14ac:dyDescent="0.2">
      <c r="A185" s="133"/>
      <c r="B185" s="106"/>
      <c r="C185" s="106"/>
      <c r="D185" s="106"/>
      <c r="E185" s="106"/>
      <c r="F185" s="106"/>
      <c r="G185" s="106"/>
      <c r="H185" s="106"/>
      <c r="I185" s="106"/>
      <c r="J185" s="106"/>
      <c r="K185" s="107" t="str">
        <f t="shared" si="5"/>
        <v/>
      </c>
      <c r="L185" s="108"/>
      <c r="M185" s="108"/>
      <c r="N185" s="109"/>
    </row>
    <row r="186" spans="1:14" x14ac:dyDescent="0.2">
      <c r="A186" s="134"/>
      <c r="B186" s="106"/>
      <c r="C186" s="106"/>
      <c r="D186" s="106"/>
      <c r="E186" s="106"/>
      <c r="F186" s="106"/>
      <c r="G186" s="106"/>
      <c r="H186" s="106"/>
      <c r="I186" s="106"/>
      <c r="J186" s="106"/>
      <c r="K186" s="110" t="str">
        <f t="shared" si="5"/>
        <v/>
      </c>
      <c r="L186" s="111"/>
      <c r="M186" s="111"/>
      <c r="N186" s="112"/>
    </row>
    <row r="187" spans="1:14" x14ac:dyDescent="0.2">
      <c r="A187" s="133"/>
      <c r="B187" s="106"/>
      <c r="C187" s="106"/>
      <c r="D187" s="106"/>
      <c r="E187" s="106"/>
      <c r="F187" s="106"/>
      <c r="G187" s="106"/>
      <c r="H187" s="106"/>
      <c r="I187" s="106"/>
      <c r="J187" s="106"/>
      <c r="K187" s="107" t="str">
        <f t="shared" si="5"/>
        <v/>
      </c>
      <c r="L187" s="108"/>
      <c r="M187" s="108"/>
      <c r="N187" s="109"/>
    </row>
    <row r="188" spans="1:14" x14ac:dyDescent="0.2">
      <c r="A188" s="134"/>
      <c r="B188" s="106"/>
      <c r="C188" s="106"/>
      <c r="D188" s="106"/>
      <c r="E188" s="106"/>
      <c r="F188" s="106"/>
      <c r="G188" s="106"/>
      <c r="H188" s="106"/>
      <c r="I188" s="106"/>
      <c r="J188" s="106"/>
      <c r="K188" s="110" t="str">
        <f t="shared" si="5"/>
        <v/>
      </c>
      <c r="L188" s="111"/>
      <c r="M188" s="111"/>
      <c r="N188" s="112"/>
    </row>
    <row r="189" spans="1:14" x14ac:dyDescent="0.2">
      <c r="A189" s="133"/>
      <c r="B189" s="106"/>
      <c r="C189" s="106"/>
      <c r="D189" s="106"/>
      <c r="E189" s="106"/>
      <c r="F189" s="106"/>
      <c r="G189" s="106"/>
      <c r="H189" s="106"/>
      <c r="I189" s="106"/>
      <c r="J189" s="106"/>
      <c r="K189" s="107" t="str">
        <f t="shared" si="5"/>
        <v/>
      </c>
      <c r="L189" s="108"/>
      <c r="M189" s="108"/>
      <c r="N189" s="109"/>
    </row>
    <row r="190" spans="1:14" x14ac:dyDescent="0.2">
      <c r="A190" s="134"/>
      <c r="B190" s="106"/>
      <c r="C190" s="106"/>
      <c r="D190" s="106"/>
      <c r="E190" s="106"/>
      <c r="F190" s="106"/>
      <c r="G190" s="106"/>
      <c r="H190" s="106"/>
      <c r="I190" s="106"/>
      <c r="J190" s="106"/>
      <c r="K190" s="110" t="str">
        <f t="shared" si="5"/>
        <v/>
      </c>
      <c r="L190" s="111"/>
      <c r="M190" s="111"/>
      <c r="N190" s="112"/>
    </row>
    <row r="191" spans="1:14" x14ac:dyDescent="0.2">
      <c r="A191" s="133"/>
      <c r="B191" s="106"/>
      <c r="C191" s="106"/>
      <c r="D191" s="106"/>
      <c r="E191" s="106"/>
      <c r="F191" s="106"/>
      <c r="G191" s="106"/>
      <c r="H191" s="106"/>
      <c r="I191" s="106"/>
      <c r="J191" s="106"/>
      <c r="K191" s="107" t="str">
        <f t="shared" si="5"/>
        <v/>
      </c>
      <c r="L191" s="108"/>
      <c r="M191" s="108"/>
      <c r="N191" s="109"/>
    </row>
    <row r="192" spans="1:14" x14ac:dyDescent="0.2">
      <c r="A192" s="134"/>
      <c r="B192" s="106"/>
      <c r="C192" s="106"/>
      <c r="D192" s="106"/>
      <c r="E192" s="106"/>
      <c r="F192" s="106"/>
      <c r="G192" s="106"/>
      <c r="H192" s="106"/>
      <c r="I192" s="106"/>
      <c r="J192" s="106"/>
      <c r="K192" s="110" t="str">
        <f t="shared" si="5"/>
        <v/>
      </c>
      <c r="L192" s="111"/>
      <c r="M192" s="111"/>
      <c r="N192" s="112"/>
    </row>
    <row r="193" spans="1:14" x14ac:dyDescent="0.2">
      <c r="A193" s="133"/>
      <c r="B193" s="106"/>
      <c r="C193" s="106"/>
      <c r="D193" s="106"/>
      <c r="E193" s="106"/>
      <c r="F193" s="106"/>
      <c r="G193" s="106"/>
      <c r="H193" s="106"/>
      <c r="I193" s="106"/>
      <c r="J193" s="106"/>
      <c r="K193" s="107" t="str">
        <f t="shared" si="5"/>
        <v/>
      </c>
      <c r="L193" s="108"/>
      <c r="M193" s="108"/>
      <c r="N193" s="109"/>
    </row>
    <row r="194" spans="1:14" x14ac:dyDescent="0.2">
      <c r="A194" s="134"/>
      <c r="B194" s="106"/>
      <c r="C194" s="106"/>
      <c r="D194" s="106"/>
      <c r="E194" s="106"/>
      <c r="F194" s="106"/>
      <c r="G194" s="106"/>
      <c r="H194" s="106"/>
      <c r="I194" s="106"/>
      <c r="J194" s="106"/>
      <c r="K194" s="110" t="str">
        <f t="shared" si="5"/>
        <v/>
      </c>
      <c r="L194" s="111"/>
      <c r="M194" s="111"/>
      <c r="N194" s="112"/>
    </row>
    <row r="195" spans="1:14" x14ac:dyDescent="0.2">
      <c r="A195" s="133"/>
      <c r="B195" s="106"/>
      <c r="C195" s="106"/>
      <c r="D195" s="106"/>
      <c r="E195" s="106"/>
      <c r="F195" s="106"/>
      <c r="G195" s="106"/>
      <c r="H195" s="106"/>
      <c r="I195" s="106"/>
      <c r="J195" s="106"/>
      <c r="K195" s="107" t="str">
        <f t="shared" si="5"/>
        <v/>
      </c>
      <c r="L195" s="108"/>
      <c r="M195" s="108"/>
      <c r="N195" s="109"/>
    </row>
    <row r="196" spans="1:14" x14ac:dyDescent="0.2">
      <c r="A196" s="134"/>
      <c r="B196" s="106"/>
      <c r="C196" s="106"/>
      <c r="D196" s="106"/>
      <c r="E196" s="106"/>
      <c r="F196" s="106"/>
      <c r="G196" s="106"/>
      <c r="H196" s="106"/>
      <c r="I196" s="106"/>
      <c r="J196" s="106"/>
      <c r="K196" s="110" t="str">
        <f t="shared" si="5"/>
        <v/>
      </c>
      <c r="L196" s="111"/>
      <c r="M196" s="111"/>
      <c r="N196" s="112"/>
    </row>
    <row r="197" spans="1:14" x14ac:dyDescent="0.2">
      <c r="A197" s="133"/>
      <c r="B197" s="106"/>
      <c r="C197" s="106"/>
      <c r="D197" s="106"/>
      <c r="E197" s="106"/>
      <c r="F197" s="106"/>
      <c r="G197" s="106"/>
      <c r="H197" s="106"/>
      <c r="I197" s="106"/>
      <c r="J197" s="106"/>
      <c r="K197" s="107" t="str">
        <f t="shared" si="5"/>
        <v/>
      </c>
      <c r="L197" s="108"/>
      <c r="M197" s="108"/>
      <c r="N197" s="109"/>
    </row>
    <row r="198" spans="1:14" x14ac:dyDescent="0.2">
      <c r="A198" s="134"/>
      <c r="B198" s="106"/>
      <c r="C198" s="106"/>
      <c r="D198" s="106"/>
      <c r="E198" s="106"/>
      <c r="F198" s="106"/>
      <c r="G198" s="106"/>
      <c r="H198" s="106"/>
      <c r="I198" s="106"/>
      <c r="J198" s="106"/>
      <c r="K198" s="110" t="str">
        <f t="shared" si="5"/>
        <v/>
      </c>
      <c r="L198" s="111"/>
      <c r="M198" s="111"/>
      <c r="N198" s="112"/>
    </row>
    <row r="199" spans="1:14" x14ac:dyDescent="0.2">
      <c r="A199" s="133"/>
      <c r="B199" s="106"/>
      <c r="C199" s="106"/>
      <c r="D199" s="106"/>
      <c r="E199" s="106"/>
      <c r="F199" s="106"/>
      <c r="G199" s="106"/>
      <c r="H199" s="106"/>
      <c r="I199" s="106"/>
      <c r="J199" s="106"/>
      <c r="K199" s="107" t="str">
        <f t="shared" ref="K199:K206" si="6">IF($A199="","",N($B199)*1000+N($C199)*500+N($D199)*100+N($E199)*50+N($F199)*20+N($G199)*10+N($H199)*5+N($I199)*2+N($J199)*1)</f>
        <v/>
      </c>
      <c r="L199" s="108"/>
      <c r="M199" s="108"/>
      <c r="N199" s="109"/>
    </row>
    <row r="200" spans="1:14" x14ac:dyDescent="0.2">
      <c r="A200" s="134"/>
      <c r="B200" s="106"/>
      <c r="C200" s="106"/>
      <c r="D200" s="106"/>
      <c r="E200" s="106"/>
      <c r="F200" s="106"/>
      <c r="G200" s="106"/>
      <c r="H200" s="106"/>
      <c r="I200" s="106"/>
      <c r="J200" s="106"/>
      <c r="K200" s="110" t="str">
        <f t="shared" si="6"/>
        <v/>
      </c>
      <c r="L200" s="111"/>
      <c r="M200" s="111"/>
      <c r="N200" s="112"/>
    </row>
    <row r="201" spans="1:14" x14ac:dyDescent="0.2">
      <c r="A201" s="133"/>
      <c r="B201" s="106"/>
      <c r="C201" s="106"/>
      <c r="D201" s="106"/>
      <c r="E201" s="106"/>
      <c r="F201" s="106"/>
      <c r="G201" s="106"/>
      <c r="H201" s="106"/>
      <c r="I201" s="106"/>
      <c r="J201" s="106"/>
      <c r="K201" s="107" t="str">
        <f t="shared" si="6"/>
        <v/>
      </c>
      <c r="L201" s="108"/>
      <c r="M201" s="108"/>
      <c r="N201" s="109"/>
    </row>
    <row r="202" spans="1:14" x14ac:dyDescent="0.2">
      <c r="A202" s="134"/>
      <c r="B202" s="106"/>
      <c r="C202" s="106"/>
      <c r="D202" s="106"/>
      <c r="E202" s="106"/>
      <c r="F202" s="106"/>
      <c r="G202" s="106"/>
      <c r="H202" s="106"/>
      <c r="I202" s="106"/>
      <c r="J202" s="106"/>
      <c r="K202" s="110" t="str">
        <f t="shared" si="6"/>
        <v/>
      </c>
      <c r="L202" s="111"/>
      <c r="M202" s="111"/>
      <c r="N202" s="112"/>
    </row>
    <row r="203" spans="1:14" x14ac:dyDescent="0.2">
      <c r="A203" s="133"/>
      <c r="B203" s="106"/>
      <c r="C203" s="106"/>
      <c r="D203" s="106"/>
      <c r="E203" s="106"/>
      <c r="F203" s="106"/>
      <c r="G203" s="106"/>
      <c r="H203" s="106"/>
      <c r="I203" s="106"/>
      <c r="J203" s="106"/>
      <c r="K203" s="107" t="str">
        <f t="shared" si="6"/>
        <v/>
      </c>
      <c r="L203" s="108"/>
      <c r="M203" s="108"/>
      <c r="N203" s="109"/>
    </row>
    <row r="204" spans="1:14" x14ac:dyDescent="0.2">
      <c r="A204" s="134"/>
      <c r="B204" s="106"/>
      <c r="C204" s="106"/>
      <c r="D204" s="106"/>
      <c r="E204" s="106"/>
      <c r="F204" s="106"/>
      <c r="G204" s="106"/>
      <c r="H204" s="106"/>
      <c r="I204" s="106"/>
      <c r="J204" s="106"/>
      <c r="K204" s="110" t="str">
        <f t="shared" si="6"/>
        <v/>
      </c>
      <c r="L204" s="111"/>
      <c r="M204" s="111"/>
      <c r="N204" s="112"/>
    </row>
    <row r="205" spans="1:14" x14ac:dyDescent="0.2">
      <c r="A205" s="133"/>
      <c r="B205" s="106"/>
      <c r="C205" s="106"/>
      <c r="D205" s="106"/>
      <c r="E205" s="106"/>
      <c r="F205" s="106"/>
      <c r="G205" s="106"/>
      <c r="H205" s="106"/>
      <c r="I205" s="106"/>
      <c r="J205" s="106"/>
      <c r="K205" s="107" t="str">
        <f t="shared" si="6"/>
        <v/>
      </c>
      <c r="L205" s="108"/>
      <c r="M205" s="108"/>
      <c r="N205" s="109"/>
    </row>
    <row r="206" spans="1:14" x14ac:dyDescent="0.2">
      <c r="A206" s="134"/>
      <c r="B206" s="106"/>
      <c r="C206" s="106"/>
      <c r="D206" s="106"/>
      <c r="E206" s="106"/>
      <c r="F206" s="106"/>
      <c r="G206" s="106"/>
      <c r="H206" s="106"/>
      <c r="I206" s="106"/>
      <c r="J206" s="106"/>
      <c r="K206" s="110" t="str">
        <f t="shared" si="6"/>
        <v/>
      </c>
      <c r="L206" s="111"/>
      <c r="M206" s="111"/>
      <c r="N206" s="112"/>
    </row>
    <row r="207" spans="1:14" x14ac:dyDescent="0.2">
      <c r="A207" s="135" t="s">
        <v>1069</v>
      </c>
      <c r="B207" s="113">
        <f t="shared" ref="B207:K207" si="7">SUM(B7:B206)</f>
        <v>0</v>
      </c>
      <c r="C207" s="113">
        <f t="shared" si="7"/>
        <v>0</v>
      </c>
      <c r="D207" s="113">
        <f t="shared" si="7"/>
        <v>0</v>
      </c>
      <c r="E207" s="113">
        <f t="shared" si="7"/>
        <v>0</v>
      </c>
      <c r="F207" s="113">
        <f t="shared" si="7"/>
        <v>0</v>
      </c>
      <c r="G207" s="113">
        <f t="shared" si="7"/>
        <v>0</v>
      </c>
      <c r="H207" s="113">
        <f t="shared" si="7"/>
        <v>0</v>
      </c>
      <c r="I207" s="113">
        <f t="shared" si="7"/>
        <v>0</v>
      </c>
      <c r="J207" s="113">
        <f t="shared" si="7"/>
        <v>0</v>
      </c>
      <c r="K207" s="114">
        <f t="shared" si="7"/>
        <v>0</v>
      </c>
      <c r="L207" s="115"/>
      <c r="M207" s="115"/>
      <c r="N207" s="115"/>
    </row>
    <row r="209" spans="1:1" x14ac:dyDescent="0.2">
      <c r="A209" s="116" t="s">
        <v>1070</v>
      </c>
    </row>
    <row r="210" spans="1:1" x14ac:dyDescent="0.2">
      <c r="A210" s="117" t="s">
        <v>1071</v>
      </c>
    </row>
    <row r="211" spans="1:1" x14ac:dyDescent="0.2">
      <c r="A211" s="117" t="s">
        <v>1072</v>
      </c>
    </row>
  </sheetData>
  <mergeCells count="4">
    <mergeCell ref="K4:L4"/>
    <mergeCell ref="M4:N4"/>
    <mergeCell ref="A2:N2"/>
    <mergeCell ref="A1:N1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F3864"/>
    <pageSetUpPr fitToPage="1"/>
  </sheetPr>
  <dimension ref="A1:F27"/>
  <sheetViews>
    <sheetView showGridLines="0" workbookViewId="0">
      <selection activeCell="B13" sqref="B13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12" customWidth="1"/>
    <col min="4" max="6" width="14" customWidth="1"/>
  </cols>
  <sheetData>
    <row r="1" spans="1:6" x14ac:dyDescent="0.2">
      <c r="A1" s="213" t="str">
        <f>BizName</f>
        <v>PRARAMBHA DAIRY</v>
      </c>
      <c r="B1" s="202"/>
      <c r="C1" s="202"/>
      <c r="D1" s="202"/>
      <c r="E1" s="202"/>
      <c r="F1" s="202"/>
    </row>
    <row r="2" spans="1:6" x14ac:dyDescent="0.2">
      <c r="A2" s="215" t="str">
        <f>Settings!B6&amp;" | "&amp;Settings!B8</f>
        <v>[Address] | [Phone Number]</v>
      </c>
      <c r="B2" s="202"/>
      <c r="C2" s="202"/>
      <c r="D2" s="202"/>
      <c r="E2" s="202"/>
      <c r="F2" s="202"/>
    </row>
    <row r="3" spans="1:6" x14ac:dyDescent="0.2">
      <c r="A3" s="215" t="str">
        <f>"Phone: "&amp;Settings!B9&amp;"  |  PAN/VAT: "&amp;Settings!B11</f>
        <v>Phone: [Email Address]  |  PAN/VAT: [Registration No]</v>
      </c>
      <c r="B3" s="202"/>
      <c r="C3" s="202"/>
      <c r="D3" s="202"/>
      <c r="E3" s="202"/>
      <c r="F3" s="202"/>
    </row>
    <row r="5" spans="1:6" x14ac:dyDescent="0.2">
      <c r="A5" s="214" t="s">
        <v>1073</v>
      </c>
      <c r="B5" s="202"/>
      <c r="C5" s="202"/>
      <c r="D5" s="202"/>
      <c r="E5" s="202"/>
      <c r="F5" s="202"/>
    </row>
    <row r="7" spans="1:6" x14ac:dyDescent="0.2">
      <c r="A7" s="33" t="s">
        <v>1074</v>
      </c>
      <c r="D7" s="33" t="s">
        <v>1075</v>
      </c>
    </row>
    <row r="8" spans="1:6" x14ac:dyDescent="0.2">
      <c r="A8" s="33" t="s">
        <v>1076</v>
      </c>
      <c r="B8" s="139">
        <f ca="1">TODAY()</f>
        <v>46236</v>
      </c>
      <c r="D8" t="s">
        <v>1077</v>
      </c>
    </row>
    <row r="9" spans="1:6" x14ac:dyDescent="0.2">
      <c r="D9" t="s">
        <v>1078</v>
      </c>
    </row>
    <row r="10" spans="1:6" x14ac:dyDescent="0.2">
      <c r="D10" t="s">
        <v>1079</v>
      </c>
    </row>
    <row r="12" spans="1:6" ht="28" customHeight="1" x14ac:dyDescent="0.2">
      <c r="A12" s="3" t="s">
        <v>1080</v>
      </c>
      <c r="B12" s="3" t="s">
        <v>1045</v>
      </c>
      <c r="C12" s="3" t="s">
        <v>56</v>
      </c>
      <c r="D12" s="3" t="s">
        <v>57</v>
      </c>
      <c r="E12" s="3" t="s">
        <v>17</v>
      </c>
      <c r="F12" s="3" t="s">
        <v>1081</v>
      </c>
    </row>
    <row r="13" spans="1:6" ht="16" customHeight="1" x14ac:dyDescent="0.2">
      <c r="A13" s="58">
        <v>1</v>
      </c>
      <c r="B13" s="58"/>
      <c r="C13" s="58"/>
      <c r="D13" s="59"/>
      <c r="E13" s="59" t="str">
        <f t="shared" ref="E13:E20" si="0">IF($C13="","",$C13*$D13)</f>
        <v/>
      </c>
      <c r="F13" s="59" t="str">
        <f t="shared" ref="F13:F20" si="1">IF($C13="","",$E13)</f>
        <v/>
      </c>
    </row>
    <row r="14" spans="1:6" ht="16" customHeight="1" x14ac:dyDescent="0.2">
      <c r="A14" s="58">
        <v>2</v>
      </c>
      <c r="B14" s="58"/>
      <c r="C14" s="58"/>
      <c r="D14" s="59"/>
      <c r="E14" s="59" t="str">
        <f t="shared" si="0"/>
        <v/>
      </c>
      <c r="F14" s="59" t="str">
        <f t="shared" si="1"/>
        <v/>
      </c>
    </row>
    <row r="15" spans="1:6" ht="16" customHeight="1" x14ac:dyDescent="0.2">
      <c r="A15" s="58">
        <v>3</v>
      </c>
      <c r="B15" s="58"/>
      <c r="C15" s="58"/>
      <c r="D15" s="59"/>
      <c r="E15" s="59" t="str">
        <f t="shared" si="0"/>
        <v/>
      </c>
      <c r="F15" s="59" t="str">
        <f t="shared" si="1"/>
        <v/>
      </c>
    </row>
    <row r="16" spans="1:6" ht="16" customHeight="1" x14ac:dyDescent="0.2">
      <c r="A16" s="58">
        <v>4</v>
      </c>
      <c r="B16" s="58"/>
      <c r="C16" s="58"/>
      <c r="D16" s="59"/>
      <c r="E16" s="59" t="str">
        <f t="shared" si="0"/>
        <v/>
      </c>
      <c r="F16" s="59" t="str">
        <f t="shared" si="1"/>
        <v/>
      </c>
    </row>
    <row r="17" spans="1:6" ht="16" customHeight="1" x14ac:dyDescent="0.2">
      <c r="A17" s="58">
        <v>5</v>
      </c>
      <c r="B17" s="58"/>
      <c r="C17" s="58"/>
      <c r="D17" s="59"/>
      <c r="E17" s="59" t="str">
        <f t="shared" si="0"/>
        <v/>
      </c>
      <c r="F17" s="59" t="str">
        <f t="shared" si="1"/>
        <v/>
      </c>
    </row>
    <row r="18" spans="1:6" ht="16" customHeight="1" x14ac:dyDescent="0.2">
      <c r="A18" s="58">
        <v>6</v>
      </c>
      <c r="B18" s="58"/>
      <c r="C18" s="58"/>
      <c r="D18" s="59"/>
      <c r="E18" s="59" t="str">
        <f t="shared" si="0"/>
        <v/>
      </c>
      <c r="F18" s="59" t="str">
        <f t="shared" si="1"/>
        <v/>
      </c>
    </row>
    <row r="19" spans="1:6" ht="16" customHeight="1" x14ac:dyDescent="0.2">
      <c r="A19" s="58">
        <v>7</v>
      </c>
      <c r="B19" s="58"/>
      <c r="C19" s="58"/>
      <c r="D19" s="59"/>
      <c r="E19" s="59" t="str">
        <f t="shared" si="0"/>
        <v/>
      </c>
      <c r="F19" s="59" t="str">
        <f t="shared" si="1"/>
        <v/>
      </c>
    </row>
    <row r="20" spans="1:6" ht="16" customHeight="1" x14ac:dyDescent="0.2">
      <c r="A20" s="58">
        <v>8</v>
      </c>
      <c r="B20" s="58"/>
      <c r="C20" s="58"/>
      <c r="D20" s="59"/>
      <c r="E20" s="59" t="str">
        <f t="shared" si="0"/>
        <v/>
      </c>
      <c r="F20" s="59" t="str">
        <f t="shared" si="1"/>
        <v/>
      </c>
    </row>
    <row r="21" spans="1:6" ht="16" customHeight="1" x14ac:dyDescent="0.2">
      <c r="E21" s="60" t="s">
        <v>1082</v>
      </c>
      <c r="F21" s="61">
        <f>SUM(F13:F20)</f>
        <v>0</v>
      </c>
    </row>
    <row r="23" spans="1:6" x14ac:dyDescent="0.2">
      <c r="A23" t="s">
        <v>1083</v>
      </c>
    </row>
    <row r="25" spans="1:6" x14ac:dyDescent="0.2">
      <c r="A25" t="s">
        <v>1084</v>
      </c>
    </row>
    <row r="27" spans="1:6" x14ac:dyDescent="0.2">
      <c r="E27" s="54" t="s">
        <v>1063</v>
      </c>
    </row>
  </sheetData>
  <mergeCells count="4">
    <mergeCell ref="A3:F3"/>
    <mergeCell ref="A2:F2"/>
    <mergeCell ref="A1:F1"/>
    <mergeCell ref="A5:F5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08080"/>
    <pageSetUpPr fitToPage="1"/>
  </sheetPr>
  <dimension ref="A1:K60"/>
  <sheetViews>
    <sheetView showGridLines="0" topLeftCell="A2" workbookViewId="0">
      <selection activeCell="B5" sqref="B5"/>
    </sheetView>
  </sheetViews>
  <sheetFormatPr baseColWidth="10" defaultColWidth="8.83203125" defaultRowHeight="15" x14ac:dyDescent="0.2"/>
  <cols>
    <col min="1" max="1" width="20" customWidth="1"/>
    <col min="2" max="11" width="16" customWidth="1"/>
  </cols>
  <sheetData>
    <row r="1" spans="1:11" ht="32" customHeight="1" x14ac:dyDescent="0.2">
      <c r="A1" s="201" t="s">
        <v>1085</v>
      </c>
      <c r="B1" s="202"/>
      <c r="C1" s="202"/>
      <c r="D1" s="202"/>
    </row>
    <row r="4" spans="1:11" ht="16" customHeight="1" x14ac:dyDescent="0.2">
      <c r="A4" s="1" t="s">
        <v>1086</v>
      </c>
    </row>
    <row r="5" spans="1:11" x14ac:dyDescent="0.2">
      <c r="A5" s="33" t="s">
        <v>1087</v>
      </c>
      <c r="B5" s="62" t="s">
        <v>1088</v>
      </c>
    </row>
    <row r="6" spans="1:11" x14ac:dyDescent="0.2">
      <c r="A6" s="33" t="s">
        <v>1089</v>
      </c>
      <c r="B6" s="62" t="s">
        <v>1078</v>
      </c>
    </row>
    <row r="7" spans="1:11" x14ac:dyDescent="0.2">
      <c r="A7" s="33" t="s">
        <v>1090</v>
      </c>
      <c r="B7" s="62" t="s">
        <v>1091</v>
      </c>
    </row>
    <row r="8" spans="1:11" x14ac:dyDescent="0.2">
      <c r="A8" s="33" t="s">
        <v>1092</v>
      </c>
      <c r="B8" s="62" t="s">
        <v>1093</v>
      </c>
    </row>
    <row r="9" spans="1:11" x14ac:dyDescent="0.2">
      <c r="A9" s="33" t="s">
        <v>1094</v>
      </c>
      <c r="B9" s="62" t="s">
        <v>1095</v>
      </c>
    </row>
    <row r="10" spans="1:11" x14ac:dyDescent="0.2">
      <c r="A10" s="33" t="s">
        <v>1096</v>
      </c>
      <c r="B10" s="62" t="s">
        <v>1097</v>
      </c>
    </row>
    <row r="11" spans="1:11" x14ac:dyDescent="0.2">
      <c r="A11" s="33" t="s">
        <v>1098</v>
      </c>
      <c r="B11" s="62" t="s">
        <v>1099</v>
      </c>
    </row>
    <row r="12" spans="1:11" x14ac:dyDescent="0.2">
      <c r="A12" s="33" t="s">
        <v>1100</v>
      </c>
      <c r="B12" s="62" t="s">
        <v>1101</v>
      </c>
    </row>
    <row r="14" spans="1:11" ht="16" customHeight="1" x14ac:dyDescent="0.2">
      <c r="A14" s="1" t="s">
        <v>1102</v>
      </c>
    </row>
    <row r="15" spans="1:11" ht="16" customHeight="1" x14ac:dyDescent="0.2">
      <c r="E15" s="3" t="s">
        <v>1103</v>
      </c>
      <c r="F15" s="3" t="s">
        <v>1104</v>
      </c>
      <c r="G15" s="3" t="s">
        <v>1105</v>
      </c>
      <c r="H15" s="3" t="s">
        <v>1106</v>
      </c>
      <c r="I15" s="3" t="s">
        <v>1107</v>
      </c>
      <c r="J15" s="3" t="s">
        <v>1108</v>
      </c>
      <c r="K15" s="3" t="s">
        <v>1109</v>
      </c>
    </row>
    <row r="16" spans="1:11" ht="16" customHeight="1" x14ac:dyDescent="0.2">
      <c r="E16" s="63" t="s">
        <v>1053</v>
      </c>
      <c r="F16" s="63" t="s">
        <v>902</v>
      </c>
      <c r="G16" s="63" t="s">
        <v>984</v>
      </c>
      <c r="H16" s="63" t="s">
        <v>1110</v>
      </c>
      <c r="I16" s="63" t="s">
        <v>896</v>
      </c>
      <c r="J16" s="63" t="s">
        <v>994</v>
      </c>
      <c r="K16" s="63" t="s">
        <v>758</v>
      </c>
    </row>
    <row r="17" spans="5:11" ht="16" customHeight="1" x14ac:dyDescent="0.2">
      <c r="E17" s="63" t="s">
        <v>1054</v>
      </c>
      <c r="F17" s="63" t="s">
        <v>64</v>
      </c>
      <c r="G17" s="63" t="s">
        <v>986</v>
      </c>
      <c r="H17" s="63" t="s">
        <v>72</v>
      </c>
      <c r="I17" s="63" t="s">
        <v>65</v>
      </c>
      <c r="J17" s="63" t="s">
        <v>1000</v>
      </c>
      <c r="K17" s="63" t="s">
        <v>751</v>
      </c>
    </row>
    <row r="18" spans="5:11" ht="16" customHeight="1" x14ac:dyDescent="0.2">
      <c r="E18" s="63" t="s">
        <v>1111</v>
      </c>
      <c r="F18" s="63" t="s">
        <v>1112</v>
      </c>
      <c r="G18" s="63" t="s">
        <v>1113</v>
      </c>
      <c r="H18" s="63" t="s">
        <v>760</v>
      </c>
      <c r="I18" s="63" t="s">
        <v>1114</v>
      </c>
      <c r="J18" s="63" t="s">
        <v>1115</v>
      </c>
    </row>
    <row r="19" spans="5:11" ht="16" customHeight="1" x14ac:dyDescent="0.2">
      <c r="E19" s="63" t="s">
        <v>1116</v>
      </c>
      <c r="F19" s="63"/>
      <c r="G19" s="63" t="s">
        <v>946</v>
      </c>
      <c r="H19" s="63" t="s">
        <v>1117</v>
      </c>
      <c r="I19" s="63" t="s">
        <v>1118</v>
      </c>
    </row>
    <row r="20" spans="5:11" ht="16" customHeight="1" x14ac:dyDescent="0.2">
      <c r="E20" s="63" t="s">
        <v>1119</v>
      </c>
      <c r="F20" s="63" t="s">
        <v>1120</v>
      </c>
      <c r="G20" s="63" t="s">
        <v>982</v>
      </c>
      <c r="H20" s="63" t="s">
        <v>95</v>
      </c>
      <c r="I20" s="63" t="s">
        <v>1121</v>
      </c>
    </row>
    <row r="21" spans="5:11" ht="16" customHeight="1" x14ac:dyDescent="0.2">
      <c r="E21" s="63" t="s">
        <v>1122</v>
      </c>
      <c r="F21" s="63" t="s">
        <v>1123</v>
      </c>
      <c r="G21" s="63" t="s">
        <v>1124</v>
      </c>
      <c r="H21" s="63" t="s">
        <v>752</v>
      </c>
      <c r="I21" s="63" t="s">
        <v>1125</v>
      </c>
    </row>
    <row r="22" spans="5:11" ht="16" customHeight="1" x14ac:dyDescent="0.2">
      <c r="E22" s="63" t="s">
        <v>1126</v>
      </c>
      <c r="F22" s="63" t="s">
        <v>1127</v>
      </c>
      <c r="G22" s="63" t="s">
        <v>1128</v>
      </c>
      <c r="H22" s="63" t="s">
        <v>1129</v>
      </c>
    </row>
    <row r="23" spans="5:11" ht="16" customHeight="1" x14ac:dyDescent="0.2">
      <c r="E23" s="63" t="s">
        <v>1130</v>
      </c>
      <c r="G23" s="63" t="s">
        <v>1131</v>
      </c>
      <c r="H23" s="63" t="s">
        <v>1132</v>
      </c>
    </row>
    <row r="24" spans="5:11" ht="16" customHeight="1" x14ac:dyDescent="0.2">
      <c r="H24" s="63" t="s">
        <v>63</v>
      </c>
    </row>
    <row r="25" spans="5:11" ht="16" customHeight="1" x14ac:dyDescent="0.2">
      <c r="H25" s="63" t="s">
        <v>96</v>
      </c>
    </row>
    <row r="57" spans="1:2" ht="16" customHeight="1" x14ac:dyDescent="0.2">
      <c r="A57" s="1" t="s">
        <v>1133</v>
      </c>
    </row>
    <row r="58" spans="1:2" x14ac:dyDescent="0.2">
      <c r="A58" s="33" t="s">
        <v>1134</v>
      </c>
      <c r="B58">
        <v>7.15</v>
      </c>
    </row>
    <row r="59" spans="1:2" x14ac:dyDescent="0.2">
      <c r="A59" s="33" t="s">
        <v>1135</v>
      </c>
      <c r="B59">
        <v>4.55</v>
      </c>
    </row>
    <row r="60" spans="1:2" x14ac:dyDescent="0.2">
      <c r="A60" s="33" t="s">
        <v>1136</v>
      </c>
      <c r="B60" t="s">
        <v>1137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08080"/>
  </sheetPr>
  <dimension ref="A1:D50"/>
  <sheetViews>
    <sheetView showGridLines="0" topLeftCell="A25" workbookViewId="0">
      <selection activeCell="C35" sqref="C35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42" customWidth="1"/>
    <col min="4" max="4" width="52" customWidth="1"/>
  </cols>
  <sheetData>
    <row r="1" spans="1:4" ht="24" customHeight="1" x14ac:dyDescent="0.2">
      <c r="A1" s="229" t="str">
        <f>BizName</f>
        <v>PRARAMBHA DAIRY</v>
      </c>
      <c r="B1" s="202"/>
      <c r="C1" s="202"/>
      <c r="D1" s="202"/>
    </row>
    <row r="2" spans="1:4" ht="26" customHeight="1" x14ac:dyDescent="0.2">
      <c r="A2" s="226" t="s">
        <v>1138</v>
      </c>
      <c r="B2" s="202"/>
      <c r="C2" s="202"/>
      <c r="D2" s="202"/>
    </row>
    <row r="4" spans="1:4" ht="16" customHeight="1" x14ac:dyDescent="0.2">
      <c r="A4" s="232" t="s">
        <v>1139</v>
      </c>
      <c r="B4" s="202"/>
      <c r="C4" s="202"/>
      <c r="D4" s="202"/>
    </row>
    <row r="5" spans="1:4" ht="30" customHeight="1" x14ac:dyDescent="0.2">
      <c r="A5" s="119"/>
      <c r="B5" s="120" t="s">
        <v>1140</v>
      </c>
      <c r="C5" s="230" t="s">
        <v>1141</v>
      </c>
      <c r="D5" s="202"/>
    </row>
    <row r="6" spans="1:4" ht="30" customHeight="1" x14ac:dyDescent="0.2">
      <c r="A6" s="121"/>
      <c r="B6" s="120" t="s">
        <v>1142</v>
      </c>
      <c r="C6" s="230" t="s">
        <v>1143</v>
      </c>
      <c r="D6" s="202"/>
    </row>
    <row r="7" spans="1:4" ht="30" customHeight="1" x14ac:dyDescent="0.2">
      <c r="A7" s="122"/>
      <c r="B7" s="120" t="s">
        <v>1144</v>
      </c>
      <c r="C7" s="230" t="s">
        <v>1145</v>
      </c>
      <c r="D7" s="202"/>
    </row>
    <row r="8" spans="1:4" ht="30" customHeight="1" x14ac:dyDescent="0.2">
      <c r="A8" s="123"/>
      <c r="B8" s="120" t="s">
        <v>1146</v>
      </c>
      <c r="C8" s="230" t="s">
        <v>1147</v>
      </c>
      <c r="D8" s="202"/>
    </row>
    <row r="10" spans="1:4" ht="16" customHeight="1" x14ac:dyDescent="0.2">
      <c r="A10" s="233" t="s">
        <v>1148</v>
      </c>
      <c r="B10" s="202"/>
      <c r="C10" s="202"/>
      <c r="D10" s="202"/>
    </row>
    <row r="11" spans="1:4" ht="28" customHeight="1" x14ac:dyDescent="0.2">
      <c r="A11" s="225" t="s">
        <v>1149</v>
      </c>
      <c r="B11" s="202"/>
      <c r="C11" s="202"/>
      <c r="D11" s="202"/>
    </row>
    <row r="12" spans="1:4" ht="28" customHeight="1" x14ac:dyDescent="0.2">
      <c r="A12" s="225" t="s">
        <v>1150</v>
      </c>
      <c r="B12" s="202"/>
      <c r="C12" s="202"/>
      <c r="D12" s="202"/>
    </row>
    <row r="13" spans="1:4" ht="28" customHeight="1" x14ac:dyDescent="0.2">
      <c r="A13" s="225" t="s">
        <v>1151</v>
      </c>
      <c r="B13" s="202"/>
      <c r="C13" s="202"/>
      <c r="D13" s="202"/>
    </row>
    <row r="14" spans="1:4" ht="28" customHeight="1" x14ac:dyDescent="0.2">
      <c r="A14" s="225" t="s">
        <v>1152</v>
      </c>
      <c r="B14" s="202"/>
      <c r="C14" s="202"/>
      <c r="D14" s="202"/>
    </row>
    <row r="15" spans="1:4" ht="28" customHeight="1" x14ac:dyDescent="0.2">
      <c r="A15" s="225" t="s">
        <v>1153</v>
      </c>
      <c r="B15" s="202"/>
      <c r="C15" s="202"/>
      <c r="D15" s="202"/>
    </row>
    <row r="17" spans="1:4" ht="16" customHeight="1" x14ac:dyDescent="0.2">
      <c r="A17" s="232" t="s">
        <v>1154</v>
      </c>
      <c r="B17" s="202"/>
      <c r="C17" s="202"/>
      <c r="D17" s="202"/>
    </row>
    <row r="18" spans="1:4" x14ac:dyDescent="0.2">
      <c r="A18" s="124" t="s">
        <v>1155</v>
      </c>
      <c r="B18" s="124" t="s">
        <v>1156</v>
      </c>
      <c r="C18" s="124" t="s">
        <v>1157</v>
      </c>
      <c r="D18" s="124" t="s">
        <v>1158</v>
      </c>
    </row>
    <row r="19" spans="1:4" ht="34" customHeight="1" x14ac:dyDescent="0.2">
      <c r="A19" s="125" t="s">
        <v>1159</v>
      </c>
      <c r="B19" s="126" t="s">
        <v>1160</v>
      </c>
      <c r="C19" s="127" t="s">
        <v>1161</v>
      </c>
      <c r="D19" s="127" t="s">
        <v>1162</v>
      </c>
    </row>
    <row r="20" spans="1:4" ht="34" customHeight="1" x14ac:dyDescent="0.2">
      <c r="A20" s="125" t="s">
        <v>1163</v>
      </c>
      <c r="B20" s="128" t="s">
        <v>1164</v>
      </c>
      <c r="C20" s="127" t="s">
        <v>1165</v>
      </c>
      <c r="D20" s="127" t="s">
        <v>1166</v>
      </c>
    </row>
    <row r="21" spans="1:4" ht="34" customHeight="1" x14ac:dyDescent="0.2">
      <c r="A21" s="125" t="s">
        <v>1167</v>
      </c>
      <c r="B21" s="128" t="s">
        <v>1164</v>
      </c>
      <c r="C21" s="127" t="s">
        <v>1168</v>
      </c>
      <c r="D21" s="127" t="s">
        <v>1169</v>
      </c>
    </row>
    <row r="22" spans="1:4" ht="34" customHeight="1" x14ac:dyDescent="0.2">
      <c r="A22" s="125" t="s">
        <v>1170</v>
      </c>
      <c r="B22" s="129" t="s">
        <v>1171</v>
      </c>
      <c r="C22" s="127" t="s">
        <v>1172</v>
      </c>
      <c r="D22" s="127" t="s">
        <v>1173</v>
      </c>
    </row>
    <row r="23" spans="1:4" ht="34" customHeight="1" x14ac:dyDescent="0.2">
      <c r="A23" s="125" t="s">
        <v>1174</v>
      </c>
      <c r="B23" s="129" t="s">
        <v>1171</v>
      </c>
      <c r="C23" s="127" t="s">
        <v>1175</v>
      </c>
      <c r="D23" s="127" t="s">
        <v>1176</v>
      </c>
    </row>
    <row r="24" spans="1:4" ht="34" customHeight="1" x14ac:dyDescent="0.2">
      <c r="A24" s="125" t="s">
        <v>901</v>
      </c>
      <c r="B24" s="129" t="s">
        <v>1171</v>
      </c>
      <c r="C24" s="127" t="s">
        <v>1177</v>
      </c>
      <c r="D24" s="127" t="s">
        <v>1178</v>
      </c>
    </row>
    <row r="25" spans="1:4" ht="34" customHeight="1" x14ac:dyDescent="0.2">
      <c r="A25" s="125" t="s">
        <v>1179</v>
      </c>
      <c r="B25" s="129" t="s">
        <v>1171</v>
      </c>
      <c r="C25" s="127" t="s">
        <v>1180</v>
      </c>
      <c r="D25" s="127" t="s">
        <v>1181</v>
      </c>
    </row>
    <row r="26" spans="1:4" ht="34" customHeight="1" x14ac:dyDescent="0.2">
      <c r="A26" s="125" t="s">
        <v>1182</v>
      </c>
      <c r="B26" s="129" t="s">
        <v>1171</v>
      </c>
      <c r="C26" s="127" t="s">
        <v>1183</v>
      </c>
      <c r="D26" s="127" t="s">
        <v>1184</v>
      </c>
    </row>
    <row r="27" spans="1:4" ht="34" customHeight="1" x14ac:dyDescent="0.2">
      <c r="A27" s="125" t="s">
        <v>1185</v>
      </c>
      <c r="B27" s="129" t="s">
        <v>1171</v>
      </c>
      <c r="C27" s="127" t="s">
        <v>1186</v>
      </c>
      <c r="D27" s="127" t="s">
        <v>1187</v>
      </c>
    </row>
    <row r="28" spans="1:4" ht="34" customHeight="1" x14ac:dyDescent="0.2">
      <c r="A28" s="125" t="s">
        <v>1188</v>
      </c>
      <c r="B28" s="126" t="s">
        <v>1160</v>
      </c>
      <c r="C28" s="127" t="s">
        <v>1189</v>
      </c>
      <c r="D28" s="127" t="s">
        <v>1190</v>
      </c>
    </row>
    <row r="29" spans="1:4" ht="34" customHeight="1" x14ac:dyDescent="0.2">
      <c r="A29" s="125" t="s">
        <v>1191</v>
      </c>
      <c r="B29" s="128" t="s">
        <v>1164</v>
      </c>
      <c r="C29" s="127" t="s">
        <v>1192</v>
      </c>
      <c r="D29" s="127" t="s">
        <v>1193</v>
      </c>
    </row>
    <row r="30" spans="1:4" ht="34" customHeight="1" x14ac:dyDescent="0.2">
      <c r="A30" s="125" t="s">
        <v>1194</v>
      </c>
      <c r="B30" s="129" t="s">
        <v>1171</v>
      </c>
      <c r="C30" s="127" t="s">
        <v>1195</v>
      </c>
      <c r="D30" s="127" t="s">
        <v>1196</v>
      </c>
    </row>
    <row r="31" spans="1:4" ht="34" customHeight="1" x14ac:dyDescent="0.2">
      <c r="A31" s="125" t="s">
        <v>1197</v>
      </c>
      <c r="B31" s="128" t="s">
        <v>1164</v>
      </c>
      <c r="C31" s="127" t="s">
        <v>1198</v>
      </c>
      <c r="D31" s="127" t="s">
        <v>1199</v>
      </c>
    </row>
    <row r="32" spans="1:4" ht="34" customHeight="1" x14ac:dyDescent="0.2">
      <c r="A32" s="125" t="s">
        <v>1200</v>
      </c>
      <c r="B32" s="129" t="s">
        <v>1171</v>
      </c>
      <c r="C32" s="127" t="s">
        <v>1201</v>
      </c>
      <c r="D32" s="127" t="s">
        <v>1202</v>
      </c>
    </row>
    <row r="33" spans="1:4" ht="34" customHeight="1" x14ac:dyDescent="0.2">
      <c r="A33" s="125" t="s">
        <v>1203</v>
      </c>
      <c r="B33" s="129" t="s">
        <v>1171</v>
      </c>
      <c r="C33" s="127" t="s">
        <v>1204</v>
      </c>
      <c r="D33" s="127" t="s">
        <v>1205</v>
      </c>
    </row>
    <row r="34" spans="1:4" ht="34" customHeight="1" x14ac:dyDescent="0.2">
      <c r="A34" s="125" t="s">
        <v>1206</v>
      </c>
      <c r="B34" s="126" t="s">
        <v>1160</v>
      </c>
      <c r="C34" s="127" t="s">
        <v>1207</v>
      </c>
      <c r="D34" s="127" t="s">
        <v>1208</v>
      </c>
    </row>
    <row r="36" spans="1:4" ht="16" customHeight="1" x14ac:dyDescent="0.2">
      <c r="A36" s="228" t="s">
        <v>1209</v>
      </c>
      <c r="B36" s="202"/>
      <c r="C36" s="202"/>
      <c r="D36" s="202"/>
    </row>
    <row r="37" spans="1:4" ht="26" customHeight="1" x14ac:dyDescent="0.2">
      <c r="A37" s="227" t="s">
        <v>1210</v>
      </c>
      <c r="B37" s="202"/>
      <c r="C37" s="202"/>
      <c r="D37" s="202"/>
    </row>
    <row r="38" spans="1:4" ht="26" customHeight="1" x14ac:dyDescent="0.2">
      <c r="A38" s="227" t="s">
        <v>1211</v>
      </c>
      <c r="B38" s="202"/>
      <c r="C38" s="202"/>
      <c r="D38" s="202"/>
    </row>
    <row r="39" spans="1:4" ht="26" customHeight="1" x14ac:dyDescent="0.2">
      <c r="A39" s="227" t="s">
        <v>1212</v>
      </c>
      <c r="B39" s="202"/>
      <c r="C39" s="202"/>
      <c r="D39" s="202"/>
    </row>
    <row r="40" spans="1:4" ht="26" customHeight="1" x14ac:dyDescent="0.2">
      <c r="A40" s="227" t="s">
        <v>1213</v>
      </c>
      <c r="B40" s="202"/>
      <c r="C40" s="202"/>
      <c r="D40" s="202"/>
    </row>
    <row r="41" spans="1:4" ht="26" customHeight="1" x14ac:dyDescent="0.2">
      <c r="A41" s="227" t="s">
        <v>1214</v>
      </c>
      <c r="B41" s="202"/>
      <c r="C41" s="202"/>
      <c r="D41" s="202"/>
    </row>
    <row r="42" spans="1:4" ht="26" customHeight="1" x14ac:dyDescent="0.2">
      <c r="A42" s="227" t="s">
        <v>1215</v>
      </c>
      <c r="B42" s="202"/>
      <c r="C42" s="202"/>
      <c r="D42" s="202"/>
    </row>
    <row r="44" spans="1:4" ht="16" customHeight="1" x14ac:dyDescent="0.2">
      <c r="A44" s="231" t="s">
        <v>1216</v>
      </c>
      <c r="B44" s="202"/>
      <c r="C44" s="202"/>
      <c r="D44" s="202"/>
    </row>
    <row r="45" spans="1:4" ht="24" customHeight="1" x14ac:dyDescent="0.2">
      <c r="A45" s="224" t="s">
        <v>1217</v>
      </c>
      <c r="B45" s="202"/>
      <c r="C45" s="202"/>
      <c r="D45" s="202"/>
    </row>
    <row r="46" spans="1:4" ht="24" customHeight="1" x14ac:dyDescent="0.2">
      <c r="A46" s="224" t="s">
        <v>1218</v>
      </c>
      <c r="B46" s="202"/>
      <c r="C46" s="202"/>
      <c r="D46" s="202"/>
    </row>
    <row r="47" spans="1:4" ht="24" customHeight="1" x14ac:dyDescent="0.2">
      <c r="A47" s="224" t="s">
        <v>1219</v>
      </c>
      <c r="B47" s="202"/>
      <c r="C47" s="202"/>
      <c r="D47" s="202"/>
    </row>
    <row r="48" spans="1:4" ht="24" customHeight="1" x14ac:dyDescent="0.2">
      <c r="A48" s="224" t="s">
        <v>1220</v>
      </c>
      <c r="B48" s="202"/>
      <c r="C48" s="202"/>
      <c r="D48" s="202"/>
    </row>
    <row r="49" spans="1:4" ht="24" customHeight="1" x14ac:dyDescent="0.2">
      <c r="A49" s="224" t="s">
        <v>1221</v>
      </c>
      <c r="B49" s="202"/>
      <c r="C49" s="202"/>
      <c r="D49" s="202"/>
    </row>
    <row r="50" spans="1:4" ht="24" customHeight="1" x14ac:dyDescent="0.2">
      <c r="A50" s="224" t="s">
        <v>1222</v>
      </c>
      <c r="B50" s="202"/>
      <c r="C50" s="202"/>
      <c r="D50" s="202"/>
    </row>
  </sheetData>
  <mergeCells count="28">
    <mergeCell ref="A1:D1"/>
    <mergeCell ref="A45:D45"/>
    <mergeCell ref="A41:D41"/>
    <mergeCell ref="A46:D46"/>
    <mergeCell ref="C8:D8"/>
    <mergeCell ref="A37:D37"/>
    <mergeCell ref="C7:D7"/>
    <mergeCell ref="A44:D44"/>
    <mergeCell ref="A40:D40"/>
    <mergeCell ref="A39:D39"/>
    <mergeCell ref="A15:D15"/>
    <mergeCell ref="A17:D17"/>
    <mergeCell ref="C6:D6"/>
    <mergeCell ref="A4:D4"/>
    <mergeCell ref="A38:D38"/>
    <mergeCell ref="C5:D5"/>
    <mergeCell ref="A50:D50"/>
    <mergeCell ref="A12:D12"/>
    <mergeCell ref="A2:D2"/>
    <mergeCell ref="A47:D47"/>
    <mergeCell ref="A42:D42"/>
    <mergeCell ref="A14:D14"/>
    <mergeCell ref="A49:D49"/>
    <mergeCell ref="A11:D11"/>
    <mergeCell ref="A36:D36"/>
    <mergeCell ref="A48:D48"/>
    <mergeCell ref="A10:D10"/>
    <mergeCell ref="A13:D13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Dashboard</vt:lpstr>
      <vt:lpstr>Profit_Loss</vt:lpstr>
      <vt:lpstr>Receivable_Payable</vt:lpstr>
      <vt:lpstr>Sales_Entry</vt:lpstr>
      <vt:lpstr>Purchase_Entry</vt:lpstr>
      <vt:lpstr>Collection</vt:lpstr>
      <vt:lpstr>Cash_Demon</vt:lpstr>
      <vt:lpstr>Daybook</vt:lpstr>
      <vt:lpstr>Party_Master</vt:lpstr>
      <vt:lpstr>Party_Ledger</vt:lpstr>
      <vt:lpstr>Party_Statement</vt:lpstr>
      <vt:lpstr>Stock_Master</vt:lpstr>
      <vt:lpstr>Stock_Statement</vt:lpstr>
      <vt:lpstr>Cash_Deposit</vt:lpstr>
      <vt:lpstr>Printable_Invoice</vt:lpstr>
      <vt:lpstr>Settings</vt:lpstr>
      <vt:lpstr>README</vt:lpstr>
      <vt:lpstr>BizName</vt:lpstr>
      <vt:lpstr>FAT_MULT</vt:lpstr>
      <vt:lpstr>PartyTypes</vt:lpstr>
      <vt:lpstr>PayModes</vt:lpstr>
      <vt:lpstr>Cash_Deposit!Print_Area</vt:lpstr>
      <vt:lpstr>Party_Statement!Print_Area</vt:lpstr>
      <vt:lpstr>Printable_Invoice!Print_Area</vt:lpstr>
      <vt:lpstr>Profit_Loss!Print_Area</vt:lpstr>
      <vt:lpstr>README!Print_Area</vt:lpstr>
      <vt:lpstr>Receivable_Payable!Print_Area</vt:lpstr>
      <vt:lpstr>Stock_Statement!Print_Area</vt:lpstr>
      <vt:lpstr>Products</vt:lpstr>
      <vt:lpstr>RateTypes</vt:lpstr>
      <vt:lpstr>SNF_MULT</vt:lpstr>
      <vt:lpstr>Statuses</vt:lpstr>
      <vt:lpstr>TxnTypes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Sushil Gautam</cp:lastModifiedBy>
  <cp:lastPrinted>2026-08-02T14:28:43Z</cp:lastPrinted>
  <dcterms:created xsi:type="dcterms:W3CDTF">2026-07-18T06:52:46Z</dcterms:created>
  <dcterms:modified xsi:type="dcterms:W3CDTF">2026-08-02T16:58:04Z</dcterms:modified>
</cp:coreProperties>
</file>
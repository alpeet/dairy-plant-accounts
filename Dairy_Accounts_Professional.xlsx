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ushilgautam/Desktop/6+/dairy-plant-accounts/"/>
    </mc:Choice>
  </mc:AlternateContent>
  <xr:revisionPtr revIDLastSave="0" documentId="13_ncr:1_{8D4873E2-F617-C342-8EC3-A2181678FA88}" xr6:coauthVersionLast="47" xr6:coauthVersionMax="47" xr10:uidLastSave="{00000000-0000-0000-0000-000000000000}"/>
  <bookViews>
    <workbookView xWindow="4660" yWindow="1080" windowWidth="38400" windowHeight="19720" tabRatio="844" activeTab="9" xr2:uid="{00000000-000D-0000-FFFF-FFFF00000000}"/>
  </bookViews>
  <sheets>
    <sheet name="Dashboard" sheetId="1" r:id="rId1"/>
    <sheet name="Profit_Loss" sheetId="2" r:id="rId2"/>
    <sheet name="Receivable_Payable" sheetId="3" r:id="rId3"/>
    <sheet name="Sales_Entry" sheetId="4" r:id="rId4"/>
    <sheet name="Purchase_Entry" sheetId="5" r:id="rId5"/>
    <sheet name="Cash_Collection" sheetId="6" r:id="rId6"/>
    <sheet name="Cash_Deposit" sheetId="7" r:id="rId7"/>
    <sheet name="Daybook" sheetId="8" r:id="rId8"/>
    <sheet name="Party_Master" sheetId="9" r:id="rId9"/>
    <sheet name="Party_Ledger" sheetId="10" r:id="rId10"/>
    <sheet name="Party_Statement" sheetId="11" r:id="rId11"/>
    <sheet name="Stock_Master" sheetId="12" r:id="rId12"/>
    <sheet name="Stock_Statement" sheetId="13" r:id="rId13"/>
    <sheet name="Printable_Invoice" sheetId="14" r:id="rId14"/>
    <sheet name="Settings" sheetId="15" r:id="rId15"/>
    <sheet name="README" sheetId="16" r:id="rId16"/>
  </sheets>
  <definedNames>
    <definedName name="_xlnm._FilterDatabase" localSheetId="4" hidden="1">Purchase_Entry!$A$2:$Q$629</definedName>
    <definedName name="_xlnm._FilterDatabase" localSheetId="3" hidden="1">Sales_Entry!$A$2:$L$581</definedName>
    <definedName name="BizName">Settings!$B$5</definedName>
    <definedName name="FAT_MULT">Settings!$B$58</definedName>
    <definedName name="PartyTypes">Settings!$J$16:$J$55</definedName>
    <definedName name="PayModes">Settings!$F$16:$F$55</definedName>
    <definedName name="_xlnm.Print_Area" localSheetId="6">Cash_Deposit!$A$1:$N$207</definedName>
    <definedName name="_xlnm.Print_Area" localSheetId="10">Party_Statement!$A$1:$G$81</definedName>
    <definedName name="_xlnm.Print_Area" localSheetId="13">Printable_Invoice!$A$1:$F$27</definedName>
    <definedName name="_xlnm.Print_Area" localSheetId="1">Profit_Loss!$A$1:$D$25</definedName>
    <definedName name="_xlnm.Print_Area" localSheetId="15">README!$A$1:$D$51</definedName>
    <definedName name="_xlnm.Print_Area" localSheetId="2">Receivable_Payable!$A$1:$F$52</definedName>
    <definedName name="_xlnm.Print_Area" localSheetId="12">Stock_Statement!$A$1:$H$54</definedName>
    <definedName name="Products">Settings!$H$16:$H$55</definedName>
    <definedName name="RateTypes">Settings!$K$16:$K$55</definedName>
    <definedName name="SNF_MULT">Settings!$B$59</definedName>
    <definedName name="Statuses">Settings!$I$16:$I$55</definedName>
    <definedName name="TxnTypes">Settings!$G$16:$G$55</definedName>
    <definedName name="Units">Settings!$E$16:$E$55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81" i="4" l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J8" i="5" l="1"/>
  <c r="G546" i="4"/>
  <c r="G545" i="4"/>
  <c r="G544" i="4"/>
  <c r="G543" i="4"/>
  <c r="G542" i="4"/>
  <c r="I542" i="4" s="1"/>
  <c r="G541" i="4"/>
  <c r="I541" i="4" s="1"/>
  <c r="G540" i="4"/>
  <c r="I540" i="4" s="1"/>
  <c r="G539" i="4"/>
  <c r="I539" i="4" s="1"/>
  <c r="G538" i="4"/>
  <c r="I538" i="4" s="1"/>
  <c r="G537" i="4"/>
  <c r="G536" i="4"/>
  <c r="G535" i="4"/>
  <c r="G534" i="4"/>
  <c r="G533" i="4"/>
  <c r="I533" i="4"/>
  <c r="I534" i="4"/>
  <c r="I535" i="4"/>
  <c r="I536" i="4"/>
  <c r="I537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G498" i="4"/>
  <c r="G491" i="4"/>
  <c r="I491" i="4" s="1"/>
  <c r="G482" i="4"/>
  <c r="I482" i="4"/>
  <c r="G483" i="4"/>
  <c r="I483" i="4"/>
  <c r="G484" i="4"/>
  <c r="I484" i="4" s="1"/>
  <c r="G485" i="4"/>
  <c r="I485" i="4" s="1"/>
  <c r="G486" i="4"/>
  <c r="I486" i="4" s="1"/>
  <c r="G487" i="4"/>
  <c r="I487" i="4"/>
  <c r="G488" i="4"/>
  <c r="I488" i="4"/>
  <c r="G489" i="4"/>
  <c r="I489" i="4"/>
  <c r="G490" i="4"/>
  <c r="I490" i="4" s="1"/>
  <c r="G492" i="4"/>
  <c r="I492" i="4" s="1"/>
  <c r="G493" i="4"/>
  <c r="I493" i="4" s="1"/>
  <c r="G494" i="4"/>
  <c r="I494" i="4" s="1"/>
  <c r="G495" i="4"/>
  <c r="I495" i="4" s="1"/>
  <c r="G496" i="4"/>
  <c r="I496" i="4" s="1"/>
  <c r="G497" i="4"/>
  <c r="I497" i="4" s="1"/>
  <c r="I498" i="4"/>
  <c r="G499" i="4"/>
  <c r="I499" i="4" s="1"/>
  <c r="G500" i="4"/>
  <c r="I500" i="4" s="1"/>
  <c r="G501" i="4"/>
  <c r="I501" i="4"/>
  <c r="G502" i="4"/>
  <c r="I502" i="4" s="1"/>
  <c r="G506" i="4"/>
  <c r="I506" i="4" s="1"/>
  <c r="G505" i="4"/>
  <c r="I505" i="4" s="1"/>
  <c r="G504" i="4"/>
  <c r="I504" i="4" s="1"/>
  <c r="G503" i="4"/>
  <c r="I503" i="4" s="1"/>
  <c r="G403" i="4" l="1"/>
  <c r="G402" i="4"/>
  <c r="G401" i="4"/>
  <c r="G400" i="4"/>
  <c r="G399" i="4"/>
  <c r="K635" i="5"/>
  <c r="J468" i="10"/>
  <c r="G44" i="9"/>
  <c r="F44" i="9"/>
  <c r="H44" i="9" l="1"/>
  <c r="I44" i="9" s="1"/>
  <c r="J7" i="5"/>
  <c r="L7" i="5" s="1"/>
  <c r="N7" i="5" s="1"/>
  <c r="L8" i="5"/>
  <c r="N8" i="5" s="1"/>
  <c r="A1" i="16"/>
  <c r="F20" i="14"/>
  <c r="E20" i="14"/>
  <c r="F19" i="14"/>
  <c r="E19" i="14"/>
  <c r="F18" i="14"/>
  <c r="E18" i="14"/>
  <c r="F17" i="14"/>
  <c r="E17" i="14"/>
  <c r="F16" i="14"/>
  <c r="E16" i="14"/>
  <c r="F15" i="14"/>
  <c r="E15" i="14"/>
  <c r="F14" i="14"/>
  <c r="E14" i="14"/>
  <c r="F13" i="14"/>
  <c r="E13" i="14"/>
  <c r="B8" i="14"/>
  <c r="A3" i="14"/>
  <c r="A2" i="14"/>
  <c r="A1" i="14"/>
  <c r="B47" i="13"/>
  <c r="A47" i="13"/>
  <c r="B46" i="13"/>
  <c r="A46" i="13"/>
  <c r="C46" i="13" s="1"/>
  <c r="B45" i="13"/>
  <c r="A45" i="13"/>
  <c r="G45" i="13" s="1"/>
  <c r="B44" i="13"/>
  <c r="A44" i="13"/>
  <c r="B43" i="13"/>
  <c r="A43" i="13"/>
  <c r="C43" i="13" s="1"/>
  <c r="B42" i="13"/>
  <c r="A42" i="13"/>
  <c r="B41" i="13"/>
  <c r="A41" i="13"/>
  <c r="C41" i="13" s="1"/>
  <c r="B40" i="13"/>
  <c r="A40" i="13"/>
  <c r="G40" i="13" s="1"/>
  <c r="B39" i="13"/>
  <c r="A39" i="13"/>
  <c r="B38" i="13"/>
  <c r="A38" i="13"/>
  <c r="C38" i="13" s="1"/>
  <c r="B37" i="13"/>
  <c r="A37" i="13"/>
  <c r="B36" i="13"/>
  <c r="A36" i="13"/>
  <c r="C36" i="13" s="1"/>
  <c r="B35" i="13"/>
  <c r="A35" i="13"/>
  <c r="G35" i="13" s="1"/>
  <c r="B34" i="13"/>
  <c r="A34" i="13"/>
  <c r="B33" i="13"/>
  <c r="A33" i="13"/>
  <c r="C33" i="13" s="1"/>
  <c r="B32" i="13"/>
  <c r="A32" i="13"/>
  <c r="B31" i="13"/>
  <c r="A31" i="13"/>
  <c r="C31" i="13" s="1"/>
  <c r="B30" i="13"/>
  <c r="A30" i="13"/>
  <c r="G30" i="13" s="1"/>
  <c r="B29" i="13"/>
  <c r="A29" i="13"/>
  <c r="F29" i="13" s="1"/>
  <c r="B28" i="13"/>
  <c r="A28" i="13"/>
  <c r="C28" i="13" s="1"/>
  <c r="B27" i="13"/>
  <c r="A27" i="13"/>
  <c r="H27" i="13" s="1"/>
  <c r="B26" i="13"/>
  <c r="A26" i="13"/>
  <c r="C26" i="13" s="1"/>
  <c r="B25" i="13"/>
  <c r="A25" i="13"/>
  <c r="G25" i="13" s="1"/>
  <c r="B24" i="13"/>
  <c r="A24" i="13"/>
  <c r="E24" i="13" s="1"/>
  <c r="B23" i="13"/>
  <c r="A23" i="13"/>
  <c r="B22" i="13"/>
  <c r="A22" i="13"/>
  <c r="G22" i="13" s="1"/>
  <c r="B21" i="13"/>
  <c r="A21" i="13"/>
  <c r="C21" i="13" s="1"/>
  <c r="B20" i="13"/>
  <c r="A20" i="13"/>
  <c r="G20" i="13" s="1"/>
  <c r="B19" i="13"/>
  <c r="A19" i="13"/>
  <c r="F19" i="13" s="1"/>
  <c r="B18" i="13"/>
  <c r="A18" i="13"/>
  <c r="B17" i="13"/>
  <c r="A17" i="13"/>
  <c r="G17" i="13" s="1"/>
  <c r="B16" i="13"/>
  <c r="A16" i="13"/>
  <c r="C16" i="13" s="1"/>
  <c r="B15" i="13"/>
  <c r="A15" i="13"/>
  <c r="C15" i="13" s="1"/>
  <c r="B14" i="13"/>
  <c r="A14" i="13"/>
  <c r="C14" i="13" s="1"/>
  <c r="B13" i="13"/>
  <c r="A13" i="13"/>
  <c r="G13" i="13" s="1"/>
  <c r="B12" i="13"/>
  <c r="A12" i="13"/>
  <c r="C12" i="13" s="1"/>
  <c r="B11" i="13"/>
  <c r="A11" i="13"/>
  <c r="E11" i="13" s="1"/>
  <c r="B10" i="13"/>
  <c r="A10" i="13"/>
  <c r="E10" i="13" s="1"/>
  <c r="B9" i="13"/>
  <c r="A9" i="13"/>
  <c r="A6" i="13"/>
  <c r="A2" i="13"/>
  <c r="A1" i="13"/>
  <c r="J41" i="12"/>
  <c r="I41" i="12"/>
  <c r="F41" i="12"/>
  <c r="E41" i="12"/>
  <c r="D41" i="12"/>
  <c r="J40" i="12"/>
  <c r="I40" i="12"/>
  <c r="F40" i="12"/>
  <c r="E40" i="12"/>
  <c r="D40" i="12"/>
  <c r="J39" i="12"/>
  <c r="I39" i="12"/>
  <c r="F39" i="12"/>
  <c r="E39" i="12"/>
  <c r="D39" i="12"/>
  <c r="J38" i="12"/>
  <c r="I38" i="12"/>
  <c r="F38" i="12"/>
  <c r="E38" i="12"/>
  <c r="D38" i="12"/>
  <c r="J37" i="12"/>
  <c r="I37" i="12"/>
  <c r="F37" i="12"/>
  <c r="E37" i="12"/>
  <c r="D37" i="12"/>
  <c r="J36" i="12"/>
  <c r="I36" i="12"/>
  <c r="F36" i="12"/>
  <c r="E36" i="12"/>
  <c r="D36" i="12"/>
  <c r="J35" i="12"/>
  <c r="I35" i="12"/>
  <c r="F35" i="12"/>
  <c r="E35" i="12"/>
  <c r="D35" i="12"/>
  <c r="J34" i="12"/>
  <c r="I34" i="12"/>
  <c r="F34" i="12"/>
  <c r="E34" i="12"/>
  <c r="D34" i="12"/>
  <c r="J33" i="12"/>
  <c r="I33" i="12"/>
  <c r="F33" i="12"/>
  <c r="E33" i="12"/>
  <c r="D33" i="12"/>
  <c r="J32" i="12"/>
  <c r="I32" i="12"/>
  <c r="F32" i="12"/>
  <c r="E32" i="12"/>
  <c r="D32" i="12"/>
  <c r="J31" i="12"/>
  <c r="I31" i="12"/>
  <c r="F31" i="12"/>
  <c r="E31" i="12"/>
  <c r="D31" i="12"/>
  <c r="J30" i="12"/>
  <c r="I30" i="12"/>
  <c r="F30" i="12"/>
  <c r="E30" i="12"/>
  <c r="D30" i="12"/>
  <c r="J29" i="12"/>
  <c r="I29" i="12"/>
  <c r="F29" i="12"/>
  <c r="E29" i="12"/>
  <c r="D29" i="12"/>
  <c r="J28" i="12"/>
  <c r="I28" i="12"/>
  <c r="F28" i="12"/>
  <c r="E28" i="12"/>
  <c r="D28" i="12"/>
  <c r="J27" i="12"/>
  <c r="I27" i="12"/>
  <c r="F27" i="12"/>
  <c r="E27" i="12"/>
  <c r="D27" i="12"/>
  <c r="J26" i="12"/>
  <c r="I26" i="12"/>
  <c r="F26" i="12"/>
  <c r="E26" i="12"/>
  <c r="D26" i="12"/>
  <c r="J25" i="12"/>
  <c r="I25" i="12"/>
  <c r="F25" i="12"/>
  <c r="E25" i="12"/>
  <c r="D25" i="12"/>
  <c r="J24" i="12"/>
  <c r="I24" i="12"/>
  <c r="F24" i="12"/>
  <c r="E24" i="12"/>
  <c r="D24" i="12"/>
  <c r="J23" i="12"/>
  <c r="I23" i="12"/>
  <c r="F23" i="12"/>
  <c r="E23" i="12"/>
  <c r="D23" i="12"/>
  <c r="J22" i="12"/>
  <c r="I22" i="12"/>
  <c r="F22" i="12"/>
  <c r="E22" i="12"/>
  <c r="D22" i="12"/>
  <c r="J21" i="12"/>
  <c r="I21" i="12"/>
  <c r="F21" i="12"/>
  <c r="E21" i="12"/>
  <c r="D21" i="12"/>
  <c r="J20" i="12"/>
  <c r="I20" i="12"/>
  <c r="F20" i="12"/>
  <c r="E20" i="12"/>
  <c r="D20" i="12"/>
  <c r="J19" i="12"/>
  <c r="I19" i="12"/>
  <c r="F19" i="12"/>
  <c r="E19" i="12"/>
  <c r="D19" i="12"/>
  <c r="J18" i="12"/>
  <c r="I18" i="12"/>
  <c r="F18" i="12"/>
  <c r="E18" i="12"/>
  <c r="D18" i="12"/>
  <c r="J17" i="12"/>
  <c r="I17" i="12"/>
  <c r="F17" i="12"/>
  <c r="E17" i="12"/>
  <c r="D17" i="12"/>
  <c r="J16" i="12"/>
  <c r="I16" i="12"/>
  <c r="F16" i="12"/>
  <c r="E16" i="12"/>
  <c r="D16" i="12"/>
  <c r="J15" i="12"/>
  <c r="I15" i="12"/>
  <c r="F15" i="12"/>
  <c r="E15" i="12"/>
  <c r="D15" i="12"/>
  <c r="J14" i="12"/>
  <c r="I14" i="12"/>
  <c r="F14" i="12"/>
  <c r="E14" i="12"/>
  <c r="D14" i="12"/>
  <c r="J13" i="12"/>
  <c r="I13" i="12"/>
  <c r="F13" i="12"/>
  <c r="E13" i="12"/>
  <c r="D13" i="12"/>
  <c r="J12" i="12"/>
  <c r="I12" i="12"/>
  <c r="F12" i="12"/>
  <c r="E12" i="12"/>
  <c r="D12" i="12"/>
  <c r="J11" i="12"/>
  <c r="I11" i="12"/>
  <c r="F11" i="12"/>
  <c r="E11" i="12"/>
  <c r="D11" i="12"/>
  <c r="E10" i="12"/>
  <c r="D10" i="12"/>
  <c r="E5" i="12"/>
  <c r="D5" i="12"/>
  <c r="E9" i="12"/>
  <c r="D9" i="12"/>
  <c r="E8" i="12"/>
  <c r="D8" i="12"/>
  <c r="E7" i="12"/>
  <c r="D7" i="12"/>
  <c r="E6" i="12"/>
  <c r="D6" i="12"/>
  <c r="E4" i="12"/>
  <c r="D4" i="12"/>
  <c r="E3" i="12"/>
  <c r="D3" i="12"/>
  <c r="F7" i="11"/>
  <c r="A7" i="11"/>
  <c r="F6" i="11"/>
  <c r="F5" i="11"/>
  <c r="A2" i="11"/>
  <c r="A1" i="11"/>
  <c r="H502" i="10"/>
  <c r="H501" i="10"/>
  <c r="H500" i="10"/>
  <c r="H499" i="10"/>
  <c r="H498" i="10"/>
  <c r="H497" i="10"/>
  <c r="H496" i="10"/>
  <c r="H495" i="10"/>
  <c r="H494" i="10"/>
  <c r="H493" i="10"/>
  <c r="H492" i="10"/>
  <c r="H491" i="10"/>
  <c r="H490" i="10"/>
  <c r="H489" i="10"/>
  <c r="H488" i="10"/>
  <c r="H487" i="10"/>
  <c r="H486" i="10"/>
  <c r="H485" i="10"/>
  <c r="H484" i="10"/>
  <c r="H483" i="10"/>
  <c r="H482" i="10"/>
  <c r="H481" i="10"/>
  <c r="H480" i="10"/>
  <c r="H479" i="10"/>
  <c r="H478" i="10"/>
  <c r="H477" i="10"/>
  <c r="H476" i="10"/>
  <c r="H475" i="10"/>
  <c r="H474" i="10"/>
  <c r="H468" i="10"/>
  <c r="H469" i="10" s="1"/>
  <c r="H470" i="10" s="1"/>
  <c r="H471" i="10" s="1"/>
  <c r="H472" i="10" s="1"/>
  <c r="H473" i="10" s="1"/>
  <c r="J467" i="10"/>
  <c r="J466" i="10"/>
  <c r="J465" i="10"/>
  <c r="J464" i="10"/>
  <c r="J463" i="10"/>
  <c r="J462" i="10"/>
  <c r="J461" i="10"/>
  <c r="J460" i="10"/>
  <c r="J459" i="10"/>
  <c r="J458" i="10"/>
  <c r="J457" i="10"/>
  <c r="J456" i="10"/>
  <c r="J455" i="10"/>
  <c r="J454" i="10"/>
  <c r="J453" i="10"/>
  <c r="H453" i="10"/>
  <c r="H454" i="10" s="1"/>
  <c r="H455" i="10" s="1"/>
  <c r="H456" i="10" s="1"/>
  <c r="H457" i="10" s="1"/>
  <c r="H458" i="10" s="1"/>
  <c r="H459" i="10" s="1"/>
  <c r="H460" i="10" s="1"/>
  <c r="H461" i="10" s="1"/>
  <c r="H462" i="10" s="1"/>
  <c r="H463" i="10" s="1"/>
  <c r="H464" i="10" s="1"/>
  <c r="H465" i="10" s="1"/>
  <c r="H466" i="10" s="1"/>
  <c r="H467" i="10" s="1"/>
  <c r="J452" i="10"/>
  <c r="J451" i="10"/>
  <c r="J450" i="10"/>
  <c r="H450" i="10"/>
  <c r="H451" i="10" s="1"/>
  <c r="H452" i="10" s="1"/>
  <c r="J449" i="10"/>
  <c r="H449" i="10"/>
  <c r="J448" i="10"/>
  <c r="J447" i="10"/>
  <c r="J446" i="10"/>
  <c r="J445" i="10"/>
  <c r="J444" i="10"/>
  <c r="J443" i="10"/>
  <c r="J442" i="10"/>
  <c r="J441" i="10"/>
  <c r="J440" i="10"/>
  <c r="J439" i="10"/>
  <c r="J438" i="10"/>
  <c r="J437" i="10"/>
  <c r="J436" i="10"/>
  <c r="J435" i="10"/>
  <c r="J434" i="10"/>
  <c r="J433" i="10"/>
  <c r="J432" i="10"/>
  <c r="J431" i="10"/>
  <c r="J430" i="10"/>
  <c r="J429" i="10"/>
  <c r="J428" i="10"/>
  <c r="J427" i="10"/>
  <c r="H427" i="10"/>
  <c r="H428" i="10" s="1"/>
  <c r="H429" i="10" s="1"/>
  <c r="H430" i="10" s="1"/>
  <c r="H431" i="10" s="1"/>
  <c r="H432" i="10" s="1"/>
  <c r="H433" i="10" s="1"/>
  <c r="H434" i="10" s="1"/>
  <c r="H435" i="10" s="1"/>
  <c r="H436" i="10" s="1"/>
  <c r="H437" i="10" s="1"/>
  <c r="H438" i="10" s="1"/>
  <c r="H439" i="10" s="1"/>
  <c r="H440" i="10" s="1"/>
  <c r="H441" i="10" s="1"/>
  <c r="H442" i="10" s="1"/>
  <c r="H443" i="10" s="1"/>
  <c r="H444" i="10" s="1"/>
  <c r="H445" i="10" s="1"/>
  <c r="H446" i="10" s="1"/>
  <c r="H447" i="10" s="1"/>
  <c r="H448" i="10" s="1"/>
  <c r="J426" i="10"/>
  <c r="J425" i="10"/>
  <c r="J424" i="10"/>
  <c r="J423" i="10"/>
  <c r="J422" i="10"/>
  <c r="J421" i="10"/>
  <c r="J420" i="10"/>
  <c r="J419" i="10"/>
  <c r="J418" i="10"/>
  <c r="J417" i="10"/>
  <c r="J416" i="10"/>
  <c r="J415" i="10"/>
  <c r="J414" i="10"/>
  <c r="J413" i="10"/>
  <c r="J412" i="10"/>
  <c r="J411" i="10"/>
  <c r="H411" i="10"/>
  <c r="H412" i="10" s="1"/>
  <c r="H413" i="10" s="1"/>
  <c r="H414" i="10" s="1"/>
  <c r="H415" i="10" s="1"/>
  <c r="H416" i="10" s="1"/>
  <c r="H417" i="10" s="1"/>
  <c r="H418" i="10" s="1"/>
  <c r="H419" i="10" s="1"/>
  <c r="H420" i="10" s="1"/>
  <c r="H421" i="10" s="1"/>
  <c r="H422" i="10" s="1"/>
  <c r="H423" i="10" s="1"/>
  <c r="H424" i="10" s="1"/>
  <c r="H425" i="10" s="1"/>
  <c r="H426" i="10" s="1"/>
  <c r="J410" i="10"/>
  <c r="J409" i="10"/>
  <c r="J408" i="10"/>
  <c r="J407" i="10"/>
  <c r="J406" i="10"/>
  <c r="J405" i="10"/>
  <c r="J404" i="10"/>
  <c r="J403" i="10"/>
  <c r="J402" i="10"/>
  <c r="J401" i="10"/>
  <c r="J400" i="10"/>
  <c r="J399" i="10"/>
  <c r="J398" i="10"/>
  <c r="J397" i="10"/>
  <c r="J396" i="10"/>
  <c r="J395" i="10"/>
  <c r="J394" i="10"/>
  <c r="H394" i="10"/>
  <c r="H395" i="10" s="1"/>
  <c r="H396" i="10" s="1"/>
  <c r="H397" i="10" s="1"/>
  <c r="H398" i="10" s="1"/>
  <c r="H399" i="10" s="1"/>
  <c r="H400" i="10" s="1"/>
  <c r="H401" i="10" s="1"/>
  <c r="H402" i="10" s="1"/>
  <c r="H403" i="10" s="1"/>
  <c r="H404" i="10" s="1"/>
  <c r="H405" i="10" s="1"/>
  <c r="H406" i="10" s="1"/>
  <c r="H407" i="10" s="1"/>
  <c r="H408" i="10" s="1"/>
  <c r="H409" i="10" s="1"/>
  <c r="H410" i="10" s="1"/>
  <c r="J393" i="10"/>
  <c r="J392" i="10"/>
  <c r="J391" i="10"/>
  <c r="J390" i="10"/>
  <c r="J389" i="10"/>
  <c r="J388" i="10"/>
  <c r="J387" i="10"/>
  <c r="J386" i="10"/>
  <c r="J385" i="10"/>
  <c r="J384" i="10"/>
  <c r="J383" i="10"/>
  <c r="J382" i="10"/>
  <c r="H382" i="10"/>
  <c r="H383" i="10" s="1"/>
  <c r="H384" i="10" s="1"/>
  <c r="H385" i="10" s="1"/>
  <c r="H386" i="10" s="1"/>
  <c r="H387" i="10" s="1"/>
  <c r="H388" i="10" s="1"/>
  <c r="H389" i="10" s="1"/>
  <c r="H390" i="10" s="1"/>
  <c r="H391" i="10" s="1"/>
  <c r="H392" i="10" s="1"/>
  <c r="H393" i="10" s="1"/>
  <c r="J381" i="10"/>
  <c r="J380" i="10"/>
  <c r="J379" i="10"/>
  <c r="J378" i="10"/>
  <c r="J377" i="10"/>
  <c r="J376" i="10"/>
  <c r="J375" i="10"/>
  <c r="J374" i="10"/>
  <c r="J373" i="10"/>
  <c r="J372" i="10"/>
  <c r="J371" i="10"/>
  <c r="J370" i="10"/>
  <c r="J369" i="10"/>
  <c r="J368" i="10"/>
  <c r="J367" i="10"/>
  <c r="J366" i="10"/>
  <c r="H366" i="10"/>
  <c r="H367" i="10" s="1"/>
  <c r="H368" i="10" s="1"/>
  <c r="H369" i="10" s="1"/>
  <c r="H370" i="10" s="1"/>
  <c r="H371" i="10" s="1"/>
  <c r="H372" i="10" s="1"/>
  <c r="H373" i="10" s="1"/>
  <c r="H374" i="10" s="1"/>
  <c r="H375" i="10" s="1"/>
  <c r="H376" i="10" s="1"/>
  <c r="H377" i="10" s="1"/>
  <c r="H378" i="10" s="1"/>
  <c r="H379" i="10" s="1"/>
  <c r="H380" i="10" s="1"/>
  <c r="H381" i="10" s="1"/>
  <c r="J365" i="10"/>
  <c r="J364" i="10"/>
  <c r="J363" i="10"/>
  <c r="J362" i="10"/>
  <c r="J361" i="10"/>
  <c r="J360" i="10"/>
  <c r="J359" i="10"/>
  <c r="J358" i="10"/>
  <c r="J357" i="10"/>
  <c r="J356" i="10"/>
  <c r="J355" i="10"/>
  <c r="J354" i="10"/>
  <c r="J353" i="10"/>
  <c r="J352" i="10"/>
  <c r="J351" i="10"/>
  <c r="J350" i="10"/>
  <c r="H350" i="10"/>
  <c r="H351" i="10" s="1"/>
  <c r="H352" i="10" s="1"/>
  <c r="H353" i="10" s="1"/>
  <c r="H354" i="10" s="1"/>
  <c r="H355" i="10" s="1"/>
  <c r="H356" i="10" s="1"/>
  <c r="H357" i="10" s="1"/>
  <c r="H358" i="10" s="1"/>
  <c r="H359" i="10" s="1"/>
  <c r="H360" i="10" s="1"/>
  <c r="H361" i="10" s="1"/>
  <c r="H362" i="10" s="1"/>
  <c r="H363" i="10" s="1"/>
  <c r="H364" i="10" s="1"/>
  <c r="H365" i="10" s="1"/>
  <c r="J349" i="10"/>
  <c r="H349" i="10"/>
  <c r="J348" i="10"/>
  <c r="J347" i="10"/>
  <c r="J346" i="10"/>
  <c r="J345" i="10"/>
  <c r="J344" i="10"/>
  <c r="J343" i="10"/>
  <c r="J342" i="10"/>
  <c r="J341" i="10"/>
  <c r="J340" i="10"/>
  <c r="J339" i="10"/>
  <c r="J338" i="10"/>
  <c r="J337" i="10"/>
  <c r="J336" i="10"/>
  <c r="J335" i="10"/>
  <c r="J334" i="10"/>
  <c r="H334" i="10"/>
  <c r="H335" i="10" s="1"/>
  <c r="H336" i="10" s="1"/>
  <c r="H337" i="10" s="1"/>
  <c r="H338" i="10" s="1"/>
  <c r="H339" i="10" s="1"/>
  <c r="H340" i="10" s="1"/>
  <c r="H341" i="10" s="1"/>
  <c r="H342" i="10" s="1"/>
  <c r="H343" i="10" s="1"/>
  <c r="H344" i="10" s="1"/>
  <c r="H345" i="10" s="1"/>
  <c r="H346" i="10" s="1"/>
  <c r="H347" i="10" s="1"/>
  <c r="H348" i="10" s="1"/>
  <c r="J333" i="10"/>
  <c r="H333" i="10"/>
  <c r="J332" i="10"/>
  <c r="J331" i="10"/>
  <c r="J330" i="10"/>
  <c r="J329" i="10"/>
  <c r="J328" i="10"/>
  <c r="J327" i="10"/>
  <c r="J326" i="10"/>
  <c r="J325" i="10"/>
  <c r="J324" i="10"/>
  <c r="J323" i="10"/>
  <c r="J322" i="10"/>
  <c r="J321" i="10"/>
  <c r="J320" i="10"/>
  <c r="J319" i="10"/>
  <c r="J318" i="10"/>
  <c r="J317" i="10"/>
  <c r="J316" i="10"/>
  <c r="J315" i="10"/>
  <c r="J314" i="10"/>
  <c r="J313" i="10"/>
  <c r="J312" i="10"/>
  <c r="J311" i="10"/>
  <c r="J310" i="10"/>
  <c r="J309" i="10"/>
  <c r="J308" i="10"/>
  <c r="H308" i="10"/>
  <c r="H309" i="10" s="1"/>
  <c r="H310" i="10" s="1"/>
  <c r="H311" i="10" s="1"/>
  <c r="H312" i="10" s="1"/>
  <c r="H313" i="10" s="1"/>
  <c r="H314" i="10" s="1"/>
  <c r="H315" i="10" s="1"/>
  <c r="H316" i="10" s="1"/>
  <c r="H317" i="10" s="1"/>
  <c r="H318" i="10" s="1"/>
  <c r="H319" i="10" s="1"/>
  <c r="H320" i="10" s="1"/>
  <c r="H321" i="10" s="1"/>
  <c r="H322" i="10" s="1"/>
  <c r="H323" i="10" s="1"/>
  <c r="H324" i="10" s="1"/>
  <c r="H325" i="10" s="1"/>
  <c r="H326" i="10" s="1"/>
  <c r="H327" i="10" s="1"/>
  <c r="H328" i="10" s="1"/>
  <c r="H329" i="10" s="1"/>
  <c r="H330" i="10" s="1"/>
  <c r="H331" i="10" s="1"/>
  <c r="H332" i="10" s="1"/>
  <c r="J307" i="10"/>
  <c r="J306" i="10"/>
  <c r="J305" i="10"/>
  <c r="H305" i="10"/>
  <c r="H306" i="10" s="1"/>
  <c r="H307" i="10" s="1"/>
  <c r="J304" i="10"/>
  <c r="J303" i="10"/>
  <c r="J302" i="10"/>
  <c r="J301" i="10"/>
  <c r="J300" i="10"/>
  <c r="J299" i="10"/>
  <c r="J298" i="10"/>
  <c r="J297" i="10"/>
  <c r="H297" i="10"/>
  <c r="H298" i="10" s="1"/>
  <c r="H299" i="10" s="1"/>
  <c r="H300" i="10" s="1"/>
  <c r="H301" i="10" s="1"/>
  <c r="H302" i="10" s="1"/>
  <c r="H303" i="10" s="1"/>
  <c r="H304" i="10" s="1"/>
  <c r="J296" i="10"/>
  <c r="H296" i="10"/>
  <c r="J295" i="10"/>
  <c r="J294" i="10"/>
  <c r="H294" i="10"/>
  <c r="H295" i="10" s="1"/>
  <c r="J293" i="10"/>
  <c r="J292" i="10"/>
  <c r="J291" i="10"/>
  <c r="J290" i="10"/>
  <c r="J289" i="10"/>
  <c r="J288" i="10"/>
  <c r="J287" i="10"/>
  <c r="J286" i="10"/>
  <c r="J285" i="10"/>
  <c r="J284" i="10"/>
  <c r="J283" i="10"/>
  <c r="J282" i="10"/>
  <c r="J281" i="10"/>
  <c r="J280" i="10"/>
  <c r="J279" i="10"/>
  <c r="J278" i="10"/>
  <c r="H278" i="10"/>
  <c r="H279" i="10" s="1"/>
  <c r="H280" i="10" s="1"/>
  <c r="H281" i="10" s="1"/>
  <c r="H282" i="10" s="1"/>
  <c r="H283" i="10" s="1"/>
  <c r="H284" i="10" s="1"/>
  <c r="H285" i="10" s="1"/>
  <c r="H286" i="10" s="1"/>
  <c r="H287" i="10" s="1"/>
  <c r="H288" i="10" s="1"/>
  <c r="H289" i="10" s="1"/>
  <c r="H290" i="10" s="1"/>
  <c r="H291" i="10" s="1"/>
  <c r="H292" i="10" s="1"/>
  <c r="H293" i="10" s="1"/>
  <c r="J277" i="10"/>
  <c r="H277" i="10"/>
  <c r="J276" i="10"/>
  <c r="J275" i="10"/>
  <c r="J274" i="10"/>
  <c r="J273" i="10"/>
  <c r="J272" i="10"/>
  <c r="J271" i="10"/>
  <c r="J270" i="10"/>
  <c r="J269" i="10"/>
  <c r="J268" i="10"/>
  <c r="J267" i="10"/>
  <c r="J266" i="10"/>
  <c r="J265" i="10"/>
  <c r="J264" i="10"/>
  <c r="J263" i="10"/>
  <c r="J262" i="10"/>
  <c r="J261" i="10"/>
  <c r="J260" i="10"/>
  <c r="J259" i="10"/>
  <c r="J258" i="10"/>
  <c r="J257" i="10"/>
  <c r="J256" i="10"/>
  <c r="J255" i="10"/>
  <c r="J254" i="10"/>
  <c r="J253" i="10"/>
  <c r="J252" i="10"/>
  <c r="J251" i="10"/>
  <c r="J250" i="10"/>
  <c r="J249" i="10"/>
  <c r="J248" i="10"/>
  <c r="J247" i="10"/>
  <c r="H247" i="10"/>
  <c r="H248" i="10" s="1"/>
  <c r="H249" i="10" s="1"/>
  <c r="H250" i="10" s="1"/>
  <c r="H251" i="10" s="1"/>
  <c r="H252" i="10" s="1"/>
  <c r="H253" i="10" s="1"/>
  <c r="H254" i="10" s="1"/>
  <c r="H255" i="10" s="1"/>
  <c r="H256" i="10" s="1"/>
  <c r="H257" i="10" s="1"/>
  <c r="H258" i="10" s="1"/>
  <c r="H259" i="10" s="1"/>
  <c r="H260" i="10" s="1"/>
  <c r="H261" i="10" s="1"/>
  <c r="H262" i="10" s="1"/>
  <c r="H263" i="10" s="1"/>
  <c r="H264" i="10" s="1"/>
  <c r="H265" i="10" s="1"/>
  <c r="H266" i="10" s="1"/>
  <c r="H267" i="10" s="1"/>
  <c r="H268" i="10" s="1"/>
  <c r="H269" i="10" s="1"/>
  <c r="H270" i="10" s="1"/>
  <c r="H271" i="10" s="1"/>
  <c r="H272" i="10" s="1"/>
  <c r="H273" i="10" s="1"/>
  <c r="H274" i="10" s="1"/>
  <c r="H275" i="10" s="1"/>
  <c r="H276" i="10" s="1"/>
  <c r="J246" i="10"/>
  <c r="J245" i="10"/>
  <c r="J244" i="10"/>
  <c r="J243" i="10"/>
  <c r="J242" i="10"/>
  <c r="J241" i="10"/>
  <c r="J240" i="10"/>
  <c r="J239" i="10"/>
  <c r="J238" i="10"/>
  <c r="J237" i="10"/>
  <c r="J236" i="10"/>
  <c r="J235" i="10"/>
  <c r="J234" i="10"/>
  <c r="J233" i="10"/>
  <c r="J232" i="10"/>
  <c r="J231" i="10"/>
  <c r="H231" i="10"/>
  <c r="H232" i="10" s="1"/>
  <c r="H233" i="10" s="1"/>
  <c r="H234" i="10" s="1"/>
  <c r="H235" i="10" s="1"/>
  <c r="H236" i="10" s="1"/>
  <c r="H237" i="10" s="1"/>
  <c r="H238" i="10" s="1"/>
  <c r="H239" i="10" s="1"/>
  <c r="H240" i="10" s="1"/>
  <c r="H241" i="10" s="1"/>
  <c r="H242" i="10" s="1"/>
  <c r="H243" i="10" s="1"/>
  <c r="H244" i="10" s="1"/>
  <c r="H245" i="10" s="1"/>
  <c r="H246" i="10" s="1"/>
  <c r="J230" i="10"/>
  <c r="H230" i="10"/>
  <c r="J229" i="10"/>
  <c r="J228" i="10"/>
  <c r="J227" i="10"/>
  <c r="J226" i="10"/>
  <c r="J225" i="10"/>
  <c r="J224" i="10"/>
  <c r="J223" i="10"/>
  <c r="J222" i="10"/>
  <c r="J221" i="10"/>
  <c r="J220" i="10"/>
  <c r="J219" i="10"/>
  <c r="J218" i="10"/>
  <c r="J217" i="10"/>
  <c r="J216" i="10"/>
  <c r="J215" i="10"/>
  <c r="H215" i="10"/>
  <c r="H216" i="10" s="1"/>
  <c r="H217" i="10" s="1"/>
  <c r="H218" i="10" s="1"/>
  <c r="H219" i="10" s="1"/>
  <c r="H220" i="10" s="1"/>
  <c r="H221" i="10" s="1"/>
  <c r="H222" i="10" s="1"/>
  <c r="H223" i="10" s="1"/>
  <c r="H224" i="10" s="1"/>
  <c r="H225" i="10" s="1"/>
  <c r="H226" i="10" s="1"/>
  <c r="H227" i="10" s="1"/>
  <c r="H228" i="10" s="1"/>
  <c r="H229" i="10" s="1"/>
  <c r="J214" i="10"/>
  <c r="J213" i="10"/>
  <c r="J212" i="10"/>
  <c r="J211" i="10"/>
  <c r="J210" i="10"/>
  <c r="J209" i="10"/>
  <c r="J208" i="10"/>
  <c r="J207" i="10"/>
  <c r="J206" i="10"/>
  <c r="J205" i="10"/>
  <c r="J204" i="10"/>
  <c r="J203" i="10"/>
  <c r="J202" i="10"/>
  <c r="J201" i="10"/>
  <c r="J200" i="10"/>
  <c r="J199" i="10"/>
  <c r="J198" i="10"/>
  <c r="J197" i="10"/>
  <c r="J196" i="10"/>
  <c r="H196" i="10"/>
  <c r="H197" i="10" s="1"/>
  <c r="H198" i="10" s="1"/>
  <c r="H199" i="10" s="1"/>
  <c r="H200" i="10" s="1"/>
  <c r="H201" i="10" s="1"/>
  <c r="H202" i="10" s="1"/>
  <c r="H203" i="10" s="1"/>
  <c r="H204" i="10" s="1"/>
  <c r="H205" i="10" s="1"/>
  <c r="H206" i="10" s="1"/>
  <c r="H207" i="10" s="1"/>
  <c r="H208" i="10" s="1"/>
  <c r="H209" i="10" s="1"/>
  <c r="H210" i="10" s="1"/>
  <c r="H211" i="10" s="1"/>
  <c r="H212" i="10" s="1"/>
  <c r="H213" i="10" s="1"/>
  <c r="H214" i="10" s="1"/>
  <c r="J195" i="10"/>
  <c r="H195" i="10"/>
  <c r="J194" i="10"/>
  <c r="J193" i="10"/>
  <c r="H193" i="10"/>
  <c r="H194" i="10" s="1"/>
  <c r="J192" i="10"/>
  <c r="J191" i="10"/>
  <c r="J190" i="10"/>
  <c r="J189" i="10"/>
  <c r="J188" i="10"/>
  <c r="J187" i="10"/>
  <c r="J186" i="10"/>
  <c r="J185" i="10"/>
  <c r="J184" i="10"/>
  <c r="J183" i="10"/>
  <c r="J182" i="10"/>
  <c r="J181" i="10"/>
  <c r="J180" i="10"/>
  <c r="J179" i="10"/>
  <c r="J178" i="10"/>
  <c r="J177" i="10"/>
  <c r="J176" i="10"/>
  <c r="J175" i="10"/>
  <c r="J174" i="10"/>
  <c r="J173" i="10"/>
  <c r="H173" i="10"/>
  <c r="H174" i="10" s="1"/>
  <c r="H175" i="10" s="1"/>
  <c r="H176" i="10" s="1"/>
  <c r="H177" i="10" s="1"/>
  <c r="H178" i="10" s="1"/>
  <c r="H179" i="10" s="1"/>
  <c r="H180" i="10" s="1"/>
  <c r="H181" i="10" s="1"/>
  <c r="H182" i="10" s="1"/>
  <c r="H183" i="10" s="1"/>
  <c r="H184" i="10" s="1"/>
  <c r="H185" i="10" s="1"/>
  <c r="H186" i="10" s="1"/>
  <c r="H187" i="10" s="1"/>
  <c r="H188" i="10" s="1"/>
  <c r="H189" i="10" s="1"/>
  <c r="H190" i="10" s="1"/>
  <c r="H191" i="10" s="1"/>
  <c r="H192" i="10" s="1"/>
  <c r="J172" i="10"/>
  <c r="J171" i="10"/>
  <c r="J170" i="10"/>
  <c r="J169" i="10"/>
  <c r="J168" i="10"/>
  <c r="J167" i="10"/>
  <c r="J166" i="10"/>
  <c r="J165" i="10"/>
  <c r="J164" i="10"/>
  <c r="J163" i="10"/>
  <c r="J162" i="10"/>
  <c r="J161" i="10"/>
  <c r="J160" i="10"/>
  <c r="J159" i="10"/>
  <c r="J158" i="10"/>
  <c r="J157" i="10"/>
  <c r="J156" i="10"/>
  <c r="H156" i="10"/>
  <c r="H157" i="10" s="1"/>
  <c r="H158" i="10" s="1"/>
  <c r="H159" i="10" s="1"/>
  <c r="H160" i="10" s="1"/>
  <c r="H161" i="10" s="1"/>
  <c r="H162" i="10" s="1"/>
  <c r="H163" i="10" s="1"/>
  <c r="H164" i="10" s="1"/>
  <c r="H165" i="10" s="1"/>
  <c r="H166" i="10" s="1"/>
  <c r="H167" i="10" s="1"/>
  <c r="H168" i="10" s="1"/>
  <c r="H169" i="10" s="1"/>
  <c r="H170" i="10" s="1"/>
  <c r="H171" i="10" s="1"/>
  <c r="H172" i="10" s="1"/>
  <c r="J155" i="10"/>
  <c r="J154" i="10"/>
  <c r="J153" i="10"/>
  <c r="H153" i="10"/>
  <c r="H154" i="10" s="1"/>
  <c r="H155" i="10" s="1"/>
  <c r="J152" i="10"/>
  <c r="J151" i="10"/>
  <c r="J150" i="10"/>
  <c r="H150" i="10"/>
  <c r="H151" i="10" s="1"/>
  <c r="H152" i="10" s="1"/>
  <c r="J149" i="10"/>
  <c r="H149" i="10"/>
  <c r="J148" i="10"/>
  <c r="H148" i="10"/>
  <c r="J147" i="10"/>
  <c r="J146" i="10"/>
  <c r="J145" i="10"/>
  <c r="J144" i="10"/>
  <c r="J143" i="10"/>
  <c r="J142" i="10"/>
  <c r="J141" i="10"/>
  <c r="J140" i="10"/>
  <c r="J139" i="10"/>
  <c r="J138" i="10"/>
  <c r="J137" i="10"/>
  <c r="J136" i="10"/>
  <c r="J135" i="10"/>
  <c r="J134" i="10"/>
  <c r="H134" i="10"/>
  <c r="H135" i="10" s="1"/>
  <c r="H136" i="10" s="1"/>
  <c r="H137" i="10" s="1"/>
  <c r="H138" i="10" s="1"/>
  <c r="H139" i="10" s="1"/>
  <c r="H140" i="10" s="1"/>
  <c r="H141" i="10" s="1"/>
  <c r="H142" i="10" s="1"/>
  <c r="H143" i="10" s="1"/>
  <c r="H144" i="10" s="1"/>
  <c r="H145" i="10" s="1"/>
  <c r="H146" i="10" s="1"/>
  <c r="H147" i="10" s="1"/>
  <c r="J133" i="10"/>
  <c r="J132" i="10"/>
  <c r="H132" i="10"/>
  <c r="H133" i="10" s="1"/>
  <c r="J131" i="10"/>
  <c r="J130" i="10"/>
  <c r="J129" i="10"/>
  <c r="J128" i="10"/>
  <c r="J127" i="10"/>
  <c r="J126" i="10"/>
  <c r="J125" i="10"/>
  <c r="J124" i="10"/>
  <c r="J123" i="10"/>
  <c r="J122" i="10"/>
  <c r="J121" i="10"/>
  <c r="J120" i="10"/>
  <c r="J119" i="10"/>
  <c r="J118" i="10"/>
  <c r="J117" i="10"/>
  <c r="J116" i="10"/>
  <c r="H116" i="10"/>
  <c r="H117" i="10" s="1"/>
  <c r="H118" i="10" s="1"/>
  <c r="H119" i="10" s="1"/>
  <c r="H120" i="10" s="1"/>
  <c r="H121" i="10" s="1"/>
  <c r="H122" i="10" s="1"/>
  <c r="H123" i="10" s="1"/>
  <c r="H124" i="10" s="1"/>
  <c r="H125" i="10" s="1"/>
  <c r="H126" i="10" s="1"/>
  <c r="H127" i="10" s="1"/>
  <c r="H128" i="10" s="1"/>
  <c r="H129" i="10" s="1"/>
  <c r="H130" i="10" s="1"/>
  <c r="H131" i="10" s="1"/>
  <c r="J115" i="10"/>
  <c r="H115" i="10"/>
  <c r="J114" i="10"/>
  <c r="J113" i="10"/>
  <c r="J112" i="10"/>
  <c r="J111" i="10"/>
  <c r="J110" i="10"/>
  <c r="J109" i="10"/>
  <c r="J108" i="10"/>
  <c r="J107" i="10"/>
  <c r="J106" i="10"/>
  <c r="J105" i="10"/>
  <c r="J104" i="10"/>
  <c r="J103" i="10"/>
  <c r="J102" i="10"/>
  <c r="J101" i="10"/>
  <c r="J100" i="10"/>
  <c r="J99" i="10"/>
  <c r="H99" i="10"/>
  <c r="H100" i="10" s="1"/>
  <c r="H101" i="10" s="1"/>
  <c r="H102" i="10" s="1"/>
  <c r="H103" i="10" s="1"/>
  <c r="H104" i="10" s="1"/>
  <c r="H105" i="10" s="1"/>
  <c r="H106" i="10" s="1"/>
  <c r="H107" i="10" s="1"/>
  <c r="H108" i="10" s="1"/>
  <c r="H109" i="10" s="1"/>
  <c r="H110" i="10" s="1"/>
  <c r="H111" i="10" s="1"/>
  <c r="H112" i="10" s="1"/>
  <c r="H113" i="10" s="1"/>
  <c r="H114" i="10" s="1"/>
  <c r="J98" i="10"/>
  <c r="H98" i="10"/>
  <c r="J97" i="10"/>
  <c r="J96" i="10"/>
  <c r="J95" i="10"/>
  <c r="J94" i="10"/>
  <c r="J93" i="10"/>
  <c r="J92" i="10"/>
  <c r="J91" i="10"/>
  <c r="J90" i="10"/>
  <c r="J89" i="10"/>
  <c r="J88" i="10"/>
  <c r="J87" i="10"/>
  <c r="J86" i="10"/>
  <c r="J85" i="10"/>
  <c r="J84" i="10"/>
  <c r="J83" i="10"/>
  <c r="J82" i="10"/>
  <c r="J81" i="10"/>
  <c r="J80" i="10"/>
  <c r="J79" i="10"/>
  <c r="H79" i="10"/>
  <c r="H80" i="10" s="1"/>
  <c r="H81" i="10" s="1"/>
  <c r="H82" i="10" s="1"/>
  <c r="H83" i="10" s="1"/>
  <c r="H84" i="10" s="1"/>
  <c r="H85" i="10" s="1"/>
  <c r="H86" i="10" s="1"/>
  <c r="H87" i="10" s="1"/>
  <c r="H88" i="10" s="1"/>
  <c r="H89" i="10" s="1"/>
  <c r="H90" i="10" s="1"/>
  <c r="H91" i="10" s="1"/>
  <c r="H92" i="10" s="1"/>
  <c r="H93" i="10" s="1"/>
  <c r="H94" i="10" s="1"/>
  <c r="H95" i="10" s="1"/>
  <c r="H96" i="10" s="1"/>
  <c r="H97" i="10" s="1"/>
  <c r="J78" i="10"/>
  <c r="J77" i="10"/>
  <c r="J76" i="10"/>
  <c r="J75" i="10"/>
  <c r="J74" i="10"/>
  <c r="J73" i="10"/>
  <c r="H73" i="10"/>
  <c r="H74" i="10" s="1"/>
  <c r="H75" i="10" s="1"/>
  <c r="H76" i="10" s="1"/>
  <c r="H77" i="10" s="1"/>
  <c r="H78" i="10" s="1"/>
  <c r="J72" i="10"/>
  <c r="H72" i="10"/>
  <c r="J71" i="10"/>
  <c r="J70" i="10"/>
  <c r="J69" i="10"/>
  <c r="J68" i="10"/>
  <c r="J67" i="10"/>
  <c r="H67" i="10"/>
  <c r="H68" i="10" s="1"/>
  <c r="H69" i="10" s="1"/>
  <c r="H70" i="10" s="1"/>
  <c r="H71" i="10" s="1"/>
  <c r="J66" i="10"/>
  <c r="J65" i="10"/>
  <c r="J64" i="10"/>
  <c r="J63" i="10"/>
  <c r="J62" i="10"/>
  <c r="J61" i="10"/>
  <c r="J60" i="10"/>
  <c r="J59" i="10"/>
  <c r="H59" i="10"/>
  <c r="H60" i="10" s="1"/>
  <c r="H61" i="10" s="1"/>
  <c r="H62" i="10" s="1"/>
  <c r="H63" i="10" s="1"/>
  <c r="H64" i="10" s="1"/>
  <c r="H65" i="10" s="1"/>
  <c r="H66" i="10" s="1"/>
  <c r="J58" i="10"/>
  <c r="J57" i="10"/>
  <c r="J56" i="10"/>
  <c r="J55" i="10"/>
  <c r="J54" i="10"/>
  <c r="J53" i="10"/>
  <c r="J52" i="10"/>
  <c r="J51" i="10"/>
  <c r="J50" i="10"/>
  <c r="J49" i="10"/>
  <c r="H49" i="10"/>
  <c r="H50" i="10" s="1"/>
  <c r="H51" i="10" s="1"/>
  <c r="H52" i="10" s="1"/>
  <c r="H53" i="10" s="1"/>
  <c r="H54" i="10" s="1"/>
  <c r="H55" i="10" s="1"/>
  <c r="H56" i="10" s="1"/>
  <c r="H57" i="10" s="1"/>
  <c r="H58" i="10" s="1"/>
  <c r="J48" i="10"/>
  <c r="H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H3" i="10"/>
  <c r="H4" i="10" s="1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H35" i="10" s="1"/>
  <c r="H36" i="10" s="1"/>
  <c r="H37" i="10" s="1"/>
  <c r="H38" i="10" s="1"/>
  <c r="H39" i="10" s="1"/>
  <c r="H40" i="10" s="1"/>
  <c r="H41" i="10" s="1"/>
  <c r="H42" i="10" s="1"/>
  <c r="H43" i="10" s="1"/>
  <c r="H44" i="10" s="1"/>
  <c r="H45" i="10" s="1"/>
  <c r="H46" i="10" s="1"/>
  <c r="H47" i="10" s="1"/>
  <c r="I502" i="9"/>
  <c r="H502" i="9"/>
  <c r="G502" i="9"/>
  <c r="F502" i="9"/>
  <c r="I501" i="9"/>
  <c r="H501" i="9"/>
  <c r="G501" i="9"/>
  <c r="F501" i="9"/>
  <c r="I500" i="9"/>
  <c r="H500" i="9"/>
  <c r="G500" i="9"/>
  <c r="F500" i="9"/>
  <c r="I499" i="9"/>
  <c r="H499" i="9"/>
  <c r="G499" i="9"/>
  <c r="F499" i="9"/>
  <c r="I498" i="9"/>
  <c r="H498" i="9"/>
  <c r="G498" i="9"/>
  <c r="F498" i="9"/>
  <c r="I497" i="9"/>
  <c r="H497" i="9"/>
  <c r="G497" i="9"/>
  <c r="F497" i="9"/>
  <c r="I496" i="9"/>
  <c r="H496" i="9"/>
  <c r="G496" i="9"/>
  <c r="F496" i="9"/>
  <c r="I495" i="9"/>
  <c r="H495" i="9"/>
  <c r="G495" i="9"/>
  <c r="F495" i="9"/>
  <c r="I494" i="9"/>
  <c r="H494" i="9"/>
  <c r="G494" i="9"/>
  <c r="F494" i="9"/>
  <c r="I493" i="9"/>
  <c r="H493" i="9"/>
  <c r="G493" i="9"/>
  <c r="F493" i="9"/>
  <c r="I492" i="9"/>
  <c r="H492" i="9"/>
  <c r="G492" i="9"/>
  <c r="F492" i="9"/>
  <c r="I491" i="9"/>
  <c r="H491" i="9"/>
  <c r="G491" i="9"/>
  <c r="F491" i="9"/>
  <c r="I490" i="9"/>
  <c r="H490" i="9"/>
  <c r="G490" i="9"/>
  <c r="F490" i="9"/>
  <c r="I489" i="9"/>
  <c r="H489" i="9"/>
  <c r="G489" i="9"/>
  <c r="F489" i="9"/>
  <c r="I488" i="9"/>
  <c r="H488" i="9"/>
  <c r="G488" i="9"/>
  <c r="F488" i="9"/>
  <c r="I487" i="9"/>
  <c r="H487" i="9"/>
  <c r="G487" i="9"/>
  <c r="F487" i="9"/>
  <c r="I486" i="9"/>
  <c r="H486" i="9"/>
  <c r="G486" i="9"/>
  <c r="F486" i="9"/>
  <c r="I485" i="9"/>
  <c r="H485" i="9"/>
  <c r="G485" i="9"/>
  <c r="F485" i="9"/>
  <c r="I484" i="9"/>
  <c r="H484" i="9"/>
  <c r="G484" i="9"/>
  <c r="F484" i="9"/>
  <c r="I483" i="9"/>
  <c r="H483" i="9"/>
  <c r="G483" i="9"/>
  <c r="F483" i="9"/>
  <c r="I482" i="9"/>
  <c r="H482" i="9"/>
  <c r="G482" i="9"/>
  <c r="F482" i="9"/>
  <c r="I481" i="9"/>
  <c r="H481" i="9"/>
  <c r="G481" i="9"/>
  <c r="F481" i="9"/>
  <c r="I480" i="9"/>
  <c r="H480" i="9"/>
  <c r="G480" i="9"/>
  <c r="F480" i="9"/>
  <c r="I479" i="9"/>
  <c r="H479" i="9"/>
  <c r="G479" i="9"/>
  <c r="F479" i="9"/>
  <c r="I478" i="9"/>
  <c r="H478" i="9"/>
  <c r="G478" i="9"/>
  <c r="F478" i="9"/>
  <c r="I477" i="9"/>
  <c r="H477" i="9"/>
  <c r="G477" i="9"/>
  <c r="F477" i="9"/>
  <c r="I476" i="9"/>
  <c r="H476" i="9"/>
  <c r="G476" i="9"/>
  <c r="F476" i="9"/>
  <c r="I475" i="9"/>
  <c r="H475" i="9"/>
  <c r="G475" i="9"/>
  <c r="F475" i="9"/>
  <c r="I474" i="9"/>
  <c r="H474" i="9"/>
  <c r="G474" i="9"/>
  <c r="F474" i="9"/>
  <c r="I473" i="9"/>
  <c r="H473" i="9"/>
  <c r="G473" i="9"/>
  <c r="F473" i="9"/>
  <c r="I472" i="9"/>
  <c r="H472" i="9"/>
  <c r="G472" i="9"/>
  <c r="F472" i="9"/>
  <c r="I471" i="9"/>
  <c r="H471" i="9"/>
  <c r="G471" i="9"/>
  <c r="F471" i="9"/>
  <c r="I470" i="9"/>
  <c r="H470" i="9"/>
  <c r="G470" i="9"/>
  <c r="F470" i="9"/>
  <c r="I469" i="9"/>
  <c r="H469" i="9"/>
  <c r="G469" i="9"/>
  <c r="F469" i="9"/>
  <c r="I468" i="9"/>
  <c r="H468" i="9"/>
  <c r="G468" i="9"/>
  <c r="F468" i="9"/>
  <c r="I467" i="9"/>
  <c r="H467" i="9"/>
  <c r="G467" i="9"/>
  <c r="F467" i="9"/>
  <c r="I466" i="9"/>
  <c r="H466" i="9"/>
  <c r="G466" i="9"/>
  <c r="F466" i="9"/>
  <c r="I465" i="9"/>
  <c r="H465" i="9"/>
  <c r="G465" i="9"/>
  <c r="F465" i="9"/>
  <c r="I464" i="9"/>
  <c r="H464" i="9"/>
  <c r="G464" i="9"/>
  <c r="F464" i="9"/>
  <c r="I463" i="9"/>
  <c r="H463" i="9"/>
  <c r="G463" i="9"/>
  <c r="F463" i="9"/>
  <c r="I462" i="9"/>
  <c r="H462" i="9"/>
  <c r="G462" i="9"/>
  <c r="F462" i="9"/>
  <c r="I461" i="9"/>
  <c r="H461" i="9"/>
  <c r="G461" i="9"/>
  <c r="F461" i="9"/>
  <c r="I460" i="9"/>
  <c r="H460" i="9"/>
  <c r="G460" i="9"/>
  <c r="F460" i="9"/>
  <c r="I459" i="9"/>
  <c r="H459" i="9"/>
  <c r="G459" i="9"/>
  <c r="F459" i="9"/>
  <c r="I458" i="9"/>
  <c r="H458" i="9"/>
  <c r="G458" i="9"/>
  <c r="F458" i="9"/>
  <c r="I457" i="9"/>
  <c r="H457" i="9"/>
  <c r="G457" i="9"/>
  <c r="F457" i="9"/>
  <c r="I456" i="9"/>
  <c r="H456" i="9"/>
  <c r="G456" i="9"/>
  <c r="F456" i="9"/>
  <c r="I455" i="9"/>
  <c r="H455" i="9"/>
  <c r="G455" i="9"/>
  <c r="F455" i="9"/>
  <c r="I454" i="9"/>
  <c r="H454" i="9"/>
  <c r="G454" i="9"/>
  <c r="F454" i="9"/>
  <c r="I453" i="9"/>
  <c r="H453" i="9"/>
  <c r="G453" i="9"/>
  <c r="F453" i="9"/>
  <c r="I452" i="9"/>
  <c r="H452" i="9"/>
  <c r="G452" i="9"/>
  <c r="F452" i="9"/>
  <c r="I451" i="9"/>
  <c r="H451" i="9"/>
  <c r="G451" i="9"/>
  <c r="F451" i="9"/>
  <c r="I450" i="9"/>
  <c r="H450" i="9"/>
  <c r="G450" i="9"/>
  <c r="F450" i="9"/>
  <c r="I449" i="9"/>
  <c r="H449" i="9"/>
  <c r="G449" i="9"/>
  <c r="F449" i="9"/>
  <c r="I448" i="9"/>
  <c r="H448" i="9"/>
  <c r="G448" i="9"/>
  <c r="F448" i="9"/>
  <c r="I447" i="9"/>
  <c r="H447" i="9"/>
  <c r="G447" i="9"/>
  <c r="F447" i="9"/>
  <c r="I446" i="9"/>
  <c r="H446" i="9"/>
  <c r="G446" i="9"/>
  <c r="F446" i="9"/>
  <c r="I445" i="9"/>
  <c r="H445" i="9"/>
  <c r="G445" i="9"/>
  <c r="F445" i="9"/>
  <c r="I444" i="9"/>
  <c r="H444" i="9"/>
  <c r="G444" i="9"/>
  <c r="F444" i="9"/>
  <c r="I443" i="9"/>
  <c r="H443" i="9"/>
  <c r="G443" i="9"/>
  <c r="F443" i="9"/>
  <c r="I442" i="9"/>
  <c r="H442" i="9"/>
  <c r="G442" i="9"/>
  <c r="F442" i="9"/>
  <c r="I441" i="9"/>
  <c r="H441" i="9"/>
  <c r="G441" i="9"/>
  <c r="F441" i="9"/>
  <c r="I440" i="9"/>
  <c r="H440" i="9"/>
  <c r="G440" i="9"/>
  <c r="F440" i="9"/>
  <c r="I439" i="9"/>
  <c r="H439" i="9"/>
  <c r="G439" i="9"/>
  <c r="F439" i="9"/>
  <c r="I438" i="9"/>
  <c r="H438" i="9"/>
  <c r="G438" i="9"/>
  <c r="F438" i="9"/>
  <c r="I437" i="9"/>
  <c r="H437" i="9"/>
  <c r="G437" i="9"/>
  <c r="F437" i="9"/>
  <c r="I436" i="9"/>
  <c r="H436" i="9"/>
  <c r="G436" i="9"/>
  <c r="F436" i="9"/>
  <c r="I435" i="9"/>
  <c r="H435" i="9"/>
  <c r="G435" i="9"/>
  <c r="F435" i="9"/>
  <c r="I434" i="9"/>
  <c r="H434" i="9"/>
  <c r="G434" i="9"/>
  <c r="F434" i="9"/>
  <c r="I433" i="9"/>
  <c r="H433" i="9"/>
  <c r="G433" i="9"/>
  <c r="F433" i="9"/>
  <c r="I432" i="9"/>
  <c r="H432" i="9"/>
  <c r="G432" i="9"/>
  <c r="F432" i="9"/>
  <c r="I431" i="9"/>
  <c r="H431" i="9"/>
  <c r="G431" i="9"/>
  <c r="F431" i="9"/>
  <c r="I430" i="9"/>
  <c r="H430" i="9"/>
  <c r="G430" i="9"/>
  <c r="F430" i="9"/>
  <c r="I429" i="9"/>
  <c r="H429" i="9"/>
  <c r="G429" i="9"/>
  <c r="F429" i="9"/>
  <c r="I428" i="9"/>
  <c r="H428" i="9"/>
  <c r="G428" i="9"/>
  <c r="F428" i="9"/>
  <c r="I427" i="9"/>
  <c r="H427" i="9"/>
  <c r="G427" i="9"/>
  <c r="F427" i="9"/>
  <c r="I426" i="9"/>
  <c r="H426" i="9"/>
  <c r="G426" i="9"/>
  <c r="F426" i="9"/>
  <c r="I425" i="9"/>
  <c r="H425" i="9"/>
  <c r="G425" i="9"/>
  <c r="F425" i="9"/>
  <c r="I424" i="9"/>
  <c r="H424" i="9"/>
  <c r="G424" i="9"/>
  <c r="F424" i="9"/>
  <c r="I423" i="9"/>
  <c r="H423" i="9"/>
  <c r="G423" i="9"/>
  <c r="F423" i="9"/>
  <c r="I422" i="9"/>
  <c r="H422" i="9"/>
  <c r="G422" i="9"/>
  <c r="F422" i="9"/>
  <c r="I421" i="9"/>
  <c r="H421" i="9"/>
  <c r="G421" i="9"/>
  <c r="F421" i="9"/>
  <c r="I420" i="9"/>
  <c r="H420" i="9"/>
  <c r="G420" i="9"/>
  <c r="F420" i="9"/>
  <c r="I419" i="9"/>
  <c r="H419" i="9"/>
  <c r="G419" i="9"/>
  <c r="F419" i="9"/>
  <c r="I418" i="9"/>
  <c r="H418" i="9"/>
  <c r="G418" i="9"/>
  <c r="F418" i="9"/>
  <c r="I417" i="9"/>
  <c r="H417" i="9"/>
  <c r="G417" i="9"/>
  <c r="F417" i="9"/>
  <c r="I416" i="9"/>
  <c r="H416" i="9"/>
  <c r="G416" i="9"/>
  <c r="F416" i="9"/>
  <c r="I415" i="9"/>
  <c r="H415" i="9"/>
  <c r="G415" i="9"/>
  <c r="F415" i="9"/>
  <c r="I414" i="9"/>
  <c r="H414" i="9"/>
  <c r="G414" i="9"/>
  <c r="F414" i="9"/>
  <c r="I413" i="9"/>
  <c r="H413" i="9"/>
  <c r="G413" i="9"/>
  <c r="F413" i="9"/>
  <c r="I412" i="9"/>
  <c r="H412" i="9"/>
  <c r="G412" i="9"/>
  <c r="F412" i="9"/>
  <c r="I411" i="9"/>
  <c r="H411" i="9"/>
  <c r="G411" i="9"/>
  <c r="F411" i="9"/>
  <c r="I410" i="9"/>
  <c r="H410" i="9"/>
  <c r="G410" i="9"/>
  <c r="F410" i="9"/>
  <c r="I409" i="9"/>
  <c r="H409" i="9"/>
  <c r="G409" i="9"/>
  <c r="F409" i="9"/>
  <c r="I408" i="9"/>
  <c r="H408" i="9"/>
  <c r="G408" i="9"/>
  <c r="F408" i="9"/>
  <c r="I407" i="9"/>
  <c r="H407" i="9"/>
  <c r="G407" i="9"/>
  <c r="F407" i="9"/>
  <c r="I406" i="9"/>
  <c r="H406" i="9"/>
  <c r="G406" i="9"/>
  <c r="F406" i="9"/>
  <c r="I405" i="9"/>
  <c r="H405" i="9"/>
  <c r="G405" i="9"/>
  <c r="F405" i="9"/>
  <c r="I404" i="9"/>
  <c r="H404" i="9"/>
  <c r="G404" i="9"/>
  <c r="F404" i="9"/>
  <c r="I403" i="9"/>
  <c r="H403" i="9"/>
  <c r="G403" i="9"/>
  <c r="F403" i="9"/>
  <c r="I402" i="9"/>
  <c r="H402" i="9"/>
  <c r="G402" i="9"/>
  <c r="F402" i="9"/>
  <c r="I401" i="9"/>
  <c r="H401" i="9"/>
  <c r="G401" i="9"/>
  <c r="F401" i="9"/>
  <c r="I400" i="9"/>
  <c r="H400" i="9"/>
  <c r="G400" i="9"/>
  <c r="F400" i="9"/>
  <c r="I399" i="9"/>
  <c r="H399" i="9"/>
  <c r="G399" i="9"/>
  <c r="F399" i="9"/>
  <c r="I398" i="9"/>
  <c r="H398" i="9"/>
  <c r="G398" i="9"/>
  <c r="F398" i="9"/>
  <c r="I397" i="9"/>
  <c r="H397" i="9"/>
  <c r="G397" i="9"/>
  <c r="F397" i="9"/>
  <c r="I396" i="9"/>
  <c r="H396" i="9"/>
  <c r="G396" i="9"/>
  <c r="F396" i="9"/>
  <c r="I395" i="9"/>
  <c r="H395" i="9"/>
  <c r="G395" i="9"/>
  <c r="F395" i="9"/>
  <c r="I394" i="9"/>
  <c r="H394" i="9"/>
  <c r="G394" i="9"/>
  <c r="F394" i="9"/>
  <c r="I393" i="9"/>
  <c r="H393" i="9"/>
  <c r="G393" i="9"/>
  <c r="F393" i="9"/>
  <c r="I392" i="9"/>
  <c r="H392" i="9"/>
  <c r="G392" i="9"/>
  <c r="F392" i="9"/>
  <c r="I391" i="9"/>
  <c r="H391" i="9"/>
  <c r="G391" i="9"/>
  <c r="F391" i="9"/>
  <c r="I390" i="9"/>
  <c r="H390" i="9"/>
  <c r="G390" i="9"/>
  <c r="F390" i="9"/>
  <c r="I389" i="9"/>
  <c r="H389" i="9"/>
  <c r="G389" i="9"/>
  <c r="F389" i="9"/>
  <c r="I388" i="9"/>
  <c r="H388" i="9"/>
  <c r="G388" i="9"/>
  <c r="F388" i="9"/>
  <c r="I387" i="9"/>
  <c r="H387" i="9"/>
  <c r="G387" i="9"/>
  <c r="F387" i="9"/>
  <c r="I386" i="9"/>
  <c r="H386" i="9"/>
  <c r="G386" i="9"/>
  <c r="F386" i="9"/>
  <c r="I385" i="9"/>
  <c r="H385" i="9"/>
  <c r="G385" i="9"/>
  <c r="F385" i="9"/>
  <c r="I384" i="9"/>
  <c r="H384" i="9"/>
  <c r="G384" i="9"/>
  <c r="F384" i="9"/>
  <c r="I383" i="9"/>
  <c r="H383" i="9"/>
  <c r="G383" i="9"/>
  <c r="F383" i="9"/>
  <c r="I382" i="9"/>
  <c r="H382" i="9"/>
  <c r="G382" i="9"/>
  <c r="F382" i="9"/>
  <c r="I381" i="9"/>
  <c r="H381" i="9"/>
  <c r="G381" i="9"/>
  <c r="F381" i="9"/>
  <c r="I380" i="9"/>
  <c r="H380" i="9"/>
  <c r="G380" i="9"/>
  <c r="F380" i="9"/>
  <c r="I379" i="9"/>
  <c r="H379" i="9"/>
  <c r="G379" i="9"/>
  <c r="F379" i="9"/>
  <c r="I378" i="9"/>
  <c r="H378" i="9"/>
  <c r="G378" i="9"/>
  <c r="F378" i="9"/>
  <c r="I377" i="9"/>
  <c r="H377" i="9"/>
  <c r="G377" i="9"/>
  <c r="F377" i="9"/>
  <c r="I376" i="9"/>
  <c r="H376" i="9"/>
  <c r="G376" i="9"/>
  <c r="F376" i="9"/>
  <c r="I375" i="9"/>
  <c r="H375" i="9"/>
  <c r="G375" i="9"/>
  <c r="F375" i="9"/>
  <c r="I374" i="9"/>
  <c r="H374" i="9"/>
  <c r="G374" i="9"/>
  <c r="F374" i="9"/>
  <c r="I373" i="9"/>
  <c r="H373" i="9"/>
  <c r="G373" i="9"/>
  <c r="F373" i="9"/>
  <c r="I372" i="9"/>
  <c r="H372" i="9"/>
  <c r="G372" i="9"/>
  <c r="F372" i="9"/>
  <c r="I371" i="9"/>
  <c r="H371" i="9"/>
  <c r="G371" i="9"/>
  <c r="F371" i="9"/>
  <c r="I370" i="9"/>
  <c r="H370" i="9"/>
  <c r="G370" i="9"/>
  <c r="F370" i="9"/>
  <c r="I369" i="9"/>
  <c r="H369" i="9"/>
  <c r="G369" i="9"/>
  <c r="F369" i="9"/>
  <c r="I368" i="9"/>
  <c r="H368" i="9"/>
  <c r="G368" i="9"/>
  <c r="F368" i="9"/>
  <c r="I367" i="9"/>
  <c r="H367" i="9"/>
  <c r="G367" i="9"/>
  <c r="F367" i="9"/>
  <c r="I366" i="9"/>
  <c r="H366" i="9"/>
  <c r="G366" i="9"/>
  <c r="F366" i="9"/>
  <c r="I365" i="9"/>
  <c r="H365" i="9"/>
  <c r="G365" i="9"/>
  <c r="F365" i="9"/>
  <c r="I364" i="9"/>
  <c r="H364" i="9"/>
  <c r="G364" i="9"/>
  <c r="F364" i="9"/>
  <c r="I363" i="9"/>
  <c r="H363" i="9"/>
  <c r="G363" i="9"/>
  <c r="F363" i="9"/>
  <c r="I362" i="9"/>
  <c r="H362" i="9"/>
  <c r="G362" i="9"/>
  <c r="F362" i="9"/>
  <c r="I361" i="9"/>
  <c r="H361" i="9"/>
  <c r="G361" i="9"/>
  <c r="F361" i="9"/>
  <c r="I360" i="9"/>
  <c r="H360" i="9"/>
  <c r="G360" i="9"/>
  <c r="F360" i="9"/>
  <c r="I359" i="9"/>
  <c r="H359" i="9"/>
  <c r="G359" i="9"/>
  <c r="F359" i="9"/>
  <c r="I358" i="9"/>
  <c r="H358" i="9"/>
  <c r="G358" i="9"/>
  <c r="F358" i="9"/>
  <c r="I357" i="9"/>
  <c r="H357" i="9"/>
  <c r="G357" i="9"/>
  <c r="F357" i="9"/>
  <c r="I356" i="9"/>
  <c r="H356" i="9"/>
  <c r="G356" i="9"/>
  <c r="F356" i="9"/>
  <c r="I355" i="9"/>
  <c r="H355" i="9"/>
  <c r="G355" i="9"/>
  <c r="F355" i="9"/>
  <c r="I354" i="9"/>
  <c r="H354" i="9"/>
  <c r="G354" i="9"/>
  <c r="F354" i="9"/>
  <c r="I353" i="9"/>
  <c r="H353" i="9"/>
  <c r="G353" i="9"/>
  <c r="F353" i="9"/>
  <c r="I352" i="9"/>
  <c r="H352" i="9"/>
  <c r="G352" i="9"/>
  <c r="F352" i="9"/>
  <c r="I351" i="9"/>
  <c r="H351" i="9"/>
  <c r="G351" i="9"/>
  <c r="F351" i="9"/>
  <c r="I350" i="9"/>
  <c r="H350" i="9"/>
  <c r="G350" i="9"/>
  <c r="F350" i="9"/>
  <c r="I349" i="9"/>
  <c r="H349" i="9"/>
  <c r="G349" i="9"/>
  <c r="F349" i="9"/>
  <c r="I348" i="9"/>
  <c r="H348" i="9"/>
  <c r="G348" i="9"/>
  <c r="F348" i="9"/>
  <c r="I347" i="9"/>
  <c r="H347" i="9"/>
  <c r="G347" i="9"/>
  <c r="F347" i="9"/>
  <c r="I346" i="9"/>
  <c r="H346" i="9"/>
  <c r="G346" i="9"/>
  <c r="F346" i="9"/>
  <c r="I345" i="9"/>
  <c r="H345" i="9"/>
  <c r="G345" i="9"/>
  <c r="F345" i="9"/>
  <c r="I344" i="9"/>
  <c r="H344" i="9"/>
  <c r="G344" i="9"/>
  <c r="F344" i="9"/>
  <c r="I343" i="9"/>
  <c r="H343" i="9"/>
  <c r="G343" i="9"/>
  <c r="F343" i="9"/>
  <c r="I342" i="9"/>
  <c r="H342" i="9"/>
  <c r="G342" i="9"/>
  <c r="F342" i="9"/>
  <c r="I341" i="9"/>
  <c r="H341" i="9"/>
  <c r="G341" i="9"/>
  <c r="F341" i="9"/>
  <c r="I340" i="9"/>
  <c r="H340" i="9"/>
  <c r="G340" i="9"/>
  <c r="F340" i="9"/>
  <c r="I339" i="9"/>
  <c r="H339" i="9"/>
  <c r="G339" i="9"/>
  <c r="F339" i="9"/>
  <c r="I338" i="9"/>
  <c r="H338" i="9"/>
  <c r="G338" i="9"/>
  <c r="F338" i="9"/>
  <c r="I337" i="9"/>
  <c r="H337" i="9"/>
  <c r="G337" i="9"/>
  <c r="F337" i="9"/>
  <c r="I336" i="9"/>
  <c r="H336" i="9"/>
  <c r="G336" i="9"/>
  <c r="F336" i="9"/>
  <c r="I335" i="9"/>
  <c r="H335" i="9"/>
  <c r="G335" i="9"/>
  <c r="F335" i="9"/>
  <c r="I334" i="9"/>
  <c r="H334" i="9"/>
  <c r="G334" i="9"/>
  <c r="F334" i="9"/>
  <c r="I333" i="9"/>
  <c r="H333" i="9"/>
  <c r="G333" i="9"/>
  <c r="F333" i="9"/>
  <c r="I332" i="9"/>
  <c r="H332" i="9"/>
  <c r="G332" i="9"/>
  <c r="F332" i="9"/>
  <c r="I331" i="9"/>
  <c r="H331" i="9"/>
  <c r="G331" i="9"/>
  <c r="F331" i="9"/>
  <c r="I330" i="9"/>
  <c r="H330" i="9"/>
  <c r="G330" i="9"/>
  <c r="F330" i="9"/>
  <c r="I329" i="9"/>
  <c r="H329" i="9"/>
  <c r="G329" i="9"/>
  <c r="F329" i="9"/>
  <c r="I328" i="9"/>
  <c r="H328" i="9"/>
  <c r="G328" i="9"/>
  <c r="F328" i="9"/>
  <c r="I327" i="9"/>
  <c r="H327" i="9"/>
  <c r="G327" i="9"/>
  <c r="F327" i="9"/>
  <c r="I326" i="9"/>
  <c r="H326" i="9"/>
  <c r="G326" i="9"/>
  <c r="F326" i="9"/>
  <c r="I325" i="9"/>
  <c r="H325" i="9"/>
  <c r="G325" i="9"/>
  <c r="F325" i="9"/>
  <c r="I324" i="9"/>
  <c r="H324" i="9"/>
  <c r="G324" i="9"/>
  <c r="F324" i="9"/>
  <c r="I323" i="9"/>
  <c r="H323" i="9"/>
  <c r="G323" i="9"/>
  <c r="F323" i="9"/>
  <c r="I322" i="9"/>
  <c r="H322" i="9"/>
  <c r="G322" i="9"/>
  <c r="F322" i="9"/>
  <c r="I321" i="9"/>
  <c r="H321" i="9"/>
  <c r="G321" i="9"/>
  <c r="F321" i="9"/>
  <c r="I320" i="9"/>
  <c r="H320" i="9"/>
  <c r="G320" i="9"/>
  <c r="F320" i="9"/>
  <c r="I319" i="9"/>
  <c r="H319" i="9"/>
  <c r="G319" i="9"/>
  <c r="F319" i="9"/>
  <c r="I318" i="9"/>
  <c r="H318" i="9"/>
  <c r="G318" i="9"/>
  <c r="F318" i="9"/>
  <c r="I317" i="9"/>
  <c r="H317" i="9"/>
  <c r="G317" i="9"/>
  <c r="F317" i="9"/>
  <c r="I316" i="9"/>
  <c r="H316" i="9"/>
  <c r="G316" i="9"/>
  <c r="F316" i="9"/>
  <c r="I315" i="9"/>
  <c r="H315" i="9"/>
  <c r="G315" i="9"/>
  <c r="F315" i="9"/>
  <c r="I314" i="9"/>
  <c r="H314" i="9"/>
  <c r="G314" i="9"/>
  <c r="F314" i="9"/>
  <c r="I313" i="9"/>
  <c r="H313" i="9"/>
  <c r="G313" i="9"/>
  <c r="F313" i="9"/>
  <c r="I312" i="9"/>
  <c r="H312" i="9"/>
  <c r="G312" i="9"/>
  <c r="F312" i="9"/>
  <c r="I311" i="9"/>
  <c r="H311" i="9"/>
  <c r="G311" i="9"/>
  <c r="F311" i="9"/>
  <c r="I310" i="9"/>
  <c r="H310" i="9"/>
  <c r="G310" i="9"/>
  <c r="F310" i="9"/>
  <c r="I309" i="9"/>
  <c r="H309" i="9"/>
  <c r="G309" i="9"/>
  <c r="F309" i="9"/>
  <c r="I308" i="9"/>
  <c r="H308" i="9"/>
  <c r="G308" i="9"/>
  <c r="F308" i="9"/>
  <c r="I307" i="9"/>
  <c r="H307" i="9"/>
  <c r="G307" i="9"/>
  <c r="F307" i="9"/>
  <c r="I306" i="9"/>
  <c r="H306" i="9"/>
  <c r="G306" i="9"/>
  <c r="F306" i="9"/>
  <c r="I305" i="9"/>
  <c r="H305" i="9"/>
  <c r="G305" i="9"/>
  <c r="F305" i="9"/>
  <c r="I304" i="9"/>
  <c r="H304" i="9"/>
  <c r="G304" i="9"/>
  <c r="F304" i="9"/>
  <c r="I303" i="9"/>
  <c r="H303" i="9"/>
  <c r="G303" i="9"/>
  <c r="F303" i="9"/>
  <c r="I302" i="9"/>
  <c r="H302" i="9"/>
  <c r="G302" i="9"/>
  <c r="F302" i="9"/>
  <c r="I301" i="9"/>
  <c r="H301" i="9"/>
  <c r="G301" i="9"/>
  <c r="F301" i="9"/>
  <c r="I300" i="9"/>
  <c r="H300" i="9"/>
  <c r="G300" i="9"/>
  <c r="F300" i="9"/>
  <c r="I299" i="9"/>
  <c r="H299" i="9"/>
  <c r="G299" i="9"/>
  <c r="F299" i="9"/>
  <c r="I298" i="9"/>
  <c r="H298" i="9"/>
  <c r="G298" i="9"/>
  <c r="F298" i="9"/>
  <c r="I297" i="9"/>
  <c r="H297" i="9"/>
  <c r="G297" i="9"/>
  <c r="F297" i="9"/>
  <c r="I296" i="9"/>
  <c r="H296" i="9"/>
  <c r="G296" i="9"/>
  <c r="F296" i="9"/>
  <c r="I295" i="9"/>
  <c r="H295" i="9"/>
  <c r="G295" i="9"/>
  <c r="F295" i="9"/>
  <c r="I294" i="9"/>
  <c r="H294" i="9"/>
  <c r="G294" i="9"/>
  <c r="F294" i="9"/>
  <c r="I293" i="9"/>
  <c r="H293" i="9"/>
  <c r="G293" i="9"/>
  <c r="F293" i="9"/>
  <c r="I292" i="9"/>
  <c r="H292" i="9"/>
  <c r="G292" i="9"/>
  <c r="F292" i="9"/>
  <c r="I291" i="9"/>
  <c r="H291" i="9"/>
  <c r="G291" i="9"/>
  <c r="F291" i="9"/>
  <c r="I290" i="9"/>
  <c r="H290" i="9"/>
  <c r="G290" i="9"/>
  <c r="F290" i="9"/>
  <c r="I289" i="9"/>
  <c r="H289" i="9"/>
  <c r="G289" i="9"/>
  <c r="F289" i="9"/>
  <c r="I288" i="9"/>
  <c r="H288" i="9"/>
  <c r="G288" i="9"/>
  <c r="F288" i="9"/>
  <c r="I287" i="9"/>
  <c r="H287" i="9"/>
  <c r="G287" i="9"/>
  <c r="F287" i="9"/>
  <c r="I286" i="9"/>
  <c r="H286" i="9"/>
  <c r="G286" i="9"/>
  <c r="F286" i="9"/>
  <c r="I285" i="9"/>
  <c r="H285" i="9"/>
  <c r="G285" i="9"/>
  <c r="F285" i="9"/>
  <c r="I284" i="9"/>
  <c r="H284" i="9"/>
  <c r="G284" i="9"/>
  <c r="F284" i="9"/>
  <c r="I283" i="9"/>
  <c r="H283" i="9"/>
  <c r="G283" i="9"/>
  <c r="F283" i="9"/>
  <c r="I282" i="9"/>
  <c r="H282" i="9"/>
  <c r="G282" i="9"/>
  <c r="F282" i="9"/>
  <c r="I281" i="9"/>
  <c r="H281" i="9"/>
  <c r="G281" i="9"/>
  <c r="F281" i="9"/>
  <c r="I280" i="9"/>
  <c r="H280" i="9"/>
  <c r="G280" i="9"/>
  <c r="F280" i="9"/>
  <c r="I279" i="9"/>
  <c r="H279" i="9"/>
  <c r="G279" i="9"/>
  <c r="F279" i="9"/>
  <c r="I278" i="9"/>
  <c r="H278" i="9"/>
  <c r="G278" i="9"/>
  <c r="F278" i="9"/>
  <c r="I277" i="9"/>
  <c r="H277" i="9"/>
  <c r="G277" i="9"/>
  <c r="F277" i="9"/>
  <c r="I276" i="9"/>
  <c r="H276" i="9"/>
  <c r="G276" i="9"/>
  <c r="F276" i="9"/>
  <c r="I275" i="9"/>
  <c r="H275" i="9"/>
  <c r="G275" i="9"/>
  <c r="F275" i="9"/>
  <c r="I274" i="9"/>
  <c r="H274" i="9"/>
  <c r="G274" i="9"/>
  <c r="F274" i="9"/>
  <c r="I273" i="9"/>
  <c r="H273" i="9"/>
  <c r="G273" i="9"/>
  <c r="F273" i="9"/>
  <c r="I272" i="9"/>
  <c r="H272" i="9"/>
  <c r="G272" i="9"/>
  <c r="F272" i="9"/>
  <c r="I271" i="9"/>
  <c r="H271" i="9"/>
  <c r="G271" i="9"/>
  <c r="F271" i="9"/>
  <c r="I270" i="9"/>
  <c r="H270" i="9"/>
  <c r="G270" i="9"/>
  <c r="F270" i="9"/>
  <c r="I269" i="9"/>
  <c r="H269" i="9"/>
  <c r="G269" i="9"/>
  <c r="F269" i="9"/>
  <c r="I268" i="9"/>
  <c r="H268" i="9"/>
  <c r="G268" i="9"/>
  <c r="F268" i="9"/>
  <c r="I267" i="9"/>
  <c r="H267" i="9"/>
  <c r="G267" i="9"/>
  <c r="F267" i="9"/>
  <c r="I266" i="9"/>
  <c r="H266" i="9"/>
  <c r="G266" i="9"/>
  <c r="F266" i="9"/>
  <c r="I265" i="9"/>
  <c r="H265" i="9"/>
  <c r="G265" i="9"/>
  <c r="F265" i="9"/>
  <c r="I264" i="9"/>
  <c r="H264" i="9"/>
  <c r="G264" i="9"/>
  <c r="F264" i="9"/>
  <c r="I263" i="9"/>
  <c r="H263" i="9"/>
  <c r="G263" i="9"/>
  <c r="F263" i="9"/>
  <c r="I262" i="9"/>
  <c r="H262" i="9"/>
  <c r="G262" i="9"/>
  <c r="F262" i="9"/>
  <c r="I261" i="9"/>
  <c r="H261" i="9"/>
  <c r="G261" i="9"/>
  <c r="F261" i="9"/>
  <c r="I260" i="9"/>
  <c r="H260" i="9"/>
  <c r="G260" i="9"/>
  <c r="F260" i="9"/>
  <c r="I259" i="9"/>
  <c r="H259" i="9"/>
  <c r="G259" i="9"/>
  <c r="F259" i="9"/>
  <c r="I258" i="9"/>
  <c r="H258" i="9"/>
  <c r="G258" i="9"/>
  <c r="F258" i="9"/>
  <c r="I257" i="9"/>
  <c r="H257" i="9"/>
  <c r="G257" i="9"/>
  <c r="F257" i="9"/>
  <c r="I256" i="9"/>
  <c r="H256" i="9"/>
  <c r="G256" i="9"/>
  <c r="F256" i="9"/>
  <c r="I255" i="9"/>
  <c r="H255" i="9"/>
  <c r="G255" i="9"/>
  <c r="F255" i="9"/>
  <c r="I254" i="9"/>
  <c r="H254" i="9"/>
  <c r="G254" i="9"/>
  <c r="F254" i="9"/>
  <c r="I253" i="9"/>
  <c r="H253" i="9"/>
  <c r="G253" i="9"/>
  <c r="F253" i="9"/>
  <c r="I252" i="9"/>
  <c r="H252" i="9"/>
  <c r="G252" i="9"/>
  <c r="F252" i="9"/>
  <c r="I251" i="9"/>
  <c r="H251" i="9"/>
  <c r="G251" i="9"/>
  <c r="F251" i="9"/>
  <c r="I250" i="9"/>
  <c r="H250" i="9"/>
  <c r="G250" i="9"/>
  <c r="F250" i="9"/>
  <c r="I249" i="9"/>
  <c r="H249" i="9"/>
  <c r="G249" i="9"/>
  <c r="F249" i="9"/>
  <c r="I248" i="9"/>
  <c r="H248" i="9"/>
  <c r="G248" i="9"/>
  <c r="F248" i="9"/>
  <c r="I247" i="9"/>
  <c r="H247" i="9"/>
  <c r="G247" i="9"/>
  <c r="F247" i="9"/>
  <c r="I246" i="9"/>
  <c r="H246" i="9"/>
  <c r="G246" i="9"/>
  <c r="F246" i="9"/>
  <c r="I245" i="9"/>
  <c r="H245" i="9"/>
  <c r="G245" i="9"/>
  <c r="F245" i="9"/>
  <c r="I244" i="9"/>
  <c r="H244" i="9"/>
  <c r="G244" i="9"/>
  <c r="F244" i="9"/>
  <c r="I243" i="9"/>
  <c r="H243" i="9"/>
  <c r="G243" i="9"/>
  <c r="F243" i="9"/>
  <c r="I242" i="9"/>
  <c r="H242" i="9"/>
  <c r="G242" i="9"/>
  <c r="F242" i="9"/>
  <c r="I241" i="9"/>
  <c r="H241" i="9"/>
  <c r="G241" i="9"/>
  <c r="F241" i="9"/>
  <c r="I240" i="9"/>
  <c r="H240" i="9"/>
  <c r="G240" i="9"/>
  <c r="F240" i="9"/>
  <c r="I239" i="9"/>
  <c r="H239" i="9"/>
  <c r="G239" i="9"/>
  <c r="F239" i="9"/>
  <c r="I238" i="9"/>
  <c r="H238" i="9"/>
  <c r="G238" i="9"/>
  <c r="F238" i="9"/>
  <c r="I237" i="9"/>
  <c r="H237" i="9"/>
  <c r="G237" i="9"/>
  <c r="F237" i="9"/>
  <c r="I236" i="9"/>
  <c r="H236" i="9"/>
  <c r="G236" i="9"/>
  <c r="F236" i="9"/>
  <c r="I235" i="9"/>
  <c r="H235" i="9"/>
  <c r="G235" i="9"/>
  <c r="F235" i="9"/>
  <c r="I234" i="9"/>
  <c r="H234" i="9"/>
  <c r="G234" i="9"/>
  <c r="F234" i="9"/>
  <c r="I233" i="9"/>
  <c r="H233" i="9"/>
  <c r="G233" i="9"/>
  <c r="F233" i="9"/>
  <c r="I232" i="9"/>
  <c r="H232" i="9"/>
  <c r="G232" i="9"/>
  <c r="F232" i="9"/>
  <c r="I231" i="9"/>
  <c r="H231" i="9"/>
  <c r="G231" i="9"/>
  <c r="F231" i="9"/>
  <c r="I230" i="9"/>
  <c r="H230" i="9"/>
  <c r="G230" i="9"/>
  <c r="F230" i="9"/>
  <c r="I229" i="9"/>
  <c r="H229" i="9"/>
  <c r="G229" i="9"/>
  <c r="F229" i="9"/>
  <c r="I228" i="9"/>
  <c r="H228" i="9"/>
  <c r="G228" i="9"/>
  <c r="F228" i="9"/>
  <c r="I227" i="9"/>
  <c r="H227" i="9"/>
  <c r="G227" i="9"/>
  <c r="F227" i="9"/>
  <c r="I226" i="9"/>
  <c r="H226" i="9"/>
  <c r="G226" i="9"/>
  <c r="F226" i="9"/>
  <c r="I225" i="9"/>
  <c r="H225" i="9"/>
  <c r="G225" i="9"/>
  <c r="F225" i="9"/>
  <c r="I224" i="9"/>
  <c r="H224" i="9"/>
  <c r="G224" i="9"/>
  <c r="F224" i="9"/>
  <c r="I223" i="9"/>
  <c r="H223" i="9"/>
  <c r="G223" i="9"/>
  <c r="F223" i="9"/>
  <c r="I222" i="9"/>
  <c r="H222" i="9"/>
  <c r="G222" i="9"/>
  <c r="F222" i="9"/>
  <c r="I221" i="9"/>
  <c r="H221" i="9"/>
  <c r="G221" i="9"/>
  <c r="F221" i="9"/>
  <c r="I220" i="9"/>
  <c r="H220" i="9"/>
  <c r="G220" i="9"/>
  <c r="F220" i="9"/>
  <c r="I219" i="9"/>
  <c r="H219" i="9"/>
  <c r="G219" i="9"/>
  <c r="F219" i="9"/>
  <c r="I218" i="9"/>
  <c r="H218" i="9"/>
  <c r="G218" i="9"/>
  <c r="F218" i="9"/>
  <c r="I217" i="9"/>
  <c r="H217" i="9"/>
  <c r="G217" i="9"/>
  <c r="F217" i="9"/>
  <c r="I216" i="9"/>
  <c r="H216" i="9"/>
  <c r="G216" i="9"/>
  <c r="F216" i="9"/>
  <c r="I215" i="9"/>
  <c r="H215" i="9"/>
  <c r="G215" i="9"/>
  <c r="F215" i="9"/>
  <c r="I214" i="9"/>
  <c r="H214" i="9"/>
  <c r="G214" i="9"/>
  <c r="F214" i="9"/>
  <c r="I213" i="9"/>
  <c r="H213" i="9"/>
  <c r="G213" i="9"/>
  <c r="F213" i="9"/>
  <c r="I212" i="9"/>
  <c r="H212" i="9"/>
  <c r="G212" i="9"/>
  <c r="F212" i="9"/>
  <c r="I211" i="9"/>
  <c r="H211" i="9"/>
  <c r="G211" i="9"/>
  <c r="F211" i="9"/>
  <c r="I210" i="9"/>
  <c r="H210" i="9"/>
  <c r="G210" i="9"/>
  <c r="F210" i="9"/>
  <c r="I209" i="9"/>
  <c r="H209" i="9"/>
  <c r="G209" i="9"/>
  <c r="F209" i="9"/>
  <c r="I208" i="9"/>
  <c r="H208" i="9"/>
  <c r="G208" i="9"/>
  <c r="F208" i="9"/>
  <c r="I207" i="9"/>
  <c r="H207" i="9"/>
  <c r="G207" i="9"/>
  <c r="F207" i="9"/>
  <c r="I206" i="9"/>
  <c r="H206" i="9"/>
  <c r="G206" i="9"/>
  <c r="F206" i="9"/>
  <c r="I205" i="9"/>
  <c r="H205" i="9"/>
  <c r="G205" i="9"/>
  <c r="F205" i="9"/>
  <c r="I204" i="9"/>
  <c r="H204" i="9"/>
  <c r="G204" i="9"/>
  <c r="F204" i="9"/>
  <c r="I203" i="9"/>
  <c r="H203" i="9"/>
  <c r="G203" i="9"/>
  <c r="F203" i="9"/>
  <c r="I202" i="9"/>
  <c r="H202" i="9"/>
  <c r="G202" i="9"/>
  <c r="F202" i="9"/>
  <c r="I201" i="9"/>
  <c r="H201" i="9"/>
  <c r="G201" i="9"/>
  <c r="F201" i="9"/>
  <c r="I200" i="9"/>
  <c r="H200" i="9"/>
  <c r="G200" i="9"/>
  <c r="F200" i="9"/>
  <c r="I199" i="9"/>
  <c r="H199" i="9"/>
  <c r="G199" i="9"/>
  <c r="F199" i="9"/>
  <c r="I198" i="9"/>
  <c r="H198" i="9"/>
  <c r="G198" i="9"/>
  <c r="F198" i="9"/>
  <c r="I197" i="9"/>
  <c r="H197" i="9"/>
  <c r="G197" i="9"/>
  <c r="F197" i="9"/>
  <c r="I196" i="9"/>
  <c r="H196" i="9"/>
  <c r="G196" i="9"/>
  <c r="F196" i="9"/>
  <c r="I195" i="9"/>
  <c r="H195" i="9"/>
  <c r="G195" i="9"/>
  <c r="F195" i="9"/>
  <c r="I194" i="9"/>
  <c r="H194" i="9"/>
  <c r="G194" i="9"/>
  <c r="F194" i="9"/>
  <c r="I193" i="9"/>
  <c r="H193" i="9"/>
  <c r="G193" i="9"/>
  <c r="F193" i="9"/>
  <c r="I192" i="9"/>
  <c r="H192" i="9"/>
  <c r="G192" i="9"/>
  <c r="F192" i="9"/>
  <c r="I191" i="9"/>
  <c r="H191" i="9"/>
  <c r="G191" i="9"/>
  <c r="F191" i="9"/>
  <c r="I190" i="9"/>
  <c r="H190" i="9"/>
  <c r="G190" i="9"/>
  <c r="F190" i="9"/>
  <c r="I189" i="9"/>
  <c r="H189" i="9"/>
  <c r="G189" i="9"/>
  <c r="F189" i="9"/>
  <c r="I188" i="9"/>
  <c r="H188" i="9"/>
  <c r="G188" i="9"/>
  <c r="F188" i="9"/>
  <c r="I187" i="9"/>
  <c r="H187" i="9"/>
  <c r="G187" i="9"/>
  <c r="F187" i="9"/>
  <c r="I186" i="9"/>
  <c r="H186" i="9"/>
  <c r="G186" i="9"/>
  <c r="F186" i="9"/>
  <c r="I185" i="9"/>
  <c r="H185" i="9"/>
  <c r="G185" i="9"/>
  <c r="F185" i="9"/>
  <c r="I184" i="9"/>
  <c r="H184" i="9"/>
  <c r="G184" i="9"/>
  <c r="F184" i="9"/>
  <c r="I183" i="9"/>
  <c r="H183" i="9"/>
  <c r="G183" i="9"/>
  <c r="F183" i="9"/>
  <c r="I182" i="9"/>
  <c r="H182" i="9"/>
  <c r="G182" i="9"/>
  <c r="F182" i="9"/>
  <c r="I181" i="9"/>
  <c r="H181" i="9"/>
  <c r="G181" i="9"/>
  <c r="F181" i="9"/>
  <c r="I180" i="9"/>
  <c r="H180" i="9"/>
  <c r="G180" i="9"/>
  <c r="F180" i="9"/>
  <c r="I179" i="9"/>
  <c r="H179" i="9"/>
  <c r="G179" i="9"/>
  <c r="F179" i="9"/>
  <c r="I178" i="9"/>
  <c r="H178" i="9"/>
  <c r="G178" i="9"/>
  <c r="F178" i="9"/>
  <c r="I177" i="9"/>
  <c r="H177" i="9"/>
  <c r="G177" i="9"/>
  <c r="F177" i="9"/>
  <c r="I176" i="9"/>
  <c r="H176" i="9"/>
  <c r="G176" i="9"/>
  <c r="F176" i="9"/>
  <c r="I175" i="9"/>
  <c r="H175" i="9"/>
  <c r="G175" i="9"/>
  <c r="F175" i="9"/>
  <c r="I174" i="9"/>
  <c r="H174" i="9"/>
  <c r="G174" i="9"/>
  <c r="F174" i="9"/>
  <c r="I173" i="9"/>
  <c r="H173" i="9"/>
  <c r="G173" i="9"/>
  <c r="F173" i="9"/>
  <c r="I172" i="9"/>
  <c r="H172" i="9"/>
  <c r="G172" i="9"/>
  <c r="F172" i="9"/>
  <c r="I171" i="9"/>
  <c r="H171" i="9"/>
  <c r="G171" i="9"/>
  <c r="F171" i="9"/>
  <c r="I170" i="9"/>
  <c r="H170" i="9"/>
  <c r="G170" i="9"/>
  <c r="F170" i="9"/>
  <c r="I169" i="9"/>
  <c r="H169" i="9"/>
  <c r="G169" i="9"/>
  <c r="F169" i="9"/>
  <c r="I168" i="9"/>
  <c r="H168" i="9"/>
  <c r="G168" i="9"/>
  <c r="F168" i="9"/>
  <c r="I167" i="9"/>
  <c r="H167" i="9"/>
  <c r="G167" i="9"/>
  <c r="F167" i="9"/>
  <c r="I166" i="9"/>
  <c r="H166" i="9"/>
  <c r="G166" i="9"/>
  <c r="F166" i="9"/>
  <c r="I165" i="9"/>
  <c r="H165" i="9"/>
  <c r="G165" i="9"/>
  <c r="F165" i="9"/>
  <c r="I164" i="9"/>
  <c r="H164" i="9"/>
  <c r="G164" i="9"/>
  <c r="F164" i="9"/>
  <c r="I163" i="9"/>
  <c r="H163" i="9"/>
  <c r="G163" i="9"/>
  <c r="F163" i="9"/>
  <c r="I162" i="9"/>
  <c r="H162" i="9"/>
  <c r="G162" i="9"/>
  <c r="F162" i="9"/>
  <c r="I161" i="9"/>
  <c r="H161" i="9"/>
  <c r="G161" i="9"/>
  <c r="F161" i="9"/>
  <c r="I160" i="9"/>
  <c r="H160" i="9"/>
  <c r="G160" i="9"/>
  <c r="F160" i="9"/>
  <c r="I159" i="9"/>
  <c r="H159" i="9"/>
  <c r="G159" i="9"/>
  <c r="F159" i="9"/>
  <c r="I158" i="9"/>
  <c r="H158" i="9"/>
  <c r="G158" i="9"/>
  <c r="F158" i="9"/>
  <c r="I157" i="9"/>
  <c r="H157" i="9"/>
  <c r="G157" i="9"/>
  <c r="F157" i="9"/>
  <c r="I156" i="9"/>
  <c r="H156" i="9"/>
  <c r="G156" i="9"/>
  <c r="F156" i="9"/>
  <c r="I155" i="9"/>
  <c r="H155" i="9"/>
  <c r="G155" i="9"/>
  <c r="F155" i="9"/>
  <c r="I154" i="9"/>
  <c r="H154" i="9"/>
  <c r="G154" i="9"/>
  <c r="F154" i="9"/>
  <c r="I153" i="9"/>
  <c r="H153" i="9"/>
  <c r="G153" i="9"/>
  <c r="F153" i="9"/>
  <c r="I152" i="9"/>
  <c r="H152" i="9"/>
  <c r="G152" i="9"/>
  <c r="F152" i="9"/>
  <c r="I151" i="9"/>
  <c r="H151" i="9"/>
  <c r="G151" i="9"/>
  <c r="F151" i="9"/>
  <c r="I150" i="9"/>
  <c r="H150" i="9"/>
  <c r="G150" i="9"/>
  <c r="F150" i="9"/>
  <c r="I149" i="9"/>
  <c r="H149" i="9"/>
  <c r="G149" i="9"/>
  <c r="F149" i="9"/>
  <c r="I148" i="9"/>
  <c r="H148" i="9"/>
  <c r="G148" i="9"/>
  <c r="F148" i="9"/>
  <c r="I147" i="9"/>
  <c r="H147" i="9"/>
  <c r="G147" i="9"/>
  <c r="F147" i="9"/>
  <c r="I146" i="9"/>
  <c r="H146" i="9"/>
  <c r="G146" i="9"/>
  <c r="F146" i="9"/>
  <c r="I145" i="9"/>
  <c r="H145" i="9"/>
  <c r="G145" i="9"/>
  <c r="F145" i="9"/>
  <c r="I144" i="9"/>
  <c r="H144" i="9"/>
  <c r="G144" i="9"/>
  <c r="F144" i="9"/>
  <c r="I143" i="9"/>
  <c r="H143" i="9"/>
  <c r="G143" i="9"/>
  <c r="F143" i="9"/>
  <c r="I142" i="9"/>
  <c r="H142" i="9"/>
  <c r="G142" i="9"/>
  <c r="F142" i="9"/>
  <c r="I141" i="9"/>
  <c r="H141" i="9"/>
  <c r="G141" i="9"/>
  <c r="F141" i="9"/>
  <c r="I140" i="9"/>
  <c r="H140" i="9"/>
  <c r="G140" i="9"/>
  <c r="F140" i="9"/>
  <c r="I139" i="9"/>
  <c r="H139" i="9"/>
  <c r="G139" i="9"/>
  <c r="F139" i="9"/>
  <c r="I138" i="9"/>
  <c r="H138" i="9"/>
  <c r="G138" i="9"/>
  <c r="F138" i="9"/>
  <c r="I137" i="9"/>
  <c r="H137" i="9"/>
  <c r="G137" i="9"/>
  <c r="F137" i="9"/>
  <c r="I136" i="9"/>
  <c r="H136" i="9"/>
  <c r="G136" i="9"/>
  <c r="F136" i="9"/>
  <c r="I135" i="9"/>
  <c r="H135" i="9"/>
  <c r="G135" i="9"/>
  <c r="F135" i="9"/>
  <c r="I134" i="9"/>
  <c r="H134" i="9"/>
  <c r="G134" i="9"/>
  <c r="F134" i="9"/>
  <c r="I133" i="9"/>
  <c r="H133" i="9"/>
  <c r="G133" i="9"/>
  <c r="F133" i="9"/>
  <c r="I132" i="9"/>
  <c r="H132" i="9"/>
  <c r="G132" i="9"/>
  <c r="F132" i="9"/>
  <c r="I131" i="9"/>
  <c r="H131" i="9"/>
  <c r="G131" i="9"/>
  <c r="F131" i="9"/>
  <c r="I130" i="9"/>
  <c r="H130" i="9"/>
  <c r="G130" i="9"/>
  <c r="F130" i="9"/>
  <c r="I129" i="9"/>
  <c r="H129" i="9"/>
  <c r="G129" i="9"/>
  <c r="F129" i="9"/>
  <c r="I128" i="9"/>
  <c r="H128" i="9"/>
  <c r="G128" i="9"/>
  <c r="F128" i="9"/>
  <c r="I127" i="9"/>
  <c r="H127" i="9"/>
  <c r="G127" i="9"/>
  <c r="F127" i="9"/>
  <c r="I126" i="9"/>
  <c r="H126" i="9"/>
  <c r="G126" i="9"/>
  <c r="F126" i="9"/>
  <c r="I125" i="9"/>
  <c r="H125" i="9"/>
  <c r="G125" i="9"/>
  <c r="F125" i="9"/>
  <c r="I124" i="9"/>
  <c r="H124" i="9"/>
  <c r="G124" i="9"/>
  <c r="F124" i="9"/>
  <c r="I123" i="9"/>
  <c r="H123" i="9"/>
  <c r="G123" i="9"/>
  <c r="F123" i="9"/>
  <c r="I122" i="9"/>
  <c r="H122" i="9"/>
  <c r="G122" i="9"/>
  <c r="F122" i="9"/>
  <c r="I121" i="9"/>
  <c r="H121" i="9"/>
  <c r="G121" i="9"/>
  <c r="F121" i="9"/>
  <c r="I120" i="9"/>
  <c r="H120" i="9"/>
  <c r="G120" i="9"/>
  <c r="F120" i="9"/>
  <c r="I119" i="9"/>
  <c r="H119" i="9"/>
  <c r="G119" i="9"/>
  <c r="F119" i="9"/>
  <c r="I118" i="9"/>
  <c r="H118" i="9"/>
  <c r="G118" i="9"/>
  <c r="F118" i="9"/>
  <c r="I117" i="9"/>
  <c r="H117" i="9"/>
  <c r="G117" i="9"/>
  <c r="F117" i="9"/>
  <c r="I116" i="9"/>
  <c r="H116" i="9"/>
  <c r="G116" i="9"/>
  <c r="F116" i="9"/>
  <c r="I115" i="9"/>
  <c r="H115" i="9"/>
  <c r="G115" i="9"/>
  <c r="F115" i="9"/>
  <c r="I114" i="9"/>
  <c r="H114" i="9"/>
  <c r="G114" i="9"/>
  <c r="F114" i="9"/>
  <c r="I113" i="9"/>
  <c r="H113" i="9"/>
  <c r="G113" i="9"/>
  <c r="F113" i="9"/>
  <c r="I112" i="9"/>
  <c r="H112" i="9"/>
  <c r="G112" i="9"/>
  <c r="F112" i="9"/>
  <c r="I111" i="9"/>
  <c r="H111" i="9"/>
  <c r="G111" i="9"/>
  <c r="F111" i="9"/>
  <c r="I110" i="9"/>
  <c r="H110" i="9"/>
  <c r="G110" i="9"/>
  <c r="F110" i="9"/>
  <c r="I109" i="9"/>
  <c r="H109" i="9"/>
  <c r="G109" i="9"/>
  <c r="F109" i="9"/>
  <c r="I108" i="9"/>
  <c r="H108" i="9"/>
  <c r="G108" i="9"/>
  <c r="F108" i="9"/>
  <c r="I107" i="9"/>
  <c r="H107" i="9"/>
  <c r="G107" i="9"/>
  <c r="F107" i="9"/>
  <c r="I106" i="9"/>
  <c r="H106" i="9"/>
  <c r="G106" i="9"/>
  <c r="F106" i="9"/>
  <c r="I105" i="9"/>
  <c r="H105" i="9"/>
  <c r="G105" i="9"/>
  <c r="F105" i="9"/>
  <c r="I104" i="9"/>
  <c r="H104" i="9"/>
  <c r="G104" i="9"/>
  <c r="F104" i="9"/>
  <c r="I103" i="9"/>
  <c r="H103" i="9"/>
  <c r="G103" i="9"/>
  <c r="F103" i="9"/>
  <c r="I102" i="9"/>
  <c r="H102" i="9"/>
  <c r="G102" i="9"/>
  <c r="F102" i="9"/>
  <c r="I101" i="9"/>
  <c r="H101" i="9"/>
  <c r="G101" i="9"/>
  <c r="F101" i="9"/>
  <c r="I100" i="9"/>
  <c r="H100" i="9"/>
  <c r="G100" i="9"/>
  <c r="F100" i="9"/>
  <c r="I99" i="9"/>
  <c r="H99" i="9"/>
  <c r="G99" i="9"/>
  <c r="F99" i="9"/>
  <c r="I98" i="9"/>
  <c r="H98" i="9"/>
  <c r="G98" i="9"/>
  <c r="F98" i="9"/>
  <c r="I97" i="9"/>
  <c r="H97" i="9"/>
  <c r="G97" i="9"/>
  <c r="F97" i="9"/>
  <c r="I96" i="9"/>
  <c r="H96" i="9"/>
  <c r="G96" i="9"/>
  <c r="F96" i="9"/>
  <c r="I95" i="9"/>
  <c r="H95" i="9"/>
  <c r="G95" i="9"/>
  <c r="F95" i="9"/>
  <c r="I94" i="9"/>
  <c r="H94" i="9"/>
  <c r="G94" i="9"/>
  <c r="F94" i="9"/>
  <c r="I93" i="9"/>
  <c r="H93" i="9"/>
  <c r="G93" i="9"/>
  <c r="F93" i="9"/>
  <c r="I92" i="9"/>
  <c r="H92" i="9"/>
  <c r="G92" i="9"/>
  <c r="F92" i="9"/>
  <c r="I91" i="9"/>
  <c r="H91" i="9"/>
  <c r="G91" i="9"/>
  <c r="F91" i="9"/>
  <c r="I90" i="9"/>
  <c r="H90" i="9"/>
  <c r="G90" i="9"/>
  <c r="F90" i="9"/>
  <c r="I89" i="9"/>
  <c r="H89" i="9"/>
  <c r="G89" i="9"/>
  <c r="F89" i="9"/>
  <c r="I88" i="9"/>
  <c r="H88" i="9"/>
  <c r="G88" i="9"/>
  <c r="F88" i="9"/>
  <c r="I87" i="9"/>
  <c r="H87" i="9"/>
  <c r="G87" i="9"/>
  <c r="F87" i="9"/>
  <c r="I86" i="9"/>
  <c r="H86" i="9"/>
  <c r="G86" i="9"/>
  <c r="F86" i="9"/>
  <c r="I85" i="9"/>
  <c r="H85" i="9"/>
  <c r="G85" i="9"/>
  <c r="F85" i="9"/>
  <c r="I84" i="9"/>
  <c r="H84" i="9"/>
  <c r="G84" i="9"/>
  <c r="F84" i="9"/>
  <c r="I83" i="9"/>
  <c r="H83" i="9"/>
  <c r="G83" i="9"/>
  <c r="F83" i="9"/>
  <c r="I82" i="9"/>
  <c r="H82" i="9"/>
  <c r="G82" i="9"/>
  <c r="F82" i="9"/>
  <c r="I81" i="9"/>
  <c r="H81" i="9"/>
  <c r="G81" i="9"/>
  <c r="F81" i="9"/>
  <c r="I80" i="9"/>
  <c r="H80" i="9"/>
  <c r="G80" i="9"/>
  <c r="F80" i="9"/>
  <c r="I79" i="9"/>
  <c r="H79" i="9"/>
  <c r="G79" i="9"/>
  <c r="F79" i="9"/>
  <c r="I78" i="9"/>
  <c r="H78" i="9"/>
  <c r="G78" i="9"/>
  <c r="F78" i="9"/>
  <c r="I77" i="9"/>
  <c r="H77" i="9"/>
  <c r="G77" i="9"/>
  <c r="F77" i="9"/>
  <c r="I76" i="9"/>
  <c r="H76" i="9"/>
  <c r="G76" i="9"/>
  <c r="F76" i="9"/>
  <c r="I75" i="9"/>
  <c r="H75" i="9"/>
  <c r="G75" i="9"/>
  <c r="F75" i="9"/>
  <c r="I74" i="9"/>
  <c r="H74" i="9"/>
  <c r="G74" i="9"/>
  <c r="F74" i="9"/>
  <c r="I73" i="9"/>
  <c r="H73" i="9"/>
  <c r="G73" i="9"/>
  <c r="F73" i="9"/>
  <c r="I72" i="9"/>
  <c r="H72" i="9"/>
  <c r="G72" i="9"/>
  <c r="F72" i="9"/>
  <c r="I71" i="9"/>
  <c r="H71" i="9"/>
  <c r="G71" i="9"/>
  <c r="F71" i="9"/>
  <c r="I70" i="9"/>
  <c r="H70" i="9"/>
  <c r="G70" i="9"/>
  <c r="F70" i="9"/>
  <c r="I69" i="9"/>
  <c r="H69" i="9"/>
  <c r="G69" i="9"/>
  <c r="F69" i="9"/>
  <c r="I68" i="9"/>
  <c r="H68" i="9"/>
  <c r="G68" i="9"/>
  <c r="F68" i="9"/>
  <c r="I67" i="9"/>
  <c r="H67" i="9"/>
  <c r="G67" i="9"/>
  <c r="F67" i="9"/>
  <c r="I66" i="9"/>
  <c r="H66" i="9"/>
  <c r="G66" i="9"/>
  <c r="F66" i="9"/>
  <c r="I65" i="9"/>
  <c r="H65" i="9"/>
  <c r="G65" i="9"/>
  <c r="F65" i="9"/>
  <c r="I64" i="9"/>
  <c r="H64" i="9"/>
  <c r="G64" i="9"/>
  <c r="F64" i="9"/>
  <c r="I63" i="9"/>
  <c r="H63" i="9"/>
  <c r="G63" i="9"/>
  <c r="F63" i="9"/>
  <c r="I62" i="9"/>
  <c r="H62" i="9"/>
  <c r="G62" i="9"/>
  <c r="F62" i="9"/>
  <c r="I61" i="9"/>
  <c r="H61" i="9"/>
  <c r="G61" i="9"/>
  <c r="F61" i="9"/>
  <c r="I60" i="9"/>
  <c r="H60" i="9"/>
  <c r="G60" i="9"/>
  <c r="F60" i="9"/>
  <c r="I59" i="9"/>
  <c r="H59" i="9"/>
  <c r="G59" i="9"/>
  <c r="F59" i="9"/>
  <c r="I58" i="9"/>
  <c r="H58" i="9"/>
  <c r="G58" i="9"/>
  <c r="F58" i="9"/>
  <c r="I57" i="9"/>
  <c r="H57" i="9"/>
  <c r="G57" i="9"/>
  <c r="F57" i="9"/>
  <c r="I56" i="9"/>
  <c r="H56" i="9"/>
  <c r="G56" i="9"/>
  <c r="F56" i="9"/>
  <c r="I55" i="9"/>
  <c r="H55" i="9"/>
  <c r="G55" i="9"/>
  <c r="F55" i="9"/>
  <c r="I54" i="9"/>
  <c r="H54" i="9"/>
  <c r="G54" i="9"/>
  <c r="F54" i="9"/>
  <c r="I53" i="9"/>
  <c r="H53" i="9"/>
  <c r="G53" i="9"/>
  <c r="F53" i="9"/>
  <c r="I52" i="9"/>
  <c r="H52" i="9"/>
  <c r="G52" i="9"/>
  <c r="F52" i="9"/>
  <c r="I51" i="9"/>
  <c r="H51" i="9"/>
  <c r="G51" i="9"/>
  <c r="F51" i="9"/>
  <c r="I50" i="9"/>
  <c r="H50" i="9"/>
  <c r="G50" i="9"/>
  <c r="F50" i="9"/>
  <c r="I49" i="9"/>
  <c r="H49" i="9"/>
  <c r="G49" i="9"/>
  <c r="F49" i="9"/>
  <c r="I48" i="9"/>
  <c r="H48" i="9"/>
  <c r="G48" i="9"/>
  <c r="F48" i="9"/>
  <c r="I47" i="9"/>
  <c r="H47" i="9"/>
  <c r="G47" i="9"/>
  <c r="F47" i="9"/>
  <c r="I46" i="9"/>
  <c r="H46" i="9"/>
  <c r="G46" i="9"/>
  <c r="F46" i="9"/>
  <c r="I45" i="9"/>
  <c r="H45" i="9"/>
  <c r="G45" i="9"/>
  <c r="F45" i="9"/>
  <c r="G43" i="9"/>
  <c r="F43" i="9"/>
  <c r="G42" i="9"/>
  <c r="F42" i="9"/>
  <c r="G41" i="9"/>
  <c r="F41" i="9"/>
  <c r="G40" i="9"/>
  <c r="F40" i="9"/>
  <c r="G39" i="9"/>
  <c r="F39" i="9"/>
  <c r="G38" i="9"/>
  <c r="F38" i="9"/>
  <c r="G37" i="9"/>
  <c r="F37" i="9"/>
  <c r="G36" i="9"/>
  <c r="F36" i="9"/>
  <c r="G35" i="9"/>
  <c r="F35" i="9"/>
  <c r="G34" i="9"/>
  <c r="F34" i="9"/>
  <c r="G33" i="9"/>
  <c r="F33" i="9"/>
  <c r="G32" i="9"/>
  <c r="F32" i="9"/>
  <c r="G31" i="9"/>
  <c r="F31" i="9"/>
  <c r="G30" i="9"/>
  <c r="F30" i="9"/>
  <c r="G29" i="9"/>
  <c r="F29" i="9"/>
  <c r="G28" i="9"/>
  <c r="F28" i="9"/>
  <c r="G27" i="9"/>
  <c r="F27" i="9"/>
  <c r="G26" i="9"/>
  <c r="F26" i="9"/>
  <c r="G25" i="9"/>
  <c r="F25" i="9"/>
  <c r="G24" i="9"/>
  <c r="F24" i="9"/>
  <c r="G23" i="9"/>
  <c r="F23" i="9"/>
  <c r="G22" i="9"/>
  <c r="F22" i="9"/>
  <c r="G21" i="9"/>
  <c r="F21" i="9"/>
  <c r="G20" i="9"/>
  <c r="F20" i="9"/>
  <c r="G19" i="9"/>
  <c r="F19" i="9"/>
  <c r="G18" i="9"/>
  <c r="F18" i="9"/>
  <c r="G17" i="9"/>
  <c r="F17" i="9"/>
  <c r="G16" i="9"/>
  <c r="F16" i="9"/>
  <c r="G15" i="9"/>
  <c r="F15" i="9"/>
  <c r="G14" i="9"/>
  <c r="F14" i="9"/>
  <c r="G13" i="9"/>
  <c r="F13" i="9"/>
  <c r="G12" i="9"/>
  <c r="F12" i="9"/>
  <c r="G11" i="9"/>
  <c r="F11" i="9"/>
  <c r="G10" i="9"/>
  <c r="F10" i="9"/>
  <c r="G9" i="9"/>
  <c r="F9" i="9"/>
  <c r="G8" i="9"/>
  <c r="F8" i="9"/>
  <c r="G7" i="9"/>
  <c r="F7" i="9"/>
  <c r="G6" i="9"/>
  <c r="F6" i="9"/>
  <c r="G5" i="9"/>
  <c r="F5" i="9"/>
  <c r="G4" i="9"/>
  <c r="F4" i="9"/>
  <c r="G3" i="9"/>
  <c r="F3" i="9"/>
  <c r="G502" i="8"/>
  <c r="G501" i="8"/>
  <c r="G500" i="8"/>
  <c r="G499" i="8"/>
  <c r="G498" i="8"/>
  <c r="G497" i="8"/>
  <c r="G496" i="8"/>
  <c r="G495" i="8"/>
  <c r="G494" i="8"/>
  <c r="G493" i="8"/>
  <c r="G492" i="8"/>
  <c r="G491" i="8"/>
  <c r="G490" i="8"/>
  <c r="G489" i="8"/>
  <c r="G488" i="8"/>
  <c r="G487" i="8"/>
  <c r="G486" i="8"/>
  <c r="G485" i="8"/>
  <c r="G484" i="8"/>
  <c r="G483" i="8"/>
  <c r="G482" i="8"/>
  <c r="G481" i="8"/>
  <c r="G480" i="8"/>
  <c r="G479" i="8"/>
  <c r="G478" i="8"/>
  <c r="G477" i="8"/>
  <c r="G476" i="8"/>
  <c r="G475" i="8"/>
  <c r="G474" i="8"/>
  <c r="G473" i="8"/>
  <c r="G472" i="8"/>
  <c r="G471" i="8"/>
  <c r="G470" i="8"/>
  <c r="G469" i="8"/>
  <c r="G468" i="8"/>
  <c r="G467" i="8"/>
  <c r="G466" i="8"/>
  <c r="G465" i="8"/>
  <c r="G464" i="8"/>
  <c r="G463" i="8"/>
  <c r="G462" i="8"/>
  <c r="G461" i="8"/>
  <c r="G460" i="8"/>
  <c r="G459" i="8"/>
  <c r="G458" i="8"/>
  <c r="G457" i="8"/>
  <c r="G456" i="8"/>
  <c r="G455" i="8"/>
  <c r="G454" i="8"/>
  <c r="G453" i="8"/>
  <c r="G452" i="8"/>
  <c r="G451" i="8"/>
  <c r="G450" i="8"/>
  <c r="G449" i="8"/>
  <c r="G448" i="8"/>
  <c r="G447" i="8"/>
  <c r="G446" i="8"/>
  <c r="G445" i="8"/>
  <c r="G444" i="8"/>
  <c r="G443" i="8"/>
  <c r="G442" i="8"/>
  <c r="G441" i="8"/>
  <c r="G440" i="8"/>
  <c r="G439" i="8"/>
  <c r="G438" i="8"/>
  <c r="G437" i="8"/>
  <c r="G436" i="8"/>
  <c r="G435" i="8"/>
  <c r="G434" i="8"/>
  <c r="G433" i="8"/>
  <c r="G432" i="8"/>
  <c r="G431" i="8"/>
  <c r="G430" i="8"/>
  <c r="G429" i="8"/>
  <c r="G428" i="8"/>
  <c r="G427" i="8"/>
  <c r="G426" i="8"/>
  <c r="G425" i="8"/>
  <c r="G424" i="8"/>
  <c r="G423" i="8"/>
  <c r="G422" i="8"/>
  <c r="G421" i="8"/>
  <c r="G420" i="8"/>
  <c r="G419" i="8"/>
  <c r="G418" i="8"/>
  <c r="G417" i="8"/>
  <c r="G416" i="8"/>
  <c r="G415" i="8"/>
  <c r="G414" i="8"/>
  <c r="G413" i="8"/>
  <c r="G412" i="8"/>
  <c r="G411" i="8"/>
  <c r="G410" i="8"/>
  <c r="G409" i="8"/>
  <c r="G408" i="8"/>
  <c r="G407" i="8"/>
  <c r="G406" i="8"/>
  <c r="G405" i="8"/>
  <c r="G404" i="8"/>
  <c r="G403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8" i="1" s="1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4" i="8"/>
  <c r="G5" i="8" s="1"/>
  <c r="G6" i="8" s="1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" i="8"/>
  <c r="J207" i="7"/>
  <c r="I207" i="7"/>
  <c r="H207" i="7"/>
  <c r="G207" i="7"/>
  <c r="F207" i="7"/>
  <c r="E207" i="7"/>
  <c r="D207" i="7"/>
  <c r="C207" i="7"/>
  <c r="B207" i="7"/>
  <c r="K206" i="7"/>
  <c r="K205" i="7"/>
  <c r="K204" i="7"/>
  <c r="K203" i="7"/>
  <c r="K202" i="7"/>
  <c r="K201" i="7"/>
  <c r="K200" i="7"/>
  <c r="K199" i="7"/>
  <c r="K198" i="7"/>
  <c r="K197" i="7"/>
  <c r="K196" i="7"/>
  <c r="K195" i="7"/>
  <c r="K194" i="7"/>
  <c r="K193" i="7"/>
  <c r="K192" i="7"/>
  <c r="K191" i="7"/>
  <c r="K190" i="7"/>
  <c r="K189" i="7"/>
  <c r="K188" i="7"/>
  <c r="K187" i="7"/>
  <c r="K186" i="7"/>
  <c r="K185" i="7"/>
  <c r="K184" i="7"/>
  <c r="K183" i="7"/>
  <c r="K182" i="7"/>
  <c r="K181" i="7"/>
  <c r="K180" i="7"/>
  <c r="K179" i="7"/>
  <c r="K178" i="7"/>
  <c r="K177" i="7"/>
  <c r="K176" i="7"/>
  <c r="K175" i="7"/>
  <c r="K174" i="7"/>
  <c r="K173" i="7"/>
  <c r="K172" i="7"/>
  <c r="K171" i="7"/>
  <c r="K170" i="7"/>
  <c r="K169" i="7"/>
  <c r="K168" i="7"/>
  <c r="K167" i="7"/>
  <c r="K166" i="7"/>
  <c r="K165" i="7"/>
  <c r="K164" i="7"/>
  <c r="K163" i="7"/>
  <c r="K162" i="7"/>
  <c r="K161" i="7"/>
  <c r="K160" i="7"/>
  <c r="K159" i="7"/>
  <c r="K158" i="7"/>
  <c r="K157" i="7"/>
  <c r="K156" i="7"/>
  <c r="K155" i="7"/>
  <c r="K154" i="7"/>
  <c r="K153" i="7"/>
  <c r="K152" i="7"/>
  <c r="K151" i="7"/>
  <c r="K150" i="7"/>
  <c r="K149" i="7"/>
  <c r="K148" i="7"/>
  <c r="K147" i="7"/>
  <c r="K146" i="7"/>
  <c r="K145" i="7"/>
  <c r="K144" i="7"/>
  <c r="K143" i="7"/>
  <c r="K142" i="7"/>
  <c r="K141" i="7"/>
  <c r="K140" i="7"/>
  <c r="K139" i="7"/>
  <c r="K138" i="7"/>
  <c r="K137" i="7"/>
  <c r="K136" i="7"/>
  <c r="K135" i="7"/>
  <c r="K134" i="7"/>
  <c r="K133" i="7"/>
  <c r="K132" i="7"/>
  <c r="K131" i="7"/>
  <c r="K130" i="7"/>
  <c r="K129" i="7"/>
  <c r="K128" i="7"/>
  <c r="K127" i="7"/>
  <c r="K126" i="7"/>
  <c r="K125" i="7"/>
  <c r="K124" i="7"/>
  <c r="K123" i="7"/>
  <c r="K122" i="7"/>
  <c r="K121" i="7"/>
  <c r="K120" i="7"/>
  <c r="K119" i="7"/>
  <c r="K118" i="7"/>
  <c r="K117" i="7"/>
  <c r="K116" i="7"/>
  <c r="K115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M4" i="7"/>
  <c r="A1" i="7"/>
  <c r="F503" i="6"/>
  <c r="E503" i="6"/>
  <c r="H502" i="6"/>
  <c r="H501" i="6"/>
  <c r="H500" i="6"/>
  <c r="H499" i="6"/>
  <c r="H498" i="6"/>
  <c r="H497" i="6"/>
  <c r="H496" i="6"/>
  <c r="H495" i="6"/>
  <c r="H494" i="6"/>
  <c r="H493" i="6"/>
  <c r="H492" i="6"/>
  <c r="H491" i="6"/>
  <c r="H490" i="6"/>
  <c r="H489" i="6"/>
  <c r="H488" i="6"/>
  <c r="H487" i="6"/>
  <c r="H486" i="6"/>
  <c r="H485" i="6"/>
  <c r="H484" i="6"/>
  <c r="H483" i="6"/>
  <c r="H482" i="6"/>
  <c r="H481" i="6"/>
  <c r="H480" i="6"/>
  <c r="H479" i="6"/>
  <c r="H478" i="6"/>
  <c r="H477" i="6"/>
  <c r="H476" i="6"/>
  <c r="H475" i="6"/>
  <c r="H474" i="6"/>
  <c r="H473" i="6"/>
  <c r="H472" i="6"/>
  <c r="H471" i="6"/>
  <c r="H470" i="6"/>
  <c r="H469" i="6"/>
  <c r="H468" i="6"/>
  <c r="H467" i="6"/>
  <c r="H466" i="6"/>
  <c r="H465" i="6"/>
  <c r="H464" i="6"/>
  <c r="H463" i="6"/>
  <c r="H462" i="6"/>
  <c r="H461" i="6"/>
  <c r="H460" i="6"/>
  <c r="H459" i="6"/>
  <c r="H458" i="6"/>
  <c r="H457" i="6"/>
  <c r="H456" i="6"/>
  <c r="H455" i="6"/>
  <c r="H454" i="6"/>
  <c r="H453" i="6"/>
  <c r="H452" i="6"/>
  <c r="H451" i="6"/>
  <c r="H450" i="6"/>
  <c r="H449" i="6"/>
  <c r="H448" i="6"/>
  <c r="H447" i="6"/>
  <c r="H446" i="6"/>
  <c r="H445" i="6"/>
  <c r="H444" i="6"/>
  <c r="H443" i="6"/>
  <c r="H442" i="6"/>
  <c r="H441" i="6"/>
  <c r="H440" i="6"/>
  <c r="H439" i="6"/>
  <c r="H438" i="6"/>
  <c r="H437" i="6"/>
  <c r="H436" i="6"/>
  <c r="H435" i="6"/>
  <c r="H434" i="6"/>
  <c r="H433" i="6"/>
  <c r="H432" i="6"/>
  <c r="H431" i="6"/>
  <c r="H430" i="6"/>
  <c r="H429" i="6"/>
  <c r="H428" i="6"/>
  <c r="H427" i="6"/>
  <c r="H426" i="6"/>
  <c r="H425" i="6"/>
  <c r="H424" i="6"/>
  <c r="H423" i="6"/>
  <c r="H422" i="6"/>
  <c r="H421" i="6"/>
  <c r="H420" i="6"/>
  <c r="H419" i="6"/>
  <c r="H418" i="6"/>
  <c r="H417" i="6"/>
  <c r="H416" i="6"/>
  <c r="H415" i="6"/>
  <c r="H414" i="6"/>
  <c r="H413" i="6"/>
  <c r="H412" i="6"/>
  <c r="H411" i="6"/>
  <c r="H410" i="6"/>
  <c r="H409" i="6"/>
  <c r="H408" i="6"/>
  <c r="H407" i="6"/>
  <c r="H406" i="6"/>
  <c r="H405" i="6"/>
  <c r="H404" i="6"/>
  <c r="H403" i="6"/>
  <c r="H402" i="6"/>
  <c r="H401" i="6"/>
  <c r="H400" i="6"/>
  <c r="H399" i="6"/>
  <c r="H398" i="6"/>
  <c r="H397" i="6"/>
  <c r="H396" i="6"/>
  <c r="H395" i="6"/>
  <c r="H394" i="6"/>
  <c r="H393" i="6"/>
  <c r="H392" i="6"/>
  <c r="H391" i="6"/>
  <c r="H390" i="6"/>
  <c r="H389" i="6"/>
  <c r="H388" i="6"/>
  <c r="H387" i="6"/>
  <c r="H386" i="6"/>
  <c r="H385" i="6"/>
  <c r="H384" i="6"/>
  <c r="H383" i="6"/>
  <c r="H382" i="6"/>
  <c r="H381" i="6"/>
  <c r="H380" i="6"/>
  <c r="H379" i="6"/>
  <c r="H378" i="6"/>
  <c r="H377" i="6"/>
  <c r="H376" i="6"/>
  <c r="H375" i="6"/>
  <c r="H374" i="6"/>
  <c r="H373" i="6"/>
  <c r="H372" i="6"/>
  <c r="H371" i="6"/>
  <c r="H370" i="6"/>
  <c r="H369" i="6"/>
  <c r="H368" i="6"/>
  <c r="H367" i="6"/>
  <c r="H366" i="6"/>
  <c r="H365" i="6"/>
  <c r="H364" i="6"/>
  <c r="H363" i="6"/>
  <c r="H362" i="6"/>
  <c r="H361" i="6"/>
  <c r="H360" i="6"/>
  <c r="H359" i="6"/>
  <c r="H358" i="6"/>
  <c r="H357" i="6"/>
  <c r="H356" i="6"/>
  <c r="H355" i="6"/>
  <c r="H354" i="6"/>
  <c r="H353" i="6"/>
  <c r="H352" i="6"/>
  <c r="H351" i="6"/>
  <c r="H350" i="6"/>
  <c r="H349" i="6"/>
  <c r="H348" i="6"/>
  <c r="H347" i="6"/>
  <c r="H346" i="6"/>
  <c r="H345" i="6"/>
  <c r="H344" i="6"/>
  <c r="H343" i="6"/>
  <c r="H342" i="6"/>
  <c r="H341" i="6"/>
  <c r="H340" i="6"/>
  <c r="H339" i="6"/>
  <c r="H338" i="6"/>
  <c r="H337" i="6"/>
  <c r="H336" i="6"/>
  <c r="H335" i="6"/>
  <c r="H334" i="6"/>
  <c r="H333" i="6"/>
  <c r="H332" i="6"/>
  <c r="H331" i="6"/>
  <c r="H330" i="6"/>
  <c r="H329" i="6"/>
  <c r="H328" i="6"/>
  <c r="H327" i="6"/>
  <c r="H326" i="6"/>
  <c r="H325" i="6"/>
  <c r="H324" i="6"/>
  <c r="H323" i="6"/>
  <c r="H322" i="6"/>
  <c r="H321" i="6"/>
  <c r="H320" i="6"/>
  <c r="H319" i="6"/>
  <c r="H318" i="6"/>
  <c r="H317" i="6"/>
  <c r="H316" i="6"/>
  <c r="H315" i="6"/>
  <c r="H314" i="6"/>
  <c r="H313" i="6"/>
  <c r="H312" i="6"/>
  <c r="H311" i="6"/>
  <c r="H310" i="6"/>
  <c r="H309" i="6"/>
  <c r="H308" i="6"/>
  <c r="H307" i="6"/>
  <c r="H306" i="6"/>
  <c r="H305" i="6"/>
  <c r="H304" i="6"/>
  <c r="H303" i="6"/>
  <c r="H302" i="6"/>
  <c r="H301" i="6"/>
  <c r="H300" i="6"/>
  <c r="H299" i="6"/>
  <c r="H298" i="6"/>
  <c r="H297" i="6"/>
  <c r="H296" i="6"/>
  <c r="H295" i="6"/>
  <c r="H294" i="6"/>
  <c r="H293" i="6"/>
  <c r="H292" i="6"/>
  <c r="H291" i="6"/>
  <c r="H290" i="6"/>
  <c r="H289" i="6"/>
  <c r="H288" i="6"/>
  <c r="H287" i="6"/>
  <c r="H286" i="6"/>
  <c r="H285" i="6"/>
  <c r="H284" i="6"/>
  <c r="H283" i="6"/>
  <c r="H282" i="6"/>
  <c r="H281" i="6"/>
  <c r="H280" i="6"/>
  <c r="H279" i="6"/>
  <c r="H278" i="6"/>
  <c r="H277" i="6"/>
  <c r="H276" i="6"/>
  <c r="H275" i="6"/>
  <c r="H274" i="6"/>
  <c r="H273" i="6"/>
  <c r="H272" i="6"/>
  <c r="H271" i="6"/>
  <c r="H270" i="6"/>
  <c r="H269" i="6"/>
  <c r="H268" i="6"/>
  <c r="H267" i="6"/>
  <c r="H266" i="6"/>
  <c r="H265" i="6"/>
  <c r="H264" i="6"/>
  <c r="H263" i="6"/>
  <c r="H262" i="6"/>
  <c r="H261" i="6"/>
  <c r="H260" i="6"/>
  <c r="H259" i="6"/>
  <c r="H258" i="6"/>
  <c r="H257" i="6"/>
  <c r="H256" i="6"/>
  <c r="H255" i="6"/>
  <c r="H254" i="6"/>
  <c r="H253" i="6"/>
  <c r="H252" i="6"/>
  <c r="H251" i="6"/>
  <c r="H250" i="6"/>
  <c r="H249" i="6"/>
  <c r="H248" i="6"/>
  <c r="H247" i="6"/>
  <c r="H246" i="6"/>
  <c r="H245" i="6"/>
  <c r="H244" i="6"/>
  <c r="H243" i="6"/>
  <c r="H242" i="6"/>
  <c r="H241" i="6"/>
  <c r="H240" i="6"/>
  <c r="H239" i="6"/>
  <c r="H238" i="6"/>
  <c r="H237" i="6"/>
  <c r="H236" i="6"/>
  <c r="H235" i="6"/>
  <c r="H234" i="6"/>
  <c r="H233" i="6"/>
  <c r="H232" i="6"/>
  <c r="H231" i="6"/>
  <c r="H230" i="6"/>
  <c r="H229" i="6"/>
  <c r="H228" i="6"/>
  <c r="H227" i="6"/>
  <c r="H226" i="6"/>
  <c r="H225" i="6"/>
  <c r="H224" i="6"/>
  <c r="H223" i="6"/>
  <c r="H222" i="6"/>
  <c r="H221" i="6"/>
  <c r="H220" i="6"/>
  <c r="H219" i="6"/>
  <c r="H218" i="6"/>
  <c r="H217" i="6"/>
  <c r="H216" i="6"/>
  <c r="H215" i="6"/>
  <c r="H214" i="6"/>
  <c r="H213" i="6"/>
  <c r="H212" i="6"/>
  <c r="H211" i="6"/>
  <c r="H210" i="6"/>
  <c r="H209" i="6"/>
  <c r="H208" i="6"/>
  <c r="H207" i="6"/>
  <c r="H206" i="6"/>
  <c r="H205" i="6"/>
  <c r="H204" i="6"/>
  <c r="H203" i="6"/>
  <c r="H202" i="6"/>
  <c r="H201" i="6"/>
  <c r="H200" i="6"/>
  <c r="H199" i="6"/>
  <c r="H198" i="6"/>
  <c r="H197" i="6"/>
  <c r="H196" i="6"/>
  <c r="H195" i="6"/>
  <c r="H194" i="6"/>
  <c r="H193" i="6"/>
  <c r="H192" i="6"/>
  <c r="H191" i="6"/>
  <c r="H190" i="6"/>
  <c r="H189" i="6"/>
  <c r="H188" i="6"/>
  <c r="H187" i="6"/>
  <c r="H186" i="6"/>
  <c r="H185" i="6"/>
  <c r="H184" i="6"/>
  <c r="H183" i="6"/>
  <c r="H182" i="6"/>
  <c r="H181" i="6"/>
  <c r="H180" i="6"/>
  <c r="H179" i="6"/>
  <c r="H178" i="6"/>
  <c r="H177" i="6"/>
  <c r="H176" i="6"/>
  <c r="H175" i="6"/>
  <c r="H174" i="6"/>
  <c r="H173" i="6"/>
  <c r="H172" i="6"/>
  <c r="H171" i="6"/>
  <c r="H170" i="6"/>
  <c r="H169" i="6"/>
  <c r="H168" i="6"/>
  <c r="H167" i="6"/>
  <c r="H166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2" i="6"/>
  <c r="H141" i="6"/>
  <c r="H140" i="6"/>
  <c r="H139" i="6"/>
  <c r="H138" i="6"/>
  <c r="H137" i="6"/>
  <c r="H136" i="6"/>
  <c r="H135" i="6"/>
  <c r="H134" i="6"/>
  <c r="H133" i="6"/>
  <c r="H132" i="6"/>
  <c r="H131" i="6"/>
  <c r="H130" i="6"/>
  <c r="H129" i="6"/>
  <c r="H128" i="6"/>
  <c r="H127" i="6"/>
  <c r="H126" i="6"/>
  <c r="H125" i="6"/>
  <c r="H124" i="6"/>
  <c r="H123" i="6"/>
  <c r="H122" i="6"/>
  <c r="H121" i="6"/>
  <c r="H120" i="6"/>
  <c r="H119" i="6"/>
  <c r="H118" i="6"/>
  <c r="H117" i="6"/>
  <c r="H116" i="6"/>
  <c r="H115" i="6"/>
  <c r="H114" i="6"/>
  <c r="H113" i="6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9" i="6"/>
  <c r="H88" i="6"/>
  <c r="H87" i="6"/>
  <c r="H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M635" i="5"/>
  <c r="N634" i="5"/>
  <c r="L634" i="5"/>
  <c r="J634" i="5"/>
  <c r="N633" i="5"/>
  <c r="L633" i="5"/>
  <c r="J633" i="5"/>
  <c r="N632" i="5"/>
  <c r="L632" i="5"/>
  <c r="J632" i="5"/>
  <c r="N631" i="5"/>
  <c r="L631" i="5"/>
  <c r="J631" i="5"/>
  <c r="N630" i="5"/>
  <c r="L630" i="5"/>
  <c r="J630" i="5"/>
  <c r="N629" i="5"/>
  <c r="L629" i="5"/>
  <c r="J629" i="5"/>
  <c r="N628" i="5"/>
  <c r="L628" i="5"/>
  <c r="J628" i="5"/>
  <c r="N627" i="5"/>
  <c r="L627" i="5"/>
  <c r="J627" i="5"/>
  <c r="N626" i="5"/>
  <c r="L626" i="5"/>
  <c r="J626" i="5"/>
  <c r="N625" i="5"/>
  <c r="L625" i="5"/>
  <c r="J625" i="5"/>
  <c r="N624" i="5"/>
  <c r="L624" i="5"/>
  <c r="J624" i="5"/>
  <c r="N623" i="5"/>
  <c r="L623" i="5"/>
  <c r="J623" i="5"/>
  <c r="N622" i="5"/>
  <c r="L622" i="5"/>
  <c r="J622" i="5"/>
  <c r="N621" i="5"/>
  <c r="L621" i="5"/>
  <c r="J621" i="5"/>
  <c r="N620" i="5"/>
  <c r="L620" i="5"/>
  <c r="J620" i="5"/>
  <c r="N619" i="5"/>
  <c r="L619" i="5"/>
  <c r="J619" i="5"/>
  <c r="N618" i="5"/>
  <c r="L618" i="5"/>
  <c r="J618" i="5"/>
  <c r="N617" i="5"/>
  <c r="L617" i="5"/>
  <c r="J617" i="5"/>
  <c r="N616" i="5"/>
  <c r="L616" i="5"/>
  <c r="J616" i="5"/>
  <c r="N615" i="5"/>
  <c r="L615" i="5"/>
  <c r="J615" i="5"/>
  <c r="N614" i="5"/>
  <c r="L614" i="5"/>
  <c r="J614" i="5"/>
  <c r="N613" i="5"/>
  <c r="L613" i="5"/>
  <c r="J613" i="5"/>
  <c r="N612" i="5"/>
  <c r="L612" i="5"/>
  <c r="J612" i="5"/>
  <c r="N611" i="5"/>
  <c r="L611" i="5"/>
  <c r="J611" i="5"/>
  <c r="N610" i="5"/>
  <c r="L610" i="5"/>
  <c r="J610" i="5"/>
  <c r="N609" i="5"/>
  <c r="L609" i="5"/>
  <c r="J609" i="5"/>
  <c r="N608" i="5"/>
  <c r="L608" i="5"/>
  <c r="J608" i="5"/>
  <c r="N607" i="5"/>
  <c r="L607" i="5"/>
  <c r="J607" i="5"/>
  <c r="N606" i="5"/>
  <c r="L606" i="5"/>
  <c r="J606" i="5"/>
  <c r="N605" i="5"/>
  <c r="L605" i="5"/>
  <c r="J605" i="5"/>
  <c r="N604" i="5"/>
  <c r="L604" i="5"/>
  <c r="J604" i="5"/>
  <c r="N603" i="5"/>
  <c r="L603" i="5"/>
  <c r="J603" i="5"/>
  <c r="N602" i="5"/>
  <c r="L602" i="5"/>
  <c r="J602" i="5"/>
  <c r="N601" i="5"/>
  <c r="L601" i="5"/>
  <c r="J601" i="5"/>
  <c r="N600" i="5"/>
  <c r="L600" i="5"/>
  <c r="J600" i="5"/>
  <c r="N599" i="5"/>
  <c r="L599" i="5"/>
  <c r="J599" i="5"/>
  <c r="N598" i="5"/>
  <c r="L598" i="5"/>
  <c r="J598" i="5"/>
  <c r="N597" i="5"/>
  <c r="L597" i="5"/>
  <c r="J597" i="5"/>
  <c r="N596" i="5"/>
  <c r="L596" i="5"/>
  <c r="J596" i="5"/>
  <c r="N595" i="5"/>
  <c r="L595" i="5"/>
  <c r="J595" i="5"/>
  <c r="N594" i="5"/>
  <c r="L594" i="5"/>
  <c r="J594" i="5"/>
  <c r="N593" i="5"/>
  <c r="L593" i="5"/>
  <c r="J593" i="5"/>
  <c r="N592" i="5"/>
  <c r="L592" i="5"/>
  <c r="J592" i="5"/>
  <c r="N591" i="5"/>
  <c r="L591" i="5"/>
  <c r="J591" i="5"/>
  <c r="N590" i="5"/>
  <c r="L590" i="5"/>
  <c r="J590" i="5"/>
  <c r="N589" i="5"/>
  <c r="L589" i="5"/>
  <c r="J589" i="5"/>
  <c r="N588" i="5"/>
  <c r="L588" i="5"/>
  <c r="J588" i="5"/>
  <c r="N587" i="5"/>
  <c r="L587" i="5"/>
  <c r="J587" i="5"/>
  <c r="N586" i="5"/>
  <c r="L586" i="5"/>
  <c r="J586" i="5"/>
  <c r="N585" i="5"/>
  <c r="L585" i="5"/>
  <c r="J585" i="5"/>
  <c r="N584" i="5"/>
  <c r="L584" i="5"/>
  <c r="J584" i="5"/>
  <c r="N583" i="5"/>
  <c r="L583" i="5"/>
  <c r="J583" i="5"/>
  <c r="N582" i="5"/>
  <c r="L582" i="5"/>
  <c r="J582" i="5"/>
  <c r="N581" i="5"/>
  <c r="L581" i="5"/>
  <c r="J581" i="5"/>
  <c r="N580" i="5"/>
  <c r="L580" i="5"/>
  <c r="J580" i="5"/>
  <c r="N579" i="5"/>
  <c r="L579" i="5"/>
  <c r="J579" i="5"/>
  <c r="N578" i="5"/>
  <c r="L578" i="5"/>
  <c r="J578" i="5"/>
  <c r="N577" i="5"/>
  <c r="L577" i="5"/>
  <c r="J577" i="5"/>
  <c r="N576" i="5"/>
  <c r="L576" i="5"/>
  <c r="J576" i="5"/>
  <c r="N575" i="5"/>
  <c r="L575" i="5"/>
  <c r="J575" i="5"/>
  <c r="N574" i="5"/>
  <c r="L574" i="5"/>
  <c r="J574" i="5"/>
  <c r="N573" i="5"/>
  <c r="L573" i="5"/>
  <c r="J573" i="5"/>
  <c r="N572" i="5"/>
  <c r="L572" i="5"/>
  <c r="J572" i="5"/>
  <c r="N571" i="5"/>
  <c r="L571" i="5"/>
  <c r="J571" i="5"/>
  <c r="N570" i="5"/>
  <c r="L570" i="5"/>
  <c r="J570" i="5"/>
  <c r="N569" i="5"/>
  <c r="L569" i="5"/>
  <c r="J569" i="5"/>
  <c r="N568" i="5"/>
  <c r="L568" i="5"/>
  <c r="J568" i="5"/>
  <c r="N567" i="5"/>
  <c r="L567" i="5"/>
  <c r="J567" i="5"/>
  <c r="N566" i="5"/>
  <c r="L566" i="5"/>
  <c r="J566" i="5"/>
  <c r="N565" i="5"/>
  <c r="L565" i="5"/>
  <c r="J565" i="5"/>
  <c r="N564" i="5"/>
  <c r="L564" i="5"/>
  <c r="J564" i="5"/>
  <c r="N563" i="5"/>
  <c r="L563" i="5"/>
  <c r="J563" i="5"/>
  <c r="N562" i="5"/>
  <c r="L562" i="5"/>
  <c r="J562" i="5"/>
  <c r="N561" i="5"/>
  <c r="L561" i="5"/>
  <c r="J561" i="5"/>
  <c r="N560" i="5"/>
  <c r="L560" i="5"/>
  <c r="J560" i="5"/>
  <c r="N559" i="5"/>
  <c r="L559" i="5"/>
  <c r="J559" i="5"/>
  <c r="N558" i="5"/>
  <c r="L558" i="5"/>
  <c r="J558" i="5"/>
  <c r="N557" i="5"/>
  <c r="L557" i="5"/>
  <c r="J557" i="5"/>
  <c r="N556" i="5"/>
  <c r="L556" i="5"/>
  <c r="J556" i="5"/>
  <c r="N555" i="5"/>
  <c r="L555" i="5"/>
  <c r="J555" i="5"/>
  <c r="N554" i="5"/>
  <c r="L554" i="5"/>
  <c r="J554" i="5"/>
  <c r="N553" i="5"/>
  <c r="L553" i="5"/>
  <c r="J553" i="5"/>
  <c r="N552" i="5"/>
  <c r="L552" i="5"/>
  <c r="J552" i="5"/>
  <c r="N551" i="5"/>
  <c r="L551" i="5"/>
  <c r="J551" i="5"/>
  <c r="N550" i="5"/>
  <c r="L550" i="5"/>
  <c r="J550" i="5"/>
  <c r="N549" i="5"/>
  <c r="L549" i="5"/>
  <c r="J549" i="5"/>
  <c r="N548" i="5"/>
  <c r="L548" i="5"/>
  <c r="J548" i="5"/>
  <c r="N547" i="5"/>
  <c r="L547" i="5"/>
  <c r="J547" i="5"/>
  <c r="N546" i="5"/>
  <c r="L546" i="5"/>
  <c r="J546" i="5"/>
  <c r="N545" i="5"/>
  <c r="L545" i="5"/>
  <c r="J545" i="5"/>
  <c r="N544" i="5"/>
  <c r="L544" i="5"/>
  <c r="J544" i="5"/>
  <c r="N543" i="5"/>
  <c r="L543" i="5"/>
  <c r="J543" i="5"/>
  <c r="N542" i="5"/>
  <c r="L542" i="5"/>
  <c r="J542" i="5"/>
  <c r="N541" i="5"/>
  <c r="L541" i="5"/>
  <c r="J541" i="5"/>
  <c r="N540" i="5"/>
  <c r="L540" i="5"/>
  <c r="J540" i="5"/>
  <c r="N539" i="5"/>
  <c r="L539" i="5"/>
  <c r="J539" i="5"/>
  <c r="N538" i="5"/>
  <c r="L538" i="5"/>
  <c r="J538" i="5"/>
  <c r="N537" i="5"/>
  <c r="L537" i="5"/>
  <c r="J537" i="5"/>
  <c r="N536" i="5"/>
  <c r="L536" i="5"/>
  <c r="J536" i="5"/>
  <c r="N535" i="5"/>
  <c r="L535" i="5"/>
  <c r="J535" i="5"/>
  <c r="N534" i="5"/>
  <c r="L534" i="5"/>
  <c r="J534" i="5"/>
  <c r="N533" i="5"/>
  <c r="L533" i="5"/>
  <c r="J533" i="5"/>
  <c r="N532" i="5"/>
  <c r="L532" i="5"/>
  <c r="J532" i="5"/>
  <c r="N531" i="5"/>
  <c r="L531" i="5"/>
  <c r="J531" i="5"/>
  <c r="N530" i="5"/>
  <c r="L530" i="5"/>
  <c r="J530" i="5"/>
  <c r="N529" i="5"/>
  <c r="L529" i="5"/>
  <c r="J529" i="5"/>
  <c r="N528" i="5"/>
  <c r="L528" i="5"/>
  <c r="J528" i="5"/>
  <c r="N527" i="5"/>
  <c r="L527" i="5"/>
  <c r="J527" i="5"/>
  <c r="N526" i="5"/>
  <c r="L526" i="5"/>
  <c r="J526" i="5"/>
  <c r="N525" i="5"/>
  <c r="L525" i="5"/>
  <c r="J525" i="5"/>
  <c r="N524" i="5"/>
  <c r="L524" i="5"/>
  <c r="J524" i="5"/>
  <c r="N523" i="5"/>
  <c r="L523" i="5"/>
  <c r="J523" i="5"/>
  <c r="N522" i="5"/>
  <c r="L522" i="5"/>
  <c r="J522" i="5"/>
  <c r="N521" i="5"/>
  <c r="L521" i="5"/>
  <c r="J521" i="5"/>
  <c r="N520" i="5"/>
  <c r="L520" i="5"/>
  <c r="J520" i="5"/>
  <c r="N519" i="5"/>
  <c r="L519" i="5"/>
  <c r="J519" i="5"/>
  <c r="N518" i="5"/>
  <c r="L518" i="5"/>
  <c r="J518" i="5"/>
  <c r="N517" i="5"/>
  <c r="L517" i="5"/>
  <c r="J517" i="5"/>
  <c r="N516" i="5"/>
  <c r="L516" i="5"/>
  <c r="J516" i="5"/>
  <c r="N515" i="5"/>
  <c r="L515" i="5"/>
  <c r="J515" i="5"/>
  <c r="N514" i="5"/>
  <c r="L514" i="5"/>
  <c r="J514" i="5"/>
  <c r="N513" i="5"/>
  <c r="L513" i="5"/>
  <c r="J513" i="5"/>
  <c r="N512" i="5"/>
  <c r="L512" i="5"/>
  <c r="J512" i="5"/>
  <c r="N511" i="5"/>
  <c r="L511" i="5"/>
  <c r="J511" i="5"/>
  <c r="N510" i="5"/>
  <c r="L510" i="5"/>
  <c r="J510" i="5"/>
  <c r="N509" i="5"/>
  <c r="L509" i="5"/>
  <c r="J509" i="5"/>
  <c r="N508" i="5"/>
  <c r="L508" i="5"/>
  <c r="J508" i="5"/>
  <c r="N507" i="5"/>
  <c r="L507" i="5"/>
  <c r="J507" i="5"/>
  <c r="N506" i="5"/>
  <c r="L506" i="5"/>
  <c r="J506" i="5"/>
  <c r="N505" i="5"/>
  <c r="L505" i="5"/>
  <c r="J505" i="5"/>
  <c r="N504" i="5"/>
  <c r="L504" i="5"/>
  <c r="J504" i="5"/>
  <c r="N503" i="5"/>
  <c r="L503" i="5"/>
  <c r="J503" i="5"/>
  <c r="N502" i="5"/>
  <c r="L502" i="5"/>
  <c r="J502" i="5"/>
  <c r="N501" i="5"/>
  <c r="L501" i="5"/>
  <c r="J501" i="5"/>
  <c r="N500" i="5"/>
  <c r="L500" i="5"/>
  <c r="J500" i="5"/>
  <c r="N499" i="5"/>
  <c r="L499" i="5"/>
  <c r="J499" i="5"/>
  <c r="N498" i="5"/>
  <c r="L498" i="5"/>
  <c r="J498" i="5"/>
  <c r="N497" i="5"/>
  <c r="L497" i="5"/>
  <c r="J497" i="5"/>
  <c r="N496" i="5"/>
  <c r="L496" i="5"/>
  <c r="J496" i="5"/>
  <c r="N495" i="5"/>
  <c r="L495" i="5"/>
  <c r="J495" i="5"/>
  <c r="N494" i="5"/>
  <c r="L494" i="5"/>
  <c r="J494" i="5"/>
  <c r="N493" i="5"/>
  <c r="L493" i="5"/>
  <c r="J493" i="5"/>
  <c r="N492" i="5"/>
  <c r="L492" i="5"/>
  <c r="J492" i="5"/>
  <c r="N491" i="5"/>
  <c r="L491" i="5"/>
  <c r="J491" i="5"/>
  <c r="N490" i="5"/>
  <c r="L490" i="5"/>
  <c r="J490" i="5"/>
  <c r="N489" i="5"/>
  <c r="L489" i="5"/>
  <c r="J489" i="5"/>
  <c r="N488" i="5"/>
  <c r="L488" i="5"/>
  <c r="J488" i="5"/>
  <c r="N487" i="5"/>
  <c r="L487" i="5"/>
  <c r="J487" i="5"/>
  <c r="N486" i="5"/>
  <c r="L486" i="5"/>
  <c r="J486" i="5"/>
  <c r="N485" i="5"/>
  <c r="L485" i="5"/>
  <c r="J485" i="5"/>
  <c r="N484" i="5"/>
  <c r="L484" i="5"/>
  <c r="J484" i="5"/>
  <c r="N483" i="5"/>
  <c r="L483" i="5"/>
  <c r="J483" i="5"/>
  <c r="N482" i="5"/>
  <c r="L482" i="5"/>
  <c r="J482" i="5"/>
  <c r="N481" i="5"/>
  <c r="L481" i="5"/>
  <c r="J481" i="5"/>
  <c r="N480" i="5"/>
  <c r="L480" i="5"/>
  <c r="J480" i="5"/>
  <c r="N479" i="5"/>
  <c r="L479" i="5"/>
  <c r="J479" i="5"/>
  <c r="N478" i="5"/>
  <c r="L478" i="5"/>
  <c r="J478" i="5"/>
  <c r="N477" i="5"/>
  <c r="L477" i="5"/>
  <c r="J477" i="5"/>
  <c r="N476" i="5"/>
  <c r="L476" i="5"/>
  <c r="J476" i="5"/>
  <c r="N475" i="5"/>
  <c r="L475" i="5"/>
  <c r="J475" i="5"/>
  <c r="N474" i="5"/>
  <c r="L474" i="5"/>
  <c r="J474" i="5"/>
  <c r="N473" i="5"/>
  <c r="L473" i="5"/>
  <c r="J473" i="5"/>
  <c r="N472" i="5"/>
  <c r="L472" i="5"/>
  <c r="J472" i="5"/>
  <c r="N471" i="5"/>
  <c r="L471" i="5"/>
  <c r="J471" i="5"/>
  <c r="N470" i="5"/>
  <c r="L470" i="5"/>
  <c r="J470" i="5"/>
  <c r="N469" i="5"/>
  <c r="L469" i="5"/>
  <c r="J469" i="5"/>
  <c r="N468" i="5"/>
  <c r="L468" i="5"/>
  <c r="J468" i="5"/>
  <c r="N467" i="5"/>
  <c r="L467" i="5"/>
  <c r="J467" i="5"/>
  <c r="N466" i="5"/>
  <c r="L466" i="5"/>
  <c r="J466" i="5"/>
  <c r="N465" i="5"/>
  <c r="L465" i="5"/>
  <c r="J465" i="5"/>
  <c r="N464" i="5"/>
  <c r="L464" i="5"/>
  <c r="J464" i="5"/>
  <c r="N463" i="5"/>
  <c r="L463" i="5"/>
  <c r="J463" i="5"/>
  <c r="N462" i="5"/>
  <c r="L462" i="5"/>
  <c r="J462" i="5"/>
  <c r="N461" i="5"/>
  <c r="L461" i="5"/>
  <c r="J461" i="5"/>
  <c r="N460" i="5"/>
  <c r="L460" i="5"/>
  <c r="J460" i="5"/>
  <c r="N459" i="5"/>
  <c r="L459" i="5"/>
  <c r="J459" i="5"/>
  <c r="N458" i="5"/>
  <c r="L458" i="5"/>
  <c r="J458" i="5"/>
  <c r="N457" i="5"/>
  <c r="L457" i="5"/>
  <c r="J457" i="5"/>
  <c r="N456" i="5"/>
  <c r="L456" i="5"/>
  <c r="J456" i="5"/>
  <c r="N455" i="5"/>
  <c r="L455" i="5"/>
  <c r="J455" i="5"/>
  <c r="N454" i="5"/>
  <c r="L454" i="5"/>
  <c r="J454" i="5"/>
  <c r="N453" i="5"/>
  <c r="L453" i="5"/>
  <c r="J453" i="5"/>
  <c r="N452" i="5"/>
  <c r="L452" i="5"/>
  <c r="J452" i="5"/>
  <c r="N451" i="5"/>
  <c r="L451" i="5"/>
  <c r="J451" i="5"/>
  <c r="N450" i="5"/>
  <c r="L450" i="5"/>
  <c r="J450" i="5"/>
  <c r="N449" i="5"/>
  <c r="L449" i="5"/>
  <c r="J449" i="5"/>
  <c r="N448" i="5"/>
  <c r="L448" i="5"/>
  <c r="J448" i="5"/>
  <c r="N447" i="5"/>
  <c r="L447" i="5"/>
  <c r="J447" i="5"/>
  <c r="N446" i="5"/>
  <c r="L446" i="5"/>
  <c r="J446" i="5"/>
  <c r="N445" i="5"/>
  <c r="L445" i="5"/>
  <c r="J445" i="5"/>
  <c r="N444" i="5"/>
  <c r="L444" i="5"/>
  <c r="J444" i="5"/>
  <c r="N443" i="5"/>
  <c r="L443" i="5"/>
  <c r="J443" i="5"/>
  <c r="N442" i="5"/>
  <c r="L442" i="5"/>
  <c r="J442" i="5"/>
  <c r="N441" i="5"/>
  <c r="L441" i="5"/>
  <c r="J441" i="5"/>
  <c r="N440" i="5"/>
  <c r="L440" i="5"/>
  <c r="J440" i="5"/>
  <c r="N439" i="5"/>
  <c r="L439" i="5"/>
  <c r="J439" i="5"/>
  <c r="N438" i="5"/>
  <c r="L438" i="5"/>
  <c r="J438" i="5"/>
  <c r="N437" i="5"/>
  <c r="L437" i="5"/>
  <c r="J437" i="5"/>
  <c r="N436" i="5"/>
  <c r="L436" i="5"/>
  <c r="J436" i="5"/>
  <c r="N435" i="5"/>
  <c r="L435" i="5"/>
  <c r="J435" i="5"/>
  <c r="N434" i="5"/>
  <c r="L434" i="5"/>
  <c r="J434" i="5"/>
  <c r="N433" i="5"/>
  <c r="L433" i="5"/>
  <c r="J433" i="5"/>
  <c r="N432" i="5"/>
  <c r="L432" i="5"/>
  <c r="J432" i="5"/>
  <c r="N431" i="5"/>
  <c r="L431" i="5"/>
  <c r="J431" i="5"/>
  <c r="N430" i="5"/>
  <c r="L430" i="5"/>
  <c r="J430" i="5"/>
  <c r="N429" i="5"/>
  <c r="L429" i="5"/>
  <c r="J429" i="5"/>
  <c r="N428" i="5"/>
  <c r="L428" i="5"/>
  <c r="J428" i="5"/>
  <c r="N427" i="5"/>
  <c r="L427" i="5"/>
  <c r="J427" i="5"/>
  <c r="N426" i="5"/>
  <c r="L426" i="5"/>
  <c r="J426" i="5"/>
  <c r="N425" i="5"/>
  <c r="L425" i="5"/>
  <c r="J425" i="5"/>
  <c r="N424" i="5"/>
  <c r="L424" i="5"/>
  <c r="J424" i="5"/>
  <c r="N423" i="5"/>
  <c r="L423" i="5"/>
  <c r="J423" i="5"/>
  <c r="N422" i="5"/>
  <c r="L422" i="5"/>
  <c r="J422" i="5"/>
  <c r="N421" i="5"/>
  <c r="L421" i="5"/>
  <c r="J421" i="5"/>
  <c r="N420" i="5"/>
  <c r="L420" i="5"/>
  <c r="J420" i="5"/>
  <c r="N419" i="5"/>
  <c r="L419" i="5"/>
  <c r="J419" i="5"/>
  <c r="N418" i="5"/>
  <c r="L418" i="5"/>
  <c r="J418" i="5"/>
  <c r="N417" i="5"/>
  <c r="L417" i="5"/>
  <c r="J417" i="5"/>
  <c r="N416" i="5"/>
  <c r="L416" i="5"/>
  <c r="J416" i="5"/>
  <c r="N415" i="5"/>
  <c r="L415" i="5"/>
  <c r="J415" i="5"/>
  <c r="N414" i="5"/>
  <c r="L414" i="5"/>
  <c r="J414" i="5"/>
  <c r="N413" i="5"/>
  <c r="L413" i="5"/>
  <c r="J413" i="5"/>
  <c r="N412" i="5"/>
  <c r="L412" i="5"/>
  <c r="J412" i="5"/>
  <c r="N411" i="5"/>
  <c r="L411" i="5"/>
  <c r="J411" i="5"/>
  <c r="N410" i="5"/>
  <c r="L410" i="5"/>
  <c r="J410" i="5"/>
  <c r="N409" i="5"/>
  <c r="L409" i="5"/>
  <c r="J409" i="5"/>
  <c r="N408" i="5"/>
  <c r="L408" i="5"/>
  <c r="J408" i="5"/>
  <c r="N407" i="5"/>
  <c r="L407" i="5"/>
  <c r="J407" i="5"/>
  <c r="N406" i="5"/>
  <c r="L406" i="5"/>
  <c r="J406" i="5"/>
  <c r="N405" i="5"/>
  <c r="L405" i="5"/>
  <c r="J405" i="5"/>
  <c r="N404" i="5"/>
  <c r="L404" i="5"/>
  <c r="J404" i="5"/>
  <c r="N403" i="5"/>
  <c r="L403" i="5"/>
  <c r="J403" i="5"/>
  <c r="N402" i="5"/>
  <c r="L402" i="5"/>
  <c r="J402" i="5"/>
  <c r="N401" i="5"/>
  <c r="L401" i="5"/>
  <c r="J401" i="5"/>
  <c r="N400" i="5"/>
  <c r="L400" i="5"/>
  <c r="J400" i="5"/>
  <c r="N399" i="5"/>
  <c r="L399" i="5"/>
  <c r="J399" i="5"/>
  <c r="N398" i="5"/>
  <c r="L398" i="5"/>
  <c r="J398" i="5"/>
  <c r="N397" i="5"/>
  <c r="L397" i="5"/>
  <c r="J397" i="5"/>
  <c r="N396" i="5"/>
  <c r="L396" i="5"/>
  <c r="J396" i="5"/>
  <c r="N395" i="5"/>
  <c r="L395" i="5"/>
  <c r="J395" i="5"/>
  <c r="N394" i="5"/>
  <c r="L394" i="5"/>
  <c r="J394" i="5"/>
  <c r="N393" i="5"/>
  <c r="L393" i="5"/>
  <c r="J393" i="5"/>
  <c r="N392" i="5"/>
  <c r="L392" i="5"/>
  <c r="J392" i="5"/>
  <c r="N391" i="5"/>
  <c r="L391" i="5"/>
  <c r="J391" i="5"/>
  <c r="N390" i="5"/>
  <c r="L390" i="5"/>
  <c r="J390" i="5"/>
  <c r="N389" i="5"/>
  <c r="L389" i="5"/>
  <c r="J389" i="5"/>
  <c r="N388" i="5"/>
  <c r="L388" i="5"/>
  <c r="J388" i="5"/>
  <c r="N387" i="5"/>
  <c r="L387" i="5"/>
  <c r="J387" i="5"/>
  <c r="N386" i="5"/>
  <c r="L386" i="5"/>
  <c r="J386" i="5"/>
  <c r="N385" i="5"/>
  <c r="L385" i="5"/>
  <c r="J385" i="5"/>
  <c r="N384" i="5"/>
  <c r="L384" i="5"/>
  <c r="J384" i="5"/>
  <c r="N383" i="5"/>
  <c r="L383" i="5"/>
  <c r="J383" i="5"/>
  <c r="N382" i="5"/>
  <c r="L382" i="5"/>
  <c r="J382" i="5"/>
  <c r="N381" i="5"/>
  <c r="L381" i="5"/>
  <c r="J381" i="5"/>
  <c r="N380" i="5"/>
  <c r="L380" i="5"/>
  <c r="J380" i="5"/>
  <c r="N379" i="5"/>
  <c r="L379" i="5"/>
  <c r="J379" i="5"/>
  <c r="N378" i="5"/>
  <c r="L378" i="5"/>
  <c r="J378" i="5"/>
  <c r="N377" i="5"/>
  <c r="L377" i="5"/>
  <c r="J377" i="5"/>
  <c r="N376" i="5"/>
  <c r="L376" i="5"/>
  <c r="J376" i="5"/>
  <c r="N375" i="5"/>
  <c r="L375" i="5"/>
  <c r="J375" i="5"/>
  <c r="N374" i="5"/>
  <c r="L374" i="5"/>
  <c r="J374" i="5"/>
  <c r="N373" i="5"/>
  <c r="L373" i="5"/>
  <c r="J373" i="5"/>
  <c r="N372" i="5"/>
  <c r="L372" i="5"/>
  <c r="J372" i="5"/>
  <c r="N371" i="5"/>
  <c r="L371" i="5"/>
  <c r="J371" i="5"/>
  <c r="N370" i="5"/>
  <c r="L370" i="5"/>
  <c r="J370" i="5"/>
  <c r="N369" i="5"/>
  <c r="L369" i="5"/>
  <c r="J369" i="5"/>
  <c r="N368" i="5"/>
  <c r="L368" i="5"/>
  <c r="J368" i="5"/>
  <c r="N367" i="5"/>
  <c r="L367" i="5"/>
  <c r="J367" i="5"/>
  <c r="N366" i="5"/>
  <c r="L366" i="5"/>
  <c r="J366" i="5"/>
  <c r="N365" i="5"/>
  <c r="L365" i="5"/>
  <c r="J365" i="5"/>
  <c r="N364" i="5"/>
  <c r="L364" i="5"/>
  <c r="J364" i="5"/>
  <c r="N363" i="5"/>
  <c r="L363" i="5"/>
  <c r="J363" i="5"/>
  <c r="N362" i="5"/>
  <c r="L362" i="5"/>
  <c r="J362" i="5"/>
  <c r="N361" i="5"/>
  <c r="L361" i="5"/>
  <c r="J361" i="5"/>
  <c r="N360" i="5"/>
  <c r="L360" i="5"/>
  <c r="J360" i="5"/>
  <c r="N359" i="5"/>
  <c r="L359" i="5"/>
  <c r="J359" i="5"/>
  <c r="N358" i="5"/>
  <c r="L358" i="5"/>
  <c r="J358" i="5"/>
  <c r="N357" i="5"/>
  <c r="L357" i="5"/>
  <c r="J357" i="5"/>
  <c r="N356" i="5"/>
  <c r="L356" i="5"/>
  <c r="J356" i="5"/>
  <c r="N355" i="5"/>
  <c r="L355" i="5"/>
  <c r="J355" i="5"/>
  <c r="N354" i="5"/>
  <c r="L354" i="5"/>
  <c r="J354" i="5"/>
  <c r="N353" i="5"/>
  <c r="L353" i="5"/>
  <c r="J353" i="5"/>
  <c r="N352" i="5"/>
  <c r="L352" i="5"/>
  <c r="J352" i="5"/>
  <c r="N351" i="5"/>
  <c r="L351" i="5"/>
  <c r="J351" i="5"/>
  <c r="N350" i="5"/>
  <c r="L350" i="5"/>
  <c r="J350" i="5"/>
  <c r="N349" i="5"/>
  <c r="L349" i="5"/>
  <c r="J349" i="5"/>
  <c r="N348" i="5"/>
  <c r="L348" i="5"/>
  <c r="J348" i="5"/>
  <c r="N347" i="5"/>
  <c r="L347" i="5"/>
  <c r="J347" i="5"/>
  <c r="N346" i="5"/>
  <c r="L346" i="5"/>
  <c r="J346" i="5"/>
  <c r="N345" i="5"/>
  <c r="L345" i="5"/>
  <c r="J345" i="5"/>
  <c r="N344" i="5"/>
  <c r="L344" i="5"/>
  <c r="J344" i="5"/>
  <c r="N343" i="5"/>
  <c r="L343" i="5"/>
  <c r="J343" i="5"/>
  <c r="N342" i="5"/>
  <c r="L342" i="5"/>
  <c r="J342" i="5"/>
  <c r="N341" i="5"/>
  <c r="L341" i="5"/>
  <c r="J341" i="5"/>
  <c r="N340" i="5"/>
  <c r="L340" i="5"/>
  <c r="J340" i="5"/>
  <c r="N339" i="5"/>
  <c r="L339" i="5"/>
  <c r="J339" i="5"/>
  <c r="N338" i="5"/>
  <c r="L338" i="5"/>
  <c r="J338" i="5"/>
  <c r="N337" i="5"/>
  <c r="L337" i="5"/>
  <c r="J337" i="5"/>
  <c r="N336" i="5"/>
  <c r="L336" i="5"/>
  <c r="J336" i="5"/>
  <c r="N335" i="5"/>
  <c r="L335" i="5"/>
  <c r="J335" i="5"/>
  <c r="N334" i="5"/>
  <c r="L334" i="5"/>
  <c r="J334" i="5"/>
  <c r="N333" i="5"/>
  <c r="L333" i="5"/>
  <c r="J333" i="5"/>
  <c r="N332" i="5"/>
  <c r="L332" i="5"/>
  <c r="J332" i="5"/>
  <c r="N331" i="5"/>
  <c r="L331" i="5"/>
  <c r="J331" i="5"/>
  <c r="N330" i="5"/>
  <c r="L330" i="5"/>
  <c r="J330" i="5"/>
  <c r="N329" i="5"/>
  <c r="L329" i="5"/>
  <c r="J329" i="5"/>
  <c r="N328" i="5"/>
  <c r="L328" i="5"/>
  <c r="J328" i="5"/>
  <c r="N327" i="5"/>
  <c r="L327" i="5"/>
  <c r="J327" i="5"/>
  <c r="N326" i="5"/>
  <c r="L326" i="5"/>
  <c r="J326" i="5"/>
  <c r="N325" i="5"/>
  <c r="L325" i="5"/>
  <c r="J325" i="5"/>
  <c r="N324" i="5"/>
  <c r="L324" i="5"/>
  <c r="J324" i="5"/>
  <c r="N323" i="5"/>
  <c r="L323" i="5"/>
  <c r="J323" i="5"/>
  <c r="N322" i="5"/>
  <c r="L322" i="5"/>
  <c r="J322" i="5"/>
  <c r="N321" i="5"/>
  <c r="L321" i="5"/>
  <c r="J321" i="5"/>
  <c r="N320" i="5"/>
  <c r="L320" i="5"/>
  <c r="J320" i="5"/>
  <c r="N319" i="5"/>
  <c r="L319" i="5"/>
  <c r="J319" i="5"/>
  <c r="N318" i="5"/>
  <c r="L318" i="5"/>
  <c r="J318" i="5"/>
  <c r="N317" i="5"/>
  <c r="L317" i="5"/>
  <c r="J317" i="5"/>
  <c r="N316" i="5"/>
  <c r="L316" i="5"/>
  <c r="J316" i="5"/>
  <c r="N315" i="5"/>
  <c r="L315" i="5"/>
  <c r="J315" i="5"/>
  <c r="N314" i="5"/>
  <c r="L314" i="5"/>
  <c r="J314" i="5"/>
  <c r="N313" i="5"/>
  <c r="L313" i="5"/>
  <c r="J313" i="5"/>
  <c r="N312" i="5"/>
  <c r="L312" i="5"/>
  <c r="J312" i="5"/>
  <c r="N311" i="5"/>
  <c r="L311" i="5"/>
  <c r="J311" i="5"/>
  <c r="N310" i="5"/>
  <c r="L310" i="5"/>
  <c r="J310" i="5"/>
  <c r="N309" i="5"/>
  <c r="L309" i="5"/>
  <c r="J309" i="5"/>
  <c r="N308" i="5"/>
  <c r="L308" i="5"/>
  <c r="J308" i="5"/>
  <c r="N307" i="5"/>
  <c r="L307" i="5"/>
  <c r="J307" i="5"/>
  <c r="N306" i="5"/>
  <c r="L306" i="5"/>
  <c r="J306" i="5"/>
  <c r="N305" i="5"/>
  <c r="L305" i="5"/>
  <c r="J305" i="5"/>
  <c r="N304" i="5"/>
  <c r="L304" i="5"/>
  <c r="J304" i="5"/>
  <c r="N303" i="5"/>
  <c r="L303" i="5"/>
  <c r="J303" i="5"/>
  <c r="N302" i="5"/>
  <c r="L302" i="5"/>
  <c r="J302" i="5"/>
  <c r="N301" i="5"/>
  <c r="L301" i="5"/>
  <c r="J301" i="5"/>
  <c r="N300" i="5"/>
  <c r="L300" i="5"/>
  <c r="J300" i="5"/>
  <c r="N299" i="5"/>
  <c r="L299" i="5"/>
  <c r="J299" i="5"/>
  <c r="N298" i="5"/>
  <c r="L298" i="5"/>
  <c r="J298" i="5"/>
  <c r="N297" i="5"/>
  <c r="L297" i="5"/>
  <c r="J297" i="5"/>
  <c r="N296" i="5"/>
  <c r="L296" i="5"/>
  <c r="J296" i="5"/>
  <c r="N295" i="5"/>
  <c r="L295" i="5"/>
  <c r="J295" i="5"/>
  <c r="N294" i="5"/>
  <c r="L294" i="5"/>
  <c r="J294" i="5"/>
  <c r="N293" i="5"/>
  <c r="L293" i="5"/>
  <c r="J293" i="5"/>
  <c r="N292" i="5"/>
  <c r="L292" i="5"/>
  <c r="J292" i="5"/>
  <c r="N291" i="5"/>
  <c r="L291" i="5"/>
  <c r="J291" i="5"/>
  <c r="N290" i="5"/>
  <c r="L290" i="5"/>
  <c r="J290" i="5"/>
  <c r="N289" i="5"/>
  <c r="L289" i="5"/>
  <c r="J289" i="5"/>
  <c r="N288" i="5"/>
  <c r="L288" i="5"/>
  <c r="J288" i="5"/>
  <c r="N287" i="5"/>
  <c r="L287" i="5"/>
  <c r="J287" i="5"/>
  <c r="N286" i="5"/>
  <c r="L286" i="5"/>
  <c r="J286" i="5"/>
  <c r="N285" i="5"/>
  <c r="L285" i="5"/>
  <c r="J285" i="5"/>
  <c r="N284" i="5"/>
  <c r="L284" i="5"/>
  <c r="J284" i="5"/>
  <c r="N283" i="5"/>
  <c r="L283" i="5"/>
  <c r="J283" i="5"/>
  <c r="N282" i="5"/>
  <c r="L282" i="5"/>
  <c r="J282" i="5"/>
  <c r="N281" i="5"/>
  <c r="L281" i="5"/>
  <c r="J281" i="5"/>
  <c r="N280" i="5"/>
  <c r="L280" i="5"/>
  <c r="J280" i="5"/>
  <c r="N279" i="5"/>
  <c r="L279" i="5"/>
  <c r="J279" i="5"/>
  <c r="N278" i="5"/>
  <c r="L278" i="5"/>
  <c r="J278" i="5"/>
  <c r="N277" i="5"/>
  <c r="L277" i="5"/>
  <c r="J277" i="5"/>
  <c r="N276" i="5"/>
  <c r="L276" i="5"/>
  <c r="J276" i="5"/>
  <c r="N275" i="5"/>
  <c r="L275" i="5"/>
  <c r="J275" i="5"/>
  <c r="N274" i="5"/>
  <c r="L274" i="5"/>
  <c r="J274" i="5"/>
  <c r="N273" i="5"/>
  <c r="L273" i="5"/>
  <c r="J273" i="5"/>
  <c r="N272" i="5"/>
  <c r="L272" i="5"/>
  <c r="J272" i="5"/>
  <c r="N271" i="5"/>
  <c r="L271" i="5"/>
  <c r="J271" i="5"/>
  <c r="N270" i="5"/>
  <c r="L270" i="5"/>
  <c r="J270" i="5"/>
  <c r="N269" i="5"/>
  <c r="L269" i="5"/>
  <c r="J269" i="5"/>
  <c r="N268" i="5"/>
  <c r="L268" i="5"/>
  <c r="J268" i="5"/>
  <c r="N267" i="5"/>
  <c r="L267" i="5"/>
  <c r="J267" i="5"/>
  <c r="N266" i="5"/>
  <c r="L266" i="5"/>
  <c r="J266" i="5"/>
  <c r="N265" i="5"/>
  <c r="L265" i="5"/>
  <c r="J265" i="5"/>
  <c r="N264" i="5"/>
  <c r="L264" i="5"/>
  <c r="J264" i="5"/>
  <c r="N263" i="5"/>
  <c r="L263" i="5"/>
  <c r="J263" i="5"/>
  <c r="N262" i="5"/>
  <c r="L262" i="5"/>
  <c r="J262" i="5"/>
  <c r="N261" i="5"/>
  <c r="L261" i="5"/>
  <c r="J261" i="5"/>
  <c r="N260" i="5"/>
  <c r="L260" i="5"/>
  <c r="J260" i="5"/>
  <c r="N259" i="5"/>
  <c r="L259" i="5"/>
  <c r="J259" i="5"/>
  <c r="N258" i="5"/>
  <c r="L258" i="5"/>
  <c r="J258" i="5"/>
  <c r="N257" i="5"/>
  <c r="L257" i="5"/>
  <c r="J257" i="5"/>
  <c r="N256" i="5"/>
  <c r="L256" i="5"/>
  <c r="J256" i="5"/>
  <c r="N255" i="5"/>
  <c r="L255" i="5"/>
  <c r="J255" i="5"/>
  <c r="N254" i="5"/>
  <c r="L254" i="5"/>
  <c r="J254" i="5"/>
  <c r="N253" i="5"/>
  <c r="L253" i="5"/>
  <c r="J253" i="5"/>
  <c r="N252" i="5"/>
  <c r="L252" i="5"/>
  <c r="J252" i="5"/>
  <c r="N251" i="5"/>
  <c r="L251" i="5"/>
  <c r="J251" i="5"/>
  <c r="N250" i="5"/>
  <c r="L250" i="5"/>
  <c r="J250" i="5"/>
  <c r="N249" i="5"/>
  <c r="L249" i="5"/>
  <c r="J249" i="5"/>
  <c r="N248" i="5"/>
  <c r="L248" i="5"/>
  <c r="J248" i="5"/>
  <c r="N247" i="5"/>
  <c r="L247" i="5"/>
  <c r="J247" i="5"/>
  <c r="N246" i="5"/>
  <c r="L246" i="5"/>
  <c r="J246" i="5"/>
  <c r="N245" i="5"/>
  <c r="L245" i="5"/>
  <c r="J245" i="5"/>
  <c r="N244" i="5"/>
  <c r="L244" i="5"/>
  <c r="J244" i="5"/>
  <c r="N243" i="5"/>
  <c r="L243" i="5"/>
  <c r="J243" i="5"/>
  <c r="N242" i="5"/>
  <c r="L242" i="5"/>
  <c r="J242" i="5"/>
  <c r="N241" i="5"/>
  <c r="L241" i="5"/>
  <c r="J241" i="5"/>
  <c r="N240" i="5"/>
  <c r="L240" i="5"/>
  <c r="J240" i="5"/>
  <c r="N239" i="5"/>
  <c r="L239" i="5"/>
  <c r="J239" i="5"/>
  <c r="N238" i="5"/>
  <c r="L238" i="5"/>
  <c r="J238" i="5"/>
  <c r="N237" i="5"/>
  <c r="L237" i="5"/>
  <c r="J237" i="5"/>
  <c r="N236" i="5"/>
  <c r="L236" i="5"/>
  <c r="J236" i="5"/>
  <c r="N235" i="5"/>
  <c r="L235" i="5"/>
  <c r="J235" i="5"/>
  <c r="N234" i="5"/>
  <c r="L234" i="5"/>
  <c r="J234" i="5"/>
  <c r="N233" i="5"/>
  <c r="L233" i="5"/>
  <c r="J233" i="5"/>
  <c r="N232" i="5"/>
  <c r="L232" i="5"/>
  <c r="J232" i="5"/>
  <c r="N231" i="5"/>
  <c r="L231" i="5"/>
  <c r="J231" i="5"/>
  <c r="N230" i="5"/>
  <c r="L230" i="5"/>
  <c r="J230" i="5"/>
  <c r="N229" i="5"/>
  <c r="L229" i="5"/>
  <c r="J229" i="5"/>
  <c r="N228" i="5"/>
  <c r="L228" i="5"/>
  <c r="J228" i="5"/>
  <c r="N227" i="5"/>
  <c r="L227" i="5"/>
  <c r="J227" i="5"/>
  <c r="N226" i="5"/>
  <c r="L226" i="5"/>
  <c r="J226" i="5"/>
  <c r="N225" i="5"/>
  <c r="L225" i="5"/>
  <c r="J225" i="5"/>
  <c r="N224" i="5"/>
  <c r="L224" i="5"/>
  <c r="J224" i="5"/>
  <c r="N223" i="5"/>
  <c r="L223" i="5"/>
  <c r="J223" i="5"/>
  <c r="N222" i="5"/>
  <c r="L222" i="5"/>
  <c r="J222" i="5"/>
  <c r="N221" i="5"/>
  <c r="L221" i="5"/>
  <c r="J221" i="5"/>
  <c r="N220" i="5"/>
  <c r="L220" i="5"/>
  <c r="J220" i="5"/>
  <c r="N219" i="5"/>
  <c r="L219" i="5"/>
  <c r="J219" i="5"/>
  <c r="N218" i="5"/>
  <c r="L218" i="5"/>
  <c r="J218" i="5"/>
  <c r="N217" i="5"/>
  <c r="L217" i="5"/>
  <c r="J217" i="5"/>
  <c r="N216" i="5"/>
  <c r="L216" i="5"/>
  <c r="J216" i="5"/>
  <c r="N215" i="5"/>
  <c r="L215" i="5"/>
  <c r="J215" i="5"/>
  <c r="N214" i="5"/>
  <c r="L214" i="5"/>
  <c r="J214" i="5"/>
  <c r="N213" i="5"/>
  <c r="L213" i="5"/>
  <c r="J213" i="5"/>
  <c r="N212" i="5"/>
  <c r="L212" i="5"/>
  <c r="J212" i="5"/>
  <c r="N211" i="5"/>
  <c r="L211" i="5"/>
  <c r="J211" i="5"/>
  <c r="N210" i="5"/>
  <c r="L210" i="5"/>
  <c r="J210" i="5"/>
  <c r="N209" i="5"/>
  <c r="L209" i="5"/>
  <c r="J209" i="5"/>
  <c r="N208" i="5"/>
  <c r="L208" i="5"/>
  <c r="J208" i="5"/>
  <c r="N207" i="5"/>
  <c r="L207" i="5"/>
  <c r="J207" i="5"/>
  <c r="N206" i="5"/>
  <c r="L206" i="5"/>
  <c r="J206" i="5"/>
  <c r="N205" i="5"/>
  <c r="L205" i="5"/>
  <c r="J205" i="5"/>
  <c r="N204" i="5"/>
  <c r="L204" i="5"/>
  <c r="J204" i="5"/>
  <c r="N203" i="5"/>
  <c r="L203" i="5"/>
  <c r="J203" i="5"/>
  <c r="N202" i="5"/>
  <c r="L202" i="5"/>
  <c r="J202" i="5"/>
  <c r="N201" i="5"/>
  <c r="L201" i="5"/>
  <c r="J201" i="5"/>
  <c r="N200" i="5"/>
  <c r="L200" i="5"/>
  <c r="J200" i="5"/>
  <c r="N199" i="5"/>
  <c r="L199" i="5"/>
  <c r="J199" i="5"/>
  <c r="N198" i="5"/>
  <c r="L198" i="5"/>
  <c r="J198" i="5"/>
  <c r="N197" i="5"/>
  <c r="L197" i="5"/>
  <c r="J197" i="5"/>
  <c r="N196" i="5"/>
  <c r="L196" i="5"/>
  <c r="J196" i="5"/>
  <c r="N195" i="5"/>
  <c r="L195" i="5"/>
  <c r="J195" i="5"/>
  <c r="N194" i="5"/>
  <c r="L194" i="5"/>
  <c r="J194" i="5"/>
  <c r="N193" i="5"/>
  <c r="L193" i="5"/>
  <c r="J193" i="5"/>
  <c r="N192" i="5"/>
  <c r="L192" i="5"/>
  <c r="J192" i="5"/>
  <c r="N191" i="5"/>
  <c r="L191" i="5"/>
  <c r="J191" i="5"/>
  <c r="N190" i="5"/>
  <c r="L190" i="5"/>
  <c r="J190" i="5"/>
  <c r="N189" i="5"/>
  <c r="L189" i="5"/>
  <c r="J189" i="5"/>
  <c r="N188" i="5"/>
  <c r="L188" i="5"/>
  <c r="J188" i="5"/>
  <c r="N187" i="5"/>
  <c r="L187" i="5"/>
  <c r="J187" i="5"/>
  <c r="N186" i="5"/>
  <c r="L186" i="5"/>
  <c r="J186" i="5"/>
  <c r="N185" i="5"/>
  <c r="L185" i="5"/>
  <c r="J185" i="5"/>
  <c r="N184" i="5"/>
  <c r="L184" i="5"/>
  <c r="J184" i="5"/>
  <c r="N183" i="5"/>
  <c r="L183" i="5"/>
  <c r="J183" i="5"/>
  <c r="N182" i="5"/>
  <c r="L182" i="5"/>
  <c r="J182" i="5"/>
  <c r="N181" i="5"/>
  <c r="L181" i="5"/>
  <c r="J181" i="5"/>
  <c r="N180" i="5"/>
  <c r="L180" i="5"/>
  <c r="J180" i="5"/>
  <c r="N179" i="5"/>
  <c r="L179" i="5"/>
  <c r="J179" i="5"/>
  <c r="N178" i="5"/>
  <c r="L178" i="5"/>
  <c r="J178" i="5"/>
  <c r="N177" i="5"/>
  <c r="L177" i="5"/>
  <c r="J177" i="5"/>
  <c r="N176" i="5"/>
  <c r="L176" i="5"/>
  <c r="J176" i="5"/>
  <c r="N175" i="5"/>
  <c r="L175" i="5"/>
  <c r="J175" i="5"/>
  <c r="N174" i="5"/>
  <c r="L174" i="5"/>
  <c r="J174" i="5"/>
  <c r="N173" i="5"/>
  <c r="L173" i="5"/>
  <c r="J173" i="5"/>
  <c r="N172" i="5"/>
  <c r="L172" i="5"/>
  <c r="J172" i="5"/>
  <c r="N171" i="5"/>
  <c r="L171" i="5"/>
  <c r="J171" i="5"/>
  <c r="N170" i="5"/>
  <c r="L170" i="5"/>
  <c r="J170" i="5"/>
  <c r="N169" i="5"/>
  <c r="L169" i="5"/>
  <c r="J169" i="5"/>
  <c r="N168" i="5"/>
  <c r="L168" i="5"/>
  <c r="J168" i="5"/>
  <c r="N167" i="5"/>
  <c r="L167" i="5"/>
  <c r="J167" i="5"/>
  <c r="N166" i="5"/>
  <c r="L166" i="5"/>
  <c r="J166" i="5"/>
  <c r="N165" i="5"/>
  <c r="L165" i="5"/>
  <c r="J165" i="5"/>
  <c r="N164" i="5"/>
  <c r="L164" i="5"/>
  <c r="J164" i="5"/>
  <c r="N163" i="5"/>
  <c r="L163" i="5"/>
  <c r="J163" i="5"/>
  <c r="N162" i="5"/>
  <c r="L162" i="5"/>
  <c r="J162" i="5"/>
  <c r="N161" i="5"/>
  <c r="L161" i="5"/>
  <c r="J161" i="5"/>
  <c r="N160" i="5"/>
  <c r="L160" i="5"/>
  <c r="J160" i="5"/>
  <c r="N159" i="5"/>
  <c r="L159" i="5"/>
  <c r="J159" i="5"/>
  <c r="N158" i="5"/>
  <c r="L158" i="5"/>
  <c r="J158" i="5"/>
  <c r="N157" i="5"/>
  <c r="L157" i="5"/>
  <c r="J157" i="5"/>
  <c r="N156" i="5"/>
  <c r="L156" i="5"/>
  <c r="J156" i="5"/>
  <c r="N155" i="5"/>
  <c r="L155" i="5"/>
  <c r="J155" i="5"/>
  <c r="N154" i="5"/>
  <c r="L154" i="5"/>
  <c r="J154" i="5"/>
  <c r="J135" i="5"/>
  <c r="L135" i="5" s="1"/>
  <c r="N135" i="5" s="1"/>
  <c r="J134" i="5"/>
  <c r="L134" i="5" s="1"/>
  <c r="N134" i="5" s="1"/>
  <c r="I133" i="5"/>
  <c r="J133" i="5" s="1"/>
  <c r="L133" i="5" s="1"/>
  <c r="N133" i="5" s="1"/>
  <c r="J132" i="5"/>
  <c r="L132" i="5" s="1"/>
  <c r="N132" i="5" s="1"/>
  <c r="J131" i="5"/>
  <c r="L131" i="5" s="1"/>
  <c r="N131" i="5" s="1"/>
  <c r="J130" i="5"/>
  <c r="L130" i="5" s="1"/>
  <c r="N130" i="5" s="1"/>
  <c r="J129" i="5"/>
  <c r="L129" i="5" s="1"/>
  <c r="N129" i="5" s="1"/>
  <c r="J128" i="5"/>
  <c r="L128" i="5" s="1"/>
  <c r="N128" i="5" s="1"/>
  <c r="J127" i="5"/>
  <c r="L127" i="5" s="1"/>
  <c r="N127" i="5" s="1"/>
  <c r="J126" i="5"/>
  <c r="L126" i="5" s="1"/>
  <c r="N126" i="5" s="1"/>
  <c r="I125" i="5"/>
  <c r="J125" i="5" s="1"/>
  <c r="L125" i="5" s="1"/>
  <c r="N125" i="5" s="1"/>
  <c r="J124" i="5"/>
  <c r="L124" i="5" s="1"/>
  <c r="N124" i="5" s="1"/>
  <c r="J123" i="5"/>
  <c r="L123" i="5" s="1"/>
  <c r="N123" i="5" s="1"/>
  <c r="J122" i="5"/>
  <c r="L122" i="5" s="1"/>
  <c r="N122" i="5" s="1"/>
  <c r="J121" i="5"/>
  <c r="L121" i="5" s="1"/>
  <c r="N121" i="5" s="1"/>
  <c r="J120" i="5"/>
  <c r="L120" i="5" s="1"/>
  <c r="N120" i="5" s="1"/>
  <c r="J119" i="5"/>
  <c r="L119" i="5" s="1"/>
  <c r="N119" i="5" s="1"/>
  <c r="J118" i="5"/>
  <c r="L118" i="5" s="1"/>
  <c r="N118" i="5" s="1"/>
  <c r="I117" i="5"/>
  <c r="J117" i="5" s="1"/>
  <c r="L117" i="5" s="1"/>
  <c r="N117" i="5" s="1"/>
  <c r="J116" i="5"/>
  <c r="L116" i="5" s="1"/>
  <c r="N116" i="5" s="1"/>
  <c r="J115" i="5"/>
  <c r="L115" i="5" s="1"/>
  <c r="N115" i="5" s="1"/>
  <c r="J114" i="5"/>
  <c r="L114" i="5" s="1"/>
  <c r="N114" i="5" s="1"/>
  <c r="J113" i="5"/>
  <c r="L113" i="5" s="1"/>
  <c r="N113" i="5" s="1"/>
  <c r="J112" i="5"/>
  <c r="L112" i="5" s="1"/>
  <c r="N112" i="5" s="1"/>
  <c r="J111" i="5"/>
  <c r="L111" i="5" s="1"/>
  <c r="N111" i="5" s="1"/>
  <c r="J110" i="5"/>
  <c r="L110" i="5" s="1"/>
  <c r="N110" i="5" s="1"/>
  <c r="I109" i="5"/>
  <c r="J109" i="5" s="1"/>
  <c r="L109" i="5" s="1"/>
  <c r="N109" i="5" s="1"/>
  <c r="J108" i="5"/>
  <c r="L108" i="5" s="1"/>
  <c r="N108" i="5" s="1"/>
  <c r="J107" i="5"/>
  <c r="L107" i="5" s="1"/>
  <c r="N107" i="5" s="1"/>
  <c r="J106" i="5"/>
  <c r="L106" i="5" s="1"/>
  <c r="N106" i="5" s="1"/>
  <c r="J105" i="5"/>
  <c r="L105" i="5" s="1"/>
  <c r="N105" i="5" s="1"/>
  <c r="J104" i="5"/>
  <c r="L104" i="5" s="1"/>
  <c r="N104" i="5" s="1"/>
  <c r="J103" i="5"/>
  <c r="L103" i="5" s="1"/>
  <c r="N103" i="5" s="1"/>
  <c r="J102" i="5"/>
  <c r="L102" i="5" s="1"/>
  <c r="N102" i="5" s="1"/>
  <c r="I101" i="5"/>
  <c r="J101" i="5" s="1"/>
  <c r="L101" i="5" s="1"/>
  <c r="N101" i="5" s="1"/>
  <c r="J100" i="5"/>
  <c r="L100" i="5" s="1"/>
  <c r="N100" i="5" s="1"/>
  <c r="J99" i="5"/>
  <c r="L99" i="5" s="1"/>
  <c r="N99" i="5" s="1"/>
  <c r="J98" i="5"/>
  <c r="L98" i="5" s="1"/>
  <c r="N98" i="5" s="1"/>
  <c r="J97" i="5"/>
  <c r="L97" i="5" s="1"/>
  <c r="N97" i="5" s="1"/>
  <c r="J96" i="5"/>
  <c r="L96" i="5" s="1"/>
  <c r="N96" i="5" s="1"/>
  <c r="J95" i="5"/>
  <c r="L95" i="5" s="1"/>
  <c r="N95" i="5" s="1"/>
  <c r="J94" i="5"/>
  <c r="L94" i="5" s="1"/>
  <c r="N94" i="5" s="1"/>
  <c r="I93" i="5"/>
  <c r="J93" i="5" s="1"/>
  <c r="L93" i="5" s="1"/>
  <c r="N93" i="5" s="1"/>
  <c r="J92" i="5"/>
  <c r="L92" i="5" s="1"/>
  <c r="N92" i="5" s="1"/>
  <c r="J91" i="5"/>
  <c r="L91" i="5" s="1"/>
  <c r="N91" i="5" s="1"/>
  <c r="J90" i="5"/>
  <c r="L90" i="5" s="1"/>
  <c r="N90" i="5" s="1"/>
  <c r="J89" i="5"/>
  <c r="L89" i="5" s="1"/>
  <c r="N89" i="5" s="1"/>
  <c r="J88" i="5"/>
  <c r="L88" i="5" s="1"/>
  <c r="N88" i="5" s="1"/>
  <c r="J87" i="5"/>
  <c r="L87" i="5" s="1"/>
  <c r="N87" i="5" s="1"/>
  <c r="J86" i="5"/>
  <c r="L86" i="5" s="1"/>
  <c r="N86" i="5" s="1"/>
  <c r="I85" i="5"/>
  <c r="J85" i="5" s="1"/>
  <c r="L85" i="5" s="1"/>
  <c r="N85" i="5" s="1"/>
  <c r="J84" i="5"/>
  <c r="L84" i="5" s="1"/>
  <c r="N84" i="5" s="1"/>
  <c r="J83" i="5"/>
  <c r="L83" i="5" s="1"/>
  <c r="N83" i="5" s="1"/>
  <c r="J82" i="5"/>
  <c r="L82" i="5" s="1"/>
  <c r="N82" i="5" s="1"/>
  <c r="J81" i="5"/>
  <c r="L81" i="5" s="1"/>
  <c r="N81" i="5" s="1"/>
  <c r="J80" i="5"/>
  <c r="L80" i="5" s="1"/>
  <c r="N80" i="5" s="1"/>
  <c r="J79" i="5"/>
  <c r="L79" i="5" s="1"/>
  <c r="N79" i="5" s="1"/>
  <c r="I78" i="5"/>
  <c r="J78" i="5" s="1"/>
  <c r="L78" i="5" s="1"/>
  <c r="N78" i="5" s="1"/>
  <c r="J77" i="5"/>
  <c r="L77" i="5" s="1"/>
  <c r="N77" i="5" s="1"/>
  <c r="J76" i="5"/>
  <c r="L76" i="5" s="1"/>
  <c r="N76" i="5" s="1"/>
  <c r="J75" i="5"/>
  <c r="L75" i="5" s="1"/>
  <c r="N75" i="5" s="1"/>
  <c r="J74" i="5"/>
  <c r="L74" i="5" s="1"/>
  <c r="N74" i="5" s="1"/>
  <c r="J73" i="5"/>
  <c r="L73" i="5" s="1"/>
  <c r="N73" i="5" s="1"/>
  <c r="J72" i="5"/>
  <c r="L72" i="5" s="1"/>
  <c r="N72" i="5" s="1"/>
  <c r="I71" i="5"/>
  <c r="J71" i="5" s="1"/>
  <c r="L71" i="5" s="1"/>
  <c r="N71" i="5" s="1"/>
  <c r="J70" i="5"/>
  <c r="L70" i="5" s="1"/>
  <c r="N70" i="5" s="1"/>
  <c r="J69" i="5"/>
  <c r="L69" i="5" s="1"/>
  <c r="N69" i="5" s="1"/>
  <c r="J68" i="5"/>
  <c r="L68" i="5" s="1"/>
  <c r="N68" i="5" s="1"/>
  <c r="J67" i="5"/>
  <c r="L67" i="5" s="1"/>
  <c r="N67" i="5" s="1"/>
  <c r="J66" i="5"/>
  <c r="L66" i="5" s="1"/>
  <c r="N66" i="5" s="1"/>
  <c r="J65" i="5"/>
  <c r="L65" i="5" s="1"/>
  <c r="N65" i="5" s="1"/>
  <c r="I64" i="5"/>
  <c r="J64" i="5" s="1"/>
  <c r="L64" i="5" s="1"/>
  <c r="N64" i="5" s="1"/>
  <c r="J63" i="5"/>
  <c r="L63" i="5" s="1"/>
  <c r="N63" i="5" s="1"/>
  <c r="J62" i="5"/>
  <c r="L62" i="5" s="1"/>
  <c r="N62" i="5" s="1"/>
  <c r="J61" i="5"/>
  <c r="L61" i="5" s="1"/>
  <c r="N61" i="5" s="1"/>
  <c r="J60" i="5"/>
  <c r="L60" i="5" s="1"/>
  <c r="N60" i="5" s="1"/>
  <c r="J59" i="5"/>
  <c r="L59" i="5" s="1"/>
  <c r="N59" i="5" s="1"/>
  <c r="J58" i="5"/>
  <c r="L58" i="5" s="1"/>
  <c r="N58" i="5" s="1"/>
  <c r="I57" i="5"/>
  <c r="J57" i="5" s="1"/>
  <c r="L57" i="5" s="1"/>
  <c r="N57" i="5" s="1"/>
  <c r="J56" i="5"/>
  <c r="L56" i="5" s="1"/>
  <c r="N56" i="5" s="1"/>
  <c r="J55" i="5"/>
  <c r="L55" i="5" s="1"/>
  <c r="N55" i="5" s="1"/>
  <c r="J54" i="5"/>
  <c r="L54" i="5" s="1"/>
  <c r="N54" i="5" s="1"/>
  <c r="J53" i="5"/>
  <c r="L53" i="5" s="1"/>
  <c r="N53" i="5" s="1"/>
  <c r="J52" i="5"/>
  <c r="L52" i="5" s="1"/>
  <c r="N52" i="5" s="1"/>
  <c r="J51" i="5"/>
  <c r="L51" i="5" s="1"/>
  <c r="N51" i="5" s="1"/>
  <c r="I50" i="5"/>
  <c r="J50" i="5" s="1"/>
  <c r="L50" i="5" s="1"/>
  <c r="N50" i="5" s="1"/>
  <c r="J49" i="5"/>
  <c r="L49" i="5" s="1"/>
  <c r="N49" i="5" s="1"/>
  <c r="J48" i="5"/>
  <c r="L48" i="5" s="1"/>
  <c r="N48" i="5" s="1"/>
  <c r="J47" i="5"/>
  <c r="L47" i="5" s="1"/>
  <c r="N47" i="5" s="1"/>
  <c r="J46" i="5"/>
  <c r="L46" i="5" s="1"/>
  <c r="N46" i="5" s="1"/>
  <c r="J45" i="5"/>
  <c r="L45" i="5" s="1"/>
  <c r="N45" i="5" s="1"/>
  <c r="J44" i="5"/>
  <c r="L44" i="5" s="1"/>
  <c r="N44" i="5" s="1"/>
  <c r="I43" i="5"/>
  <c r="J43" i="5" s="1"/>
  <c r="L43" i="5" s="1"/>
  <c r="N43" i="5" s="1"/>
  <c r="J42" i="5"/>
  <c r="L42" i="5" s="1"/>
  <c r="N42" i="5" s="1"/>
  <c r="J41" i="5"/>
  <c r="L41" i="5" s="1"/>
  <c r="N41" i="5" s="1"/>
  <c r="J40" i="5"/>
  <c r="L40" i="5" s="1"/>
  <c r="N40" i="5" s="1"/>
  <c r="J39" i="5"/>
  <c r="L39" i="5" s="1"/>
  <c r="N39" i="5" s="1"/>
  <c r="J38" i="5"/>
  <c r="L38" i="5" s="1"/>
  <c r="N38" i="5" s="1"/>
  <c r="J37" i="5"/>
  <c r="L37" i="5" s="1"/>
  <c r="N37" i="5" s="1"/>
  <c r="I36" i="5"/>
  <c r="J36" i="5" s="1"/>
  <c r="L36" i="5" s="1"/>
  <c r="N36" i="5" s="1"/>
  <c r="J35" i="5"/>
  <c r="L35" i="5" s="1"/>
  <c r="N35" i="5" s="1"/>
  <c r="J34" i="5"/>
  <c r="L34" i="5" s="1"/>
  <c r="N34" i="5" s="1"/>
  <c r="J33" i="5"/>
  <c r="L33" i="5" s="1"/>
  <c r="N33" i="5" s="1"/>
  <c r="J32" i="5"/>
  <c r="L32" i="5" s="1"/>
  <c r="N32" i="5" s="1"/>
  <c r="J31" i="5"/>
  <c r="L31" i="5" s="1"/>
  <c r="N31" i="5" s="1"/>
  <c r="J30" i="5"/>
  <c r="L30" i="5" s="1"/>
  <c r="N30" i="5" s="1"/>
  <c r="I29" i="5"/>
  <c r="J29" i="5" s="1"/>
  <c r="L29" i="5" s="1"/>
  <c r="N29" i="5" s="1"/>
  <c r="J28" i="5"/>
  <c r="L28" i="5" s="1"/>
  <c r="N28" i="5" s="1"/>
  <c r="J27" i="5"/>
  <c r="L27" i="5" s="1"/>
  <c r="N27" i="5" s="1"/>
  <c r="J26" i="5"/>
  <c r="L26" i="5" s="1"/>
  <c r="N26" i="5" s="1"/>
  <c r="J25" i="5"/>
  <c r="L25" i="5" s="1"/>
  <c r="N25" i="5" s="1"/>
  <c r="J24" i="5"/>
  <c r="L24" i="5" s="1"/>
  <c r="N24" i="5" s="1"/>
  <c r="J23" i="5"/>
  <c r="L23" i="5" s="1"/>
  <c r="N23" i="5" s="1"/>
  <c r="J22" i="5"/>
  <c r="L22" i="5" s="1"/>
  <c r="N22" i="5" s="1"/>
  <c r="J21" i="5"/>
  <c r="L21" i="5" s="1"/>
  <c r="N21" i="5" s="1"/>
  <c r="J20" i="5"/>
  <c r="L20" i="5" s="1"/>
  <c r="N20" i="5" s="1"/>
  <c r="J19" i="5"/>
  <c r="L19" i="5" s="1"/>
  <c r="N19" i="5" s="1"/>
  <c r="J18" i="5"/>
  <c r="L18" i="5" s="1"/>
  <c r="N18" i="5" s="1"/>
  <c r="J17" i="5"/>
  <c r="L17" i="5" s="1"/>
  <c r="N17" i="5" s="1"/>
  <c r="J16" i="5"/>
  <c r="L16" i="5" s="1"/>
  <c r="N16" i="5" s="1"/>
  <c r="I15" i="5"/>
  <c r="J15" i="5" s="1"/>
  <c r="L15" i="5" s="1"/>
  <c r="N15" i="5" s="1"/>
  <c r="J14" i="5"/>
  <c r="L14" i="5" s="1"/>
  <c r="N14" i="5" s="1"/>
  <c r="J13" i="5"/>
  <c r="L13" i="5" s="1"/>
  <c r="N13" i="5" s="1"/>
  <c r="J12" i="5"/>
  <c r="L12" i="5" s="1"/>
  <c r="N12" i="5" s="1"/>
  <c r="J11" i="5"/>
  <c r="L11" i="5" s="1"/>
  <c r="N11" i="5" s="1"/>
  <c r="J10" i="5"/>
  <c r="L10" i="5" s="1"/>
  <c r="N10" i="5" s="1"/>
  <c r="J9" i="5"/>
  <c r="L9" i="5" s="1"/>
  <c r="N9" i="5" s="1"/>
  <c r="J6" i="5"/>
  <c r="L6" i="5" s="1"/>
  <c r="N6" i="5" s="1"/>
  <c r="J5" i="5"/>
  <c r="L5" i="5" s="1"/>
  <c r="N5" i="5" s="1"/>
  <c r="J4" i="5"/>
  <c r="L4" i="5" s="1"/>
  <c r="N4" i="5" s="1"/>
  <c r="J3" i="5"/>
  <c r="E582" i="4"/>
  <c r="I581" i="4"/>
  <c r="G532" i="4"/>
  <c r="I532" i="4" s="1"/>
  <c r="G531" i="4"/>
  <c r="I531" i="4" s="1"/>
  <c r="G525" i="4"/>
  <c r="I525" i="4" s="1"/>
  <c r="G524" i="4"/>
  <c r="I524" i="4" s="1"/>
  <c r="G523" i="4"/>
  <c r="I523" i="4" s="1"/>
  <c r="G522" i="4"/>
  <c r="I522" i="4" s="1"/>
  <c r="G521" i="4"/>
  <c r="I521" i="4" s="1"/>
  <c r="G520" i="4"/>
  <c r="I520" i="4" s="1"/>
  <c r="G519" i="4"/>
  <c r="I519" i="4" s="1"/>
  <c r="G518" i="4"/>
  <c r="I518" i="4" s="1"/>
  <c r="G517" i="4"/>
  <c r="I517" i="4" s="1"/>
  <c r="G516" i="4"/>
  <c r="I516" i="4" s="1"/>
  <c r="G515" i="4"/>
  <c r="I515" i="4" s="1"/>
  <c r="G514" i="4"/>
  <c r="I514" i="4" s="1"/>
  <c r="G513" i="4"/>
  <c r="I513" i="4" s="1"/>
  <c r="G512" i="4"/>
  <c r="I512" i="4" s="1"/>
  <c r="G511" i="4"/>
  <c r="I511" i="4" s="1"/>
  <c r="G510" i="4"/>
  <c r="I510" i="4" s="1"/>
  <c r="G509" i="4"/>
  <c r="I509" i="4" s="1"/>
  <c r="G508" i="4"/>
  <c r="I508" i="4" s="1"/>
  <c r="G507" i="4"/>
  <c r="I507" i="4" s="1"/>
  <c r="G530" i="4"/>
  <c r="I530" i="4" s="1"/>
  <c r="G529" i="4"/>
  <c r="I529" i="4" s="1"/>
  <c r="G528" i="4"/>
  <c r="I528" i="4" s="1"/>
  <c r="G527" i="4"/>
  <c r="I527" i="4" s="1"/>
  <c r="G526" i="4"/>
  <c r="I526" i="4" s="1"/>
  <c r="G481" i="4"/>
  <c r="I481" i="4" s="1"/>
  <c r="G480" i="4"/>
  <c r="I480" i="4" s="1"/>
  <c r="G479" i="4"/>
  <c r="I479" i="4" s="1"/>
  <c r="G478" i="4"/>
  <c r="I478" i="4" s="1"/>
  <c r="G477" i="4"/>
  <c r="I477" i="4" s="1"/>
  <c r="G476" i="4"/>
  <c r="I476" i="4" s="1"/>
  <c r="G475" i="4"/>
  <c r="I475" i="4" s="1"/>
  <c r="G474" i="4"/>
  <c r="I474" i="4" s="1"/>
  <c r="G473" i="4"/>
  <c r="I473" i="4" s="1"/>
  <c r="G472" i="4"/>
  <c r="I472" i="4" s="1"/>
  <c r="G471" i="4"/>
  <c r="I471" i="4" s="1"/>
  <c r="G470" i="4"/>
  <c r="I470" i="4" s="1"/>
  <c r="G469" i="4"/>
  <c r="I469" i="4" s="1"/>
  <c r="G468" i="4"/>
  <c r="I468" i="4" s="1"/>
  <c r="G467" i="4"/>
  <c r="I467" i="4" s="1"/>
  <c r="G466" i="4"/>
  <c r="I466" i="4" s="1"/>
  <c r="G465" i="4"/>
  <c r="I465" i="4" s="1"/>
  <c r="G464" i="4"/>
  <c r="I464" i="4" s="1"/>
  <c r="G463" i="4"/>
  <c r="I463" i="4" s="1"/>
  <c r="G462" i="4"/>
  <c r="I462" i="4" s="1"/>
  <c r="G461" i="4"/>
  <c r="I461" i="4" s="1"/>
  <c r="G460" i="4"/>
  <c r="I460" i="4" s="1"/>
  <c r="G459" i="4"/>
  <c r="I459" i="4" s="1"/>
  <c r="G458" i="4"/>
  <c r="I458" i="4" s="1"/>
  <c r="G457" i="4"/>
  <c r="I457" i="4" s="1"/>
  <c r="G456" i="4"/>
  <c r="I456" i="4" s="1"/>
  <c r="G455" i="4"/>
  <c r="I455" i="4" s="1"/>
  <c r="G454" i="4"/>
  <c r="I454" i="4" s="1"/>
  <c r="G453" i="4"/>
  <c r="I453" i="4" s="1"/>
  <c r="G452" i="4"/>
  <c r="I452" i="4" s="1"/>
  <c r="G451" i="4"/>
  <c r="I451" i="4" s="1"/>
  <c r="G450" i="4"/>
  <c r="I450" i="4" s="1"/>
  <c r="G449" i="4"/>
  <c r="I449" i="4" s="1"/>
  <c r="G448" i="4"/>
  <c r="I448" i="4" s="1"/>
  <c r="G447" i="4"/>
  <c r="I447" i="4" s="1"/>
  <c r="G446" i="4"/>
  <c r="I446" i="4" s="1"/>
  <c r="G445" i="4"/>
  <c r="I445" i="4" s="1"/>
  <c r="G444" i="4"/>
  <c r="I444" i="4" s="1"/>
  <c r="G443" i="4"/>
  <c r="I443" i="4" s="1"/>
  <c r="G442" i="4"/>
  <c r="I442" i="4" s="1"/>
  <c r="G441" i="4"/>
  <c r="I441" i="4" s="1"/>
  <c r="G440" i="4"/>
  <c r="I440" i="4" s="1"/>
  <c r="G439" i="4"/>
  <c r="I439" i="4" s="1"/>
  <c r="G438" i="4"/>
  <c r="I438" i="4" s="1"/>
  <c r="G437" i="4"/>
  <c r="I437" i="4" s="1"/>
  <c r="G436" i="4"/>
  <c r="I436" i="4" s="1"/>
  <c r="G435" i="4"/>
  <c r="I435" i="4" s="1"/>
  <c r="G434" i="4"/>
  <c r="I434" i="4" s="1"/>
  <c r="G433" i="4"/>
  <c r="I433" i="4" s="1"/>
  <c r="G432" i="4"/>
  <c r="I432" i="4" s="1"/>
  <c r="G431" i="4"/>
  <c r="I431" i="4" s="1"/>
  <c r="G430" i="4"/>
  <c r="I430" i="4" s="1"/>
  <c r="G429" i="4"/>
  <c r="I429" i="4" s="1"/>
  <c r="G428" i="4"/>
  <c r="I428" i="4" s="1"/>
  <c r="G427" i="4"/>
  <c r="I427" i="4" s="1"/>
  <c r="G426" i="4"/>
  <c r="I426" i="4" s="1"/>
  <c r="G425" i="4"/>
  <c r="I425" i="4" s="1"/>
  <c r="G424" i="4"/>
  <c r="I424" i="4" s="1"/>
  <c r="G423" i="4"/>
  <c r="I423" i="4" s="1"/>
  <c r="G422" i="4"/>
  <c r="I422" i="4" s="1"/>
  <c r="G421" i="4"/>
  <c r="I421" i="4" s="1"/>
  <c r="G420" i="4"/>
  <c r="I420" i="4" s="1"/>
  <c r="G419" i="4"/>
  <c r="I419" i="4" s="1"/>
  <c r="G418" i="4"/>
  <c r="I418" i="4" s="1"/>
  <c r="G417" i="4"/>
  <c r="I417" i="4" s="1"/>
  <c r="G416" i="4"/>
  <c r="I416" i="4" s="1"/>
  <c r="G415" i="4"/>
  <c r="I415" i="4" s="1"/>
  <c r="G414" i="4"/>
  <c r="I414" i="4" s="1"/>
  <c r="G413" i="4"/>
  <c r="I413" i="4" s="1"/>
  <c r="G412" i="4"/>
  <c r="I412" i="4" s="1"/>
  <c r="G411" i="4"/>
  <c r="I411" i="4" s="1"/>
  <c r="G410" i="4"/>
  <c r="I410" i="4" s="1"/>
  <c r="G409" i="4"/>
  <c r="I409" i="4" s="1"/>
  <c r="G408" i="4"/>
  <c r="I408" i="4" s="1"/>
  <c r="G407" i="4"/>
  <c r="I407" i="4" s="1"/>
  <c r="G406" i="4"/>
  <c r="I406" i="4" s="1"/>
  <c r="G405" i="4"/>
  <c r="I405" i="4" s="1"/>
  <c r="G404" i="4"/>
  <c r="I404" i="4" s="1"/>
  <c r="I403" i="4"/>
  <c r="I402" i="4"/>
  <c r="I401" i="4"/>
  <c r="I400" i="4"/>
  <c r="I399" i="4"/>
  <c r="G398" i="4"/>
  <c r="I398" i="4" s="1"/>
  <c r="G397" i="4"/>
  <c r="I397" i="4" s="1"/>
  <c r="G396" i="4"/>
  <c r="I396" i="4" s="1"/>
  <c r="G395" i="4"/>
  <c r="I395" i="4" s="1"/>
  <c r="G394" i="4"/>
  <c r="I394" i="4" s="1"/>
  <c r="G393" i="4"/>
  <c r="I393" i="4" s="1"/>
  <c r="G392" i="4"/>
  <c r="I392" i="4" s="1"/>
  <c r="G391" i="4"/>
  <c r="I391" i="4" s="1"/>
  <c r="G390" i="4"/>
  <c r="I390" i="4" s="1"/>
  <c r="G389" i="4"/>
  <c r="I389" i="4" s="1"/>
  <c r="G388" i="4"/>
  <c r="I388" i="4" s="1"/>
  <c r="G387" i="4"/>
  <c r="I387" i="4" s="1"/>
  <c r="G386" i="4"/>
  <c r="I386" i="4" s="1"/>
  <c r="G385" i="4"/>
  <c r="I385" i="4" s="1"/>
  <c r="G384" i="4"/>
  <c r="I384" i="4" s="1"/>
  <c r="G383" i="4"/>
  <c r="I383" i="4" s="1"/>
  <c r="G382" i="4"/>
  <c r="I382" i="4" s="1"/>
  <c r="G381" i="4"/>
  <c r="I381" i="4" s="1"/>
  <c r="G380" i="4"/>
  <c r="I380" i="4" s="1"/>
  <c r="G379" i="4"/>
  <c r="I379" i="4" s="1"/>
  <c r="G378" i="4"/>
  <c r="I378" i="4" s="1"/>
  <c r="G377" i="4"/>
  <c r="I377" i="4" s="1"/>
  <c r="G376" i="4"/>
  <c r="I376" i="4" s="1"/>
  <c r="G375" i="4"/>
  <c r="I375" i="4" s="1"/>
  <c r="G374" i="4"/>
  <c r="I374" i="4" s="1"/>
  <c r="G373" i="4"/>
  <c r="I373" i="4" s="1"/>
  <c r="G372" i="4"/>
  <c r="I372" i="4" s="1"/>
  <c r="G371" i="4"/>
  <c r="I371" i="4" s="1"/>
  <c r="G370" i="4"/>
  <c r="I370" i="4" s="1"/>
  <c r="G369" i="4"/>
  <c r="I369" i="4" s="1"/>
  <c r="G368" i="4"/>
  <c r="I368" i="4" s="1"/>
  <c r="G367" i="4"/>
  <c r="I367" i="4" s="1"/>
  <c r="G366" i="4"/>
  <c r="I366" i="4" s="1"/>
  <c r="G365" i="4"/>
  <c r="I365" i="4" s="1"/>
  <c r="I364" i="4"/>
  <c r="G364" i="4"/>
  <c r="G363" i="4"/>
  <c r="I363" i="4" s="1"/>
  <c r="G362" i="4"/>
  <c r="I362" i="4" s="1"/>
  <c r="G361" i="4"/>
  <c r="I361" i="4" s="1"/>
  <c r="G360" i="4"/>
  <c r="I360" i="4" s="1"/>
  <c r="G359" i="4"/>
  <c r="I359" i="4" s="1"/>
  <c r="G358" i="4"/>
  <c r="I358" i="4" s="1"/>
  <c r="G357" i="4"/>
  <c r="I357" i="4" s="1"/>
  <c r="G356" i="4"/>
  <c r="I356" i="4" s="1"/>
  <c r="G355" i="4"/>
  <c r="I355" i="4" s="1"/>
  <c r="G354" i="4"/>
  <c r="I354" i="4" s="1"/>
  <c r="G353" i="4"/>
  <c r="I353" i="4" s="1"/>
  <c r="G352" i="4"/>
  <c r="I352" i="4" s="1"/>
  <c r="G351" i="4"/>
  <c r="I351" i="4" s="1"/>
  <c r="G350" i="4"/>
  <c r="I350" i="4" s="1"/>
  <c r="G349" i="4"/>
  <c r="I349" i="4" s="1"/>
  <c r="G348" i="4"/>
  <c r="I348" i="4" s="1"/>
  <c r="G347" i="4"/>
  <c r="I347" i="4" s="1"/>
  <c r="G346" i="4"/>
  <c r="I346" i="4" s="1"/>
  <c r="G345" i="4"/>
  <c r="I345" i="4" s="1"/>
  <c r="G344" i="4"/>
  <c r="I344" i="4" s="1"/>
  <c r="G343" i="4"/>
  <c r="I343" i="4" s="1"/>
  <c r="G342" i="4"/>
  <c r="I342" i="4" s="1"/>
  <c r="G341" i="4"/>
  <c r="I341" i="4" s="1"/>
  <c r="G340" i="4"/>
  <c r="I340" i="4" s="1"/>
  <c r="G339" i="4"/>
  <c r="I339" i="4" s="1"/>
  <c r="G338" i="4"/>
  <c r="I338" i="4" s="1"/>
  <c r="G337" i="4"/>
  <c r="I337" i="4" s="1"/>
  <c r="G336" i="4"/>
  <c r="I336" i="4" s="1"/>
  <c r="G335" i="4"/>
  <c r="I335" i="4" s="1"/>
  <c r="G334" i="4"/>
  <c r="I334" i="4" s="1"/>
  <c r="G333" i="4"/>
  <c r="I333" i="4" s="1"/>
  <c r="G332" i="4"/>
  <c r="I332" i="4" s="1"/>
  <c r="G331" i="4"/>
  <c r="I331" i="4" s="1"/>
  <c r="G330" i="4"/>
  <c r="I330" i="4" s="1"/>
  <c r="G329" i="4"/>
  <c r="I329" i="4" s="1"/>
  <c r="G328" i="4"/>
  <c r="I328" i="4" s="1"/>
  <c r="G327" i="4"/>
  <c r="I327" i="4" s="1"/>
  <c r="G326" i="4"/>
  <c r="I326" i="4" s="1"/>
  <c r="G325" i="4"/>
  <c r="I325" i="4" s="1"/>
  <c r="G324" i="4"/>
  <c r="I324" i="4" s="1"/>
  <c r="G323" i="4"/>
  <c r="I323" i="4" s="1"/>
  <c r="G322" i="4"/>
  <c r="I322" i="4" s="1"/>
  <c r="G321" i="4"/>
  <c r="I321" i="4" s="1"/>
  <c r="G320" i="4"/>
  <c r="I320" i="4" s="1"/>
  <c r="G319" i="4"/>
  <c r="I319" i="4" s="1"/>
  <c r="G318" i="4"/>
  <c r="I318" i="4" s="1"/>
  <c r="G317" i="4"/>
  <c r="I317" i="4" s="1"/>
  <c r="G316" i="4"/>
  <c r="I316" i="4" s="1"/>
  <c r="G315" i="4"/>
  <c r="I315" i="4" s="1"/>
  <c r="G314" i="4"/>
  <c r="I314" i="4" s="1"/>
  <c r="G313" i="4"/>
  <c r="I313" i="4" s="1"/>
  <c r="G312" i="4"/>
  <c r="I312" i="4" s="1"/>
  <c r="G311" i="4"/>
  <c r="I311" i="4" s="1"/>
  <c r="G310" i="4"/>
  <c r="I310" i="4" s="1"/>
  <c r="G309" i="4"/>
  <c r="I309" i="4" s="1"/>
  <c r="G308" i="4"/>
  <c r="I308" i="4" s="1"/>
  <c r="G307" i="4"/>
  <c r="I307" i="4" s="1"/>
  <c r="G306" i="4"/>
  <c r="I306" i="4" s="1"/>
  <c r="G305" i="4"/>
  <c r="I305" i="4" s="1"/>
  <c r="G304" i="4"/>
  <c r="I304" i="4" s="1"/>
  <c r="G303" i="4"/>
  <c r="I303" i="4" s="1"/>
  <c r="G302" i="4"/>
  <c r="I302" i="4" s="1"/>
  <c r="G301" i="4"/>
  <c r="I301" i="4" s="1"/>
  <c r="G300" i="4"/>
  <c r="I300" i="4" s="1"/>
  <c r="G299" i="4"/>
  <c r="I299" i="4" s="1"/>
  <c r="G298" i="4"/>
  <c r="I298" i="4" s="1"/>
  <c r="G297" i="4"/>
  <c r="I297" i="4" s="1"/>
  <c r="G296" i="4"/>
  <c r="I296" i="4" s="1"/>
  <c r="G295" i="4"/>
  <c r="I295" i="4" s="1"/>
  <c r="G294" i="4"/>
  <c r="I294" i="4" s="1"/>
  <c r="G293" i="4"/>
  <c r="I293" i="4" s="1"/>
  <c r="G292" i="4"/>
  <c r="I292" i="4" s="1"/>
  <c r="G291" i="4"/>
  <c r="I291" i="4" s="1"/>
  <c r="G290" i="4"/>
  <c r="I290" i="4" s="1"/>
  <c r="G289" i="4"/>
  <c r="I289" i="4" s="1"/>
  <c r="G288" i="4"/>
  <c r="I288" i="4" s="1"/>
  <c r="G287" i="4"/>
  <c r="I287" i="4" s="1"/>
  <c r="G286" i="4"/>
  <c r="I286" i="4" s="1"/>
  <c r="G285" i="4"/>
  <c r="I285" i="4" s="1"/>
  <c r="G284" i="4"/>
  <c r="I284" i="4" s="1"/>
  <c r="G283" i="4"/>
  <c r="I283" i="4" s="1"/>
  <c r="G282" i="4"/>
  <c r="I282" i="4" s="1"/>
  <c r="G281" i="4"/>
  <c r="I281" i="4" s="1"/>
  <c r="G280" i="4"/>
  <c r="I280" i="4" s="1"/>
  <c r="G279" i="4"/>
  <c r="I279" i="4" s="1"/>
  <c r="G278" i="4"/>
  <c r="I278" i="4" s="1"/>
  <c r="G277" i="4"/>
  <c r="I277" i="4" s="1"/>
  <c r="G276" i="4"/>
  <c r="I276" i="4" s="1"/>
  <c r="G275" i="4"/>
  <c r="I275" i="4" s="1"/>
  <c r="G274" i="4"/>
  <c r="I274" i="4" s="1"/>
  <c r="G273" i="4"/>
  <c r="I273" i="4" s="1"/>
  <c r="G272" i="4"/>
  <c r="I272" i="4" s="1"/>
  <c r="G271" i="4"/>
  <c r="I271" i="4" s="1"/>
  <c r="G270" i="4"/>
  <c r="I270" i="4" s="1"/>
  <c r="G269" i="4"/>
  <c r="I269" i="4" s="1"/>
  <c r="G268" i="4"/>
  <c r="I268" i="4" s="1"/>
  <c r="G267" i="4"/>
  <c r="I267" i="4" s="1"/>
  <c r="G266" i="4"/>
  <c r="I266" i="4" s="1"/>
  <c r="G265" i="4"/>
  <c r="I265" i="4" s="1"/>
  <c r="G264" i="4"/>
  <c r="I264" i="4" s="1"/>
  <c r="G263" i="4"/>
  <c r="I263" i="4" s="1"/>
  <c r="G262" i="4"/>
  <c r="I262" i="4" s="1"/>
  <c r="G261" i="4"/>
  <c r="I261" i="4" s="1"/>
  <c r="G260" i="4"/>
  <c r="I260" i="4" s="1"/>
  <c r="G259" i="4"/>
  <c r="I259" i="4" s="1"/>
  <c r="G258" i="4"/>
  <c r="I258" i="4" s="1"/>
  <c r="G257" i="4"/>
  <c r="I257" i="4" s="1"/>
  <c r="G256" i="4"/>
  <c r="I256" i="4" s="1"/>
  <c r="G255" i="4"/>
  <c r="I255" i="4" s="1"/>
  <c r="G254" i="4"/>
  <c r="I254" i="4" s="1"/>
  <c r="G253" i="4"/>
  <c r="I253" i="4" s="1"/>
  <c r="G252" i="4"/>
  <c r="I252" i="4" s="1"/>
  <c r="G251" i="4"/>
  <c r="I251" i="4" s="1"/>
  <c r="G250" i="4"/>
  <c r="I250" i="4" s="1"/>
  <c r="G249" i="4"/>
  <c r="I249" i="4" s="1"/>
  <c r="G248" i="4"/>
  <c r="I248" i="4" s="1"/>
  <c r="G247" i="4"/>
  <c r="I247" i="4" s="1"/>
  <c r="G246" i="4"/>
  <c r="I246" i="4" s="1"/>
  <c r="G245" i="4"/>
  <c r="I245" i="4" s="1"/>
  <c r="G244" i="4"/>
  <c r="I244" i="4" s="1"/>
  <c r="G243" i="4"/>
  <c r="I243" i="4" s="1"/>
  <c r="G242" i="4"/>
  <c r="I242" i="4" s="1"/>
  <c r="G241" i="4"/>
  <c r="I241" i="4" s="1"/>
  <c r="G240" i="4"/>
  <c r="I240" i="4" s="1"/>
  <c r="G239" i="4"/>
  <c r="I239" i="4" s="1"/>
  <c r="G238" i="4"/>
  <c r="I238" i="4" s="1"/>
  <c r="G237" i="4"/>
  <c r="I237" i="4" s="1"/>
  <c r="G236" i="4"/>
  <c r="I236" i="4" s="1"/>
  <c r="G235" i="4"/>
  <c r="I235" i="4" s="1"/>
  <c r="G234" i="4"/>
  <c r="I234" i="4" s="1"/>
  <c r="G233" i="4"/>
  <c r="I233" i="4" s="1"/>
  <c r="G232" i="4"/>
  <c r="I232" i="4" s="1"/>
  <c r="G231" i="4"/>
  <c r="I231" i="4" s="1"/>
  <c r="G230" i="4"/>
  <c r="I230" i="4" s="1"/>
  <c r="G229" i="4"/>
  <c r="I229" i="4" s="1"/>
  <c r="G228" i="4"/>
  <c r="I228" i="4" s="1"/>
  <c r="G227" i="4"/>
  <c r="I227" i="4" s="1"/>
  <c r="G226" i="4"/>
  <c r="I226" i="4" s="1"/>
  <c r="G225" i="4"/>
  <c r="I225" i="4" s="1"/>
  <c r="G224" i="4"/>
  <c r="I224" i="4" s="1"/>
  <c r="G223" i="4"/>
  <c r="I223" i="4" s="1"/>
  <c r="G222" i="4"/>
  <c r="I222" i="4" s="1"/>
  <c r="G221" i="4"/>
  <c r="I221" i="4" s="1"/>
  <c r="G220" i="4"/>
  <c r="I220" i="4" s="1"/>
  <c r="G219" i="4"/>
  <c r="I219" i="4" s="1"/>
  <c r="G218" i="4"/>
  <c r="I218" i="4" s="1"/>
  <c r="G217" i="4"/>
  <c r="I217" i="4" s="1"/>
  <c r="G216" i="4"/>
  <c r="I216" i="4" s="1"/>
  <c r="G215" i="4"/>
  <c r="I215" i="4" s="1"/>
  <c r="G214" i="4"/>
  <c r="I214" i="4" s="1"/>
  <c r="G213" i="4"/>
  <c r="I213" i="4" s="1"/>
  <c r="G212" i="4"/>
  <c r="I212" i="4" s="1"/>
  <c r="G211" i="4"/>
  <c r="I211" i="4" s="1"/>
  <c r="G210" i="4"/>
  <c r="I210" i="4" s="1"/>
  <c r="G209" i="4"/>
  <c r="I209" i="4" s="1"/>
  <c r="G208" i="4"/>
  <c r="I208" i="4" s="1"/>
  <c r="G207" i="4"/>
  <c r="I207" i="4" s="1"/>
  <c r="G206" i="4"/>
  <c r="I206" i="4" s="1"/>
  <c r="G205" i="4"/>
  <c r="I205" i="4" s="1"/>
  <c r="G204" i="4"/>
  <c r="I204" i="4" s="1"/>
  <c r="G203" i="4"/>
  <c r="I203" i="4" s="1"/>
  <c r="G202" i="4"/>
  <c r="I202" i="4" s="1"/>
  <c r="G201" i="4"/>
  <c r="I201" i="4" s="1"/>
  <c r="G200" i="4"/>
  <c r="I200" i="4" s="1"/>
  <c r="G199" i="4"/>
  <c r="I199" i="4" s="1"/>
  <c r="G198" i="4"/>
  <c r="I198" i="4" s="1"/>
  <c r="G197" i="4"/>
  <c r="I197" i="4" s="1"/>
  <c r="G196" i="4"/>
  <c r="I196" i="4" s="1"/>
  <c r="G195" i="4"/>
  <c r="I195" i="4" s="1"/>
  <c r="G194" i="4"/>
  <c r="I194" i="4" s="1"/>
  <c r="G193" i="4"/>
  <c r="I193" i="4" s="1"/>
  <c r="G192" i="4"/>
  <c r="I192" i="4" s="1"/>
  <c r="G191" i="4"/>
  <c r="I191" i="4" s="1"/>
  <c r="G190" i="4"/>
  <c r="I190" i="4" s="1"/>
  <c r="G189" i="4"/>
  <c r="I189" i="4" s="1"/>
  <c r="G188" i="4"/>
  <c r="I188" i="4" s="1"/>
  <c r="G187" i="4"/>
  <c r="I187" i="4" s="1"/>
  <c r="G186" i="4"/>
  <c r="I186" i="4" s="1"/>
  <c r="G185" i="4"/>
  <c r="I185" i="4" s="1"/>
  <c r="G184" i="4"/>
  <c r="I184" i="4" s="1"/>
  <c r="G183" i="4"/>
  <c r="I183" i="4" s="1"/>
  <c r="G182" i="4"/>
  <c r="I182" i="4" s="1"/>
  <c r="G181" i="4"/>
  <c r="I181" i="4" s="1"/>
  <c r="G180" i="4"/>
  <c r="I180" i="4" s="1"/>
  <c r="G179" i="4"/>
  <c r="I179" i="4" s="1"/>
  <c r="G178" i="4"/>
  <c r="I178" i="4" s="1"/>
  <c r="G177" i="4"/>
  <c r="I177" i="4" s="1"/>
  <c r="G176" i="4"/>
  <c r="I176" i="4" s="1"/>
  <c r="G175" i="4"/>
  <c r="I175" i="4" s="1"/>
  <c r="G174" i="4"/>
  <c r="I174" i="4" s="1"/>
  <c r="G173" i="4"/>
  <c r="I173" i="4" s="1"/>
  <c r="G172" i="4"/>
  <c r="I172" i="4" s="1"/>
  <c r="G171" i="4"/>
  <c r="I171" i="4" s="1"/>
  <c r="G170" i="4"/>
  <c r="I170" i="4" s="1"/>
  <c r="G169" i="4"/>
  <c r="I169" i="4" s="1"/>
  <c r="G168" i="4"/>
  <c r="I168" i="4" s="1"/>
  <c r="G167" i="4"/>
  <c r="I167" i="4" s="1"/>
  <c r="G166" i="4"/>
  <c r="I166" i="4" s="1"/>
  <c r="G165" i="4"/>
  <c r="I165" i="4" s="1"/>
  <c r="G164" i="4"/>
  <c r="I164" i="4" s="1"/>
  <c r="G163" i="4"/>
  <c r="I163" i="4" s="1"/>
  <c r="G162" i="4"/>
  <c r="I162" i="4" s="1"/>
  <c r="G161" i="4"/>
  <c r="I161" i="4" s="1"/>
  <c r="G160" i="4"/>
  <c r="I160" i="4" s="1"/>
  <c r="G159" i="4"/>
  <c r="I159" i="4" s="1"/>
  <c r="G158" i="4"/>
  <c r="I158" i="4" s="1"/>
  <c r="G157" i="4"/>
  <c r="I157" i="4" s="1"/>
  <c r="G156" i="4"/>
  <c r="I156" i="4" s="1"/>
  <c r="G155" i="4"/>
  <c r="I155" i="4" s="1"/>
  <c r="G154" i="4"/>
  <c r="I154" i="4" s="1"/>
  <c r="G153" i="4"/>
  <c r="I153" i="4" s="1"/>
  <c r="G152" i="4"/>
  <c r="I152" i="4" s="1"/>
  <c r="G151" i="4"/>
  <c r="I151" i="4" s="1"/>
  <c r="G150" i="4"/>
  <c r="I150" i="4" s="1"/>
  <c r="G149" i="4"/>
  <c r="I149" i="4" s="1"/>
  <c r="G148" i="4"/>
  <c r="I148" i="4" s="1"/>
  <c r="G147" i="4"/>
  <c r="I147" i="4" s="1"/>
  <c r="G146" i="4"/>
  <c r="I146" i="4" s="1"/>
  <c r="G145" i="4"/>
  <c r="I145" i="4" s="1"/>
  <c r="G144" i="4"/>
  <c r="I144" i="4" s="1"/>
  <c r="G143" i="4"/>
  <c r="I143" i="4" s="1"/>
  <c r="G142" i="4"/>
  <c r="I142" i="4" s="1"/>
  <c r="G141" i="4"/>
  <c r="I141" i="4" s="1"/>
  <c r="G140" i="4"/>
  <c r="I140" i="4" s="1"/>
  <c r="G139" i="4"/>
  <c r="I139" i="4" s="1"/>
  <c r="G138" i="4"/>
  <c r="I138" i="4" s="1"/>
  <c r="G137" i="4"/>
  <c r="I137" i="4" s="1"/>
  <c r="G136" i="4"/>
  <c r="I136" i="4" s="1"/>
  <c r="G135" i="4"/>
  <c r="I135" i="4" s="1"/>
  <c r="G134" i="4"/>
  <c r="I134" i="4" s="1"/>
  <c r="G133" i="4"/>
  <c r="I133" i="4" s="1"/>
  <c r="G132" i="4"/>
  <c r="I132" i="4" s="1"/>
  <c r="G131" i="4"/>
  <c r="I131" i="4" s="1"/>
  <c r="G130" i="4"/>
  <c r="I130" i="4" s="1"/>
  <c r="G129" i="4"/>
  <c r="I129" i="4" s="1"/>
  <c r="G128" i="4"/>
  <c r="I128" i="4" s="1"/>
  <c r="G127" i="4"/>
  <c r="I127" i="4" s="1"/>
  <c r="G126" i="4"/>
  <c r="I126" i="4" s="1"/>
  <c r="G125" i="4"/>
  <c r="I125" i="4" s="1"/>
  <c r="G124" i="4"/>
  <c r="I124" i="4" s="1"/>
  <c r="G123" i="4"/>
  <c r="I123" i="4" s="1"/>
  <c r="G122" i="4"/>
  <c r="I122" i="4" s="1"/>
  <c r="G121" i="4"/>
  <c r="I121" i="4" s="1"/>
  <c r="G120" i="4"/>
  <c r="I120" i="4" s="1"/>
  <c r="G119" i="4"/>
  <c r="I119" i="4" s="1"/>
  <c r="G118" i="4"/>
  <c r="I118" i="4" s="1"/>
  <c r="G117" i="4"/>
  <c r="I117" i="4" s="1"/>
  <c r="G116" i="4"/>
  <c r="I116" i="4" s="1"/>
  <c r="G115" i="4"/>
  <c r="I115" i="4" s="1"/>
  <c r="G114" i="4"/>
  <c r="I114" i="4" s="1"/>
  <c r="G113" i="4"/>
  <c r="I113" i="4" s="1"/>
  <c r="G112" i="4"/>
  <c r="I112" i="4" s="1"/>
  <c r="G111" i="4"/>
  <c r="I111" i="4" s="1"/>
  <c r="G110" i="4"/>
  <c r="I110" i="4" s="1"/>
  <c r="G109" i="4"/>
  <c r="I109" i="4" s="1"/>
  <c r="G108" i="4"/>
  <c r="I108" i="4" s="1"/>
  <c r="G107" i="4"/>
  <c r="I107" i="4" s="1"/>
  <c r="G106" i="4"/>
  <c r="I106" i="4" s="1"/>
  <c r="G105" i="4"/>
  <c r="I105" i="4" s="1"/>
  <c r="G104" i="4"/>
  <c r="I104" i="4" s="1"/>
  <c r="G103" i="4"/>
  <c r="I103" i="4" s="1"/>
  <c r="G102" i="4"/>
  <c r="I102" i="4" s="1"/>
  <c r="G101" i="4"/>
  <c r="I101" i="4" s="1"/>
  <c r="G100" i="4"/>
  <c r="I100" i="4" s="1"/>
  <c r="G99" i="4"/>
  <c r="I99" i="4" s="1"/>
  <c r="G98" i="4"/>
  <c r="I98" i="4" s="1"/>
  <c r="G97" i="4"/>
  <c r="I97" i="4" s="1"/>
  <c r="G96" i="4"/>
  <c r="I96" i="4" s="1"/>
  <c r="G95" i="4"/>
  <c r="I95" i="4" s="1"/>
  <c r="G94" i="4"/>
  <c r="I94" i="4" s="1"/>
  <c r="G93" i="4"/>
  <c r="I93" i="4" s="1"/>
  <c r="G92" i="4"/>
  <c r="I92" i="4" s="1"/>
  <c r="G91" i="4"/>
  <c r="I91" i="4" s="1"/>
  <c r="G90" i="4"/>
  <c r="I90" i="4" s="1"/>
  <c r="G89" i="4"/>
  <c r="I89" i="4" s="1"/>
  <c r="G88" i="4"/>
  <c r="I88" i="4" s="1"/>
  <c r="G87" i="4"/>
  <c r="I87" i="4" s="1"/>
  <c r="G86" i="4"/>
  <c r="I86" i="4" s="1"/>
  <c r="G85" i="4"/>
  <c r="I85" i="4" s="1"/>
  <c r="G84" i="4"/>
  <c r="I84" i="4" s="1"/>
  <c r="G83" i="4"/>
  <c r="I83" i="4" s="1"/>
  <c r="G82" i="4"/>
  <c r="I82" i="4" s="1"/>
  <c r="G81" i="4"/>
  <c r="I81" i="4" s="1"/>
  <c r="G80" i="4"/>
  <c r="I80" i="4" s="1"/>
  <c r="G79" i="4"/>
  <c r="I79" i="4" s="1"/>
  <c r="G78" i="4"/>
  <c r="I78" i="4" s="1"/>
  <c r="G77" i="4"/>
  <c r="I77" i="4" s="1"/>
  <c r="G76" i="4"/>
  <c r="I76" i="4" s="1"/>
  <c r="G75" i="4"/>
  <c r="I75" i="4" s="1"/>
  <c r="G74" i="4"/>
  <c r="I74" i="4" s="1"/>
  <c r="G73" i="4"/>
  <c r="I73" i="4" s="1"/>
  <c r="G72" i="4"/>
  <c r="I72" i="4" s="1"/>
  <c r="G71" i="4"/>
  <c r="I71" i="4" s="1"/>
  <c r="G70" i="4"/>
  <c r="I70" i="4" s="1"/>
  <c r="G69" i="4"/>
  <c r="I69" i="4" s="1"/>
  <c r="G68" i="4"/>
  <c r="I68" i="4" s="1"/>
  <c r="G67" i="4"/>
  <c r="I67" i="4" s="1"/>
  <c r="G66" i="4"/>
  <c r="I66" i="4" s="1"/>
  <c r="G65" i="4"/>
  <c r="I65" i="4" s="1"/>
  <c r="G64" i="4"/>
  <c r="I64" i="4" s="1"/>
  <c r="G63" i="4"/>
  <c r="I63" i="4" s="1"/>
  <c r="G62" i="4"/>
  <c r="I62" i="4" s="1"/>
  <c r="G61" i="4"/>
  <c r="I61" i="4" s="1"/>
  <c r="G60" i="4"/>
  <c r="I60" i="4" s="1"/>
  <c r="G59" i="4"/>
  <c r="I59" i="4" s="1"/>
  <c r="G58" i="4"/>
  <c r="I58" i="4" s="1"/>
  <c r="G57" i="4"/>
  <c r="I57" i="4" s="1"/>
  <c r="G56" i="4"/>
  <c r="I56" i="4" s="1"/>
  <c r="G55" i="4"/>
  <c r="I55" i="4" s="1"/>
  <c r="G54" i="4"/>
  <c r="I54" i="4" s="1"/>
  <c r="G53" i="4"/>
  <c r="I53" i="4" s="1"/>
  <c r="G52" i="4"/>
  <c r="I52" i="4" s="1"/>
  <c r="G51" i="4"/>
  <c r="I51" i="4" s="1"/>
  <c r="G50" i="4"/>
  <c r="I50" i="4" s="1"/>
  <c r="G49" i="4"/>
  <c r="I49" i="4" s="1"/>
  <c r="G48" i="4"/>
  <c r="I48" i="4" s="1"/>
  <c r="G47" i="4"/>
  <c r="I47" i="4" s="1"/>
  <c r="G46" i="4"/>
  <c r="I46" i="4" s="1"/>
  <c r="G45" i="4"/>
  <c r="I45" i="4" s="1"/>
  <c r="G44" i="4"/>
  <c r="I44" i="4" s="1"/>
  <c r="G43" i="4"/>
  <c r="I43" i="4" s="1"/>
  <c r="G42" i="4"/>
  <c r="I42" i="4" s="1"/>
  <c r="G41" i="4"/>
  <c r="I41" i="4" s="1"/>
  <c r="G40" i="4"/>
  <c r="I40" i="4" s="1"/>
  <c r="G39" i="4"/>
  <c r="I39" i="4" s="1"/>
  <c r="G38" i="4"/>
  <c r="I38" i="4" s="1"/>
  <c r="G37" i="4"/>
  <c r="I37" i="4" s="1"/>
  <c r="G36" i="4"/>
  <c r="I36" i="4" s="1"/>
  <c r="G35" i="4"/>
  <c r="I35" i="4" s="1"/>
  <c r="G34" i="4"/>
  <c r="I34" i="4" s="1"/>
  <c r="G33" i="4"/>
  <c r="I33" i="4" s="1"/>
  <c r="G32" i="4"/>
  <c r="I32" i="4" s="1"/>
  <c r="G31" i="4"/>
  <c r="I31" i="4" s="1"/>
  <c r="G30" i="4"/>
  <c r="I30" i="4" s="1"/>
  <c r="G29" i="4"/>
  <c r="I29" i="4" s="1"/>
  <c r="G28" i="4"/>
  <c r="I28" i="4" s="1"/>
  <c r="G27" i="4"/>
  <c r="I27" i="4" s="1"/>
  <c r="G26" i="4"/>
  <c r="I26" i="4" s="1"/>
  <c r="G25" i="4"/>
  <c r="I25" i="4" s="1"/>
  <c r="G24" i="4"/>
  <c r="I24" i="4" s="1"/>
  <c r="G23" i="4"/>
  <c r="I23" i="4" s="1"/>
  <c r="G22" i="4"/>
  <c r="I22" i="4" s="1"/>
  <c r="G21" i="4"/>
  <c r="I21" i="4" s="1"/>
  <c r="G20" i="4"/>
  <c r="I20" i="4" s="1"/>
  <c r="G19" i="4"/>
  <c r="I19" i="4" s="1"/>
  <c r="G18" i="4"/>
  <c r="I18" i="4" s="1"/>
  <c r="G17" i="4"/>
  <c r="I17" i="4" s="1"/>
  <c r="G16" i="4"/>
  <c r="I16" i="4" s="1"/>
  <c r="G15" i="4"/>
  <c r="I15" i="4" s="1"/>
  <c r="G14" i="4"/>
  <c r="I14" i="4" s="1"/>
  <c r="G13" i="4"/>
  <c r="I13" i="4" s="1"/>
  <c r="D23" i="1" s="1"/>
  <c r="G12" i="4"/>
  <c r="I12" i="4" s="1"/>
  <c r="D22" i="1" s="1"/>
  <c r="G11" i="4"/>
  <c r="I11" i="4" s="1"/>
  <c r="D21" i="1" s="1"/>
  <c r="G10" i="4"/>
  <c r="I10" i="4" s="1"/>
  <c r="D20" i="1" s="1"/>
  <c r="G9" i="4"/>
  <c r="I9" i="4" s="1"/>
  <c r="D19" i="1" s="1"/>
  <c r="G8" i="4"/>
  <c r="I8" i="4" s="1"/>
  <c r="D18" i="1" s="1"/>
  <c r="G7" i="4"/>
  <c r="I7" i="4" s="1"/>
  <c r="G6" i="4"/>
  <c r="I6" i="4" s="1"/>
  <c r="G5" i="4"/>
  <c r="I5" i="4" s="1"/>
  <c r="D16" i="1" s="1"/>
  <c r="G4" i="4"/>
  <c r="I4" i="4" s="1"/>
  <c r="D15" i="1" s="1"/>
  <c r="G3" i="4"/>
  <c r="I3" i="4" s="1"/>
  <c r="D14" i="1" s="1"/>
  <c r="B48" i="3"/>
  <c r="A48" i="3"/>
  <c r="D48" i="3" s="1"/>
  <c r="D47" i="3"/>
  <c r="B47" i="3"/>
  <c r="A47" i="3"/>
  <c r="C47" i="3" s="1"/>
  <c r="B46" i="3"/>
  <c r="A46" i="3"/>
  <c r="B45" i="3"/>
  <c r="A45" i="3"/>
  <c r="C45" i="3" s="1"/>
  <c r="C44" i="3"/>
  <c r="B44" i="3"/>
  <c r="A44" i="3"/>
  <c r="D44" i="3" s="1"/>
  <c r="B43" i="3"/>
  <c r="A43" i="3"/>
  <c r="D43" i="3" s="1"/>
  <c r="B42" i="3"/>
  <c r="A42" i="3"/>
  <c r="D42" i="3" s="1"/>
  <c r="B41" i="3"/>
  <c r="A41" i="3"/>
  <c r="B40" i="3"/>
  <c r="A40" i="3"/>
  <c r="D40" i="3" s="1"/>
  <c r="B39" i="3"/>
  <c r="A39" i="3"/>
  <c r="D39" i="3" s="1"/>
  <c r="B38" i="3"/>
  <c r="A38" i="3"/>
  <c r="D38" i="3" s="1"/>
  <c r="D37" i="3"/>
  <c r="B37" i="3"/>
  <c r="A37" i="3"/>
  <c r="C37" i="3" s="1"/>
  <c r="B36" i="3"/>
  <c r="A36" i="3"/>
  <c r="B35" i="3"/>
  <c r="A35" i="3"/>
  <c r="D35" i="3" s="1"/>
  <c r="B34" i="3"/>
  <c r="A34" i="3"/>
  <c r="D34" i="3" s="1"/>
  <c r="B33" i="3"/>
  <c r="A33" i="3"/>
  <c r="D33" i="3" s="1"/>
  <c r="D32" i="3"/>
  <c r="B32" i="3"/>
  <c r="A32" i="3"/>
  <c r="C32" i="3" s="1"/>
  <c r="B31" i="3"/>
  <c r="A31" i="3"/>
  <c r="D30" i="3"/>
  <c r="B30" i="3"/>
  <c r="A30" i="3"/>
  <c r="C30" i="3" s="1"/>
  <c r="B29" i="3"/>
  <c r="A29" i="3"/>
  <c r="D29" i="3" s="1"/>
  <c r="B28" i="3"/>
  <c r="A28" i="3"/>
  <c r="D28" i="3" s="1"/>
  <c r="D27" i="3"/>
  <c r="C27" i="3"/>
  <c r="B27" i="3"/>
  <c r="A27" i="3"/>
  <c r="B26" i="3"/>
  <c r="A26" i="3"/>
  <c r="D25" i="3"/>
  <c r="B25" i="3"/>
  <c r="A25" i="3"/>
  <c r="C25" i="3" s="1"/>
  <c r="B24" i="3"/>
  <c r="A24" i="3"/>
  <c r="D24" i="3" s="1"/>
  <c r="B23" i="3"/>
  <c r="A23" i="3"/>
  <c r="D23" i="3" s="1"/>
  <c r="D22" i="3"/>
  <c r="C22" i="3"/>
  <c r="B22" i="3"/>
  <c r="A22" i="3"/>
  <c r="B21" i="3"/>
  <c r="A21" i="3"/>
  <c r="D20" i="3"/>
  <c r="C20" i="3"/>
  <c r="B20" i="3"/>
  <c r="A20" i="3"/>
  <c r="B19" i="3"/>
  <c r="A19" i="3"/>
  <c r="D19" i="3" s="1"/>
  <c r="B18" i="3"/>
  <c r="A18" i="3"/>
  <c r="D18" i="3" s="1"/>
  <c r="B17" i="3"/>
  <c r="A17" i="3"/>
  <c r="C17" i="3" s="1"/>
  <c r="B16" i="3"/>
  <c r="A16" i="3"/>
  <c r="D15" i="3"/>
  <c r="B15" i="3"/>
  <c r="A15" i="3"/>
  <c r="C15" i="3" s="1"/>
  <c r="B14" i="3"/>
  <c r="A14" i="3"/>
  <c r="D14" i="3" s="1"/>
  <c r="B13" i="3"/>
  <c r="A13" i="3"/>
  <c r="D13" i="3" s="1"/>
  <c r="B12" i="3"/>
  <c r="A12" i="3"/>
  <c r="C12" i="3" s="1"/>
  <c r="B11" i="3"/>
  <c r="A11" i="3"/>
  <c r="D10" i="3"/>
  <c r="C10" i="3"/>
  <c r="B10" i="3"/>
  <c r="A10" i="3"/>
  <c r="B9" i="3"/>
  <c r="A9" i="3"/>
  <c r="D9" i="3" s="1"/>
  <c r="B8" i="3"/>
  <c r="A8" i="3"/>
  <c r="D8" i="3" s="1"/>
  <c r="A5" i="3"/>
  <c r="A1" i="3"/>
  <c r="C18" i="2"/>
  <c r="C19" i="2" s="1"/>
  <c r="C8" i="2"/>
  <c r="A4" i="2"/>
  <c r="E23" i="1"/>
  <c r="C23" i="1"/>
  <c r="B23" i="1"/>
  <c r="A23" i="1"/>
  <c r="E22" i="1"/>
  <c r="C22" i="1"/>
  <c r="B22" i="1"/>
  <c r="A22" i="1"/>
  <c r="E21" i="1"/>
  <c r="C21" i="1"/>
  <c r="B21" i="1"/>
  <c r="A21" i="1"/>
  <c r="E20" i="1"/>
  <c r="C20" i="1"/>
  <c r="B20" i="1"/>
  <c r="A20" i="1"/>
  <c r="E19" i="1"/>
  <c r="C19" i="1"/>
  <c r="B19" i="1"/>
  <c r="A19" i="1"/>
  <c r="E18" i="1"/>
  <c r="C18" i="1"/>
  <c r="B18" i="1"/>
  <c r="A18" i="1"/>
  <c r="E17" i="1"/>
  <c r="C17" i="1"/>
  <c r="B17" i="1"/>
  <c r="A17" i="1"/>
  <c r="E16" i="1"/>
  <c r="C16" i="1"/>
  <c r="B16" i="1"/>
  <c r="A16" i="1"/>
  <c r="E15" i="1"/>
  <c r="C15" i="1"/>
  <c r="B15" i="1"/>
  <c r="A15" i="1"/>
  <c r="E14" i="1"/>
  <c r="C14" i="1"/>
  <c r="B14" i="1"/>
  <c r="A14" i="1"/>
  <c r="E8" i="1"/>
  <c r="F21" i="14" l="1"/>
  <c r="C35" i="3"/>
  <c r="C42" i="3"/>
  <c r="E42" i="3" s="1"/>
  <c r="F42" i="3" s="1"/>
  <c r="D45" i="3"/>
  <c r="E45" i="3" s="1"/>
  <c r="F45" i="3" s="1"/>
  <c r="C39" i="3"/>
  <c r="K207" i="7"/>
  <c r="H503" i="6"/>
  <c r="C40" i="3"/>
  <c r="F10" i="12"/>
  <c r="I10" i="12" s="1"/>
  <c r="G11" i="13"/>
  <c r="F45" i="13"/>
  <c r="F35" i="13"/>
  <c r="J10" i="12"/>
  <c r="H17" i="13"/>
  <c r="H22" i="13"/>
  <c r="D35" i="13"/>
  <c r="H35" i="13"/>
  <c r="G36" i="13"/>
  <c r="D45" i="13"/>
  <c r="H45" i="13"/>
  <c r="G46" i="13"/>
  <c r="D11" i="13"/>
  <c r="E12" i="13"/>
  <c r="E19" i="13"/>
  <c r="D33" i="13"/>
  <c r="E36" i="13"/>
  <c r="D43" i="13"/>
  <c r="E46" i="13"/>
  <c r="A5" i="1"/>
  <c r="F3" i="12"/>
  <c r="I3" i="12" s="1"/>
  <c r="F6" i="12"/>
  <c r="I6" i="12" s="1"/>
  <c r="F7" i="12"/>
  <c r="J7" i="12" s="1"/>
  <c r="F8" i="12"/>
  <c r="I8" i="12" s="1"/>
  <c r="F9" i="12"/>
  <c r="I9" i="12" s="1"/>
  <c r="F5" i="12"/>
  <c r="I5" i="12" s="1"/>
  <c r="D10" i="13"/>
  <c r="C11" i="13"/>
  <c r="F11" i="13" s="1"/>
  <c r="H11" i="13" s="1"/>
  <c r="D12" i="13"/>
  <c r="G12" i="13"/>
  <c r="E15" i="13"/>
  <c r="E16" i="13"/>
  <c r="G16" i="13"/>
  <c r="D19" i="13"/>
  <c r="D20" i="13"/>
  <c r="F20" i="13"/>
  <c r="H20" i="13"/>
  <c r="E21" i="13"/>
  <c r="G21" i="13"/>
  <c r="F24" i="13"/>
  <c r="D25" i="13"/>
  <c r="F25" i="13"/>
  <c r="H25" i="13"/>
  <c r="E26" i="13"/>
  <c r="G26" i="13"/>
  <c r="D28" i="13"/>
  <c r="D30" i="13"/>
  <c r="F30" i="13"/>
  <c r="H30" i="13"/>
  <c r="E31" i="13"/>
  <c r="G31" i="13"/>
  <c r="C35" i="13"/>
  <c r="E35" i="13"/>
  <c r="D36" i="13"/>
  <c r="F36" i="13"/>
  <c r="H36" i="13"/>
  <c r="D38" i="13"/>
  <c r="D40" i="13"/>
  <c r="F40" i="13"/>
  <c r="H40" i="13"/>
  <c r="E41" i="13"/>
  <c r="G41" i="13"/>
  <c r="C45" i="13"/>
  <c r="E45" i="13"/>
  <c r="D46" i="13"/>
  <c r="F46" i="13"/>
  <c r="H46" i="13"/>
  <c r="C10" i="13"/>
  <c r="D15" i="13"/>
  <c r="F15" i="13" s="1"/>
  <c r="D16" i="13"/>
  <c r="C20" i="13"/>
  <c r="E20" i="13"/>
  <c r="D21" i="13"/>
  <c r="F21" i="13"/>
  <c r="H21" i="13"/>
  <c r="C25" i="13"/>
  <c r="E25" i="13"/>
  <c r="D26" i="13"/>
  <c r="F26" i="13"/>
  <c r="H26" i="13"/>
  <c r="C30" i="13"/>
  <c r="E30" i="13"/>
  <c r="D31" i="13"/>
  <c r="F31" i="13"/>
  <c r="H31" i="13"/>
  <c r="C40" i="13"/>
  <c r="E40" i="13"/>
  <c r="D41" i="13"/>
  <c r="F41" i="13"/>
  <c r="H41" i="13"/>
  <c r="B69" i="11"/>
  <c r="F68" i="11"/>
  <c r="F72" i="11"/>
  <c r="E22" i="3"/>
  <c r="F22" i="3" s="1"/>
  <c r="E27" i="3"/>
  <c r="F27" i="3" s="1"/>
  <c r="E30" i="3"/>
  <c r="F30" i="3" s="1"/>
  <c r="H8" i="9"/>
  <c r="I8" i="9" s="1"/>
  <c r="H13" i="9"/>
  <c r="I13" i="9" s="1"/>
  <c r="H14" i="9"/>
  <c r="I14" i="9" s="1"/>
  <c r="H28" i="9"/>
  <c r="I28" i="9" s="1"/>
  <c r="H29" i="9"/>
  <c r="I29" i="9" s="1"/>
  <c r="H33" i="9"/>
  <c r="I33" i="9" s="1"/>
  <c r="H34" i="9"/>
  <c r="I34" i="9" s="1"/>
  <c r="E35" i="3"/>
  <c r="F35" i="3" s="1"/>
  <c r="H3" i="9"/>
  <c r="I3" i="9" s="1"/>
  <c r="H5" i="9"/>
  <c r="I5" i="9" s="1"/>
  <c r="H6" i="9"/>
  <c r="I6" i="9" s="1"/>
  <c r="H9" i="9"/>
  <c r="I9" i="9" s="1"/>
  <c r="H12" i="9"/>
  <c r="I12" i="9" s="1"/>
  <c r="H16" i="9"/>
  <c r="I16" i="9" s="1"/>
  <c r="H17" i="9"/>
  <c r="I17" i="9" s="1"/>
  <c r="H20" i="9"/>
  <c r="I20" i="9" s="1"/>
  <c r="H21" i="9"/>
  <c r="I21" i="9" s="1"/>
  <c r="H25" i="9"/>
  <c r="I25" i="9" s="1"/>
  <c r="H36" i="9"/>
  <c r="I36" i="9" s="1"/>
  <c r="H37" i="9"/>
  <c r="I37" i="9" s="1"/>
  <c r="H38" i="9"/>
  <c r="I38" i="9" s="1"/>
  <c r="H39" i="9"/>
  <c r="I39" i="9" s="1"/>
  <c r="E20" i="3"/>
  <c r="F20" i="3" s="1"/>
  <c r="E10" i="3"/>
  <c r="F10" i="3" s="1"/>
  <c r="E15" i="3"/>
  <c r="F15" i="3" s="1"/>
  <c r="E25" i="3"/>
  <c r="F25" i="3" s="1"/>
  <c r="E32" i="3"/>
  <c r="F32" i="3" s="1"/>
  <c r="E37" i="3"/>
  <c r="F37" i="3" s="1"/>
  <c r="E39" i="3"/>
  <c r="F39" i="3" s="1"/>
  <c r="E40" i="3"/>
  <c r="F40" i="3" s="1"/>
  <c r="E47" i="3"/>
  <c r="F47" i="3" s="1"/>
  <c r="H4" i="9"/>
  <c r="I4" i="9" s="1"/>
  <c r="H7" i="9"/>
  <c r="I7" i="9" s="1"/>
  <c r="H10" i="9"/>
  <c r="I10" i="9" s="1"/>
  <c r="H11" i="9"/>
  <c r="I11" i="9" s="1"/>
  <c r="H15" i="9"/>
  <c r="I15" i="9" s="1"/>
  <c r="H18" i="9"/>
  <c r="I18" i="9" s="1"/>
  <c r="H19" i="9"/>
  <c r="I19" i="9" s="1"/>
  <c r="H23" i="9"/>
  <c r="I23" i="9" s="1"/>
  <c r="H24" i="9"/>
  <c r="I24" i="9" s="1"/>
  <c r="H26" i="9"/>
  <c r="I26" i="9" s="1"/>
  <c r="H27" i="9"/>
  <c r="I27" i="9" s="1"/>
  <c r="H30" i="9"/>
  <c r="I30" i="9" s="1"/>
  <c r="H31" i="9"/>
  <c r="I31" i="9" s="1"/>
  <c r="H35" i="9"/>
  <c r="I35" i="9" s="1"/>
  <c r="H40" i="9"/>
  <c r="I40" i="9" s="1"/>
  <c r="H41" i="9"/>
  <c r="I41" i="9" s="1"/>
  <c r="H42" i="9"/>
  <c r="I42" i="9" s="1"/>
  <c r="H43" i="9"/>
  <c r="I43" i="9" s="1"/>
  <c r="J3" i="12"/>
  <c r="L3" i="5"/>
  <c r="N3" i="5" s="1"/>
  <c r="C12" i="2"/>
  <c r="C13" i="2" s="1"/>
  <c r="D17" i="1"/>
  <c r="C7" i="2"/>
  <c r="C9" i="2" s="1"/>
  <c r="C34" i="3"/>
  <c r="E34" i="3" s="1"/>
  <c r="F34" i="3" s="1"/>
  <c r="D12" i="3"/>
  <c r="E12" i="3" s="1"/>
  <c r="F12" i="3" s="1"/>
  <c r="D17" i="3"/>
  <c r="E17" i="3" s="1"/>
  <c r="F17" i="3" s="1"/>
  <c r="D46" i="3"/>
  <c r="C46" i="3"/>
  <c r="D36" i="3"/>
  <c r="C36" i="3"/>
  <c r="E44" i="3"/>
  <c r="F44" i="3" s="1"/>
  <c r="B27" i="1"/>
  <c r="G582" i="4"/>
  <c r="D31" i="3"/>
  <c r="C31" i="3"/>
  <c r="I582" i="4"/>
  <c r="D41" i="3"/>
  <c r="C41" i="3"/>
  <c r="D26" i="3"/>
  <c r="C26" i="3"/>
  <c r="D11" i="3"/>
  <c r="C11" i="3"/>
  <c r="D16" i="3"/>
  <c r="C16" i="3"/>
  <c r="D21" i="3"/>
  <c r="C21" i="3"/>
  <c r="C29" i="3"/>
  <c r="E29" i="3" s="1"/>
  <c r="F29" i="3" s="1"/>
  <c r="C24" i="3"/>
  <c r="E24" i="3" s="1"/>
  <c r="F24" i="3" s="1"/>
  <c r="C9" i="3"/>
  <c r="E9" i="3" s="1"/>
  <c r="F9" i="3" s="1"/>
  <c r="C14" i="3"/>
  <c r="E14" i="3" s="1"/>
  <c r="F14" i="3" s="1"/>
  <c r="C19" i="3"/>
  <c r="E19" i="3" s="1"/>
  <c r="F19" i="3" s="1"/>
  <c r="C8" i="3"/>
  <c r="C13" i="3"/>
  <c r="E13" i="3" s="1"/>
  <c r="F13" i="3" s="1"/>
  <c r="C18" i="3"/>
  <c r="E18" i="3" s="1"/>
  <c r="F18" i="3" s="1"/>
  <c r="C23" i="3"/>
  <c r="E23" i="3" s="1"/>
  <c r="F23" i="3" s="1"/>
  <c r="C28" i="3"/>
  <c r="E28" i="3" s="1"/>
  <c r="F28" i="3" s="1"/>
  <c r="C33" i="3"/>
  <c r="E33" i="3" s="1"/>
  <c r="F33" i="3" s="1"/>
  <c r="C38" i="3"/>
  <c r="E38" i="3" s="1"/>
  <c r="F38" i="3" s="1"/>
  <c r="C43" i="3"/>
  <c r="E43" i="3" s="1"/>
  <c r="F43" i="3" s="1"/>
  <c r="C48" i="3"/>
  <c r="E48" i="3" s="1"/>
  <c r="F48" i="3" s="1"/>
  <c r="H22" i="9"/>
  <c r="H32" i="9"/>
  <c r="I32" i="9" s="1"/>
  <c r="F13" i="11"/>
  <c r="B21" i="11"/>
  <c r="D25" i="11"/>
  <c r="E28" i="11"/>
  <c r="D32" i="11"/>
  <c r="F36" i="11"/>
  <c r="F43" i="11"/>
  <c r="A48" i="11"/>
  <c r="G48" i="11" s="1"/>
  <c r="B51" i="11"/>
  <c r="A55" i="11"/>
  <c r="G55" i="11" s="1"/>
  <c r="C59" i="11"/>
  <c r="D62" i="11"/>
  <c r="F66" i="11"/>
  <c r="F70" i="11"/>
  <c r="C14" i="11"/>
  <c r="B18" i="11"/>
  <c r="C21" i="11"/>
  <c r="E25" i="11"/>
  <c r="D29" i="11"/>
  <c r="E32" i="11"/>
  <c r="F40" i="11"/>
  <c r="B48" i="11"/>
  <c r="D52" i="11"/>
  <c r="E55" i="11"/>
  <c r="D59" i="11"/>
  <c r="F63" i="11"/>
  <c r="D14" i="11"/>
  <c r="C18" i="11"/>
  <c r="D21" i="11"/>
  <c r="F25" i="11"/>
  <c r="E29" i="11"/>
  <c r="F32" i="11"/>
  <c r="A37" i="11"/>
  <c r="G37" i="11" s="1"/>
  <c r="C41" i="11"/>
  <c r="D44" i="11"/>
  <c r="C48" i="11"/>
  <c r="E52" i="11"/>
  <c r="F55" i="11"/>
  <c r="E59" i="11"/>
  <c r="A67" i="11"/>
  <c r="G67" i="11" s="1"/>
  <c r="A71" i="11"/>
  <c r="G71" i="11" s="1"/>
  <c r="E14" i="11"/>
  <c r="D18" i="11"/>
  <c r="F22" i="11"/>
  <c r="B30" i="11"/>
  <c r="A34" i="11"/>
  <c r="G34" i="11" s="1"/>
  <c r="B37" i="11"/>
  <c r="D41" i="11"/>
  <c r="C45" i="11"/>
  <c r="D48" i="11"/>
  <c r="F52" i="11"/>
  <c r="E56" i="11"/>
  <c r="F59" i="11"/>
  <c r="A64" i="11"/>
  <c r="G64" i="11" s="1"/>
  <c r="C68" i="11"/>
  <c r="E71" i="11"/>
  <c r="F8" i="11"/>
  <c r="F9" i="11" s="1"/>
  <c r="G12" i="11"/>
  <c r="B19" i="11"/>
  <c r="A26" i="11"/>
  <c r="C30" i="11"/>
  <c r="B34" i="11"/>
  <c r="C37" i="11"/>
  <c r="E41" i="11"/>
  <c r="D45" i="11"/>
  <c r="E48" i="11"/>
  <c r="B57" i="11"/>
  <c r="C60" i="11"/>
  <c r="B64" i="11"/>
  <c r="D68" i="11"/>
  <c r="F71" i="11"/>
  <c r="G23" i="13"/>
  <c r="F23" i="13"/>
  <c r="E23" i="13"/>
  <c r="H23" i="13"/>
  <c r="D23" i="13"/>
  <c r="C23" i="13"/>
  <c r="A16" i="11"/>
  <c r="C19" i="11"/>
  <c r="A23" i="11"/>
  <c r="C27" i="11"/>
  <c r="E30" i="11"/>
  <c r="C34" i="11"/>
  <c r="E38" i="11"/>
  <c r="F41" i="11"/>
  <c r="A46" i="11"/>
  <c r="G46" i="11" s="1"/>
  <c r="A53" i="11"/>
  <c r="G53" i="11" s="1"/>
  <c r="C57" i="11"/>
  <c r="B61" i="11"/>
  <c r="C64" i="11"/>
  <c r="E68" i="11"/>
  <c r="C16" i="11"/>
  <c r="D19" i="11"/>
  <c r="B23" i="11"/>
  <c r="D27" i="11"/>
  <c r="F30" i="11"/>
  <c r="A35" i="11"/>
  <c r="G35" i="11" s="1"/>
  <c r="F38" i="11"/>
  <c r="A42" i="11"/>
  <c r="G42" i="11" s="1"/>
  <c r="C46" i="11"/>
  <c r="A50" i="11"/>
  <c r="G50" i="11" s="1"/>
  <c r="B53" i="11"/>
  <c r="D57" i="11"/>
  <c r="C61" i="11"/>
  <c r="D64" i="11"/>
  <c r="D16" i="11"/>
  <c r="F20" i="11"/>
  <c r="F27" i="11"/>
  <c r="A32" i="11"/>
  <c r="G32" i="11" s="1"/>
  <c r="B35" i="11"/>
  <c r="B43" i="11"/>
  <c r="D46" i="11"/>
  <c r="B50" i="11"/>
  <c r="D54" i="11"/>
  <c r="F57" i="11"/>
  <c r="A62" i="11"/>
  <c r="G62" i="11" s="1"/>
  <c r="F65" i="11"/>
  <c r="E16" i="11"/>
  <c r="A24" i="11"/>
  <c r="B32" i="11"/>
  <c r="C35" i="11"/>
  <c r="B39" i="11"/>
  <c r="D43" i="11"/>
  <c r="E46" i="11"/>
  <c r="E54" i="11"/>
  <c r="B62" i="11"/>
  <c r="D70" i="11"/>
  <c r="A69" i="11"/>
  <c r="G69" i="11" s="1"/>
  <c r="E67" i="11"/>
  <c r="B66" i="11"/>
  <c r="F64" i="11"/>
  <c r="C63" i="11"/>
  <c r="D60" i="11"/>
  <c r="A59" i="11"/>
  <c r="G59" i="11" s="1"/>
  <c r="E57" i="11"/>
  <c r="B56" i="11"/>
  <c r="F54" i="11"/>
  <c r="C53" i="11"/>
  <c r="D50" i="11"/>
  <c r="A49" i="11"/>
  <c r="G49" i="11" s="1"/>
  <c r="E47" i="11"/>
  <c r="B46" i="11"/>
  <c r="F44" i="11"/>
  <c r="C43" i="11"/>
  <c r="D40" i="11"/>
  <c r="A39" i="11"/>
  <c r="G39" i="11" s="1"/>
  <c r="E37" i="11"/>
  <c r="B36" i="11"/>
  <c r="F34" i="11"/>
  <c r="C33" i="11"/>
  <c r="D30" i="11"/>
  <c r="A29" i="11"/>
  <c r="G29" i="11" s="1"/>
  <c r="E27" i="11"/>
  <c r="B26" i="11"/>
  <c r="F24" i="11"/>
  <c r="C23" i="11"/>
  <c r="D20" i="11"/>
  <c r="A19" i="11"/>
  <c r="E17" i="11"/>
  <c r="B16" i="11"/>
  <c r="F14" i="11"/>
  <c r="C13" i="11"/>
  <c r="A72" i="11"/>
  <c r="G72" i="11" s="1"/>
  <c r="E70" i="11"/>
  <c r="C71" i="11"/>
  <c r="E69" i="11"/>
  <c r="A68" i="11"/>
  <c r="G68" i="11" s="1"/>
  <c r="D66" i="11"/>
  <c r="B63" i="11"/>
  <c r="E61" i="11"/>
  <c r="A60" i="11"/>
  <c r="G60" i="11" s="1"/>
  <c r="D58" i="11"/>
  <c r="C55" i="11"/>
  <c r="F53" i="11"/>
  <c r="B52" i="11"/>
  <c r="E50" i="11"/>
  <c r="C47" i="11"/>
  <c r="F45" i="11"/>
  <c r="B44" i="11"/>
  <c r="E42" i="11"/>
  <c r="A41" i="11"/>
  <c r="G41" i="11" s="1"/>
  <c r="D39" i="11"/>
  <c r="C36" i="11"/>
  <c r="E34" i="11"/>
  <c r="A33" i="11"/>
  <c r="G33" i="11" s="1"/>
  <c r="D31" i="11"/>
  <c r="C28" i="11"/>
  <c r="F26" i="11"/>
  <c r="B25" i="11"/>
  <c r="E23" i="11"/>
  <c r="A22" i="11"/>
  <c r="C20" i="11"/>
  <c r="F18" i="11"/>
  <c r="B17" i="11"/>
  <c r="E15" i="11"/>
  <c r="A14" i="11"/>
  <c r="B71" i="11"/>
  <c r="D69" i="11"/>
  <c r="C66" i="11"/>
  <c r="E64" i="11"/>
  <c r="A63" i="11"/>
  <c r="G63" i="11" s="1"/>
  <c r="D61" i="11"/>
  <c r="C58" i="11"/>
  <c r="F56" i="11"/>
  <c r="B55" i="11"/>
  <c r="E53" i="11"/>
  <c r="A52" i="11"/>
  <c r="G52" i="11" s="1"/>
  <c r="C50" i="11"/>
  <c r="F48" i="11"/>
  <c r="B47" i="11"/>
  <c r="E45" i="11"/>
  <c r="A44" i="11"/>
  <c r="G44" i="11" s="1"/>
  <c r="D42" i="11"/>
  <c r="C39" i="11"/>
  <c r="F37" i="11"/>
  <c r="A36" i="11"/>
  <c r="G36" i="11" s="1"/>
  <c r="D34" i="11"/>
  <c r="C31" i="11"/>
  <c r="F29" i="11"/>
  <c r="B28" i="11"/>
  <c r="E26" i="11"/>
  <c r="A25" i="11"/>
  <c r="D23" i="11"/>
  <c r="F21" i="11"/>
  <c r="B20" i="11"/>
  <c r="E18" i="11"/>
  <c r="A17" i="11"/>
  <c r="D15" i="11"/>
  <c r="D71" i="11"/>
  <c r="F69" i="11"/>
  <c r="B68" i="11"/>
  <c r="E66" i="11"/>
  <c r="A65" i="11"/>
  <c r="G65" i="11" s="1"/>
  <c r="D63" i="11"/>
  <c r="F61" i="11"/>
  <c r="B60" i="11"/>
  <c r="E58" i="11"/>
  <c r="A57" i="11"/>
  <c r="G57" i="11" s="1"/>
  <c r="D55" i="11"/>
  <c r="C52" i="11"/>
  <c r="F50" i="11"/>
  <c r="B49" i="11"/>
  <c r="D47" i="11"/>
  <c r="C44" i="11"/>
  <c r="F42" i="11"/>
  <c r="B41" i="11"/>
  <c r="E39" i="11"/>
  <c r="A38" i="11"/>
  <c r="G38" i="11" s="1"/>
  <c r="D36" i="11"/>
  <c r="B33" i="11"/>
  <c r="E31" i="11"/>
  <c r="A30" i="11"/>
  <c r="G30" i="11" s="1"/>
  <c r="D28" i="11"/>
  <c r="C25" i="11"/>
  <c r="F23" i="11"/>
  <c r="B22" i="11"/>
  <c r="E20" i="11"/>
  <c r="C17" i="11"/>
  <c r="F15" i="11"/>
  <c r="B14" i="11"/>
  <c r="D72" i="11"/>
  <c r="A70" i="11"/>
  <c r="G70" i="11" s="1"/>
  <c r="D67" i="11"/>
  <c r="D65" i="11"/>
  <c r="F58" i="11"/>
  <c r="C56" i="11"/>
  <c r="B54" i="11"/>
  <c r="E51" i="11"/>
  <c r="E49" i="11"/>
  <c r="A47" i="11"/>
  <c r="G47" i="11" s="1"/>
  <c r="A45" i="11"/>
  <c r="G45" i="11" s="1"/>
  <c r="C40" i="11"/>
  <c r="C38" i="11"/>
  <c r="F35" i="11"/>
  <c r="F33" i="11"/>
  <c r="B31" i="11"/>
  <c r="B29" i="11"/>
  <c r="A27" i="11"/>
  <c r="D24" i="11"/>
  <c r="D22" i="11"/>
  <c r="C15" i="11"/>
  <c r="B13" i="11"/>
  <c r="C72" i="11"/>
  <c r="C67" i="11"/>
  <c r="C65" i="11"/>
  <c r="F62" i="11"/>
  <c r="F60" i="11"/>
  <c r="B58" i="11"/>
  <c r="A56" i="11"/>
  <c r="G56" i="11" s="1"/>
  <c r="A54" i="11"/>
  <c r="G54" i="11" s="1"/>
  <c r="D51" i="11"/>
  <c r="D49" i="11"/>
  <c r="C42" i="11"/>
  <c r="B40" i="11"/>
  <c r="B38" i="11"/>
  <c r="E35" i="11"/>
  <c r="E33" i="11"/>
  <c r="A31" i="11"/>
  <c r="G31" i="11" s="1"/>
  <c r="D26" i="11"/>
  <c r="C24" i="11"/>
  <c r="C22" i="11"/>
  <c r="F19" i="11"/>
  <c r="F17" i="11"/>
  <c r="B15" i="11"/>
  <c r="A13" i="11"/>
  <c r="B72" i="11"/>
  <c r="C69" i="11"/>
  <c r="B67" i="11"/>
  <c r="B65" i="11"/>
  <c r="E62" i="11"/>
  <c r="E60" i="11"/>
  <c r="A58" i="11"/>
  <c r="G58" i="11" s="1"/>
  <c r="D53" i="11"/>
  <c r="C51" i="11"/>
  <c r="C49" i="11"/>
  <c r="F46" i="11"/>
  <c r="E44" i="11"/>
  <c r="B42" i="11"/>
  <c r="A40" i="11"/>
  <c r="G40" i="11" s="1"/>
  <c r="D37" i="11"/>
  <c r="D35" i="11"/>
  <c r="D33" i="11"/>
  <c r="F28" i="11"/>
  <c r="C26" i="11"/>
  <c r="B24" i="11"/>
  <c r="E21" i="11"/>
  <c r="E19" i="11"/>
  <c r="D17" i="11"/>
  <c r="A15" i="11"/>
  <c r="E72" i="11"/>
  <c r="B70" i="11"/>
  <c r="F67" i="11"/>
  <c r="E65" i="11"/>
  <c r="E63" i="11"/>
  <c r="A61" i="11"/>
  <c r="G61" i="11" s="1"/>
  <c r="D56" i="11"/>
  <c r="C54" i="11"/>
  <c r="F51" i="11"/>
  <c r="F49" i="11"/>
  <c r="F47" i="11"/>
  <c r="B45" i="11"/>
  <c r="A43" i="11"/>
  <c r="G43" i="11" s="1"/>
  <c r="E40" i="11"/>
  <c r="D38" i="11"/>
  <c r="F31" i="11"/>
  <c r="C29" i="11"/>
  <c r="B27" i="11"/>
  <c r="E24" i="11"/>
  <c r="E22" i="11"/>
  <c r="A20" i="11"/>
  <c r="A18" i="11"/>
  <c r="D13" i="11"/>
  <c r="E13" i="11"/>
  <c r="F16" i="11"/>
  <c r="A21" i="11"/>
  <c r="A28" i="11"/>
  <c r="C32" i="11"/>
  <c r="E36" i="11"/>
  <c r="F39" i="11"/>
  <c r="E43" i="11"/>
  <c r="A51" i="11"/>
  <c r="G51" i="11" s="1"/>
  <c r="B59" i="11"/>
  <c r="C62" i="11"/>
  <c r="A66" i="11"/>
  <c r="G66" i="11" s="1"/>
  <c r="C70" i="11"/>
  <c r="F4" i="12"/>
  <c r="H39" i="13"/>
  <c r="G39" i="13"/>
  <c r="F39" i="13"/>
  <c r="E39" i="13"/>
  <c r="D39" i="13"/>
  <c r="C39" i="13"/>
  <c r="G18" i="13"/>
  <c r="F18" i="13"/>
  <c r="E18" i="13"/>
  <c r="H18" i="13"/>
  <c r="D18" i="13"/>
  <c r="C18" i="13"/>
  <c r="E13" i="13"/>
  <c r="D13" i="13"/>
  <c r="C13" i="13"/>
  <c r="G33" i="13"/>
  <c r="F33" i="13"/>
  <c r="E33" i="13"/>
  <c r="H33" i="13"/>
  <c r="G28" i="13"/>
  <c r="F28" i="13"/>
  <c r="E28" i="13"/>
  <c r="H28" i="13"/>
  <c r="H44" i="13"/>
  <c r="G44" i="13"/>
  <c r="E47" i="13"/>
  <c r="D47" i="13"/>
  <c r="C47" i="13"/>
  <c r="F47" i="13"/>
  <c r="G14" i="13"/>
  <c r="E14" i="13"/>
  <c r="H34" i="13"/>
  <c r="G34" i="13"/>
  <c r="E42" i="13"/>
  <c r="D42" i="13"/>
  <c r="C42" i="13"/>
  <c r="F42" i="13"/>
  <c r="C44" i="13"/>
  <c r="G9" i="13"/>
  <c r="E9" i="13"/>
  <c r="H29" i="13"/>
  <c r="G29" i="13"/>
  <c r="E37" i="13"/>
  <c r="D37" i="13"/>
  <c r="C37" i="13"/>
  <c r="F37" i="13"/>
  <c r="D44" i="13"/>
  <c r="G47" i="13"/>
  <c r="H24" i="13"/>
  <c r="G24" i="13"/>
  <c r="E32" i="13"/>
  <c r="D32" i="13"/>
  <c r="C32" i="13"/>
  <c r="F32" i="13"/>
  <c r="C34" i="13"/>
  <c r="G42" i="13"/>
  <c r="E44" i="13"/>
  <c r="H47" i="13"/>
  <c r="C9" i="13"/>
  <c r="D14" i="13"/>
  <c r="H19" i="13"/>
  <c r="G19" i="13"/>
  <c r="E27" i="13"/>
  <c r="D27" i="13"/>
  <c r="C27" i="13"/>
  <c r="F27" i="13"/>
  <c r="C29" i="13"/>
  <c r="D34" i="13"/>
  <c r="G37" i="13"/>
  <c r="H42" i="13"/>
  <c r="F44" i="13"/>
  <c r="D9" i="13"/>
  <c r="G15" i="13"/>
  <c r="E22" i="13"/>
  <c r="D22" i="13"/>
  <c r="C22" i="13"/>
  <c r="F22" i="13"/>
  <c r="C24" i="13"/>
  <c r="D29" i="13"/>
  <c r="G32" i="13"/>
  <c r="E34" i="13"/>
  <c r="H37" i="13"/>
  <c r="G43" i="13"/>
  <c r="F43" i="13"/>
  <c r="E43" i="13"/>
  <c r="H43" i="13"/>
  <c r="G10" i="13"/>
  <c r="E17" i="13"/>
  <c r="D17" i="13"/>
  <c r="C17" i="13"/>
  <c r="F17" i="13"/>
  <c r="C19" i="13"/>
  <c r="D24" i="13"/>
  <c r="G27" i="13"/>
  <c r="E29" i="13"/>
  <c r="H32" i="13"/>
  <c r="F34" i="13"/>
  <c r="G38" i="13"/>
  <c r="F38" i="13"/>
  <c r="E38" i="13"/>
  <c r="H38" i="13"/>
  <c r="L635" i="5" l="1"/>
  <c r="F16" i="13"/>
  <c r="H16" i="13" s="1"/>
  <c r="J9" i="12"/>
  <c r="I7" i="12"/>
  <c r="J6" i="12"/>
  <c r="J8" i="12"/>
  <c r="J5" i="12"/>
  <c r="C48" i="13"/>
  <c r="F12" i="13"/>
  <c r="H12" i="13" s="1"/>
  <c r="F10" i="13"/>
  <c r="H10" i="13" s="1"/>
  <c r="F13" i="13"/>
  <c r="H13" i="13" s="1"/>
  <c r="H15" i="13"/>
  <c r="F14" i="13"/>
  <c r="H14" i="13" s="1"/>
  <c r="E48" i="13"/>
  <c r="C5" i="1"/>
  <c r="D10" i="1"/>
  <c r="E31" i="3"/>
  <c r="F31" i="3" s="1"/>
  <c r="G13" i="11"/>
  <c r="G14" i="11" s="1"/>
  <c r="G15" i="11" s="1"/>
  <c r="G16" i="11" s="1"/>
  <c r="G17" i="11" s="1"/>
  <c r="G18" i="11" s="1"/>
  <c r="G19" i="11" s="1"/>
  <c r="G20" i="11" s="1"/>
  <c r="G21" i="11" s="1"/>
  <c r="G22" i="11" s="1"/>
  <c r="G23" i="11" s="1"/>
  <c r="G24" i="11" s="1"/>
  <c r="G25" i="11" s="1"/>
  <c r="G26" i="11" s="1"/>
  <c r="G27" i="11" s="1"/>
  <c r="G28" i="11" s="1"/>
  <c r="E26" i="3"/>
  <c r="F26" i="3" s="1"/>
  <c r="D49" i="3"/>
  <c r="B28" i="1"/>
  <c r="N635" i="5"/>
  <c r="I22" i="9"/>
  <c r="C8" i="1"/>
  <c r="A8" i="1"/>
  <c r="E8" i="3"/>
  <c r="C49" i="3"/>
  <c r="D48" i="13"/>
  <c r="E16" i="3"/>
  <c r="F16" i="3" s="1"/>
  <c r="E11" i="3"/>
  <c r="F11" i="3" s="1"/>
  <c r="C15" i="2"/>
  <c r="C21" i="2" s="1"/>
  <c r="C23" i="2" s="1"/>
  <c r="F9" i="13"/>
  <c r="E41" i="3"/>
  <c r="F41" i="3" s="1"/>
  <c r="E36" i="3"/>
  <c r="F36" i="3" s="1"/>
  <c r="J4" i="12"/>
  <c r="I4" i="12"/>
  <c r="E21" i="3"/>
  <c r="F21" i="3" s="1"/>
  <c r="E46" i="3"/>
  <c r="F46" i="3" s="1"/>
  <c r="G5" i="1" l="1"/>
  <c r="C24" i="2"/>
  <c r="F48" i="13"/>
  <c r="H6" i="13"/>
  <c r="H9" i="13"/>
  <c r="F5" i="3"/>
  <c r="F8" i="3"/>
  <c r="E49" i="3"/>
  <c r="F4" i="3"/>
  <c r="B29" i="1"/>
  <c r="H48" i="13" l="1"/>
  <c r="H5" i="13"/>
  <c r="I42" i="12" l="1"/>
  <c r="E5" i="1"/>
</calcChain>
</file>

<file path=xl/sharedStrings.xml><?xml version="1.0" encoding="utf-8"?>
<sst xmlns="http://schemas.openxmlformats.org/spreadsheetml/2006/main" count="6186" uniqueCount="1009">
  <si>
    <t>🐄 [Your Dairy Plant Name]   —   📊 Accounts Dashboard — all figures auto-calculate from your entries</t>
  </si>
  <si>
    <t>💰 TOTAL SALES</t>
  </si>
  <si>
    <t>📦 TOTAL PURCHASES</t>
  </si>
  <si>
    <t>📋 STOCK VALUE</t>
  </si>
  <si>
    <t>⚠️ LOW STOCK ITEMS</t>
  </si>
  <si>
    <t>📤 RECEIVABLES</t>
  </si>
  <si>
    <t>📥 PAYABLES</t>
  </si>
  <si>
    <t>👥 TOTAL PARTIES</t>
  </si>
  <si>
    <t>💰 DAYBOOK BALANCE</t>
  </si>
  <si>
    <t>📈 NET PROFIT / LOSS (Sales − Purchases):</t>
  </si>
  <si>
    <t>🕐 RECENT SALES</t>
  </si>
  <si>
    <t>Date</t>
  </si>
  <si>
    <t>Invoice</t>
  </si>
  <si>
    <t>Party</t>
  </si>
  <si>
    <t>Net Amount</t>
  </si>
  <si>
    <t>Status</t>
  </si>
  <si>
    <t>Metric</t>
  </si>
  <si>
    <t>Amount</t>
  </si>
  <si>
    <t>Total Sales</t>
  </si>
  <si>
    <t>Total Purchases</t>
  </si>
  <si>
    <t>Stock Value</t>
  </si>
  <si>
    <t>🐄 [Your Dairy Plant Name]   —   📈 Profit &amp; Loss Account — company financial status</t>
  </si>
  <si>
    <t>From Date ►</t>
  </si>
  <si>
    <t>To Date ►</t>
  </si>
  <si>
    <t>💰 INCOME</t>
  </si>
  <si>
    <t>Total Sales Revenue</t>
  </si>
  <si>
    <t>Other Income (from Daybook receipts)</t>
  </si>
  <si>
    <t>GROSS INCOME (A)</t>
  </si>
  <si>
    <t>📦 COST OF GOODS / PURCHASES</t>
  </si>
  <si>
    <t>Total Purchases (milk &amp; materials)</t>
  </si>
  <si>
    <t>TOTAL COST (B)</t>
  </si>
  <si>
    <t>GROSS PROFIT (A − B)</t>
  </si>
  <si>
    <t>💸 OPERATING EXPENSES (from Daybook Payments)</t>
  </si>
  <si>
    <t>Total Payments/Expenses</t>
  </si>
  <si>
    <t>TOTAL EXPENSES (C)</t>
  </si>
  <si>
    <t>🏆 NET PROFIT / (LOSS)  =  Gross Profit − Expenses</t>
  </si>
  <si>
    <t>Company Status:</t>
  </si>
  <si>
    <t>Net Profit Margin %:</t>
  </si>
  <si>
    <t>RECEIVABLES &amp; PAYABLES — party balances for selected period</t>
  </si>
  <si>
    <t>Total Receivable:</t>
  </si>
  <si>
    <t>Total Payable:</t>
  </si>
  <si>
    <t>Party Name</t>
  </si>
  <si>
    <t>Type</t>
  </si>
  <si>
    <t>Debit (Dr)</t>
  </si>
  <si>
    <t>Credit (Cr)</t>
  </si>
  <si>
    <t>Net Balance</t>
  </si>
  <si>
    <t>Class</t>
  </si>
  <si>
    <t>TOTALS ►</t>
  </si>
  <si>
    <t>💡 Change From/To Date — every party balance for that period recalculates. Positive = they owe you (Receivable). Negative = you owe them (Payable).</t>
  </si>
  <si>
    <t>💡 Total Receivable / Total Payable shown at top-right.</t>
  </si>
  <si>
    <t xml:space="preserve">Sales Entry — </t>
  </si>
  <si>
    <t>Invoice No</t>
  </si>
  <si>
    <t>Product</t>
  </si>
  <si>
    <t>Quantity</t>
  </si>
  <si>
    <t>Rate</t>
  </si>
  <si>
    <t>Discount %</t>
  </si>
  <si>
    <t>Payment Mode</t>
  </si>
  <si>
    <t>Remarks</t>
  </si>
  <si>
    <t>BILL-6001</t>
  </si>
  <si>
    <t>SRIJANA DAIRY (DEVI NAGAR)</t>
  </si>
  <si>
    <t>Mix Milk</t>
  </si>
  <si>
    <t>Credit</t>
  </si>
  <si>
    <t>Unpaid</t>
  </si>
  <si>
    <t>BILL-6002</t>
  </si>
  <si>
    <t xml:space="preserve">SOBHA BHATTARAI </t>
  </si>
  <si>
    <t>BILL-6003</t>
  </si>
  <si>
    <t>PALPALI</t>
  </si>
  <si>
    <t>BILL-6004</t>
  </si>
  <si>
    <t xml:space="preserve">AAMOSH KIRANA </t>
  </si>
  <si>
    <t>Cow Milk</t>
  </si>
  <si>
    <t>BILL-6005</t>
  </si>
  <si>
    <t xml:space="preserve">KRITIKA KIRANA </t>
  </si>
  <si>
    <t>BILL-6006</t>
  </si>
  <si>
    <t>MANAKAMANA DAIRY</t>
  </si>
  <si>
    <t>BILL-6007</t>
  </si>
  <si>
    <t xml:space="preserve">AAYUSH AAYUSHMA </t>
  </si>
  <si>
    <t>BILL-6008</t>
  </si>
  <si>
    <t xml:space="preserve">YUBARAJ AND SAMRAT </t>
  </si>
  <si>
    <t>BILL-6009</t>
  </si>
  <si>
    <t xml:space="preserve">SAMIKSHYA </t>
  </si>
  <si>
    <t>BILL-6010</t>
  </si>
  <si>
    <t>KRISHNA KHAREL</t>
  </si>
  <si>
    <t>BILL-6011</t>
  </si>
  <si>
    <t>CHHATRABHUMI</t>
  </si>
  <si>
    <t>BILL-6012</t>
  </si>
  <si>
    <t xml:space="preserve">DEURALI KIRANA </t>
  </si>
  <si>
    <t>BILL-6013</t>
  </si>
  <si>
    <t xml:space="preserve">GIRI KIRANA </t>
  </si>
  <si>
    <t>BILL-6014</t>
  </si>
  <si>
    <t>ORGANIC TARKALI</t>
  </si>
  <si>
    <t>BILL-6015</t>
  </si>
  <si>
    <t>SHARMA DAI</t>
  </si>
  <si>
    <t>Ghee</t>
  </si>
  <si>
    <t>NAUNI</t>
  </si>
  <si>
    <t>BILL-6016</t>
  </si>
  <si>
    <t>GANGA NEUPANE</t>
  </si>
  <si>
    <t>BILL-6017</t>
  </si>
  <si>
    <t>LOCAL</t>
  </si>
  <si>
    <t>BILL-6018</t>
  </si>
  <si>
    <t>BHUSAL JANARAL</t>
  </si>
  <si>
    <t>BILL-6019</t>
  </si>
  <si>
    <t>BILL-6020</t>
  </si>
  <si>
    <t>BILL-6021</t>
  </si>
  <si>
    <t>BILL-6022</t>
  </si>
  <si>
    <t>BILL-6023</t>
  </si>
  <si>
    <t>BILL-6024</t>
  </si>
  <si>
    <t>BILL-6025</t>
  </si>
  <si>
    <t>BILL-6026</t>
  </si>
  <si>
    <t>BILL-6027</t>
  </si>
  <si>
    <t>BILL-6028</t>
  </si>
  <si>
    <t>BILL-6029</t>
  </si>
  <si>
    <t>BILL-6030</t>
  </si>
  <si>
    <t>BILL-6031</t>
  </si>
  <si>
    <t>DURGA MALLA</t>
  </si>
  <si>
    <t>BILL-6032</t>
  </si>
  <si>
    <t>BILL-6033</t>
  </si>
  <si>
    <t>KALIKA CANTEEN A</t>
  </si>
  <si>
    <t>BILL-6034</t>
  </si>
  <si>
    <t>KALIKA CANTEEN A1</t>
  </si>
  <si>
    <t>BILL-6035</t>
  </si>
  <si>
    <t>BILL-6036</t>
  </si>
  <si>
    <t>BILL-6037</t>
  </si>
  <si>
    <t>BILL-6038</t>
  </si>
  <si>
    <t>BILL-6039</t>
  </si>
  <si>
    <t>BILL-6040</t>
  </si>
  <si>
    <t>BILL-6041</t>
  </si>
  <si>
    <t>BILL-6042</t>
  </si>
  <si>
    <t>BILL-6043</t>
  </si>
  <si>
    <t>BILL-6044</t>
  </si>
  <si>
    <t>BILL-6045</t>
  </si>
  <si>
    <t>BILL-6046</t>
  </si>
  <si>
    <t>BILL-6047</t>
  </si>
  <si>
    <t>BILL-6048</t>
  </si>
  <si>
    <t>BILL-6049</t>
  </si>
  <si>
    <t>BILL-6050</t>
  </si>
  <si>
    <t>BILL-6051</t>
  </si>
  <si>
    <t>BILL-6052</t>
  </si>
  <si>
    <t>BILL-6053</t>
  </si>
  <si>
    <t>BILL-6054</t>
  </si>
  <si>
    <t>BILL-6055</t>
  </si>
  <si>
    <t>BILL-6056</t>
  </si>
  <si>
    <t>NAWARAJ NEPAL</t>
  </si>
  <si>
    <t>BILL-6057</t>
  </si>
  <si>
    <t>BILL-6058</t>
  </si>
  <si>
    <t>BILL-6059</t>
  </si>
  <si>
    <t>BILL-6060</t>
  </si>
  <si>
    <t>BILL-6061</t>
  </si>
  <si>
    <t>BILL-6062</t>
  </si>
  <si>
    <t>BILL-6063</t>
  </si>
  <si>
    <t>BILL-6064</t>
  </si>
  <si>
    <t>BILL-6065</t>
  </si>
  <si>
    <t>BILL-6066</t>
  </si>
  <si>
    <t>BILL-6067</t>
  </si>
  <si>
    <t>BILL-6068</t>
  </si>
  <si>
    <t>BILL-6069</t>
  </si>
  <si>
    <t>LILADHAR GAUTAM</t>
  </si>
  <si>
    <t>BILL-6070</t>
  </si>
  <si>
    <t>BILL-6071</t>
  </si>
  <si>
    <t>BILL-6072</t>
  </si>
  <si>
    <t>BILL-6073</t>
  </si>
  <si>
    <t>BILL-6074</t>
  </si>
  <si>
    <t>PANEER</t>
  </si>
  <si>
    <t>BILL-6075</t>
  </si>
  <si>
    <t xml:space="preserve">NAR BAHADUR RANA </t>
  </si>
  <si>
    <t>BILL-6076</t>
  </si>
  <si>
    <t>BILL-6077</t>
  </si>
  <si>
    <t>BILL-6078</t>
  </si>
  <si>
    <t>BILL-6079</t>
  </si>
  <si>
    <t>BILL-6080</t>
  </si>
  <si>
    <t>BILL-6081</t>
  </si>
  <si>
    <t>BILL-6082</t>
  </si>
  <si>
    <t>BILL-6083</t>
  </si>
  <si>
    <t>BILL-6084</t>
  </si>
  <si>
    <t>BILL-6085</t>
  </si>
  <si>
    <t>BILL-6086</t>
  </si>
  <si>
    <t>BILL-6087</t>
  </si>
  <si>
    <t>BILL-6088</t>
  </si>
  <si>
    <t>BILL-6089</t>
  </si>
  <si>
    <t>BILL-6090</t>
  </si>
  <si>
    <t>BILL-6091</t>
  </si>
  <si>
    <t>BILL-6092</t>
  </si>
  <si>
    <t>BILL-6093</t>
  </si>
  <si>
    <t>BILL-6094</t>
  </si>
  <si>
    <t>BILL-6095</t>
  </si>
  <si>
    <t>BILL-6096</t>
  </si>
  <si>
    <t>BILL-6097</t>
  </si>
  <si>
    <t>BILL-6098</t>
  </si>
  <si>
    <t>BILL-6099</t>
  </si>
  <si>
    <t>BILL-6100</t>
  </si>
  <si>
    <t>BILL-6101</t>
  </si>
  <si>
    <t>BILL-6102</t>
  </si>
  <si>
    <t>BILL-6103</t>
  </si>
  <si>
    <t>KULCHANDRA GYAWALI</t>
  </si>
  <si>
    <t>BILL-6104</t>
  </si>
  <si>
    <t>BILL-6105</t>
  </si>
  <si>
    <t>BILL-6106</t>
  </si>
  <si>
    <t>BILL-6107</t>
  </si>
  <si>
    <t>BILL-6108</t>
  </si>
  <si>
    <t>BILL-6109</t>
  </si>
  <si>
    <t>BILL-6110</t>
  </si>
  <si>
    <t>BILL-6111</t>
  </si>
  <si>
    <t>BILL-6112</t>
  </si>
  <si>
    <t>BILL-6113</t>
  </si>
  <si>
    <t xml:space="preserve">DANDA PANI ACHARYA </t>
  </si>
  <si>
    <t>BILL-6114</t>
  </si>
  <si>
    <t>BILL-6115</t>
  </si>
  <si>
    <t>SUBHA MAYA STORE</t>
  </si>
  <si>
    <t>BILL-6116</t>
  </si>
  <si>
    <t>BILL-6117</t>
  </si>
  <si>
    <t>BIKRAM DHUNGANA</t>
  </si>
  <si>
    <t>BILL-6118</t>
  </si>
  <si>
    <t>NEUPANE KIRANA</t>
  </si>
  <si>
    <t>BILL-6119</t>
  </si>
  <si>
    <t>BILL-6120</t>
  </si>
  <si>
    <t>BILL-6121</t>
  </si>
  <si>
    <t>BILL-6122</t>
  </si>
  <si>
    <t>BILL-6123</t>
  </si>
  <si>
    <t>BILL-6124</t>
  </si>
  <si>
    <t>BILL-6125</t>
  </si>
  <si>
    <t>BILL-6126</t>
  </si>
  <si>
    <t>BILL-6127</t>
  </si>
  <si>
    <t>BILL-6128</t>
  </si>
  <si>
    <t>BILL-6129</t>
  </si>
  <si>
    <t>BILL-6130</t>
  </si>
  <si>
    <t>BILL-6131</t>
  </si>
  <si>
    <t>BILL-6132</t>
  </si>
  <si>
    <t>BILL-6133</t>
  </si>
  <si>
    <t>BILL-6134</t>
  </si>
  <si>
    <t>BILL-6135</t>
  </si>
  <si>
    <t>BILL-6136</t>
  </si>
  <si>
    <t>BILL-6137</t>
  </si>
  <si>
    <t>BILL-6138</t>
  </si>
  <si>
    <t>BILL-6139</t>
  </si>
  <si>
    <t>BILL-6140</t>
  </si>
  <si>
    <t>BILL-6141</t>
  </si>
  <si>
    <t>BILL-6142</t>
  </si>
  <si>
    <t>BILL-6143</t>
  </si>
  <si>
    <t>BILL-6144</t>
  </si>
  <si>
    <t>BILL-6145</t>
  </si>
  <si>
    <t>BILL-6146</t>
  </si>
  <si>
    <t>BILL-6147</t>
  </si>
  <si>
    <t>BILL-6148</t>
  </si>
  <si>
    <t>BILL-6149</t>
  </si>
  <si>
    <t>BILL-6150</t>
  </si>
  <si>
    <t>BILL-6151</t>
  </si>
  <si>
    <t>BILL-6152</t>
  </si>
  <si>
    <t>BILL-6153</t>
  </si>
  <si>
    <t>BILL-6154</t>
  </si>
  <si>
    <t>BILL-6155</t>
  </si>
  <si>
    <t>BILL-6156</t>
  </si>
  <si>
    <t>BILL-6157</t>
  </si>
  <si>
    <t>BILL-6158</t>
  </si>
  <si>
    <t>NEHA MISTHAN</t>
  </si>
  <si>
    <t>BILL-6159</t>
  </si>
  <si>
    <t>BILL-6160</t>
  </si>
  <si>
    <t>BILL-6161</t>
  </si>
  <si>
    <t>BILL-6162</t>
  </si>
  <si>
    <t>BILL-6163</t>
  </si>
  <si>
    <t>BILL-6164</t>
  </si>
  <si>
    <t>BILL-6165</t>
  </si>
  <si>
    <t>BILL-6166</t>
  </si>
  <si>
    <t>BILL-6167</t>
  </si>
  <si>
    <t>BILL-6168</t>
  </si>
  <si>
    <t>BILL-6169</t>
  </si>
  <si>
    <t>MEGHRAJ (MITERI)</t>
  </si>
  <si>
    <t>GHEE</t>
  </si>
  <si>
    <t>BILL-6170</t>
  </si>
  <si>
    <t>BILL-6171</t>
  </si>
  <si>
    <t>BILL-6172</t>
  </si>
  <si>
    <t>BILL-6173</t>
  </si>
  <si>
    <t>THE DARBAR</t>
  </si>
  <si>
    <t>BILL-6174</t>
  </si>
  <si>
    <t>BILL-6175</t>
  </si>
  <si>
    <t>BILL-6176</t>
  </si>
  <si>
    <t>BILL-6177</t>
  </si>
  <si>
    <t>BILL-6178</t>
  </si>
  <si>
    <t>BILL-6179</t>
  </si>
  <si>
    <t>BILL-6180</t>
  </si>
  <si>
    <t>BILL-6181</t>
  </si>
  <si>
    <t>BILL-6182</t>
  </si>
  <si>
    <t>BILL-6183</t>
  </si>
  <si>
    <t>BILL-6184</t>
  </si>
  <si>
    <t>BILL-6185</t>
  </si>
  <si>
    <t>BILL-6186</t>
  </si>
  <si>
    <t>BILL-6187</t>
  </si>
  <si>
    <t>BILL-6188</t>
  </si>
  <si>
    <t>BILL-6189</t>
  </si>
  <si>
    <t>BILL-6190</t>
  </si>
  <si>
    <t>BILL-6191</t>
  </si>
  <si>
    <t>BILL-6192</t>
  </si>
  <si>
    <t>INDRA BK</t>
  </si>
  <si>
    <t>BILL-6193</t>
  </si>
  <si>
    <t>BILL-6194</t>
  </si>
  <si>
    <t>BILL-6195</t>
  </si>
  <si>
    <t>BILL-6196</t>
  </si>
  <si>
    <t>BILL-6201</t>
  </si>
  <si>
    <t>BILL-6202</t>
  </si>
  <si>
    <t>BILL-6197</t>
  </si>
  <si>
    <t>BILL-6198</t>
  </si>
  <si>
    <t>BILL-6199</t>
  </si>
  <si>
    <t>BILL-6200</t>
  </si>
  <si>
    <t>BILL-6203</t>
  </si>
  <si>
    <t>BILL-6204</t>
  </si>
  <si>
    <t>BILL-6205</t>
  </si>
  <si>
    <t>BILL-6206</t>
  </si>
  <si>
    <t>BILL-6207</t>
  </si>
  <si>
    <t>BILL-6208</t>
  </si>
  <si>
    <t>BILL-6209</t>
  </si>
  <si>
    <t>BILL-6210</t>
  </si>
  <si>
    <t>BILL-6211</t>
  </si>
  <si>
    <t>BILL-6212</t>
  </si>
  <si>
    <t>BILL-6213</t>
  </si>
  <si>
    <t>BILL-6214</t>
  </si>
  <si>
    <t>BILL-6215</t>
  </si>
  <si>
    <t>BILL-6216</t>
  </si>
  <si>
    <t>BILL-6217</t>
  </si>
  <si>
    <t>BILL-6218</t>
  </si>
  <si>
    <t>BILL-6219</t>
  </si>
  <si>
    <t>BILL-6220</t>
  </si>
  <si>
    <t>BILL-6221</t>
  </si>
  <si>
    <t>BILL-6222</t>
  </si>
  <si>
    <t>BILL-6223</t>
  </si>
  <si>
    <t>BILL-6224</t>
  </si>
  <si>
    <t>BILL-6225</t>
  </si>
  <si>
    <t>BILL-6226</t>
  </si>
  <si>
    <t>BILL-6227</t>
  </si>
  <si>
    <t>BILL-6228</t>
  </si>
  <si>
    <t>BILL-6229</t>
  </si>
  <si>
    <t>BILL-6230</t>
  </si>
  <si>
    <t>BILL-6231</t>
  </si>
  <si>
    <t>BILL-6232</t>
  </si>
  <si>
    <t>BILL-6360</t>
  </si>
  <si>
    <t>BILL-6233</t>
  </si>
  <si>
    <t>BILL-6234</t>
  </si>
  <si>
    <t>BILL-6235</t>
  </si>
  <si>
    <t>BILL-6236</t>
  </si>
  <si>
    <t>BILL-6237</t>
  </si>
  <si>
    <t>BILL-6238</t>
  </si>
  <si>
    <t>BILL-6239</t>
  </si>
  <si>
    <t>BILL-6240</t>
  </si>
  <si>
    <t>BILL-6241</t>
  </si>
  <si>
    <t>BILL-6242</t>
  </si>
  <si>
    <t>BILL-6243</t>
  </si>
  <si>
    <t>BILL-6244</t>
  </si>
  <si>
    <t>BILL-6245</t>
  </si>
  <si>
    <t>BILL-6246</t>
  </si>
  <si>
    <t>BILL-6247</t>
  </si>
  <si>
    <t>PARSHURAM THARU</t>
  </si>
  <si>
    <t>DANA</t>
  </si>
  <si>
    <t>BILL-6248</t>
  </si>
  <si>
    <t>BILL-6249</t>
  </si>
  <si>
    <t>BILL-6250</t>
  </si>
  <si>
    <t>BILL-6251</t>
  </si>
  <si>
    <t>BILL-6252</t>
  </si>
  <si>
    <t>BILL-6253</t>
  </si>
  <si>
    <t>BILL-6254</t>
  </si>
  <si>
    <t>BILL-6255</t>
  </si>
  <si>
    <t>BILL-6256</t>
  </si>
  <si>
    <t>BILL-6257</t>
  </si>
  <si>
    <t>BILL-6258</t>
  </si>
  <si>
    <t>BILL-6259</t>
  </si>
  <si>
    <t>BILL-6260</t>
  </si>
  <si>
    <t>BILL-6261</t>
  </si>
  <si>
    <t>BILL-6262</t>
  </si>
  <si>
    <t>BILL-6263</t>
  </si>
  <si>
    <t>BILL-6264</t>
  </si>
  <si>
    <t>BILL-6265</t>
  </si>
  <si>
    <t>BILL-6266</t>
  </si>
  <si>
    <t>BILL-6267</t>
  </si>
  <si>
    <t>BILL-6268</t>
  </si>
  <si>
    <t>BILL-6269</t>
  </si>
  <si>
    <t>BILL-6270</t>
  </si>
  <si>
    <t>BILL-6271</t>
  </si>
  <si>
    <t>BILL-6272</t>
  </si>
  <si>
    <t>BILL-6273</t>
  </si>
  <si>
    <t>BILL-6274</t>
  </si>
  <si>
    <t>BILL-6275</t>
  </si>
  <si>
    <t>BILL-6276</t>
  </si>
  <si>
    <t>BILL-6277</t>
  </si>
  <si>
    <t>BILL-6278</t>
  </si>
  <si>
    <t>BILL-6279</t>
  </si>
  <si>
    <t>BILL-6280</t>
  </si>
  <si>
    <t>BILL-6281</t>
  </si>
  <si>
    <t>BILL-6282</t>
  </si>
  <si>
    <t>BILL-6283</t>
  </si>
  <si>
    <t>BILL-6284</t>
  </si>
  <si>
    <t>BILL-6285</t>
  </si>
  <si>
    <t>BILL-6286</t>
  </si>
  <si>
    <t>BILL-6287</t>
  </si>
  <si>
    <t>BILL-6288</t>
  </si>
  <si>
    <t>BILL-6289</t>
  </si>
  <si>
    <t>BILL-6290</t>
  </si>
  <si>
    <t>BILL-6291</t>
  </si>
  <si>
    <t>BILL-6292</t>
  </si>
  <si>
    <t>BILL-6293</t>
  </si>
  <si>
    <t>BILL-6294</t>
  </si>
  <si>
    <t>BILL-6295</t>
  </si>
  <si>
    <t>BILL-6296</t>
  </si>
  <si>
    <t>BILL-6297</t>
  </si>
  <si>
    <t>BILL-6298</t>
  </si>
  <si>
    <t>BILL-6299</t>
  </si>
  <si>
    <t>2083/03/32</t>
  </si>
  <si>
    <t>BILL-6300</t>
  </si>
  <si>
    <t xml:space="preserve">CANCELED </t>
  </si>
  <si>
    <t>BILL-6301</t>
  </si>
  <si>
    <t>BILL-6302</t>
  </si>
  <si>
    <t>BILL-6303</t>
  </si>
  <si>
    <t>BILL-6304</t>
  </si>
  <si>
    <t>BILL-6305</t>
  </si>
  <si>
    <t>BILL-6306</t>
  </si>
  <si>
    <t>BILL-6307</t>
  </si>
  <si>
    <t>BILL-6308</t>
  </si>
  <si>
    <t>BILL-6309</t>
  </si>
  <si>
    <t>BILL-6310</t>
  </si>
  <si>
    <t>BILL-6311</t>
  </si>
  <si>
    <t>BILL-6312</t>
  </si>
  <si>
    <t>BILL-6313</t>
  </si>
  <si>
    <t>BILL-6314</t>
  </si>
  <si>
    <t>SITA MALLA</t>
  </si>
  <si>
    <t>BILL-6315</t>
  </si>
  <si>
    <t>BILL-6316</t>
  </si>
  <si>
    <t>BILL-6317</t>
  </si>
  <si>
    <t>BILL-6318</t>
  </si>
  <si>
    <t>BILL-6319</t>
  </si>
  <si>
    <t>BILL-6338</t>
  </si>
  <si>
    <t>BILL-6339</t>
  </si>
  <si>
    <t xml:space="preserve">KAMALA </t>
  </si>
  <si>
    <t>BILL-6340</t>
  </si>
  <si>
    <t xml:space="preserve">SHANKAR KHAREL </t>
  </si>
  <si>
    <t>🐄 [Your Dairy Plant Name]   —   📦 Purchase Entry — milk &amp; raw material (auto FAT/SNF pricing)</t>
  </si>
  <si>
    <t>Bill No</t>
  </si>
  <si>
    <t>Supplier Name</t>
  </si>
  <si>
    <t>FAT %</t>
  </si>
  <si>
    <t>SNF %</t>
  </si>
  <si>
    <t>Extra/Unit</t>
  </si>
  <si>
    <t>Rate Type</t>
  </si>
  <si>
    <t>Fixed Rate</t>
  </si>
  <si>
    <t>Rate/Unit</t>
  </si>
  <si>
    <t>Transport</t>
  </si>
  <si>
    <t>BILL-5001</t>
  </si>
  <si>
    <t>SAI KRIPA KSS LTD</t>
  </si>
  <si>
    <t>FORMULA</t>
  </si>
  <si>
    <t>BILL-5002</t>
  </si>
  <si>
    <t xml:space="preserve">MODERN AGRO  -315 </t>
  </si>
  <si>
    <t>Buffalo Milk</t>
  </si>
  <si>
    <t>BILL-5003</t>
  </si>
  <si>
    <t>NAWA DURGA -317</t>
  </si>
  <si>
    <t>BILL-5004</t>
  </si>
  <si>
    <t>PARSURAM THARU -333</t>
  </si>
  <si>
    <t>BILL-5005</t>
  </si>
  <si>
    <t>MINA LAMICHHANE 322</t>
  </si>
  <si>
    <t>BILL-5006</t>
  </si>
  <si>
    <t>BASUDEV DAIRY 316</t>
  </si>
  <si>
    <t>FIXED</t>
  </si>
  <si>
    <t>BILL-5007</t>
  </si>
  <si>
    <t>SANA KISAN -311</t>
  </si>
  <si>
    <t>BILL-5008</t>
  </si>
  <si>
    <t>BILL-5009</t>
  </si>
  <si>
    <t>BILL-5010</t>
  </si>
  <si>
    <t>BILL-5011</t>
  </si>
  <si>
    <t>BILL-5012</t>
  </si>
  <si>
    <t>BILL-5013</t>
  </si>
  <si>
    <t>BILL-5014</t>
  </si>
  <si>
    <t>BILL-5015</t>
  </si>
  <si>
    <t>BILL-5016</t>
  </si>
  <si>
    <t>BILL-5017</t>
  </si>
  <si>
    <t>BILL-5018</t>
  </si>
  <si>
    <t>BILL-5019</t>
  </si>
  <si>
    <t>BILL-5020</t>
  </si>
  <si>
    <t>BILL-5021</t>
  </si>
  <si>
    <t>BILL-5022</t>
  </si>
  <si>
    <t>BILL-5023</t>
  </si>
  <si>
    <t>BILL-5024</t>
  </si>
  <si>
    <t>BILL-5025</t>
  </si>
  <si>
    <t>BILL-5026</t>
  </si>
  <si>
    <t>BILL-5027</t>
  </si>
  <si>
    <t>BILL-5028</t>
  </si>
  <si>
    <t>BILL-5029</t>
  </si>
  <si>
    <t>BILL-5030</t>
  </si>
  <si>
    <t>BILL-5031</t>
  </si>
  <si>
    <t>BILL-5032</t>
  </si>
  <si>
    <t>BILL-5033</t>
  </si>
  <si>
    <t>BILL-5034</t>
  </si>
  <si>
    <t>BILL-5035</t>
  </si>
  <si>
    <t>BILL-5036</t>
  </si>
  <si>
    <t>BILL-5037</t>
  </si>
  <si>
    <t>BILL-5038</t>
  </si>
  <si>
    <t>BILL-5039</t>
  </si>
  <si>
    <t>BILL-5040</t>
  </si>
  <si>
    <t>BILL-5041</t>
  </si>
  <si>
    <t>BILL-5042</t>
  </si>
  <si>
    <t>BILL-5043</t>
  </si>
  <si>
    <t>BILL-5044</t>
  </si>
  <si>
    <t>BILL-5045</t>
  </si>
  <si>
    <t>BILL-5046</t>
  </si>
  <si>
    <t>BILL-5047</t>
  </si>
  <si>
    <t>BILL-5048</t>
  </si>
  <si>
    <t>BILL-5049</t>
  </si>
  <si>
    <t>BILL-5050</t>
  </si>
  <si>
    <t>BILL-5051</t>
  </si>
  <si>
    <t>BILL-5052</t>
  </si>
  <si>
    <t>BILL-5053</t>
  </si>
  <si>
    <t>BILL-5054</t>
  </si>
  <si>
    <t>BILL-5055</t>
  </si>
  <si>
    <t>BILL-5056</t>
  </si>
  <si>
    <t>BILL-5057</t>
  </si>
  <si>
    <t>BILL-5058</t>
  </si>
  <si>
    <t>BILL-5059</t>
  </si>
  <si>
    <t>BILL-5060</t>
  </si>
  <si>
    <t>BILL-5061</t>
  </si>
  <si>
    <t>BILL-5062</t>
  </si>
  <si>
    <t>BILL-5063</t>
  </si>
  <si>
    <t>BILL-5064</t>
  </si>
  <si>
    <t>BILL-5065</t>
  </si>
  <si>
    <t>BILL-5066</t>
  </si>
  <si>
    <t>BILL-5067</t>
  </si>
  <si>
    <t>BILL-5068</t>
  </si>
  <si>
    <t>BILL-5069</t>
  </si>
  <si>
    <t>BILL-5070</t>
  </si>
  <si>
    <t>BILL-5071</t>
  </si>
  <si>
    <t>BILL-5072</t>
  </si>
  <si>
    <t>BILL-5073</t>
  </si>
  <si>
    <t>BILL-5074</t>
  </si>
  <si>
    <t>BILL-5075</t>
  </si>
  <si>
    <t>BILL-5076</t>
  </si>
  <si>
    <t>BILL-5077</t>
  </si>
  <si>
    <t>BILL-5078</t>
  </si>
  <si>
    <t>BODESH 310</t>
  </si>
  <si>
    <t>Raw Milk</t>
  </si>
  <si>
    <t>BILL-5079</t>
  </si>
  <si>
    <t>BILL-5080</t>
  </si>
  <si>
    <t>BILL-5081</t>
  </si>
  <si>
    <t>BILL-5082</t>
  </si>
  <si>
    <t>BILL-5083</t>
  </si>
  <si>
    <t>BILL-5084</t>
  </si>
  <si>
    <t>BILL-5085</t>
  </si>
  <si>
    <t>BILL-5086</t>
  </si>
  <si>
    <t>BILL-5087</t>
  </si>
  <si>
    <t>BILL-5088</t>
  </si>
  <si>
    <t>BILL-5089</t>
  </si>
  <si>
    <t>BILL-5090</t>
  </si>
  <si>
    <t>BILL-5091</t>
  </si>
  <si>
    <t>BILL-5092</t>
  </si>
  <si>
    <t>BILL-5093</t>
  </si>
  <si>
    <t>BILL-5094</t>
  </si>
  <si>
    <t>BILL-5095</t>
  </si>
  <si>
    <t>BILL-5096</t>
  </si>
  <si>
    <t>BILL-5097</t>
  </si>
  <si>
    <t>BILL-5098</t>
  </si>
  <si>
    <t>BILL-5099</t>
  </si>
  <si>
    <t>BILL-5100</t>
  </si>
  <si>
    <t>BILL-5101</t>
  </si>
  <si>
    <t>BILL-5102</t>
  </si>
  <si>
    <t>BILL-5103</t>
  </si>
  <si>
    <t>BILL-5104</t>
  </si>
  <si>
    <t>BILL-5105</t>
  </si>
  <si>
    <t>BILL-5106</t>
  </si>
  <si>
    <t>BILL-5107</t>
  </si>
  <si>
    <t>BILL-5108</t>
  </si>
  <si>
    <t>BILL-5109</t>
  </si>
  <si>
    <t>BILL-5110</t>
  </si>
  <si>
    <t>BILL-5111</t>
  </si>
  <si>
    <t>BILL-5112</t>
  </si>
  <si>
    <t>BILL-5113</t>
  </si>
  <si>
    <t>BILL-5114</t>
  </si>
  <si>
    <t>BILL-5115</t>
  </si>
  <si>
    <t>BILL-5116</t>
  </si>
  <si>
    <t>BILL-5117</t>
  </si>
  <si>
    <t>BILL-5118</t>
  </si>
  <si>
    <t>BILL-5119</t>
  </si>
  <si>
    <t>BILL-5120</t>
  </si>
  <si>
    <t>BILL-5121</t>
  </si>
  <si>
    <t>BILL-5122</t>
  </si>
  <si>
    <t>BILL-5123</t>
  </si>
  <si>
    <t>BILL-5124</t>
  </si>
  <si>
    <t>BILL-5125</t>
  </si>
  <si>
    <t>BILL-5126</t>
  </si>
  <si>
    <t>🐄 [Your Dairy Plant Name]   —   💵 Cash Collection — customer payments against invoices</t>
  </si>
  <si>
    <t>Receipt No</t>
  </si>
  <si>
    <t>Customer Name</t>
  </si>
  <si>
    <t>Against Bill</t>
  </si>
  <si>
    <t>Opening Due</t>
  </si>
  <si>
    <t>Collected</t>
  </si>
  <si>
    <t>Closing Due</t>
  </si>
  <si>
    <t>BANK DEPOSIT REGISTER — daily cash note-count record</t>
  </si>
  <si>
    <t>Total Deposited (period):</t>
  </si>
  <si>
    <t>1000</t>
  </si>
  <si>
    <t>500</t>
  </si>
  <si>
    <t>100</t>
  </si>
  <si>
    <t>50</t>
  </si>
  <si>
    <t>20</t>
  </si>
  <si>
    <t>10</t>
  </si>
  <si>
    <t>5</t>
  </si>
  <si>
    <t>2</t>
  </si>
  <si>
    <t>1</t>
  </si>
  <si>
    <t>Total (Rs)</t>
  </si>
  <si>
    <t>Bank/A-C/TO WHOM</t>
  </si>
  <si>
    <t>Slip No</t>
  </si>
  <si>
    <t>GRAND TOTAL ►</t>
  </si>
  <si>
    <t>💡 Each row = one day. Type the DATE, then the COUNT of each note/coin in the amber cells. Total (Rs) calculates automatically.</t>
  </si>
  <si>
    <t>💡 Column headers 1000,500,... = note/coin value. Fill Bank/A-C, Slip No &amp; Remarks for your record.</t>
  </si>
  <si>
    <t>💡 Set From/To Date at top to see the Total Deposited for any period (top-right).</t>
  </si>
  <si>
    <t>🐄 [Your Dairy Plant Name]   —   📒 Daybook — daily cash/bank register (Debit=outflow, Credit=inflow)</t>
  </si>
  <si>
    <t>Particulars</t>
  </si>
  <si>
    <t>Voucher Type</t>
  </si>
  <si>
    <t>Reference</t>
  </si>
  <si>
    <t>Balance</t>
  </si>
  <si>
    <t>Narration</t>
  </si>
  <si>
    <t>Opening Balance</t>
  </si>
  <si>
    <t>Opening</t>
  </si>
  <si>
    <t>Opening balance</t>
  </si>
  <si>
    <t>Sale</t>
  </si>
  <si>
    <t>Daily sales</t>
  </si>
  <si>
    <t>Purchase</t>
  </si>
  <si>
    <t>Daily purchases</t>
  </si>
  <si>
    <t>🐄 [Your Dairy Plant Name]   —   👥 Party Master — Customers &amp; Suppliers</t>
  </si>
  <si>
    <t>Phone</t>
  </si>
  <si>
    <t>Address</t>
  </si>
  <si>
    <t>Total Sales/Dr</t>
  </si>
  <si>
    <t>Total Recd/Cr</t>
  </si>
  <si>
    <t>Running Balance</t>
  </si>
  <si>
    <t>AAMOSH KIRANA</t>
  </si>
  <si>
    <t>Customer</t>
  </si>
  <si>
    <t>AAYUSH AAYUSHMA</t>
  </si>
  <si>
    <t>DANDA PANI ACHARYA</t>
  </si>
  <si>
    <t>DEURALI KIRANA</t>
  </si>
  <si>
    <t>GIRI KIRANA</t>
  </si>
  <si>
    <t>KRITIKA KIRANA</t>
  </si>
  <si>
    <t>NAR BAHADUR RANA</t>
  </si>
  <si>
    <t>SAMIKSHYA</t>
  </si>
  <si>
    <t>SOBHA BHATTARAI</t>
  </si>
  <si>
    <t>YUBARAJ AND SAMRAT</t>
  </si>
  <si>
    <t>Supplier</t>
  </si>
  <si>
    <t>MODERN AGRO  -315</t>
  </si>
  <si>
    <t>🐄 [Your Dairy Plant Name]   —   📊 Party Ledger — per-party running transactions</t>
  </si>
  <si>
    <t>Txn Type</t>
  </si>
  <si>
    <t>Description</t>
  </si>
  <si>
    <t>Debit</t>
  </si>
  <si>
    <t>MatchIdx</t>
  </si>
  <si>
    <t>Mix Milk sale</t>
  </si>
  <si>
    <t>Cow Milk sale</t>
  </si>
  <si>
    <t>Ghee sale</t>
  </si>
  <si>
    <t>Buffalo Milk purchase</t>
  </si>
  <si>
    <t>Raw Milk purchase</t>
  </si>
  <si>
    <t>NAUNI sale</t>
  </si>
  <si>
    <t>PANEER sale</t>
  </si>
  <si>
    <t>GHEE sale</t>
  </si>
  <si>
    <t>Cow Milk purchase</t>
  </si>
  <si>
    <t>DANA sale</t>
  </si>
  <si>
    <t>Mix Milk purchase</t>
  </si>
  <si>
    <t>PARTY LEDGER STATEMENT</t>
  </si>
  <si>
    <t>One</t>
  </si>
  <si>
    <t>Twenty</t>
  </si>
  <si>
    <t>Two</t>
  </si>
  <si>
    <t>Thirty</t>
  </si>
  <si>
    <t>Select Party ►</t>
  </si>
  <si>
    <t>Opening (b/f):</t>
  </si>
  <si>
    <t>Three</t>
  </si>
  <si>
    <t>Forty</t>
  </si>
  <si>
    <t>Period Debit:</t>
  </si>
  <si>
    <t>Four</t>
  </si>
  <si>
    <t>Fifty</t>
  </si>
  <si>
    <t>Period Credit:</t>
  </si>
  <si>
    <t>Five</t>
  </si>
  <si>
    <t>Sixty</t>
  </si>
  <si>
    <t>Closing Balance:</t>
  </si>
  <si>
    <t>Six</t>
  </si>
  <si>
    <t>Seventy</t>
  </si>
  <si>
    <t>Status:</t>
  </si>
  <si>
    <t>Seven</t>
  </si>
  <si>
    <t>Eighty</t>
  </si>
  <si>
    <t>Eight</t>
  </si>
  <si>
    <t>Ninety</t>
  </si>
  <si>
    <t>Nine</t>
  </si>
  <si>
    <t>Opening Balance (brought forward)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</si>
  <si>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</si>
  <si>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</si>
  <si>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</si>
  <si>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</si>
  <si>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</si>
  <si>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</si>
  <si>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</si>
  <si>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</si>
  <si>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</si>
  <si>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</si>
  <si>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Amount in Words ►</t>
  </si>
  <si>
    <t>🐄 [Your Dairy Plant Name]   —   📋 Stock Master — auto-updates from Sales &amp; Purchase entries</t>
  </si>
  <si>
    <t>Product Name</t>
  </si>
  <si>
    <t>Unit</t>
  </si>
  <si>
    <t>Opening Stock</t>
  </si>
  <si>
    <t>Purchases In</t>
  </si>
  <si>
    <t>Sales Out</t>
  </si>
  <si>
    <t>Current Stock</t>
  </si>
  <si>
    <t>Reorder Level</t>
  </si>
  <si>
    <t>Rate (Rs)</t>
  </si>
  <si>
    <t>Liter</t>
  </si>
  <si>
    <t>Kg</t>
  </si>
  <si>
    <t>TOTAL STOCK VALUE ►</t>
  </si>
  <si>
    <t>STOCK MOVEMENT &amp; VALUATION REPORT</t>
  </si>
  <si>
    <t>Total Closing Value:</t>
  </si>
  <si>
    <t>Low Stock Items:</t>
  </si>
  <si>
    <t>Closing Stock</t>
  </si>
  <si>
    <t>Closing Value</t>
  </si>
  <si>
    <t>💡 Change From/To Date above — opening stock carries forward automatically. Ctrl+P to print.</t>
  </si>
  <si>
    <t>Opening Stock = master opening + all purchases − all sales BEFORE the From Date.</t>
  </si>
  <si>
    <t>Authorized Signature</t>
  </si>
  <si>
    <t>TAX INVOICE</t>
  </si>
  <si>
    <t>Invoice No:</t>
  </si>
  <si>
    <t>Customer:</t>
  </si>
  <si>
    <t>Date:</t>
  </si>
  <si>
    <t>[Customer Name]</t>
  </si>
  <si>
    <t>[Address]</t>
  </si>
  <si>
    <t>[Phone]</t>
  </si>
  <si>
    <t>#</t>
  </si>
  <si>
    <t>Net</t>
  </si>
  <si>
    <t>Grand Total:</t>
  </si>
  <si>
    <t>Amount in Words: [Rupees ________________________]</t>
  </si>
  <si>
    <t>Terms: Goods once sold not returnable. Payment due within 15 days.</t>
  </si>
  <si>
    <t>🐄 [Your Dairy Plant Name]   —   ⚙️ Settings &amp; Master Data — edit lists here to update all dropdowns</t>
  </si>
  <si>
    <t>🏢 BUSINESS INFORMATION</t>
  </si>
  <si>
    <t>Business Name:</t>
  </si>
  <si>
    <t>[Your Dairy Plant Name]</t>
  </si>
  <si>
    <t>Address Line 1:</t>
  </si>
  <si>
    <t>Address Line 2:</t>
  </si>
  <si>
    <t>[City, District]</t>
  </si>
  <si>
    <t>Phone:</t>
  </si>
  <si>
    <t>[Phone Number]</t>
  </si>
  <si>
    <t>Email:</t>
  </si>
  <si>
    <t>[Email Address]</t>
  </si>
  <si>
    <t>PAN / VAT No:</t>
  </si>
  <si>
    <t>[PAN Number]</t>
  </si>
  <si>
    <t>Registration No:</t>
  </si>
  <si>
    <t>[Registration No]</t>
  </si>
  <si>
    <t>Currency:</t>
  </si>
  <si>
    <t>NPR (Rs.)</t>
  </si>
  <si>
    <t>📋 MASTER LISTS (add rows below each column to expand dropdowns)</t>
  </si>
  <si>
    <t>Units</t>
  </si>
  <si>
    <t>PayModes</t>
  </si>
  <si>
    <t>TxnTypes</t>
  </si>
  <si>
    <t>Products</t>
  </si>
  <si>
    <t>Statuses</t>
  </si>
  <si>
    <t>PartyTypes</t>
  </si>
  <si>
    <t>RateTypes</t>
  </si>
  <si>
    <t>Cash</t>
  </si>
  <si>
    <t>Paid</t>
  </si>
  <si>
    <t>Gram</t>
  </si>
  <si>
    <t>Bank Transfer</t>
  </si>
  <si>
    <t>Receipt</t>
  </si>
  <si>
    <t>Partial</t>
  </si>
  <si>
    <t>Both</t>
  </si>
  <si>
    <t>Piece</t>
  </si>
  <si>
    <t>Payment</t>
  </si>
  <si>
    <t>Curd (Dahi)</t>
  </si>
  <si>
    <t>Pending</t>
  </si>
  <si>
    <t>Packet</t>
  </si>
  <si>
    <t>Cheque</t>
  </si>
  <si>
    <t>Processed</t>
  </si>
  <si>
    <t>Box</t>
  </si>
  <si>
    <t>Card</t>
  </si>
  <si>
    <t>Adjustment</t>
  </si>
  <si>
    <t>Paneer</t>
  </si>
  <si>
    <t>Cancelled</t>
  </si>
  <si>
    <t>Carton</t>
  </si>
  <si>
    <t>Online</t>
  </si>
  <si>
    <t>Credit Note</t>
  </si>
  <si>
    <t>Butter</t>
  </si>
  <si>
    <t>Tin</t>
  </si>
  <si>
    <t>Debit Note</t>
  </si>
  <si>
    <t>Buttermilk</t>
  </si>
  <si>
    <t>🧮 MILK PRICING CONSTANTS</t>
  </si>
  <si>
    <t>FAT Rate Multiplier:</t>
  </si>
  <si>
    <t>SNF Rate Multiplier:</t>
  </si>
  <si>
    <t>Formula:</t>
  </si>
  <si>
    <t>Rate = (FAT% × 7.15) + (SNF% × 4.55) + Extra Per Unit</t>
  </si>
  <si>
    <t>📘 USER GUIDE — Read this first!  How to use this Dairy Accounting workbook</t>
  </si>
  <si>
    <t>🎨 COLOR GUIDE — how to know where to type</t>
  </si>
  <si>
    <t>AMBER / YELLOW cells</t>
  </si>
  <si>
    <t>👉 TYPE HERE. These are input cells — enter your data (dates, names, amounts, counts).</t>
  </si>
  <si>
    <t>GREEN cells</t>
  </si>
  <si>
    <t>Dropdown or result cell. Pick from list, or it shows an auto-calculated answer.</t>
  </si>
  <si>
    <t>WHITE cells with formulas</t>
  </si>
  <si>
    <t>⛔ DO NOT TYPE. These calculate automatically. Typing here breaks the math.</t>
  </si>
  <si>
    <t>DARK BLUE header / total rows</t>
  </si>
  <si>
    <t>Titles &amp; totals. Never edit — they are automatic.</t>
  </si>
  <si>
    <t>⭐ GOLDEN RULES (very important)</t>
  </si>
  <si>
    <t>1. You only need to type in TWO main sheets every day: SALES_ENTRY and PURCHASE_ENTRY. Almost everything else fills itself.</t>
  </si>
  <si>
    <t>2. Only type in AMBER cells. Leave WHITE formula cells alone — they auto-calculate.</t>
  </si>
  <si>
    <t>3. Dates use the Nepali BS calendar (e.g. 2083-03-16). Type the full date; it shows as 16-Mar-2083.</t>
  </si>
  <si>
    <t>4. When you finish typing, save the file. Reports (Party Statement, P&amp;L, Stock) update automatically.</t>
  </si>
  <si>
    <t>5. If a report looks blank, press F9 (or Fn+F9 on Mac) to recalculate, or reopen the file.</t>
  </si>
  <si>
    <t>📋 EVERY SHEET EXPLAINED — what it is for &amp; can you edit it?</t>
  </si>
  <si>
    <t>Sheet Name</t>
  </si>
  <si>
    <t>Type here?</t>
  </si>
  <si>
    <t>What it does</t>
  </si>
  <si>
    <t>How to use it</t>
  </si>
  <si>
    <t>Dashboard</t>
  </si>
  <si>
    <t>⛔ NO (auto)</t>
  </si>
  <si>
    <t>Business snapshot — key numbers &amp; charts.</t>
  </si>
  <si>
    <t>Just look. Everything here is automatic.</t>
  </si>
  <si>
    <t>Profit_Loss</t>
  </si>
  <si>
    <t>✏️ Partly</t>
  </si>
  <si>
    <t>Profit &amp; Loss for any period.</t>
  </si>
  <si>
    <t>Only change the From/To Date (amber). Rest is automatic.</t>
  </si>
  <si>
    <t>Receivable_Payable</t>
  </si>
  <si>
    <t>Who owes you &amp; whom you owe, for a period.</t>
  </si>
  <si>
    <t>Only change From/To Date (amber). Balances auto-calc.</t>
  </si>
  <si>
    <t>Sales_Entry</t>
  </si>
  <si>
    <t>✅ YES</t>
  </si>
  <si>
    <t>Record every sale (milk, ghee, etc.).</t>
  </si>
  <si>
    <t>TYPE each sale: Date, Invoice, Party, Product, Qty, Rate. Amount auto-calcs.</t>
  </si>
  <si>
    <t>Purchase_Entry</t>
  </si>
  <si>
    <t>Record every milk/material purchase.</t>
  </si>
  <si>
    <t>TYPE each bill: Date, Bill No, Supplier, Product, FAT, SNF, Qty. Rate auto-calcs.</t>
  </si>
  <si>
    <t>Cash_Collection</t>
  </si>
  <si>
    <t>Record customer payments received.</t>
  </si>
  <si>
    <t>TYPE: Date, Receipt No, Customer, Amount collected, Payment mode.</t>
  </si>
  <si>
    <t>Cash_Deposit</t>
  </si>
  <si>
    <t>Daily bank deposit note-count register.</t>
  </si>
  <si>
    <t>TYPE the Date + count of each note/coin. Total auto-calcs. Keeps full history.</t>
  </si>
  <si>
    <t>Daybook</t>
  </si>
  <si>
    <t>Daily cash/bank in-out register.</t>
  </si>
  <si>
    <t>TYPE cash movements. Or leave the auto daily totals as they are.</t>
  </si>
  <si>
    <t>Party_Master</t>
  </si>
  <si>
    <t>List of all customers &amp; suppliers.</t>
  </si>
  <si>
    <t>TYPE new party: Name, Type, Phone, Opening Balance. Balances auto-pull.</t>
  </si>
  <si>
    <t>Party_Ledger</t>
  </si>
  <si>
    <t>Every transaction per party w/ running balance.</t>
  </si>
  <si>
    <t>Auto-built from Sales, Purchase &amp; Cash sheets. Do not type here.</t>
  </si>
  <si>
    <t>Party_Statement</t>
  </si>
  <si>
    <t>Printable statement for one party.</t>
  </si>
  <si>
    <t>Pick Party (green dropdown) + From/To Date. Details fill automatically. Ctrl+P to print.</t>
  </si>
  <si>
    <t>Stock_Master</t>
  </si>
  <si>
    <t>Product list + opening stock &amp; rate.</t>
  </si>
  <si>
    <t>TYPE product, opening stock, rate. In/Out auto-pull from Sales &amp; Purchase.</t>
  </si>
  <si>
    <t>Stock_Statement</t>
  </si>
  <si>
    <t>Stock movement &amp; value for a period.</t>
  </si>
  <si>
    <t>Only change From/To Date (amber). Stock auto-calcs. Ctrl+P to print.</t>
  </si>
  <si>
    <t>Printable_Invoice</t>
  </si>
  <si>
    <t>Make a customer bill to print.</t>
  </si>
  <si>
    <t>TYPE customer + items. Ctrl+P or Save as PDF.</t>
  </si>
  <si>
    <t>Settings</t>
  </si>
  <si>
    <t>Business name, phone, PAN, master lists, milk rates.</t>
  </si>
  <si>
    <t>TYPE your business info &amp; lists here ONCE. Feeds all sheets &amp; dropdowns.</t>
  </si>
  <si>
    <t>README</t>
  </si>
  <si>
    <t>This guide.</t>
  </si>
  <si>
    <t>Just read.</t>
  </si>
  <si>
    <t>🗓️ YOUR SIMPLE DAILY ROUTINE</t>
  </si>
  <si>
    <t>STEP 1 — Open SALES_ENTRY. Add a row for every sale today (date, party, product, qty, rate).</t>
  </si>
  <si>
    <t>STEP 2 — Open PURCHASE_ENTRY. Add a row for every milk purchase (date, supplier, FAT, SNF, qty).</t>
  </si>
  <si>
    <t>STEP 3 — Open CASH_COLLECTION. Record any payments customers gave you today.</t>
  </si>
  <si>
    <t>STEP 4 — Open CASH_DEPOSIT. Count your notes/coins and type the counts before going to the bank.</t>
  </si>
  <si>
    <t>STEP 5 — Save the file. Done! Party Ledger, P&amp;L, Stock, Receivable/Payable all update by themselves.</t>
  </si>
  <si>
    <t>ANYTIME — To print a party statement: Party_Statement → pick party + dates → Ctrl+P.</t>
  </si>
  <si>
    <t>💡 HELPFUL TIPS</t>
  </si>
  <si>
    <t>•  Milk rate formula: (FAT × 7.15) + (SNF × 4.55) + Extra. Change these numbers in the SETTINGS sheet.</t>
  </si>
  <si>
    <t>•  Set the milk rate type per purchase: FORMULA (by FAT/SNF) or FIXED (a set price) in Purchase_Entry.</t>
  </si>
  <si>
    <t>•  All date-range reports need dates in BS format, e.g. 2083-03-20.</t>
  </si>
  <si>
    <t>•  Green dropdown cells: click the small arrow to pick from a list — do not type manually.</t>
  </si>
  <si>
    <t>•  Never delete columns or rows in the auto sheets (Party_Ledger, Dashboard) — it breaks formulas.</t>
  </si>
  <si>
    <t>•  Back up: keep a copy of this file each month (File → Save a Copy).</t>
  </si>
  <si>
    <t>S 5956</t>
  </si>
  <si>
    <t>Cream</t>
  </si>
  <si>
    <t>Dana</t>
  </si>
  <si>
    <t>S 5963</t>
  </si>
  <si>
    <t>3/32/2083</t>
  </si>
  <si>
    <t>BILL-6320</t>
  </si>
  <si>
    <t>BILL-6321</t>
  </si>
  <si>
    <t>BILL-6322</t>
  </si>
  <si>
    <t>BILL-6323</t>
  </si>
  <si>
    <t>BILL-6324</t>
  </si>
  <si>
    <t>BILL-6325</t>
  </si>
  <si>
    <t>BILL-6326</t>
  </si>
  <si>
    <t>BILL-6327</t>
  </si>
  <si>
    <t>BILL-6328</t>
  </si>
  <si>
    <t>BILL-6329</t>
  </si>
  <si>
    <t>BILL-6330</t>
  </si>
  <si>
    <t>BILL-6331</t>
  </si>
  <si>
    <t>BILL-6332</t>
  </si>
  <si>
    <t>BILL-6333</t>
  </si>
  <si>
    <t>BILL-6334</t>
  </si>
  <si>
    <t>BILL-6335</t>
  </si>
  <si>
    <t>BILL-6336</t>
  </si>
  <si>
    <t>BILL-6337</t>
  </si>
  <si>
    <t>PUSHPA ADHIKARI</t>
  </si>
  <si>
    <t>BILL-6341</t>
  </si>
  <si>
    <t>BILL-6342</t>
  </si>
  <si>
    <t>BILL-6343</t>
  </si>
  <si>
    <t>BILL-6344</t>
  </si>
  <si>
    <t>BILL-6345</t>
  </si>
  <si>
    <t>BILL-6346</t>
  </si>
  <si>
    <t>BILL-6347</t>
  </si>
  <si>
    <t>BILL-6348</t>
  </si>
  <si>
    <t>BILL-6349</t>
  </si>
  <si>
    <t>BILL-6350</t>
  </si>
  <si>
    <t>BILL-6351</t>
  </si>
  <si>
    <t>BILL-6352</t>
  </si>
  <si>
    <t>BILL-6353</t>
  </si>
  <si>
    <t>BILL-6354</t>
  </si>
  <si>
    <t>BILL-6355</t>
  </si>
  <si>
    <t>BILL-6356</t>
  </si>
  <si>
    <t>BILL-6357</t>
  </si>
  <si>
    <t>BILL-6358</t>
  </si>
  <si>
    <t>BILL-6359</t>
  </si>
  <si>
    <t>BILL-6361</t>
  </si>
  <si>
    <t>BILL-6362</t>
  </si>
  <si>
    <t>BILL-6363</t>
  </si>
  <si>
    <t>BILL-6364</t>
  </si>
  <si>
    <t>BILL-6365</t>
  </si>
  <si>
    <t>BILL-6366</t>
  </si>
  <si>
    <t>BILL-6367</t>
  </si>
  <si>
    <t>BILL-6368</t>
  </si>
  <si>
    <t>BILL-6369</t>
  </si>
  <si>
    <t>BILL-6370</t>
  </si>
  <si>
    <t>BILL-6371</t>
  </si>
  <si>
    <t>BILL-6372</t>
  </si>
  <si>
    <t>BILL-6373</t>
  </si>
  <si>
    <t>BILL-6374</t>
  </si>
  <si>
    <t>BILL-6375</t>
  </si>
  <si>
    <t>BILL-6376</t>
  </si>
  <si>
    <t>BILL-6377</t>
  </si>
  <si>
    <t>BILL-6378</t>
  </si>
  <si>
    <t>BILL-6379</t>
  </si>
  <si>
    <t>BILL-6380</t>
  </si>
  <si>
    <t>BILL-6381</t>
  </si>
  <si>
    <t>BILL-6382</t>
  </si>
  <si>
    <t>BILL-6383</t>
  </si>
  <si>
    <t>BILL-6384</t>
  </si>
  <si>
    <t>BILL-6385</t>
  </si>
  <si>
    <t>BILL-6386</t>
  </si>
  <si>
    <t>BILL-6387</t>
  </si>
  <si>
    <t>BILL-6388</t>
  </si>
  <si>
    <t>BILL-6389</t>
  </si>
  <si>
    <t>BILL-6390</t>
  </si>
  <si>
    <t>BILL-6391</t>
  </si>
  <si>
    <t>SITALA ARYAL</t>
  </si>
  <si>
    <t>BILL-6392</t>
  </si>
  <si>
    <t>BILL-6393</t>
  </si>
  <si>
    <t>BILL-6394</t>
  </si>
  <si>
    <t>BILL-6395</t>
  </si>
  <si>
    <t>BILL-6396</t>
  </si>
  <si>
    <t>BILL-6397</t>
  </si>
  <si>
    <t>BILL-6398</t>
  </si>
  <si>
    <t>BILL-6401</t>
  </si>
  <si>
    <t>BILL-6402</t>
  </si>
  <si>
    <t>BILL-6403</t>
  </si>
  <si>
    <t>BILL-6404</t>
  </si>
  <si>
    <t>BILL-6405</t>
  </si>
  <si>
    <t>BILL-6406</t>
  </si>
  <si>
    <t>BILL-6407</t>
  </si>
  <si>
    <t>BILL-6408</t>
  </si>
  <si>
    <t>BILL-6409</t>
  </si>
  <si>
    <t>BILL-6410</t>
  </si>
  <si>
    <t>BILL-6411</t>
  </si>
  <si>
    <t>BILL-6412</t>
  </si>
  <si>
    <t>BILL-6413</t>
  </si>
  <si>
    <t>BILL-6414</t>
  </si>
  <si>
    <t>BILL-6415</t>
  </si>
  <si>
    <t>BILL-6416</t>
  </si>
  <si>
    <t>BILL-6417</t>
  </si>
  <si>
    <t>BILL-6418</t>
  </si>
  <si>
    <t>BILL-6419</t>
  </si>
  <si>
    <t>BILL-6420</t>
  </si>
  <si>
    <t>BILL-6421</t>
  </si>
  <si>
    <t>BILL-6422</t>
  </si>
  <si>
    <t>BILL-6423</t>
  </si>
  <si>
    <t>BILL-6424</t>
  </si>
  <si>
    <t>BILL-6425</t>
  </si>
  <si>
    <t>BILL-6426</t>
  </si>
  <si>
    <t>BILL-6427</t>
  </si>
  <si>
    <t>BILL-6428</t>
  </si>
  <si>
    <t>BILL-6429</t>
  </si>
  <si>
    <t>BILL-6430</t>
  </si>
  <si>
    <t>BILL-6431</t>
  </si>
  <si>
    <t>BILL-6432</t>
  </si>
  <si>
    <t>BILL-6433</t>
  </si>
  <si>
    <t>BILL-6434</t>
  </si>
  <si>
    <t>BILL-6435</t>
  </si>
  <si>
    <t>BILL-6436</t>
  </si>
  <si>
    <t>BILL-6437</t>
  </si>
  <si>
    <t>BILL-6438</t>
  </si>
  <si>
    <t>BILL-6439</t>
  </si>
  <si>
    <t>BILL-6440</t>
  </si>
  <si>
    <t>BILL-6441</t>
  </si>
  <si>
    <t>BILL-6442</t>
  </si>
  <si>
    <t>BILL-6443</t>
  </si>
  <si>
    <t>BILL-6444</t>
  </si>
  <si>
    <t>BILL-6445</t>
  </si>
  <si>
    <t>BILL-6446</t>
  </si>
  <si>
    <t>BILL-6447</t>
  </si>
  <si>
    <t>BILL-6448</t>
  </si>
  <si>
    <t>BILL-6449</t>
  </si>
  <si>
    <t>BILL-6450</t>
  </si>
  <si>
    <t>BILL-6399</t>
  </si>
  <si>
    <t>BILL-6400</t>
  </si>
  <si>
    <t>BILL-6501</t>
  </si>
  <si>
    <t>BILL-6502</t>
  </si>
  <si>
    <t>NEHA MISTHAN BHANDAR</t>
  </si>
  <si>
    <t>BILL-6503</t>
  </si>
  <si>
    <t>BILL-6504</t>
  </si>
  <si>
    <t>BILL-6505</t>
  </si>
  <si>
    <t>BILL-6506</t>
  </si>
  <si>
    <t>BILL-6507</t>
  </si>
  <si>
    <t>BILL-6508</t>
  </si>
  <si>
    <t>BILL-6509</t>
  </si>
  <si>
    <t>BILL-6510</t>
  </si>
  <si>
    <t>BILL-6511</t>
  </si>
  <si>
    <t>BILL-6512</t>
  </si>
  <si>
    <t>BILL-6513</t>
  </si>
  <si>
    <t>BILL-6514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</si>
</sst>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Rs.&quot;\ * #,##0.00_-;\-&quot;Rs.&quot;\ * #,##0.00_-;_-&quot;Rs.&quot;\ * &quot;-&quot;_-"/>
    <numFmt numFmtId="165" formatCode="0.0%"/>
    <numFmt numFmtId="166" formatCode="0.0&quot;%&quot;"/>
    <numFmt numFmtId="167" formatCode="yyyy/mm/dd"/>
  </numFmts>
  <fonts count="68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4"/>
      <color rgb="FF1F3864"/>
      <name val="Calibri"/>
      <family val="2"/>
    </font>
    <font>
      <b/>
      <sz val="13"/>
      <color rgb="FF375623"/>
      <name val="Calibri"/>
      <family val="2"/>
    </font>
    <font>
      <b/>
      <sz val="16"/>
      <color rgb="FF1F3864"/>
      <name val="Calibri"/>
      <family val="2"/>
    </font>
    <font>
      <b/>
      <sz val="14"/>
      <color rgb="FFFFFFFF"/>
      <name val="Calibri"/>
      <family val="2"/>
    </font>
    <font>
      <b/>
      <sz val="12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1F3864"/>
      <name val="Calibri"/>
      <family val="2"/>
    </font>
    <font>
      <b/>
      <sz val="10"/>
      <color rgb="FF808080"/>
      <name val="Calibri"/>
      <family val="2"/>
    </font>
    <font>
      <b/>
      <sz val="12"/>
      <color rgb="FFFFFFFF"/>
      <name val="Calibri"/>
      <family val="2"/>
    </font>
    <font>
      <b/>
      <sz val="12"/>
      <color rgb="FF375623"/>
      <name val="Calibri"/>
      <family val="2"/>
    </font>
    <font>
      <b/>
      <sz val="10"/>
      <color rgb="FF375623"/>
      <name val="Calibri"/>
      <family val="2"/>
    </font>
    <font>
      <b/>
      <sz val="10"/>
      <color rgb="FF1F3864"/>
      <name val="Calibri"/>
      <family val="2"/>
    </font>
    <font>
      <b/>
      <sz val="9"/>
      <color rgb="FF808080"/>
      <name val="Calibri"/>
      <family val="2"/>
    </font>
    <font>
      <b/>
      <sz val="9"/>
      <color rgb="FF2E5496"/>
      <name val="Calibri"/>
      <family val="2"/>
    </font>
    <font>
      <b/>
      <sz val="11"/>
      <color rgb="FF375623"/>
      <name val="Calibri"/>
      <family val="2"/>
    </font>
    <font>
      <b/>
      <sz val="11"/>
      <color rgb="FFC00000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2"/>
      <color theme="0"/>
      <name val="Calibri"/>
      <family val="2"/>
      <scheme val="minor"/>
    </font>
    <font>
      <b/>
      <sz val="9"/>
      <color rgb="FF808080"/>
      <name val="Calibri"/>
      <family val="2"/>
    </font>
    <font>
      <sz val="10"/>
      <color rgb="FF000000"/>
      <name val="Calibri"/>
      <family val="2"/>
    </font>
    <font>
      <b/>
      <sz val="16"/>
      <color rgb="FF1F3864"/>
      <name val="Calibri"/>
      <family val="2"/>
    </font>
    <font>
      <b/>
      <sz val="13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1"/>
      <color rgb="FF2E7D32"/>
      <name val="Calibri"/>
      <family val="2"/>
    </font>
    <font>
      <b/>
      <sz val="9"/>
      <color rgb="FF2E75B6"/>
      <name val="Calibri"/>
      <family val="2"/>
    </font>
    <font>
      <b/>
      <sz val="9"/>
      <color rgb="FF808080"/>
      <name val="Calibri"/>
      <family val="2"/>
    </font>
    <font>
      <b/>
      <sz val="10"/>
      <color rgb="FF808080"/>
      <name val="Calibri"/>
      <family val="2"/>
    </font>
    <font>
      <b/>
      <sz val="11"/>
      <color rgb="FFC0392B"/>
      <name val="Calibri"/>
      <family val="2"/>
    </font>
    <font>
      <b/>
      <sz val="16"/>
      <color rgb="FF1F3864"/>
      <name val="Calibri"/>
      <family val="2"/>
    </font>
    <font>
      <b/>
      <sz val="13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color rgb="FF000000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FFFFFF"/>
      <name val="Calibri"/>
      <family val="2"/>
    </font>
    <font>
      <b/>
      <sz val="9"/>
      <color rgb="FFFFFFFF"/>
      <name val="Calibri"/>
      <family val="2"/>
    </font>
    <font>
      <b/>
      <sz val="12"/>
      <color rgb="FF2E7D32"/>
      <name val="Calibri"/>
      <family val="2"/>
    </font>
    <font>
      <b/>
      <sz val="9"/>
      <color rgb="FF2E75B6"/>
      <name val="Calibri"/>
      <family val="2"/>
    </font>
    <font>
      <b/>
      <sz val="9"/>
      <color rgb="FF808080"/>
      <name val="Calibri"/>
      <family val="2"/>
    </font>
    <font>
      <b/>
      <sz val="18"/>
      <color rgb="FF1F3864"/>
      <name val="Calibri"/>
      <family val="2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2"/>
      <color rgb="FFC0392B"/>
      <name val="Calibri"/>
      <family val="2"/>
    </font>
    <font>
      <b/>
      <sz val="10"/>
      <color rgb="FFFFFFFF"/>
      <name val="Calibri"/>
      <family val="2"/>
    </font>
    <font>
      <b/>
      <sz val="10"/>
      <color rgb="FF808080"/>
      <name val="Calibri"/>
      <family val="2"/>
    </font>
    <font>
      <b/>
      <sz val="10"/>
      <color rgb="FFB45309"/>
      <name val="Calibri"/>
      <family val="2"/>
    </font>
    <font>
      <b/>
      <sz val="10"/>
      <color rgb="FF2E7D32"/>
      <name val="Calibri"/>
      <family val="2"/>
    </font>
    <font>
      <b/>
      <sz val="12"/>
      <color rgb="FF2E7D32"/>
      <name val="Calibri"/>
      <family val="2"/>
    </font>
    <font>
      <b/>
      <sz val="12"/>
      <color rgb="FF2E75B6"/>
      <name val="Calibri"/>
      <family val="2"/>
    </font>
    <font>
      <b/>
      <sz val="11"/>
      <color rgb="FF1F3864"/>
      <name val="Calibri"/>
      <family val="2"/>
    </font>
    <font>
      <b/>
      <sz val="11"/>
      <color rgb="FF2E7D32"/>
      <name val="Calibri"/>
      <family val="2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6E0F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BF8F00"/>
      </patternFill>
    </fill>
    <fill>
      <patternFill patternType="solid">
        <fgColor rgb="FFC00000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DEEBF7"/>
      </patternFill>
    </fill>
    <fill>
      <patternFill patternType="solid">
        <fgColor rgb="FFFFF2CC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2" fillId="0" borderId="0" xfId="0" applyFont="1"/>
    <xf numFmtId="164" fontId="9" fillId="0" borderId="0" xfId="0" applyNumberFormat="1" applyFont="1"/>
    <xf numFmtId="0" fontId="5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3" borderId="0" xfId="0" applyFont="1" applyFill="1"/>
    <xf numFmtId="164" fontId="0" fillId="0" borderId="0" xfId="0" applyNumberFormat="1"/>
    <xf numFmtId="0" fontId="15" fillId="0" borderId="0" xfId="0" applyFont="1"/>
    <xf numFmtId="0" fontId="16" fillId="7" borderId="0" xfId="0" applyFont="1" applyFill="1"/>
    <xf numFmtId="0" fontId="0" fillId="7" borderId="0" xfId="0" applyFill="1"/>
    <xf numFmtId="0" fontId="4" fillId="0" borderId="1" xfId="0" applyFont="1" applyBorder="1" applyAlignment="1">
      <alignment horizontal="left" vertical="center" wrapText="1"/>
    </xf>
    <xf numFmtId="0" fontId="0" fillId="0" borderId="1" xfId="0" applyBorder="1"/>
    <xf numFmtId="164" fontId="4" fillId="0" borderId="1" xfId="0" applyNumberFormat="1" applyFont="1" applyBorder="1" applyAlignment="1">
      <alignment horizontal="right" vertical="center"/>
    </xf>
    <xf numFmtId="0" fontId="14" fillId="6" borderId="1" xfId="0" applyFont="1" applyFill="1" applyBorder="1" applyAlignment="1">
      <alignment horizontal="left" vertical="center" wrapText="1"/>
    </xf>
    <xf numFmtId="0" fontId="0" fillId="6" borderId="1" xfId="0" applyFill="1" applyBorder="1"/>
    <xf numFmtId="164" fontId="3" fillId="6" borderId="1" xfId="0" applyNumberFormat="1" applyFont="1" applyFill="1" applyBorder="1" applyAlignment="1">
      <alignment horizontal="right" vertical="center"/>
    </xf>
    <xf numFmtId="0" fontId="16" fillId="8" borderId="0" xfId="0" applyFont="1" applyFill="1"/>
    <xf numFmtId="0" fontId="0" fillId="8" borderId="0" xfId="0" applyFill="1"/>
    <xf numFmtId="0" fontId="14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164" fontId="3" fillId="5" borderId="1" xfId="0" applyNumberFormat="1" applyFont="1" applyFill="1" applyBorder="1" applyAlignment="1">
      <alignment horizontal="right" vertical="center"/>
    </xf>
    <xf numFmtId="0" fontId="14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164" fontId="3" fillId="4" borderId="1" xfId="0" applyNumberFormat="1" applyFont="1" applyFill="1" applyBorder="1" applyAlignment="1">
      <alignment horizontal="right" vertical="center"/>
    </xf>
    <xf numFmtId="0" fontId="16" fillId="9" borderId="0" xfId="0" applyFont="1" applyFill="1"/>
    <xf numFmtId="0" fontId="0" fillId="9" borderId="0" xfId="0" applyFill="1"/>
    <xf numFmtId="0" fontId="14" fillId="10" borderId="1" xfId="0" applyFont="1" applyFill="1" applyBorder="1" applyAlignment="1">
      <alignment horizontal="left" vertical="center" wrapText="1"/>
    </xf>
    <xf numFmtId="0" fontId="0" fillId="10" borderId="1" xfId="0" applyFill="1" applyBorder="1"/>
    <xf numFmtId="164" fontId="3" fillId="10" borderId="1" xfId="0" applyNumberFormat="1" applyFont="1" applyFill="1" applyBorder="1" applyAlignment="1">
      <alignment horizontal="right" vertical="center"/>
    </xf>
    <xf numFmtId="0" fontId="1" fillId="2" borderId="0" xfId="0" applyFont="1" applyFill="1"/>
    <xf numFmtId="0" fontId="0" fillId="2" borderId="0" xfId="0" applyFill="1"/>
    <xf numFmtId="164" fontId="11" fillId="2" borderId="0" xfId="0" applyNumberFormat="1" applyFont="1" applyFill="1" applyAlignment="1">
      <alignment horizontal="right" vertical="center"/>
    </xf>
    <xf numFmtId="0" fontId="3" fillId="0" borderId="0" xfId="0" applyFont="1"/>
    <xf numFmtId="0" fontId="12" fillId="0" borderId="0" xfId="0" applyFont="1" applyAlignment="1">
      <alignment horizontal="right" vertical="center"/>
    </xf>
    <xf numFmtId="165" fontId="12" fillId="0" borderId="0" xfId="0" applyNumberFormat="1" applyFont="1" applyAlignment="1">
      <alignment horizontal="right" vertical="center"/>
    </xf>
    <xf numFmtId="4" fontId="6" fillId="0" borderId="1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/>
    <xf numFmtId="0" fontId="5" fillId="2" borderId="1" xfId="0" applyFont="1" applyFill="1" applyBorder="1" applyAlignment="1">
      <alignment horizontal="right" vertical="center"/>
    </xf>
    <xf numFmtId="164" fontId="5" fillId="2" borderId="1" xfId="0" applyNumberFormat="1" applyFont="1" applyFill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164" fontId="0" fillId="0" borderId="1" xfId="0" applyNumberFormat="1" applyBorder="1"/>
    <xf numFmtId="0" fontId="14" fillId="0" borderId="0" xfId="0" applyFont="1"/>
    <xf numFmtId="0" fontId="14" fillId="0" borderId="1" xfId="0" applyFont="1" applyBorder="1"/>
    <xf numFmtId="164" fontId="14" fillId="0" borderId="1" xfId="0" applyNumberFormat="1" applyFont="1" applyBorder="1"/>
    <xf numFmtId="0" fontId="18" fillId="0" borderId="1" xfId="0" applyFont="1" applyBorder="1"/>
    <xf numFmtId="0" fontId="0" fillId="11" borderId="1" xfId="0" applyFill="1" applyBorder="1"/>
    <xf numFmtId="0" fontId="19" fillId="11" borderId="1" xfId="0" applyFont="1" applyFill="1" applyBorder="1"/>
    <xf numFmtId="164" fontId="19" fillId="11" borderId="1" xfId="0" applyNumberFormat="1" applyFont="1" applyFill="1" applyBorder="1"/>
    <xf numFmtId="0" fontId="20" fillId="0" borderId="0" xfId="0" applyFont="1"/>
    <xf numFmtId="0" fontId="21" fillId="0" borderId="0" xfId="0" applyFont="1"/>
    <xf numFmtId="0" fontId="13" fillId="0" borderId="0" xfId="0" applyFont="1"/>
    <xf numFmtId="164" fontId="22" fillId="0" borderId="0" xfId="0" applyNumberFormat="1" applyFont="1"/>
    <xf numFmtId="1" fontId="23" fillId="0" borderId="0" xfId="0" applyNumberFormat="1" applyFont="1"/>
    <xf numFmtId="4" fontId="5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12" fillId="0" borderId="0" xfId="0" applyFont="1"/>
    <xf numFmtId="164" fontId="2" fillId="0" borderId="0" xfId="0" applyNumberFormat="1" applyFont="1"/>
    <xf numFmtId="0" fontId="4" fillId="0" borderId="0" xfId="0" applyFont="1"/>
    <xf numFmtId="0" fontId="0" fillId="0" borderId="1" xfId="0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 wrapText="1"/>
    </xf>
    <xf numFmtId="2" fontId="25" fillId="0" borderId="1" xfId="0" applyNumberFormat="1" applyFont="1" applyBorder="1" applyAlignment="1">
      <alignment horizontal="center" vertical="center" wrapText="1"/>
    </xf>
    <xf numFmtId="164" fontId="25" fillId="0" borderId="1" xfId="0" applyNumberFormat="1" applyFont="1" applyBorder="1" applyAlignment="1">
      <alignment horizontal="center" vertical="center" wrapText="1"/>
    </xf>
    <xf numFmtId="4" fontId="25" fillId="0" borderId="1" xfId="0" applyNumberFormat="1" applyFont="1" applyBorder="1" applyAlignment="1">
      <alignment horizontal="center" vertical="center" wrapText="1"/>
    </xf>
    <xf numFmtId="0" fontId="24" fillId="0" borderId="0" xfId="0" applyFont="1"/>
    <xf numFmtId="0" fontId="26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 wrapText="1"/>
    </xf>
    <xf numFmtId="164" fontId="26" fillId="0" borderId="1" xfId="0" applyNumberFormat="1" applyFont="1" applyBorder="1" applyAlignment="1">
      <alignment horizontal="center" vertical="center" wrapText="1"/>
    </xf>
    <xf numFmtId="4" fontId="26" fillId="0" borderId="1" xfId="0" applyNumberFormat="1" applyFont="1" applyBorder="1" applyAlignment="1">
      <alignment horizontal="center" vertical="center" wrapText="1"/>
    </xf>
    <xf numFmtId="164" fontId="6" fillId="1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horizontal="center" vertical="center"/>
    </xf>
    <xf numFmtId="0" fontId="28" fillId="0" borderId="0" xfId="0" applyFont="1"/>
    <xf numFmtId="0" fontId="29" fillId="0" borderId="2" xfId="0" applyFont="1" applyBorder="1" applyAlignment="1">
      <alignment horizontal="center" vertical="center"/>
    </xf>
    <xf numFmtId="0" fontId="29" fillId="0" borderId="2" xfId="0" applyFont="1" applyBorder="1" applyAlignment="1">
      <alignment horizontal="left" vertical="center"/>
    </xf>
    <xf numFmtId="164" fontId="29" fillId="0" borderId="2" xfId="0" applyNumberFormat="1" applyFont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left" vertical="center"/>
    </xf>
    <xf numFmtId="164" fontId="29" fillId="13" borderId="2" xfId="0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4" fontId="6" fillId="0" borderId="2" xfId="0" applyNumberFormat="1" applyFont="1" applyBorder="1" applyAlignment="1">
      <alignment horizontal="center" vertical="center" wrapText="1"/>
    </xf>
    <xf numFmtId="0" fontId="32" fillId="0" borderId="0" xfId="0" applyFont="1"/>
    <xf numFmtId="0" fontId="33" fillId="14" borderId="3" xfId="0" applyFont="1" applyFill="1" applyBorder="1" applyAlignment="1">
      <alignment horizontal="center" vertical="center"/>
    </xf>
    <xf numFmtId="0" fontId="37" fillId="0" borderId="0" xfId="0" applyFont="1"/>
    <xf numFmtId="0" fontId="38" fillId="0" borderId="0" xfId="0" applyFont="1"/>
    <xf numFmtId="0" fontId="39" fillId="0" borderId="0" xfId="0" applyFont="1"/>
    <xf numFmtId="0" fontId="34" fillId="0" borderId="0" xfId="0" applyFont="1"/>
    <xf numFmtId="164" fontId="36" fillId="0" borderId="0" xfId="0" applyNumberFormat="1" applyFont="1"/>
    <xf numFmtId="164" fontId="40" fillId="0" borderId="0" xfId="0" applyNumberFormat="1" applyFont="1"/>
    <xf numFmtId="0" fontId="35" fillId="0" borderId="3" xfId="0" applyFont="1" applyBorder="1" applyAlignment="1">
      <alignment horizontal="left" vertical="center"/>
    </xf>
    <xf numFmtId="0" fontId="35" fillId="0" borderId="3" xfId="0" applyFont="1" applyBorder="1" applyAlignment="1">
      <alignment horizontal="center" vertical="center"/>
    </xf>
    <xf numFmtId="16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35" fillId="16" borderId="3" xfId="0" applyFont="1" applyFill="1" applyBorder="1" applyAlignment="1">
      <alignment horizontal="left" vertical="center"/>
    </xf>
    <xf numFmtId="0" fontId="35" fillId="16" borderId="3" xfId="0" applyFont="1" applyFill="1" applyBorder="1" applyAlignment="1">
      <alignment horizontal="center" vertical="center"/>
    </xf>
    <xf numFmtId="164" fontId="0" fillId="16" borderId="3" xfId="0" applyNumberFormat="1" applyFill="1" applyBorder="1" applyAlignment="1">
      <alignment horizontal="right" vertical="center"/>
    </xf>
    <xf numFmtId="0" fontId="0" fillId="16" borderId="3" xfId="0" applyFill="1" applyBorder="1" applyAlignment="1">
      <alignment horizontal="center" vertical="center"/>
    </xf>
    <xf numFmtId="0" fontId="33" fillId="14" borderId="3" xfId="0" applyFont="1" applyFill="1" applyBorder="1" applyAlignment="1">
      <alignment horizontal="right" vertical="center"/>
    </xf>
    <xf numFmtId="0" fontId="0" fillId="14" borderId="3" xfId="0" applyFill="1" applyBorder="1"/>
    <xf numFmtId="164" fontId="33" fillId="14" borderId="3" xfId="0" applyNumberFormat="1" applyFont="1" applyFill="1" applyBorder="1" applyAlignment="1">
      <alignment horizontal="right" vertical="center"/>
    </xf>
    <xf numFmtId="0" fontId="43" fillId="0" borderId="0" xfId="0" applyFont="1"/>
    <xf numFmtId="0" fontId="45" fillId="17" borderId="4" xfId="0" applyFont="1" applyFill="1" applyBorder="1" applyAlignment="1">
      <alignment horizontal="center" vertical="center"/>
    </xf>
    <xf numFmtId="0" fontId="46" fillId="18" borderId="4" xfId="0" applyFont="1" applyFill="1" applyBorder="1" applyAlignment="1">
      <alignment horizontal="center" vertical="center"/>
    </xf>
    <xf numFmtId="164" fontId="47" fillId="0" borderId="4" xfId="0" applyNumberFormat="1" applyFont="1" applyBorder="1" applyAlignment="1">
      <alignment horizontal="right" vertical="center"/>
    </xf>
    <xf numFmtId="0" fontId="46" fillId="0" borderId="4" xfId="0" applyFont="1" applyBorder="1" applyAlignment="1">
      <alignment horizontal="center" vertical="center"/>
    </xf>
    <xf numFmtId="0" fontId="46" fillId="0" borderId="4" xfId="0" applyFont="1" applyBorder="1" applyAlignment="1">
      <alignment horizontal="left" vertical="center"/>
    </xf>
    <xf numFmtId="164" fontId="47" fillId="19" borderId="4" xfId="0" applyNumberFormat="1" applyFont="1" applyFill="1" applyBorder="1" applyAlignment="1">
      <alignment horizontal="right" vertical="center"/>
    </xf>
    <xf numFmtId="0" fontId="46" fillId="19" borderId="4" xfId="0" applyFont="1" applyFill="1" applyBorder="1" applyAlignment="1">
      <alignment horizontal="center" vertical="center"/>
    </xf>
    <xf numFmtId="0" fontId="46" fillId="19" borderId="4" xfId="0" applyFont="1" applyFill="1" applyBorder="1" applyAlignment="1">
      <alignment horizontal="left" vertical="center"/>
    </xf>
    <xf numFmtId="3" fontId="49" fillId="17" borderId="4" xfId="0" applyNumberFormat="1" applyFont="1" applyFill="1" applyBorder="1" applyAlignment="1">
      <alignment horizontal="center" vertical="center"/>
    </xf>
    <xf numFmtId="164" fontId="48" fillId="17" borderId="4" xfId="0" applyNumberFormat="1" applyFont="1" applyFill="1" applyBorder="1" applyAlignment="1">
      <alignment horizontal="right" vertical="center"/>
    </xf>
    <xf numFmtId="0" fontId="0" fillId="17" borderId="4" xfId="0" applyFill="1" applyBorder="1"/>
    <xf numFmtId="0" fontId="51" fillId="0" borderId="0" xfId="0" applyFont="1"/>
    <xf numFmtId="0" fontId="52" fillId="0" borderId="0" xfId="0" applyFont="1"/>
    <xf numFmtId="0" fontId="7" fillId="17" borderId="4" xfId="0" applyFont="1" applyFill="1" applyBorder="1" applyAlignment="1">
      <alignment horizontal="center" vertical="center"/>
    </xf>
    <xf numFmtId="0" fontId="0" fillId="21" borderId="5" xfId="0" applyFill="1" applyBorder="1"/>
    <xf numFmtId="0" fontId="56" fillId="0" borderId="0" xfId="0" applyFont="1" applyAlignment="1">
      <alignment horizontal="left" vertical="center" wrapText="1"/>
    </xf>
    <xf numFmtId="0" fontId="0" fillId="22" borderId="5" xfId="0" applyFill="1" applyBorder="1"/>
    <xf numFmtId="0" fontId="0" fillId="23" borderId="5" xfId="0" applyFill="1" applyBorder="1"/>
    <xf numFmtId="0" fontId="0" fillId="20" borderId="5" xfId="0" applyFill="1" applyBorder="1"/>
    <xf numFmtId="0" fontId="59" fillId="20" borderId="5" xfId="0" applyFont="1" applyFill="1" applyBorder="1" applyAlignment="1">
      <alignment horizontal="center" vertical="center"/>
    </xf>
    <xf numFmtId="0" fontId="56" fillId="0" borderId="5" xfId="0" applyFont="1" applyBorder="1" applyAlignment="1">
      <alignment horizontal="left" vertical="center" wrapText="1"/>
    </xf>
    <xf numFmtId="0" fontId="60" fillId="25" borderId="5" xfId="0" applyFont="1" applyFill="1" applyBorder="1" applyAlignment="1">
      <alignment horizontal="center" vertical="center"/>
    </xf>
    <xf numFmtId="0" fontId="57" fillId="0" borderId="5" xfId="0" applyFont="1" applyBorder="1" applyAlignment="1">
      <alignment horizontal="left" vertical="center" wrapText="1"/>
    </xf>
    <xf numFmtId="0" fontId="61" fillId="21" borderId="5" xfId="0" applyFont="1" applyFill="1" applyBorder="1" applyAlignment="1">
      <alignment horizontal="center" vertical="center"/>
    </xf>
    <xf numFmtId="0" fontId="62" fillId="22" borderId="5" xfId="0" applyFont="1" applyFill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0" fillId="15" borderId="3" xfId="0" applyNumberFormat="1" applyFill="1" applyBorder="1" applyAlignment="1">
      <alignment horizontal="center" vertical="center"/>
    </xf>
    <xf numFmtId="167" fontId="26" fillId="0" borderId="1" xfId="0" applyNumberFormat="1" applyFont="1" applyBorder="1" applyAlignment="1">
      <alignment horizontal="center" vertical="center" wrapText="1"/>
    </xf>
    <xf numFmtId="167" fontId="25" fillId="0" borderId="1" xfId="0" applyNumberFormat="1" applyFont="1" applyBorder="1" applyAlignment="1">
      <alignment horizontal="center" vertical="center" wrapText="1"/>
    </xf>
    <xf numFmtId="167" fontId="0" fillId="18" borderId="4" xfId="0" applyNumberFormat="1" applyFill="1" applyBorder="1" applyAlignment="1">
      <alignment horizontal="center" vertical="center"/>
    </xf>
    <xf numFmtId="167" fontId="0" fillId="0" borderId="4" xfId="0" applyNumberFormat="1" applyBorder="1" applyAlignment="1">
      <alignment horizontal="center" vertical="center"/>
    </xf>
    <xf numFmtId="167" fontId="0" fillId="19" borderId="4" xfId="0" applyNumberFormat="1" applyFill="1" applyBorder="1" applyAlignment="1">
      <alignment horizontal="center" vertical="center"/>
    </xf>
    <xf numFmtId="167" fontId="48" fillId="17" borderId="4" xfId="0" applyNumberFormat="1" applyFont="1" applyFill="1" applyBorder="1" applyAlignment="1">
      <alignment horizontal="right" vertical="center"/>
    </xf>
    <xf numFmtId="167" fontId="0" fillId="5" borderId="1" xfId="0" applyNumberFormat="1" applyFill="1" applyBorder="1" applyAlignment="1">
      <alignment horizontal="center" vertical="center" wrapText="1"/>
    </xf>
    <xf numFmtId="167" fontId="29" fillId="0" borderId="2" xfId="0" applyNumberFormat="1" applyFont="1" applyBorder="1" applyAlignment="1">
      <alignment horizontal="center" vertical="center"/>
    </xf>
    <xf numFmtId="167" fontId="29" fillId="13" borderId="2" xfId="0" applyNumberFormat="1" applyFont="1" applyFill="1" applyBorder="1" applyAlignment="1">
      <alignment horizontal="center" vertical="center"/>
    </xf>
    <xf numFmtId="167" fontId="0" fillId="0" borderId="0" xfId="0" applyNumberFormat="1"/>
    <xf numFmtId="0" fontId="67" fillId="2" borderId="1" xfId="0" applyFont="1" applyFill="1" applyBorder="1" applyAlignment="1">
      <alignment horizontal="center" vertical="center"/>
    </xf>
    <xf numFmtId="14" fontId="26" fillId="0" borderId="1" xfId="0" applyNumberFormat="1" applyFont="1" applyBorder="1" applyAlignment="1">
      <alignment horizontal="center" vertical="center" wrapText="1"/>
    </xf>
    <xf numFmtId="14" fontId="0" fillId="5" borderId="1" xfId="0" applyNumberFormat="1" applyFill="1" applyBorder="1" applyAlignment="1">
      <alignment horizontal="center" vertical="center" wrapText="1"/>
    </xf>
    <xf numFmtId="167" fontId="6" fillId="0" borderId="6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4" fontId="6" fillId="0" borderId="6" xfId="0" applyNumberFormat="1" applyFont="1" applyBorder="1" applyAlignment="1">
      <alignment horizontal="center" vertical="center" wrapText="1"/>
    </xf>
    <xf numFmtId="164" fontId="6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4" fontId="13" fillId="0" borderId="6" xfId="0" applyNumberFormat="1" applyFont="1" applyBorder="1" applyAlignment="1">
      <alignment horizontal="center" vertical="center" wrapText="1"/>
    </xf>
    <xf numFmtId="164" fontId="13" fillId="0" borderId="6" xfId="0" applyNumberFormat="1" applyFont="1" applyBorder="1" applyAlignment="1">
      <alignment horizontal="center" vertical="center" wrapText="1"/>
    </xf>
    <xf numFmtId="164" fontId="8" fillId="4" borderId="0" xfId="0" applyNumberFormat="1" applyFont="1" applyFill="1" applyAlignment="1">
      <alignment horizontal="center" vertical="center" wrapText="1"/>
    </xf>
    <xf numFmtId="0" fontId="0" fillId="0" borderId="0" xfId="0"/>
    <xf numFmtId="1" fontId="8" fillId="5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8" fillId="6" borderId="0" xfId="0" applyNumberFormat="1" applyFont="1" applyFill="1" applyAlignment="1">
      <alignment horizontal="center" vertical="center" wrapText="1"/>
    </xf>
    <xf numFmtId="1" fontId="8" fillId="4" borderId="0" xfId="0" applyNumberFormat="1" applyFont="1" applyFill="1" applyAlignment="1">
      <alignment horizontal="center" vertical="center" wrapText="1"/>
    </xf>
    <xf numFmtId="164" fontId="8" fillId="5" borderId="0" xfId="0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31" fillId="14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44" fillId="0" borderId="0" xfId="0" applyFont="1" applyAlignment="1">
      <alignment horizontal="right" vertical="center"/>
    </xf>
    <xf numFmtId="164" fontId="50" fillId="0" borderId="0" xfId="0" applyNumberFormat="1" applyFont="1" applyAlignment="1">
      <alignment horizontal="left" vertical="center"/>
    </xf>
    <xf numFmtId="0" fontId="42" fillId="17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5" fillId="0" borderId="0" xfId="0" applyFont="1" applyAlignment="1">
      <alignment horizontal="right" vertical="center"/>
    </xf>
    <xf numFmtId="0" fontId="66" fillId="27" borderId="6" xfId="0" applyFont="1" applyFill="1" applyBorder="1" applyAlignment="1">
      <alignment horizontal="left" vertical="center"/>
    </xf>
    <xf numFmtId="0" fontId="0" fillId="0" borderId="7" xfId="0" applyBorder="1"/>
    <xf numFmtId="0" fontId="0" fillId="0" borderId="8" xfId="0" applyBorder="1"/>
    <xf numFmtId="0" fontId="53" fillId="0" borderId="0" xfId="0" applyFont="1" applyAlignment="1">
      <alignment horizontal="center" vertical="center"/>
    </xf>
    <xf numFmtId="0" fontId="57" fillId="22" borderId="0" xfId="0" applyFont="1" applyFill="1" applyAlignment="1">
      <alignment horizontal="left" vertical="center" wrapText="1"/>
    </xf>
    <xf numFmtId="0" fontId="57" fillId="26" borderId="0" xfId="0" applyFont="1" applyFill="1" applyAlignment="1">
      <alignment horizontal="left" vertical="center" wrapText="1"/>
    </xf>
    <xf numFmtId="0" fontId="57" fillId="0" borderId="0" xfId="0" applyFont="1" applyAlignment="1">
      <alignment horizontal="left" vertical="center" wrapText="1"/>
    </xf>
    <xf numFmtId="0" fontId="64" fillId="0" borderId="0" xfId="0" applyFont="1"/>
    <xf numFmtId="0" fontId="57" fillId="24" borderId="0" xfId="0" applyFont="1" applyFill="1" applyAlignment="1">
      <alignment horizontal="left" vertical="center" wrapText="1"/>
    </xf>
    <xf numFmtId="0" fontId="55" fillId="0" borderId="0" xfId="0" applyFont="1"/>
    <xf numFmtId="0" fontId="58" fillId="0" borderId="0" xfId="0" applyFont="1"/>
    <xf numFmtId="0" fontId="54" fillId="20" borderId="0" xfId="0" applyFont="1" applyFill="1" applyAlignment="1">
      <alignment horizontal="center" vertical="center"/>
    </xf>
    <xf numFmtId="0" fontId="63" fillId="0" borderId="0" xfId="0" applyFont="1"/>
  </cellXfs>
  <cellStyles count="1">
    <cellStyle name="Normal" xfId="0" builtinId="0"/>
  </cellStyles>
  <dxfs count="24"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2E7D32"/>
        <name val="Calibri"/>
      </font>
      <fill>
        <patternFill patternType="solid">
          <fgColor rgb="FFE2EFDA"/>
        </patternFill>
      </fill>
    </dxf>
    <dxf>
      <font>
        <b/>
        <sz val="10"/>
        <color rgb="FFC0392B"/>
        <name val="Calibri"/>
      </font>
      <fill>
        <patternFill patternType="solid">
          <f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Sales vs Purchases vs Stock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Dashboard!$B$26</c:f>
              <c:strCache>
                <c:ptCount val="1"/>
                <c:pt idx="0">
                  <c:v>Amount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Dashboard!$A$27:$A$29</c:f>
              <c:strCache>
                <c:ptCount val="3"/>
                <c:pt idx="0">
                  <c:v>Total Sales</c:v>
                </c:pt>
                <c:pt idx="1">
                  <c:v>Total Purchases</c:v>
                </c:pt>
                <c:pt idx="2">
                  <c:v>Stock Value</c:v>
                </c:pt>
              </c:strCache>
            </c:strRef>
          </c:cat>
          <c:val>
            <c:numRef>
              <c:f>Dashboard!$B$27:$B$29</c:f>
              <c:numCache>
                <c:formatCode>_-"Rs."\ * #,##0.00_-;\-"Rs."\ * #,##0.00_-;_-"Rs."\ * "-"_-</c:formatCode>
                <c:ptCount val="3"/>
                <c:pt idx="0">
                  <c:v>947867.13750000007</c:v>
                </c:pt>
                <c:pt idx="1">
                  <c:v>688407.43285000022</c:v>
                </c:pt>
                <c:pt idx="2">
                  <c:v>-579189.52049999987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8A-AF45-AF45-C72762754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280704"/>
        <c:axId val="74269056"/>
      </c:barChart>
      <c:catAx>
        <c:axId val="722807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74269056"/>
        <c:crosses val="autoZero"/>
        <c:auto val="0"/>
        <c:lblAlgn val="ctr"/>
        <c:lblOffset val="100"/>
        <c:noMultiLvlLbl val="0"/>
      </c:catAx>
      <c:valAx>
        <c:axId val="74269056"/>
        <c:scaling>
          <c:orientation val="minMax"/>
        </c:scaling>
        <c:delete val="0"/>
        <c:axPos val="l"/>
        <c:majorGridlines/>
        <c:numFmt formatCode="_-&quot;Rs.&quot;\ * #,##0.00_-;\-&quot;Rs.&quot;\ * #,##0.00_-;_-&quot;Rs.&quot;\ * &quot;-&quot;_-" sourceLinked="1"/>
        <c:majorTickMark val="none"/>
        <c:minorTickMark val="none"/>
        <c:tickLblPos val="nextTo"/>
        <c:crossAx val="7228070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30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H29"/>
  <sheetViews>
    <sheetView showGridLines="0" workbookViewId="0">
      <selection activeCell="G8" sqref="G8:H8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3" width="22" customWidth="1"/>
    <col min="4" max="4" width="18.33203125" bestFit="1" customWidth="1"/>
    <col min="5" max="6" width="14" customWidth="1"/>
    <col min="7" max="7" width="18" customWidth="1"/>
    <col min="8" max="8" width="16" customWidth="1"/>
  </cols>
  <sheetData>
    <row r="1" spans="1:8" ht="32" customHeight="1" x14ac:dyDescent="0.2">
      <c r="A1" s="155" t="s">
        <v>0</v>
      </c>
      <c r="B1" s="153"/>
      <c r="C1" s="153"/>
      <c r="D1" s="153"/>
      <c r="E1" s="153"/>
      <c r="F1" s="153"/>
      <c r="G1" s="153"/>
      <c r="H1" s="153"/>
    </row>
    <row r="4" spans="1:8" ht="20" customHeight="1" x14ac:dyDescent="0.2">
      <c r="A4" s="159" t="s">
        <v>1</v>
      </c>
      <c r="B4" s="153"/>
      <c r="C4" s="159" t="s">
        <v>2</v>
      </c>
      <c r="D4" s="153"/>
      <c r="E4" s="159" t="s">
        <v>3</v>
      </c>
      <c r="F4" s="153"/>
      <c r="G4" s="159" t="s">
        <v>4</v>
      </c>
      <c r="H4" s="153"/>
    </row>
    <row r="5" spans="1:8" ht="30" customHeight="1" x14ac:dyDescent="0.2">
      <c r="A5" s="152">
        <f>SUM(Sales_Entry!I3:I581)</f>
        <v>947867.13750000007</v>
      </c>
      <c r="B5" s="153"/>
      <c r="C5" s="152">
        <f>SUM(Purchase_Entry!N3:N634)</f>
        <v>688407.43285000022</v>
      </c>
      <c r="D5" s="153"/>
      <c r="E5" s="152" t="str">
        <f ca="1">SUM(Stock_Master!I:I)</f>
        <v/>
      </c>
      <c r="F5" s="153"/>
      <c r="G5" s="154">
        <f>COUNTIF(Stock_Master!J:J,"⚠ Reorder")</f>
        <v>5</v>
      </c>
      <c r="H5" s="153"/>
    </row>
    <row r="7" spans="1:8" ht="20" customHeight="1" x14ac:dyDescent="0.2">
      <c r="A7" s="159" t="s">
        <v>5</v>
      </c>
      <c r="B7" s="153"/>
      <c r="C7" s="159" t="s">
        <v>6</v>
      </c>
      <c r="D7" s="153"/>
      <c r="E7" s="159" t="s">
        <v>7</v>
      </c>
      <c r="F7" s="153"/>
      <c r="G7" s="159" t="s">
        <v>8</v>
      </c>
      <c r="H7" s="153"/>
    </row>
    <row r="8" spans="1:8" ht="30" customHeight="1" x14ac:dyDescent="0.2">
      <c r="A8" s="156">
        <f>SUMIF(Party_Master!H:H,"&gt;0",Party_Master!H:H)</f>
        <v>601231.04</v>
      </c>
      <c r="B8" s="153"/>
      <c r="C8" s="158">
        <f>-SUMIF(Party_Master!H:H,"&lt;0",Party_Master!H:H)</f>
        <v>637139.8899999999</v>
      </c>
      <c r="D8" s="153"/>
      <c r="E8" s="157">
        <f>COUNTA(Party_Master!A3:A502)</f>
        <v>42</v>
      </c>
      <c r="F8" s="153"/>
      <c r="G8" s="152">
        <f>IFERROR(LOOKUP(2,1/(Daybook!G3:G502&lt;&gt;""),Daybook!G3:G502),0)</f>
        <v>70776.150000000009</v>
      </c>
      <c r="H8" s="153"/>
    </row>
    <row r="10" spans="1:8" ht="17" customHeight="1" x14ac:dyDescent="0.2">
      <c r="A10" s="1" t="s">
        <v>9</v>
      </c>
      <c r="D10" s="2">
        <f>SUM(Sales_Entry!I3:I581)-SUM(Purchase_Entry!N3:N634)</f>
        <v>259459.70464999985</v>
      </c>
    </row>
    <row r="12" spans="1:8" ht="16" customHeight="1" x14ac:dyDescent="0.2">
      <c r="A12" s="1" t="s">
        <v>10</v>
      </c>
    </row>
    <row r="13" spans="1:8" ht="28" customHeight="1" x14ac:dyDescent="0.2">
      <c r="A13" s="3" t="s">
        <v>11</v>
      </c>
      <c r="B13" s="3" t="s">
        <v>12</v>
      </c>
      <c r="C13" s="3" t="s">
        <v>13</v>
      </c>
      <c r="D13" s="3" t="s">
        <v>14</v>
      </c>
      <c r="E13" s="3" t="s">
        <v>15</v>
      </c>
    </row>
    <row r="14" spans="1:8" x14ac:dyDescent="0.2">
      <c r="A14" s="130">
        <f>IF(Sales_Entry!A3="","",Sales_Entry!A3)</f>
        <v>66916</v>
      </c>
      <c r="B14" s="4" t="str">
        <f>IF(Sales_Entry!B3="","",Sales_Entry!B3)</f>
        <v>BILL-6001</v>
      </c>
      <c r="C14" s="4" t="str">
        <f>IF(Sales_Entry!C3="","",Sales_Entry!C3)</f>
        <v>SRIJANA DAIRY (DEVI NAGAR)</v>
      </c>
      <c r="D14" s="5">
        <f>IF(Sales_Entry!I3="","",Sales_Entry!I3)</f>
        <v>5100</v>
      </c>
      <c r="E14" s="4" t="str">
        <f>IF(Sales_Entry!K3="","",Sales_Entry!K3)</f>
        <v>Unpaid</v>
      </c>
    </row>
    <row r="15" spans="1:8" x14ac:dyDescent="0.2">
      <c r="A15" s="130">
        <f>IF(Sales_Entry!A4="","",Sales_Entry!A4)</f>
        <v>66916</v>
      </c>
      <c r="B15" s="4" t="str">
        <f>IF(Sales_Entry!B4="","",Sales_Entry!B4)</f>
        <v>BILL-6002</v>
      </c>
      <c r="C15" s="4" t="str">
        <f>IF(Sales_Entry!C4="","",Sales_Entry!C4)</f>
        <v xml:space="preserve">SOBHA BHATTARAI </v>
      </c>
      <c r="D15" s="5">
        <f>IF(Sales_Entry!I4="","",Sales_Entry!I4)</f>
        <v>1275</v>
      </c>
      <c r="E15" s="4" t="str">
        <f>IF(Sales_Entry!K4="","",Sales_Entry!K4)</f>
        <v>Unpaid</v>
      </c>
    </row>
    <row r="16" spans="1:8" x14ac:dyDescent="0.2">
      <c r="A16" s="130">
        <f>IF(Sales_Entry!A5="","",Sales_Entry!A5)</f>
        <v>66916</v>
      </c>
      <c r="B16" s="4" t="str">
        <f>IF(Sales_Entry!B5="","",Sales_Entry!B5)</f>
        <v>BILL-6003</v>
      </c>
      <c r="C16" s="4" t="str">
        <f>IF(Sales_Entry!C5="","",Sales_Entry!C5)</f>
        <v>PALPALI</v>
      </c>
      <c r="D16" s="5">
        <f>IF(Sales_Entry!I5="","",Sales_Entry!I5)</f>
        <v>2125</v>
      </c>
      <c r="E16" s="4" t="str">
        <f>IF(Sales_Entry!K5="","",Sales_Entry!K5)</f>
        <v>Unpaid</v>
      </c>
    </row>
    <row r="17" spans="1:5" x14ac:dyDescent="0.2">
      <c r="A17" s="130">
        <f>IF(Sales_Entry!A7="","",Sales_Entry!A7)</f>
        <v>66916</v>
      </c>
      <c r="B17" s="4" t="str">
        <f>IF(Sales_Entry!B7="","",Sales_Entry!B7)</f>
        <v>BILL-6004</v>
      </c>
      <c r="C17" s="4" t="str">
        <f>IF(Sales_Entry!C7="","",Sales_Entry!C7)</f>
        <v xml:space="preserve">AAMOSH KIRANA </v>
      </c>
      <c r="D17" s="5">
        <f>IF(Sales_Entry!I7="","",Sales_Entry!I7)</f>
        <v>80</v>
      </c>
      <c r="E17" s="4" t="str">
        <f>IF(Sales_Entry!K7="","",Sales_Entry!K7)</f>
        <v>Unpaid</v>
      </c>
    </row>
    <row r="18" spans="1:5" x14ac:dyDescent="0.2">
      <c r="A18" s="130">
        <f>IF(Sales_Entry!A8="","",Sales_Entry!A8)</f>
        <v>66916</v>
      </c>
      <c r="B18" s="4" t="str">
        <f>IF(Sales_Entry!B8="","",Sales_Entry!B8)</f>
        <v>BILL-6005</v>
      </c>
      <c r="C18" s="4" t="str">
        <f>IF(Sales_Entry!C8="","",Sales_Entry!C8)</f>
        <v xml:space="preserve">KRITIKA KIRANA </v>
      </c>
      <c r="D18" s="5">
        <f>IF(Sales_Entry!I8="","",Sales_Entry!I8)</f>
        <v>1290</v>
      </c>
      <c r="E18" s="4" t="str">
        <f>IF(Sales_Entry!K8="","",Sales_Entry!K8)</f>
        <v>Unpaid</v>
      </c>
    </row>
    <row r="19" spans="1:5" x14ac:dyDescent="0.2">
      <c r="A19" s="130">
        <f>IF(Sales_Entry!A9="","",Sales_Entry!A9)</f>
        <v>66916</v>
      </c>
      <c r="B19" s="4" t="str">
        <f>IF(Sales_Entry!B9="","",Sales_Entry!B9)</f>
        <v>BILL-6006</v>
      </c>
      <c r="C19" s="4" t="str">
        <f>IF(Sales_Entry!C9="","",Sales_Entry!C9)</f>
        <v>MANAKAMANA DAIRY</v>
      </c>
      <c r="D19" s="5">
        <f>IF(Sales_Entry!I9="","",Sales_Entry!I9)</f>
        <v>850</v>
      </c>
      <c r="E19" s="4" t="str">
        <f>IF(Sales_Entry!K9="","",Sales_Entry!K9)</f>
        <v>Unpaid</v>
      </c>
    </row>
    <row r="20" spans="1:5" x14ac:dyDescent="0.2">
      <c r="A20" s="130">
        <f>IF(Sales_Entry!A10="","",Sales_Entry!A10)</f>
        <v>66916</v>
      </c>
      <c r="B20" s="4" t="str">
        <f>IF(Sales_Entry!B10="","",Sales_Entry!B10)</f>
        <v>BILL-6007</v>
      </c>
      <c r="C20" s="4" t="str">
        <f>IF(Sales_Entry!C10="","",Sales_Entry!C10)</f>
        <v xml:space="preserve">AAYUSH AAYUSHMA </v>
      </c>
      <c r="D20" s="5">
        <f>IF(Sales_Entry!I10="","",Sales_Entry!I10)</f>
        <v>595</v>
      </c>
      <c r="E20" s="4" t="str">
        <f>IF(Sales_Entry!K10="","",Sales_Entry!K10)</f>
        <v>Unpaid</v>
      </c>
    </row>
    <row r="21" spans="1:5" x14ac:dyDescent="0.2">
      <c r="A21" s="130">
        <f>IF(Sales_Entry!A11="","",Sales_Entry!A11)</f>
        <v>66916</v>
      </c>
      <c r="B21" s="4" t="str">
        <f>IF(Sales_Entry!B11="","",Sales_Entry!B11)</f>
        <v>BILL-6008</v>
      </c>
      <c r="C21" s="4" t="str">
        <f>IF(Sales_Entry!C11="","",Sales_Entry!C11)</f>
        <v xml:space="preserve">YUBARAJ AND SAMRAT </v>
      </c>
      <c r="D21" s="5">
        <f>IF(Sales_Entry!I11="","",Sales_Entry!I11)</f>
        <v>1700</v>
      </c>
      <c r="E21" s="4" t="str">
        <f>IF(Sales_Entry!K11="","",Sales_Entry!K11)</f>
        <v>Unpaid</v>
      </c>
    </row>
    <row r="22" spans="1:5" x14ac:dyDescent="0.2">
      <c r="A22" s="130">
        <f>IF(Sales_Entry!A12="","",Sales_Entry!A12)</f>
        <v>66916</v>
      </c>
      <c r="B22" s="4" t="str">
        <f>IF(Sales_Entry!B12="","",Sales_Entry!B12)</f>
        <v>BILL-6009</v>
      </c>
      <c r="C22" s="4" t="str">
        <f>IF(Sales_Entry!C12="","",Sales_Entry!C12)</f>
        <v xml:space="preserve">SAMIKSHYA </v>
      </c>
      <c r="D22" s="5">
        <f>IF(Sales_Entry!I12="","",Sales_Entry!I12)</f>
        <v>850</v>
      </c>
      <c r="E22" s="4" t="str">
        <f>IF(Sales_Entry!K12="","",Sales_Entry!K12)</f>
        <v>Unpaid</v>
      </c>
    </row>
    <row r="23" spans="1:5" x14ac:dyDescent="0.2">
      <c r="A23" s="130">
        <f>IF(Sales_Entry!A13="","",Sales_Entry!A13)</f>
        <v>66916</v>
      </c>
      <c r="B23" s="4" t="str">
        <f>IF(Sales_Entry!B13="","",Sales_Entry!B13)</f>
        <v>BILL-6010</v>
      </c>
      <c r="C23" s="4" t="str">
        <f>IF(Sales_Entry!C13="","",Sales_Entry!C13)</f>
        <v>KRISHNA KHAREL</v>
      </c>
      <c r="D23" s="5">
        <f>IF(Sales_Entry!I13="","",Sales_Entry!I13)</f>
        <v>344</v>
      </c>
      <c r="E23" s="4" t="str">
        <f>IF(Sales_Entry!K13="","",Sales_Entry!K13)</f>
        <v>Unpaid</v>
      </c>
    </row>
    <row r="26" spans="1:5" x14ac:dyDescent="0.2">
      <c r="A26" s="6" t="s">
        <v>16</v>
      </c>
      <c r="B26" s="6" t="s">
        <v>17</v>
      </c>
    </row>
    <row r="27" spans="1:5" x14ac:dyDescent="0.2">
      <c r="A27" t="s">
        <v>18</v>
      </c>
      <c r="B27" s="7">
        <f>SUM(Sales_Entry!I3:I581)</f>
        <v>947867.13750000007</v>
      </c>
    </row>
    <row r="28" spans="1:5" x14ac:dyDescent="0.2">
      <c r="A28" t="s">
        <v>19</v>
      </c>
      <c r="B28" s="7">
        <f>SUM(Purchase_Entry!N3:N634)</f>
        <v>688407.43285000022</v>
      </c>
    </row>
    <row r="29" spans="1:5" x14ac:dyDescent="0.2">
      <c r="A29" t="s">
        <v>20</v>
      </c>
      <c r="B29" s="7">
        <f>SUM(Stock_Master!I3:I41)</f>
        <v>-579189.52049999987</v>
      </c>
    </row>
  </sheetData>
  <mergeCells count="17">
    <mergeCell ref="C5:D5"/>
    <mergeCell ref="A5:B5"/>
    <mergeCell ref="G5:H5"/>
    <mergeCell ref="E5:F5"/>
    <mergeCell ref="A1:H1"/>
    <mergeCell ref="G8:H8"/>
    <mergeCell ref="A8:B8"/>
    <mergeCell ref="E8:F8"/>
    <mergeCell ref="C8:D8"/>
    <mergeCell ref="C4:D4"/>
    <mergeCell ref="A4:B4"/>
    <mergeCell ref="G4:H4"/>
    <mergeCell ref="E4:F4"/>
    <mergeCell ref="C7:D7"/>
    <mergeCell ref="A7:B7"/>
    <mergeCell ref="G7:H7"/>
    <mergeCell ref="E7:F7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  <pageSetUpPr fitToPage="1"/>
  </sheetPr>
  <dimension ref="A1:D24"/>
  <sheetViews>
    <sheetView showGridLines="0" workbookViewId="0">
      <selection activeCell="C12" sqref="C12"/>
    </sheetView>
  </sheetViews>
  <sheetFormatPr baseColWidth="10" defaultColWidth="8.83203125" defaultRowHeight="15" x14ac:dyDescent="0.2"/>
  <cols>
    <col min="1" max="1" width="42" customWidth="1"/>
    <col min="2" max="2" width="10.5" bestFit="1" customWidth="1"/>
    <col min="3" max="3" width="20" customWidth="1"/>
    <col min="4" max="4" width="10.5" bestFit="1" customWidth="1"/>
  </cols>
  <sheetData>
    <row r="1" spans="1:4" ht="32" customHeight="1" x14ac:dyDescent="0.2">
      <c r="A1" s="155" t="s">
        <v>21</v>
      </c>
      <c r="B1" s="153"/>
      <c r="C1" s="153"/>
      <c r="D1" s="153"/>
    </row>
    <row r="3" spans="1:4" x14ac:dyDescent="0.2">
      <c r="A3" s="85" t="s">
        <v>22</v>
      </c>
      <c r="B3" s="131">
        <v>66916</v>
      </c>
      <c r="C3" s="85" t="s">
        <v>23</v>
      </c>
      <c r="D3" s="131">
        <v>66931</v>
      </c>
    </row>
    <row r="4" spans="1:4" x14ac:dyDescent="0.2">
      <c r="A4" s="89" t="str">
        <f>"For period: "&amp;TEXT($B$3,"dd-mmm-yyyy")&amp;" to "&amp;TEXT($D$3,"dd-mmm-yyyy")</f>
        <v>For period: 16-Mar-2083 to 31-Mar-2083</v>
      </c>
    </row>
    <row r="6" spans="1:4" ht="16" customHeight="1" x14ac:dyDescent="0.2">
      <c r="A6" s="9" t="s">
        <v>24</v>
      </c>
      <c r="B6" s="10"/>
      <c r="C6" s="10"/>
      <c r="D6" s="10"/>
    </row>
    <row r="7" spans="1:4" ht="16" customHeight="1" x14ac:dyDescent="0.2">
      <c r="A7" s="11" t="s">
        <v>25</v>
      </c>
      <c r="B7" s="12"/>
      <c r="C7" s="13">
        <f>SUMIFS(Sales_Entry!$I:$I,Sales_Entry!$A:$A,"&gt;="&amp;$B$3,Sales_Entry!$A:$A,"&lt;="&amp;$D$3)</f>
        <v>601911.03750000009</v>
      </c>
      <c r="D7" s="12"/>
    </row>
    <row r="8" spans="1:4" ht="16" customHeight="1" x14ac:dyDescent="0.2">
      <c r="A8" s="11" t="s">
        <v>26</v>
      </c>
      <c r="B8" s="12"/>
      <c r="C8" s="13">
        <f>SUMIFS(Daybook!$F:$F,Daybook!$C:$C,"Receipt",Daybook!$A:$A,"&gt;="&amp;$B$3,Daybook!$A:$A,"&lt;="&amp;$D$3)</f>
        <v>0</v>
      </c>
      <c r="D8" s="12"/>
    </row>
    <row r="9" spans="1:4" ht="16" customHeight="1" x14ac:dyDescent="0.2">
      <c r="A9" s="14" t="s">
        <v>27</v>
      </c>
      <c r="B9" s="15"/>
      <c r="C9" s="16">
        <f>C7</f>
        <v>601911.03750000009</v>
      </c>
      <c r="D9" s="15"/>
    </row>
    <row r="11" spans="1:4" ht="16" customHeight="1" x14ac:dyDescent="0.2">
      <c r="A11" s="17" t="s">
        <v>28</v>
      </c>
      <c r="B11" s="18"/>
      <c r="C11" s="18"/>
      <c r="D11" s="18"/>
    </row>
    <row r="12" spans="1:4" ht="16" customHeight="1" x14ac:dyDescent="0.2">
      <c r="A12" s="11" t="s">
        <v>29</v>
      </c>
      <c r="B12" s="12"/>
      <c r="C12" s="13">
        <f>SUMIFS(Purchase_Entry!$N:$N,Purchase_Entry!$A:$A,"&gt;="&amp;$B$3,Purchase_Entry!$A:$A,"&lt;="&amp;$D$3)</f>
        <v>530454.88344999996</v>
      </c>
      <c r="D12" s="12"/>
    </row>
    <row r="13" spans="1:4" ht="16" customHeight="1" x14ac:dyDescent="0.2">
      <c r="A13" s="19" t="s">
        <v>30</v>
      </c>
      <c r="B13" s="20"/>
      <c r="C13" s="21">
        <f>C12</f>
        <v>530454.88344999996</v>
      </c>
      <c r="D13" s="20"/>
    </row>
    <row r="15" spans="1:4" ht="16" customHeight="1" x14ac:dyDescent="0.2">
      <c r="A15" s="22" t="s">
        <v>31</v>
      </c>
      <c r="B15" s="23"/>
      <c r="C15" s="24">
        <f>C9-C13</f>
        <v>71456.154050000128</v>
      </c>
      <c r="D15" s="23"/>
    </row>
    <row r="17" spans="1:4" ht="16" customHeight="1" x14ac:dyDescent="0.2">
      <c r="A17" s="25" t="s">
        <v>32</v>
      </c>
      <c r="B17" s="26"/>
      <c r="C17" s="26"/>
      <c r="D17" s="26"/>
    </row>
    <row r="18" spans="1:4" ht="16" customHeight="1" x14ac:dyDescent="0.2">
      <c r="A18" s="11" t="s">
        <v>33</v>
      </c>
      <c r="B18" s="12"/>
      <c r="C18" s="13">
        <f>SUMIFS(Daybook!$E:$E,Daybook!$C:$C,"Payment",Daybook!$A:$A,"&gt;="&amp;$B$3,Daybook!$A:$A,"&lt;="&amp;$D$3)</f>
        <v>0</v>
      </c>
      <c r="D18" s="12"/>
    </row>
    <row r="19" spans="1:4" ht="16" customHeight="1" x14ac:dyDescent="0.2">
      <c r="A19" s="27" t="s">
        <v>34</v>
      </c>
      <c r="B19" s="28"/>
      <c r="C19" s="29">
        <f>C18</f>
        <v>0</v>
      </c>
      <c r="D19" s="28"/>
    </row>
    <row r="21" spans="1:4" ht="19" customHeight="1" x14ac:dyDescent="0.2">
      <c r="A21" s="30" t="s">
        <v>35</v>
      </c>
      <c r="B21" s="31"/>
      <c r="C21" s="32">
        <f>C15-C19</f>
        <v>71456.154050000128</v>
      </c>
      <c r="D21" s="31"/>
    </row>
    <row r="23" spans="1:4" ht="16" customHeight="1" x14ac:dyDescent="0.2">
      <c r="A23" s="33" t="s">
        <v>36</v>
      </c>
      <c r="C23" s="34" t="str">
        <f>IF(C21&gt;0,"✅ PROFIT — Healthy",IF(C21=0,"➖ Break-even","🔴 LOSS — Review costs"))</f>
        <v>✅ PROFIT — Healthy</v>
      </c>
    </row>
    <row r="24" spans="1:4" ht="16" customHeight="1" x14ac:dyDescent="0.2">
      <c r="A24" s="33" t="s">
        <v>37</v>
      </c>
      <c r="C24" s="35">
        <f>IF(C9=0,0,C21/C9)</f>
        <v>0.11871547387931081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F52"/>
  <sheetViews>
    <sheetView workbookViewId="0">
      <pane ySplit="7" topLeftCell="A35" activePane="bottomLeft" state="frozen"/>
      <selection pane="bottomLeft" activeCell="A48" sqref="A48"/>
    </sheetView>
  </sheetViews>
  <sheetFormatPr baseColWidth="10" defaultColWidth="8.83203125" defaultRowHeight="15" x14ac:dyDescent="0.2"/>
  <cols>
    <col min="1" max="1" width="30" customWidth="1"/>
    <col min="2" max="2" width="12" customWidth="1"/>
    <col min="3" max="5" width="16" customWidth="1"/>
    <col min="6" max="6" width="14.6640625" bestFit="1" customWidth="1"/>
  </cols>
  <sheetData>
    <row r="1" spans="1:6" ht="21" customHeight="1" x14ac:dyDescent="0.2">
      <c r="A1" s="161" t="str">
        <f>BizName</f>
        <v>[Your Dairy Plant Name]</v>
      </c>
      <c r="B1" s="153"/>
      <c r="C1" s="153"/>
      <c r="D1" s="153"/>
      <c r="E1" s="153"/>
      <c r="F1" s="153"/>
    </row>
    <row r="2" spans="1:6" ht="24" customHeight="1" x14ac:dyDescent="0.2">
      <c r="A2" s="160" t="s">
        <v>38</v>
      </c>
      <c r="B2" s="153"/>
      <c r="C2" s="153"/>
      <c r="D2" s="153"/>
      <c r="E2" s="153"/>
      <c r="F2" s="153"/>
    </row>
    <row r="4" spans="1:6" x14ac:dyDescent="0.2">
      <c r="A4" s="85" t="s">
        <v>22</v>
      </c>
      <c r="B4" s="131">
        <v>66916</v>
      </c>
      <c r="C4" s="85" t="s">
        <v>23</v>
      </c>
      <c r="D4" s="131">
        <v>66931</v>
      </c>
      <c r="E4" s="90" t="s">
        <v>39</v>
      </c>
      <c r="F4" s="91">
        <f>SUMIF(E8:E48,"&gt;0")</f>
        <v>601231.04</v>
      </c>
    </row>
    <row r="5" spans="1:6" x14ac:dyDescent="0.2">
      <c r="A5" s="89" t="str">
        <f>"Period: "&amp;TEXT($B$4,"dd-mmm-yyyy")&amp;" to "&amp;TEXT($D$4,"dd-mmm-yyyy")</f>
        <v>Period: 16-Mar-2083 to 31-Mar-2083</v>
      </c>
      <c r="E5" s="90" t="s">
        <v>40</v>
      </c>
      <c r="F5" s="92">
        <f>-SUMIF(E8:E48,"&lt;0")</f>
        <v>530454.8899999999</v>
      </c>
    </row>
    <row r="7" spans="1:6" x14ac:dyDescent="0.2">
      <c r="A7" s="86" t="s">
        <v>41</v>
      </c>
      <c r="B7" s="86" t="s">
        <v>42</v>
      </c>
      <c r="C7" s="86" t="s">
        <v>43</v>
      </c>
      <c r="D7" s="86" t="s">
        <v>44</v>
      </c>
      <c r="E7" s="86" t="s">
        <v>45</v>
      </c>
      <c r="F7" s="86" t="s">
        <v>46</v>
      </c>
    </row>
    <row r="8" spans="1:6" x14ac:dyDescent="0.2">
      <c r="A8" s="93" t="str">
        <f>Party_Master!$A$3</f>
        <v>AAMOSH KIRANA</v>
      </c>
      <c r="B8" s="94" t="str">
        <f>Party_Master!$B$3</f>
        <v>Customer</v>
      </c>
      <c r="C8" s="95">
        <f>SUMIFS(Party_Ledger!$F:$F,Party_Ledger!$B:$B,$A8,Party_Ledger!$A:$A,"&gt;="&amp;$B$4,Party_Ledger!$A:$A,"&lt;="&amp;$D$4)</f>
        <v>122505</v>
      </c>
      <c r="D8" s="95">
        <f>SUMIFS(Party_Ledger!$G:$G,Party_Ledger!$B:$B,$A8,Party_Ledger!$A:$A,"&gt;="&amp;$B$4,Party_Ledger!$A:$A,"&lt;="&amp;$D$4)</f>
        <v>0</v>
      </c>
      <c r="E8" s="95">
        <f t="shared" ref="E8:E48" si="0">C8-D8</f>
        <v>122505</v>
      </c>
      <c r="F8" s="96" t="str">
        <f t="shared" ref="F8:F48" si="1">IF(ROUND(E8,0)=0,"Settled",IF(E8&gt;0,"Receivable","Payable"))</f>
        <v>Receivable</v>
      </c>
    </row>
    <row r="9" spans="1:6" x14ac:dyDescent="0.2">
      <c r="A9" s="97" t="str">
        <f>Party_Master!$A$4</f>
        <v>AAYUSH AAYUSHMA</v>
      </c>
      <c r="B9" s="98" t="str">
        <f>Party_Master!$B$4</f>
        <v>Customer</v>
      </c>
      <c r="C9" s="99">
        <f>SUMIFS(Party_Ledger!$F:$F,Party_Ledger!$B:$B,$A9,Party_Ledger!$A:$A,"&gt;="&amp;$B$4,Party_Ledger!$A:$A,"&lt;="&amp;$D$4)</f>
        <v>5185</v>
      </c>
      <c r="D9" s="99">
        <f>SUMIFS(Party_Ledger!$G:$G,Party_Ledger!$B:$B,$A9,Party_Ledger!$A:$A,"&gt;="&amp;$B$4,Party_Ledger!$A:$A,"&lt;="&amp;$D$4)</f>
        <v>0</v>
      </c>
      <c r="E9" s="99">
        <f t="shared" si="0"/>
        <v>5185</v>
      </c>
      <c r="F9" s="100" t="str">
        <f t="shared" si="1"/>
        <v>Receivable</v>
      </c>
    </row>
    <row r="10" spans="1:6" x14ac:dyDescent="0.2">
      <c r="A10" s="93" t="str">
        <f>Party_Master!$A$5</f>
        <v>BHUSAL JANARAL</v>
      </c>
      <c r="B10" s="94" t="str">
        <f>Party_Master!$B$5</f>
        <v>Customer</v>
      </c>
      <c r="C10" s="95">
        <f>SUMIFS(Party_Ledger!$F:$F,Party_Ledger!$B:$B,$A10,Party_Ledger!$A:$A,"&gt;="&amp;$B$4,Party_Ledger!$A:$A,"&lt;="&amp;$D$4)</f>
        <v>3010</v>
      </c>
      <c r="D10" s="95">
        <f>SUMIFS(Party_Ledger!$G:$G,Party_Ledger!$B:$B,$A10,Party_Ledger!$A:$A,"&gt;="&amp;$B$4,Party_Ledger!$A:$A,"&lt;="&amp;$D$4)</f>
        <v>0</v>
      </c>
      <c r="E10" s="95">
        <f t="shared" si="0"/>
        <v>3010</v>
      </c>
      <c r="F10" s="96" t="str">
        <f t="shared" si="1"/>
        <v>Receivable</v>
      </c>
    </row>
    <row r="11" spans="1:6" x14ac:dyDescent="0.2">
      <c r="A11" s="97" t="str">
        <f>Party_Master!$A$6</f>
        <v>BIKRAM DHUNGANA</v>
      </c>
      <c r="B11" s="98" t="str">
        <f>Party_Master!$B$6</f>
        <v>Customer</v>
      </c>
      <c r="C11" s="99">
        <f>SUMIFS(Party_Ledger!$F:$F,Party_Ledger!$B:$B,$A11,Party_Ledger!$A:$A,"&gt;="&amp;$B$4,Party_Ledger!$A:$A,"&lt;="&amp;$D$4)</f>
        <v>2200</v>
      </c>
      <c r="D11" s="99">
        <f>SUMIFS(Party_Ledger!$G:$G,Party_Ledger!$B:$B,$A11,Party_Ledger!$A:$A,"&gt;="&amp;$B$4,Party_Ledger!$A:$A,"&lt;="&amp;$D$4)</f>
        <v>0</v>
      </c>
      <c r="E11" s="99">
        <f t="shared" si="0"/>
        <v>2200</v>
      </c>
      <c r="F11" s="100" t="str">
        <f t="shared" si="1"/>
        <v>Receivable</v>
      </c>
    </row>
    <row r="12" spans="1:6" x14ac:dyDescent="0.2">
      <c r="A12" s="93" t="str">
        <f>Party_Master!$A$7</f>
        <v>CHHATRABHUMI</v>
      </c>
      <c r="B12" s="94" t="str">
        <f>Party_Master!$B$7</f>
        <v>Customer</v>
      </c>
      <c r="C12" s="95">
        <f>SUMIFS(Party_Ledger!$F:$F,Party_Ledger!$B:$B,$A12,Party_Ledger!$A:$A,"&gt;="&amp;$B$4,Party_Ledger!$A:$A,"&lt;="&amp;$D$4)</f>
        <v>37840</v>
      </c>
      <c r="D12" s="95">
        <f>SUMIFS(Party_Ledger!$G:$G,Party_Ledger!$B:$B,$A12,Party_Ledger!$A:$A,"&gt;="&amp;$B$4,Party_Ledger!$A:$A,"&lt;="&amp;$D$4)</f>
        <v>0</v>
      </c>
      <c r="E12" s="95">
        <f t="shared" si="0"/>
        <v>37840</v>
      </c>
      <c r="F12" s="96" t="str">
        <f t="shared" si="1"/>
        <v>Receivable</v>
      </c>
    </row>
    <row r="13" spans="1:6" x14ac:dyDescent="0.2">
      <c r="A13" s="97" t="str">
        <f>Party_Master!$A$8</f>
        <v>DANDA PANI ACHARYA</v>
      </c>
      <c r="B13" s="98" t="str">
        <f>Party_Master!$B$8</f>
        <v>Customer</v>
      </c>
      <c r="C13" s="99">
        <f>SUMIFS(Party_Ledger!$F:$F,Party_Ledger!$B:$B,$A13,Party_Ledger!$A:$A,"&gt;="&amp;$B$4,Party_Ledger!$A:$A,"&lt;="&amp;$D$4)</f>
        <v>1100</v>
      </c>
      <c r="D13" s="99">
        <f>SUMIFS(Party_Ledger!$G:$G,Party_Ledger!$B:$B,$A13,Party_Ledger!$A:$A,"&gt;="&amp;$B$4,Party_Ledger!$A:$A,"&lt;="&amp;$D$4)</f>
        <v>0</v>
      </c>
      <c r="E13" s="99">
        <f t="shared" si="0"/>
        <v>1100</v>
      </c>
      <c r="F13" s="100" t="str">
        <f t="shared" si="1"/>
        <v>Receivable</v>
      </c>
    </row>
    <row r="14" spans="1:6" x14ac:dyDescent="0.2">
      <c r="A14" s="93" t="str">
        <f>Party_Master!$A$9</f>
        <v>DEURALI KIRANA</v>
      </c>
      <c r="B14" s="94" t="str">
        <f>Party_Master!$B$9</f>
        <v>Customer</v>
      </c>
      <c r="C14" s="95">
        <f>SUMIFS(Party_Ledger!$F:$F,Party_Ledger!$B:$B,$A14,Party_Ledger!$A:$A,"&gt;="&amp;$B$4,Party_Ledger!$A:$A,"&lt;="&amp;$D$4)</f>
        <v>7310</v>
      </c>
      <c r="D14" s="95">
        <f>SUMIFS(Party_Ledger!$G:$G,Party_Ledger!$B:$B,$A14,Party_Ledger!$A:$A,"&gt;="&amp;$B$4,Party_Ledger!$A:$A,"&lt;="&amp;$D$4)</f>
        <v>0</v>
      </c>
      <c r="E14" s="95">
        <f t="shared" si="0"/>
        <v>7310</v>
      </c>
      <c r="F14" s="96" t="str">
        <f t="shared" si="1"/>
        <v>Receivable</v>
      </c>
    </row>
    <row r="15" spans="1:6" x14ac:dyDescent="0.2">
      <c r="A15" s="97" t="str">
        <f>Party_Master!$A$10</f>
        <v>DURGA MALLA</v>
      </c>
      <c r="B15" s="98" t="str">
        <f>Party_Master!$B$10</f>
        <v>Customer</v>
      </c>
      <c r="C15" s="99">
        <f>SUMIFS(Party_Ledger!$F:$F,Party_Ledger!$B:$B,$A15,Party_Ledger!$A:$A,"&gt;="&amp;$B$4,Party_Ledger!$A:$A,"&lt;="&amp;$D$4)</f>
        <v>16500</v>
      </c>
      <c r="D15" s="99">
        <f>SUMIFS(Party_Ledger!$G:$G,Party_Ledger!$B:$B,$A15,Party_Ledger!$A:$A,"&gt;="&amp;$B$4,Party_Ledger!$A:$A,"&lt;="&amp;$D$4)</f>
        <v>0</v>
      </c>
      <c r="E15" s="99">
        <f t="shared" si="0"/>
        <v>16500</v>
      </c>
      <c r="F15" s="100" t="str">
        <f t="shared" si="1"/>
        <v>Receivable</v>
      </c>
    </row>
    <row r="16" spans="1:6" x14ac:dyDescent="0.2">
      <c r="A16" s="93" t="str">
        <f>Party_Master!$A$11</f>
        <v>GANGA NEUPANE</v>
      </c>
      <c r="B16" s="94" t="str">
        <f>Party_Master!$B$11</f>
        <v>Customer</v>
      </c>
      <c r="C16" s="95">
        <f>SUMIFS(Party_Ledger!$F:$F,Party_Ledger!$B:$B,$A16,Party_Ledger!$A:$A,"&gt;="&amp;$B$4,Party_Ledger!$A:$A,"&lt;="&amp;$D$4)</f>
        <v>10370</v>
      </c>
      <c r="D16" s="95">
        <f>SUMIFS(Party_Ledger!$G:$G,Party_Ledger!$B:$B,$A16,Party_Ledger!$A:$A,"&gt;="&amp;$B$4,Party_Ledger!$A:$A,"&lt;="&amp;$D$4)</f>
        <v>0</v>
      </c>
      <c r="E16" s="95">
        <f t="shared" si="0"/>
        <v>10370</v>
      </c>
      <c r="F16" s="96" t="str">
        <f t="shared" si="1"/>
        <v>Receivable</v>
      </c>
    </row>
    <row r="17" spans="1:6" x14ac:dyDescent="0.2">
      <c r="A17" s="97" t="str">
        <f>Party_Master!$A$12</f>
        <v>GIRI KIRANA</v>
      </c>
      <c r="B17" s="98" t="str">
        <f>Party_Master!$B$12</f>
        <v>Customer</v>
      </c>
      <c r="C17" s="99">
        <f>SUMIFS(Party_Ledger!$F:$F,Party_Ledger!$B:$B,$A17,Party_Ledger!$A:$A,"&gt;="&amp;$B$4,Party_Ledger!$A:$A,"&lt;="&amp;$D$4)</f>
        <v>21675</v>
      </c>
      <c r="D17" s="99">
        <f>SUMIFS(Party_Ledger!$G:$G,Party_Ledger!$B:$B,$A17,Party_Ledger!$A:$A,"&gt;="&amp;$B$4,Party_Ledger!$A:$A,"&lt;="&amp;$D$4)</f>
        <v>0</v>
      </c>
      <c r="E17" s="99">
        <f t="shared" si="0"/>
        <v>21675</v>
      </c>
      <c r="F17" s="100" t="str">
        <f t="shared" si="1"/>
        <v>Receivable</v>
      </c>
    </row>
    <row r="18" spans="1:6" x14ac:dyDescent="0.2">
      <c r="A18" s="93" t="str">
        <f>Party_Master!$A$13</f>
        <v>INDRA BK</v>
      </c>
      <c r="B18" s="94" t="str">
        <f>Party_Master!$B$13</f>
        <v>Customer</v>
      </c>
      <c r="C18" s="95">
        <f>SUMIFS(Party_Ledger!$F:$F,Party_Ledger!$B:$B,$A18,Party_Ledger!$A:$A,"&gt;="&amp;$B$4,Party_Ledger!$A:$A,"&lt;="&amp;$D$4)</f>
        <v>1270</v>
      </c>
      <c r="D18" s="95">
        <f>SUMIFS(Party_Ledger!$G:$G,Party_Ledger!$B:$B,$A18,Party_Ledger!$A:$A,"&gt;="&amp;$B$4,Party_Ledger!$A:$A,"&lt;="&amp;$D$4)</f>
        <v>0</v>
      </c>
      <c r="E18" s="95">
        <f t="shared" si="0"/>
        <v>1270</v>
      </c>
      <c r="F18" s="96" t="str">
        <f t="shared" si="1"/>
        <v>Receivable</v>
      </c>
    </row>
    <row r="19" spans="1:6" x14ac:dyDescent="0.2">
      <c r="A19" s="97" t="str">
        <f>Party_Master!$A$14</f>
        <v>KALIKA CANTEEN A</v>
      </c>
      <c r="B19" s="98" t="str">
        <f>Party_Master!$B$14</f>
        <v>Customer</v>
      </c>
      <c r="C19" s="99">
        <f>SUMIFS(Party_Ledger!$F:$F,Party_Ledger!$B:$B,$A19,Party_Ledger!$A:$A,"&gt;="&amp;$B$4,Party_Ledger!$A:$A,"&lt;="&amp;$D$4)</f>
        <v>8925</v>
      </c>
      <c r="D19" s="99">
        <f>SUMIFS(Party_Ledger!$G:$G,Party_Ledger!$B:$B,$A19,Party_Ledger!$A:$A,"&gt;="&amp;$B$4,Party_Ledger!$A:$A,"&lt;="&amp;$D$4)</f>
        <v>0</v>
      </c>
      <c r="E19" s="99">
        <f t="shared" si="0"/>
        <v>8925</v>
      </c>
      <c r="F19" s="100" t="str">
        <f t="shared" si="1"/>
        <v>Receivable</v>
      </c>
    </row>
    <row r="20" spans="1:6" x14ac:dyDescent="0.2">
      <c r="A20" s="93" t="str">
        <f>Party_Master!$A$15</f>
        <v>KALIKA CANTEEN A1</v>
      </c>
      <c r="B20" s="94" t="str">
        <f>Party_Master!$B$15</f>
        <v>Customer</v>
      </c>
      <c r="C20" s="95">
        <f>SUMIFS(Party_Ledger!$F:$F,Party_Ledger!$B:$B,$A20,Party_Ledger!$A:$A,"&gt;="&amp;$B$4,Party_Ledger!$A:$A,"&lt;="&amp;$D$4)</f>
        <v>7650</v>
      </c>
      <c r="D20" s="95">
        <f>SUMIFS(Party_Ledger!$G:$G,Party_Ledger!$B:$B,$A20,Party_Ledger!$A:$A,"&gt;="&amp;$B$4,Party_Ledger!$A:$A,"&lt;="&amp;$D$4)</f>
        <v>0</v>
      </c>
      <c r="E20" s="95">
        <f t="shared" si="0"/>
        <v>7650</v>
      </c>
      <c r="F20" s="96" t="str">
        <f t="shared" si="1"/>
        <v>Receivable</v>
      </c>
    </row>
    <row r="21" spans="1:6" x14ac:dyDescent="0.2">
      <c r="A21" s="97" t="str">
        <f>Party_Master!$A$16</f>
        <v>KRISHNA KHAREL</v>
      </c>
      <c r="B21" s="98" t="str">
        <f>Party_Master!$B$16</f>
        <v>Customer</v>
      </c>
      <c r="C21" s="99">
        <f>SUMIFS(Party_Ledger!$F:$F,Party_Ledger!$B:$B,$A21,Party_Ledger!$A:$A,"&gt;="&amp;$B$4,Party_Ledger!$A:$A,"&lt;="&amp;$D$4)</f>
        <v>7947</v>
      </c>
      <c r="D21" s="99">
        <f>SUMIFS(Party_Ledger!$G:$G,Party_Ledger!$B:$B,$A21,Party_Ledger!$A:$A,"&gt;="&amp;$B$4,Party_Ledger!$A:$A,"&lt;="&amp;$D$4)</f>
        <v>0</v>
      </c>
      <c r="E21" s="99">
        <f t="shared" si="0"/>
        <v>7947</v>
      </c>
      <c r="F21" s="100" t="str">
        <f t="shared" si="1"/>
        <v>Receivable</v>
      </c>
    </row>
    <row r="22" spans="1:6" x14ac:dyDescent="0.2">
      <c r="A22" s="93" t="str">
        <f>Party_Master!$A$17</f>
        <v>KRITIKA KIRANA</v>
      </c>
      <c r="B22" s="94" t="str">
        <f>Party_Master!$B$17</f>
        <v>Customer</v>
      </c>
      <c r="C22" s="95">
        <f>SUMIFS(Party_Ledger!$F:$F,Party_Ledger!$B:$B,$A22,Party_Ledger!$A:$A,"&gt;="&amp;$B$4,Party_Ledger!$A:$A,"&lt;="&amp;$D$4)</f>
        <v>26385.5</v>
      </c>
      <c r="D22" s="95">
        <f>SUMIFS(Party_Ledger!$G:$G,Party_Ledger!$B:$B,$A22,Party_Ledger!$A:$A,"&gt;="&amp;$B$4,Party_Ledger!$A:$A,"&lt;="&amp;$D$4)</f>
        <v>0</v>
      </c>
      <c r="E22" s="95">
        <f t="shared" si="0"/>
        <v>26385.5</v>
      </c>
      <c r="F22" s="96" t="str">
        <f t="shared" si="1"/>
        <v>Receivable</v>
      </c>
    </row>
    <row r="23" spans="1:6" x14ac:dyDescent="0.2">
      <c r="A23" s="97" t="str">
        <f>Party_Master!$A$18</f>
        <v>KULCHANDRA GYAWALI</v>
      </c>
      <c r="B23" s="98" t="str">
        <f>Party_Master!$B$18</f>
        <v>Customer</v>
      </c>
      <c r="C23" s="99">
        <f>SUMIFS(Party_Ledger!$F:$F,Party_Ledger!$B:$B,$A23,Party_Ledger!$A:$A,"&gt;="&amp;$B$4,Party_Ledger!$A:$A,"&lt;="&amp;$D$4)</f>
        <v>1600</v>
      </c>
      <c r="D23" s="99">
        <f>SUMIFS(Party_Ledger!$G:$G,Party_Ledger!$B:$B,$A23,Party_Ledger!$A:$A,"&gt;="&amp;$B$4,Party_Ledger!$A:$A,"&lt;="&amp;$D$4)</f>
        <v>0</v>
      </c>
      <c r="E23" s="99">
        <f t="shared" si="0"/>
        <v>1600</v>
      </c>
      <c r="F23" s="100" t="str">
        <f t="shared" si="1"/>
        <v>Receivable</v>
      </c>
    </row>
    <row r="24" spans="1:6" x14ac:dyDescent="0.2">
      <c r="A24" s="93" t="str">
        <f>Party_Master!$A$19</f>
        <v>LILADHAR GAUTAM</v>
      </c>
      <c r="B24" s="94" t="str">
        <f>Party_Master!$B$19</f>
        <v>Customer</v>
      </c>
      <c r="C24" s="95">
        <f>SUMIFS(Party_Ledger!$F:$F,Party_Ledger!$B:$B,$A24,Party_Ledger!$A:$A,"&gt;="&amp;$B$4,Party_Ledger!$A:$A,"&lt;="&amp;$D$4)</f>
        <v>2400</v>
      </c>
      <c r="D24" s="95">
        <f>SUMIFS(Party_Ledger!$G:$G,Party_Ledger!$B:$B,$A24,Party_Ledger!$A:$A,"&gt;="&amp;$B$4,Party_Ledger!$A:$A,"&lt;="&amp;$D$4)</f>
        <v>0</v>
      </c>
      <c r="E24" s="95">
        <f t="shared" si="0"/>
        <v>2400</v>
      </c>
      <c r="F24" s="96" t="str">
        <f t="shared" si="1"/>
        <v>Receivable</v>
      </c>
    </row>
    <row r="25" spans="1:6" x14ac:dyDescent="0.2">
      <c r="A25" s="97" t="str">
        <f>Party_Master!$A$20</f>
        <v>LOCAL</v>
      </c>
      <c r="B25" s="98" t="str">
        <f>Party_Master!$B$20</f>
        <v>Customer</v>
      </c>
      <c r="C25" s="99">
        <f>SUMIFS(Party_Ledger!$F:$F,Party_Ledger!$B:$B,$A25,Party_Ledger!$A:$A,"&gt;="&amp;$B$4,Party_Ledger!$A:$A,"&lt;="&amp;$D$4)</f>
        <v>12440.04</v>
      </c>
      <c r="D25" s="99">
        <f>SUMIFS(Party_Ledger!$G:$G,Party_Ledger!$B:$B,$A25,Party_Ledger!$A:$A,"&gt;="&amp;$B$4,Party_Ledger!$A:$A,"&lt;="&amp;$D$4)</f>
        <v>0</v>
      </c>
      <c r="E25" s="99">
        <f t="shared" si="0"/>
        <v>12440.04</v>
      </c>
      <c r="F25" s="100" t="str">
        <f t="shared" si="1"/>
        <v>Receivable</v>
      </c>
    </row>
    <row r="26" spans="1:6" x14ac:dyDescent="0.2">
      <c r="A26" s="93" t="str">
        <f>Party_Master!$A$21</f>
        <v>MANAKAMANA DAIRY</v>
      </c>
      <c r="B26" s="94" t="str">
        <f>Party_Master!$B$21</f>
        <v>Customer</v>
      </c>
      <c r="C26" s="95">
        <f>SUMIFS(Party_Ledger!$F:$F,Party_Ledger!$B:$B,$A26,Party_Ledger!$A:$A,"&gt;="&amp;$B$4,Party_Ledger!$A:$A,"&lt;="&amp;$D$4)</f>
        <v>13600</v>
      </c>
      <c r="D26" s="95">
        <f>SUMIFS(Party_Ledger!$G:$G,Party_Ledger!$B:$B,$A26,Party_Ledger!$A:$A,"&gt;="&amp;$B$4,Party_Ledger!$A:$A,"&lt;="&amp;$D$4)</f>
        <v>0</v>
      </c>
      <c r="E26" s="95">
        <f t="shared" si="0"/>
        <v>13600</v>
      </c>
      <c r="F26" s="96" t="str">
        <f t="shared" si="1"/>
        <v>Receivable</v>
      </c>
    </row>
    <row r="27" spans="1:6" x14ac:dyDescent="0.2">
      <c r="A27" s="97" t="str">
        <f>Party_Master!$A$22</f>
        <v>MEGHRAJ (MITERI)</v>
      </c>
      <c r="B27" s="98" t="str">
        <f>Party_Master!$B$22</f>
        <v>Customer</v>
      </c>
      <c r="C27" s="99">
        <f>SUMIFS(Party_Ledger!$F:$F,Party_Ledger!$B:$B,$A27,Party_Ledger!$A:$A,"&gt;="&amp;$B$4,Party_Ledger!$A:$A,"&lt;="&amp;$D$4)</f>
        <v>2200</v>
      </c>
      <c r="D27" s="99">
        <f>SUMIFS(Party_Ledger!$G:$G,Party_Ledger!$B:$B,$A27,Party_Ledger!$A:$A,"&gt;="&amp;$B$4,Party_Ledger!$A:$A,"&lt;="&amp;$D$4)</f>
        <v>0</v>
      </c>
      <c r="E27" s="99">
        <f t="shared" si="0"/>
        <v>2200</v>
      </c>
      <c r="F27" s="100" t="str">
        <f t="shared" si="1"/>
        <v>Receivable</v>
      </c>
    </row>
    <row r="28" spans="1:6" x14ac:dyDescent="0.2">
      <c r="A28" s="93" t="str">
        <f>Party_Master!$A$23</f>
        <v>NAR BAHADUR RANA</v>
      </c>
      <c r="B28" s="94" t="str">
        <f>Party_Master!$B$23</f>
        <v>Customer</v>
      </c>
      <c r="C28" s="95">
        <f>SUMIFS(Party_Ledger!$F:$F,Party_Ledger!$B:$B,$A28,Party_Ledger!$A:$A,"&gt;="&amp;$B$4,Party_Ledger!$A:$A,"&lt;="&amp;$D$4)</f>
        <v>510</v>
      </c>
      <c r="D28" s="95">
        <f>SUMIFS(Party_Ledger!$G:$G,Party_Ledger!$B:$B,$A28,Party_Ledger!$A:$A,"&gt;="&amp;$B$4,Party_Ledger!$A:$A,"&lt;="&amp;$D$4)</f>
        <v>0</v>
      </c>
      <c r="E28" s="95">
        <f t="shared" si="0"/>
        <v>510</v>
      </c>
      <c r="F28" s="96" t="str">
        <f t="shared" si="1"/>
        <v>Receivable</v>
      </c>
    </row>
    <row r="29" spans="1:6" x14ac:dyDescent="0.2">
      <c r="A29" s="97" t="str">
        <f>Party_Master!$A$24</f>
        <v>NAWARAJ NEPAL</v>
      </c>
      <c r="B29" s="98" t="str">
        <f>Party_Master!$B$24</f>
        <v>Customer</v>
      </c>
      <c r="C29" s="99">
        <f>SUMIFS(Party_Ledger!$F:$F,Party_Ledger!$B:$B,$A29,Party_Ledger!$A:$A,"&gt;="&amp;$B$4,Party_Ledger!$A:$A,"&lt;="&amp;$D$4)</f>
        <v>805</v>
      </c>
      <c r="D29" s="99">
        <f>SUMIFS(Party_Ledger!$G:$G,Party_Ledger!$B:$B,$A29,Party_Ledger!$A:$A,"&gt;="&amp;$B$4,Party_Ledger!$A:$A,"&lt;="&amp;$D$4)</f>
        <v>0</v>
      </c>
      <c r="E29" s="99">
        <f t="shared" si="0"/>
        <v>805</v>
      </c>
      <c r="F29" s="100" t="str">
        <f t="shared" si="1"/>
        <v>Receivable</v>
      </c>
    </row>
    <row r="30" spans="1:6" x14ac:dyDescent="0.2">
      <c r="A30" s="93" t="str">
        <f>Party_Master!$A$25</f>
        <v>NEHA MISTHAN</v>
      </c>
      <c r="B30" s="94" t="str">
        <f>Party_Master!$B$25</f>
        <v>Customer</v>
      </c>
      <c r="C30" s="95">
        <f>SUMIFS(Party_Ledger!$F:$F,Party_Ledger!$B:$B,$A30,Party_Ledger!$A:$A,"&gt;="&amp;$B$4,Party_Ledger!$A:$A,"&lt;="&amp;$D$4)</f>
        <v>3400</v>
      </c>
      <c r="D30" s="95">
        <f>SUMIFS(Party_Ledger!$G:$G,Party_Ledger!$B:$B,$A30,Party_Ledger!$A:$A,"&gt;="&amp;$B$4,Party_Ledger!$A:$A,"&lt;="&amp;$D$4)</f>
        <v>0</v>
      </c>
      <c r="E30" s="95">
        <f t="shared" si="0"/>
        <v>3400</v>
      </c>
      <c r="F30" s="96" t="str">
        <f t="shared" si="1"/>
        <v>Receivable</v>
      </c>
    </row>
    <row r="31" spans="1:6" x14ac:dyDescent="0.2">
      <c r="A31" s="97" t="str">
        <f>Party_Master!$A$26</f>
        <v>NEUPANE KIRANA</v>
      </c>
      <c r="B31" s="98" t="str">
        <f>Party_Master!$B$26</f>
        <v>Customer</v>
      </c>
      <c r="C31" s="99">
        <f>SUMIFS(Party_Ledger!$F:$F,Party_Ledger!$B:$B,$A31,Party_Ledger!$A:$A,"&gt;="&amp;$B$4,Party_Ledger!$A:$A,"&lt;="&amp;$D$4)</f>
        <v>1800</v>
      </c>
      <c r="D31" s="99">
        <f>SUMIFS(Party_Ledger!$G:$G,Party_Ledger!$B:$B,$A31,Party_Ledger!$A:$A,"&gt;="&amp;$B$4,Party_Ledger!$A:$A,"&lt;="&amp;$D$4)</f>
        <v>0</v>
      </c>
      <c r="E31" s="99">
        <f t="shared" si="0"/>
        <v>1800</v>
      </c>
      <c r="F31" s="100" t="str">
        <f t="shared" si="1"/>
        <v>Receivable</v>
      </c>
    </row>
    <row r="32" spans="1:6" x14ac:dyDescent="0.2">
      <c r="A32" s="93" t="str">
        <f>Party_Master!$A$27</f>
        <v>ORGANIC TARKALI</v>
      </c>
      <c r="B32" s="94" t="str">
        <f>Party_Master!$B$27</f>
        <v>Customer</v>
      </c>
      <c r="C32" s="95">
        <f>SUMIFS(Party_Ledger!$F:$F,Party_Ledger!$B:$B,$A32,Party_Ledger!$A:$A,"&gt;="&amp;$B$4,Party_Ledger!$A:$A,"&lt;="&amp;$D$4)</f>
        <v>50347.5</v>
      </c>
      <c r="D32" s="95">
        <f>SUMIFS(Party_Ledger!$G:$G,Party_Ledger!$B:$B,$A32,Party_Ledger!$A:$A,"&gt;="&amp;$B$4,Party_Ledger!$A:$A,"&lt;="&amp;$D$4)</f>
        <v>0</v>
      </c>
      <c r="E32" s="95">
        <f t="shared" si="0"/>
        <v>50347.5</v>
      </c>
      <c r="F32" s="96" t="str">
        <f t="shared" si="1"/>
        <v>Receivable</v>
      </c>
    </row>
    <row r="33" spans="1:6" x14ac:dyDescent="0.2">
      <c r="A33" s="97" t="str">
        <f>Party_Master!$A$28</f>
        <v>PALPALI</v>
      </c>
      <c r="B33" s="98" t="str">
        <f>Party_Master!$B$28</f>
        <v>Customer</v>
      </c>
      <c r="C33" s="99">
        <f>SUMIFS(Party_Ledger!$F:$F,Party_Ledger!$B:$B,$A33,Party_Ledger!$A:$A,"&gt;="&amp;$B$4,Party_Ledger!$A:$A,"&lt;="&amp;$D$4)</f>
        <v>31450</v>
      </c>
      <c r="D33" s="99">
        <f>SUMIFS(Party_Ledger!$G:$G,Party_Ledger!$B:$B,$A33,Party_Ledger!$A:$A,"&gt;="&amp;$B$4,Party_Ledger!$A:$A,"&lt;="&amp;$D$4)</f>
        <v>0</v>
      </c>
      <c r="E33" s="99">
        <f t="shared" si="0"/>
        <v>31450</v>
      </c>
      <c r="F33" s="100" t="str">
        <f t="shared" si="1"/>
        <v>Receivable</v>
      </c>
    </row>
    <row r="34" spans="1:6" x14ac:dyDescent="0.2">
      <c r="A34" s="93" t="str">
        <f>Party_Master!$A$29</f>
        <v>PARSHURAM THARU</v>
      </c>
      <c r="B34" s="94" t="str">
        <f>Party_Master!$B$29</f>
        <v>Customer</v>
      </c>
      <c r="C34" s="95">
        <f>SUMIFS(Party_Ledger!$F:$F,Party_Ledger!$B:$B,$A34,Party_Ledger!$A:$A,"&gt;="&amp;$B$4,Party_Ledger!$A:$A,"&lt;="&amp;$D$4)</f>
        <v>1680</v>
      </c>
      <c r="D34" s="95">
        <f>SUMIFS(Party_Ledger!$G:$G,Party_Ledger!$B:$B,$A34,Party_Ledger!$A:$A,"&gt;="&amp;$B$4,Party_Ledger!$A:$A,"&lt;="&amp;$D$4)</f>
        <v>0</v>
      </c>
      <c r="E34" s="95">
        <f t="shared" si="0"/>
        <v>1680</v>
      </c>
      <c r="F34" s="96" t="str">
        <f t="shared" si="1"/>
        <v>Receivable</v>
      </c>
    </row>
    <row r="35" spans="1:6" x14ac:dyDescent="0.2">
      <c r="A35" s="97" t="str">
        <f>Party_Master!$A$30</f>
        <v>SAMIKSHYA</v>
      </c>
      <c r="B35" s="98" t="str">
        <f>Party_Master!$B$30</f>
        <v>Customer</v>
      </c>
      <c r="C35" s="99">
        <f>SUMIFS(Party_Ledger!$F:$F,Party_Ledger!$B:$B,$A35,Party_Ledger!$A:$A,"&gt;="&amp;$B$4,Party_Ledger!$A:$A,"&lt;="&amp;$D$4)</f>
        <v>11815</v>
      </c>
      <c r="D35" s="99">
        <f>SUMIFS(Party_Ledger!$G:$G,Party_Ledger!$B:$B,$A35,Party_Ledger!$A:$A,"&gt;="&amp;$B$4,Party_Ledger!$A:$A,"&lt;="&amp;$D$4)</f>
        <v>0</v>
      </c>
      <c r="E35" s="99">
        <f t="shared" si="0"/>
        <v>11815</v>
      </c>
      <c r="F35" s="100" t="str">
        <f t="shared" si="1"/>
        <v>Receivable</v>
      </c>
    </row>
    <row r="36" spans="1:6" x14ac:dyDescent="0.2">
      <c r="A36" s="93" t="str">
        <f>Party_Master!$A$31</f>
        <v>SHARMA DAI</v>
      </c>
      <c r="B36" s="94" t="str">
        <f>Party_Master!$B$31</f>
        <v>Customer</v>
      </c>
      <c r="C36" s="95">
        <f>SUMIFS(Party_Ledger!$F:$F,Party_Ledger!$B:$B,$A36,Party_Ledger!$A:$A,"&gt;="&amp;$B$4,Party_Ledger!$A:$A,"&lt;="&amp;$D$4)</f>
        <v>33186</v>
      </c>
      <c r="D36" s="95">
        <f>SUMIFS(Party_Ledger!$G:$G,Party_Ledger!$B:$B,$A36,Party_Ledger!$A:$A,"&gt;="&amp;$B$4,Party_Ledger!$A:$A,"&lt;="&amp;$D$4)</f>
        <v>0</v>
      </c>
      <c r="E36" s="95">
        <f t="shared" si="0"/>
        <v>33186</v>
      </c>
      <c r="F36" s="96" t="str">
        <f t="shared" si="1"/>
        <v>Receivable</v>
      </c>
    </row>
    <row r="37" spans="1:6" x14ac:dyDescent="0.2">
      <c r="A37" s="97" t="str">
        <f>Party_Master!$A$32</f>
        <v>SOBHA BHATTARAI</v>
      </c>
      <c r="B37" s="98" t="str">
        <f>Party_Master!$B$32</f>
        <v>Customer</v>
      </c>
      <c r="C37" s="99">
        <f>SUMIFS(Party_Ledger!$F:$F,Party_Ledger!$B:$B,$A37,Party_Ledger!$A:$A,"&gt;="&amp;$B$4,Party_Ledger!$A:$A,"&lt;="&amp;$D$4)</f>
        <v>39950</v>
      </c>
      <c r="D37" s="99">
        <f>SUMIFS(Party_Ledger!$G:$G,Party_Ledger!$B:$B,$A37,Party_Ledger!$A:$A,"&gt;="&amp;$B$4,Party_Ledger!$A:$A,"&lt;="&amp;$D$4)</f>
        <v>0</v>
      </c>
      <c r="E37" s="99">
        <f t="shared" si="0"/>
        <v>39950</v>
      </c>
      <c r="F37" s="100" t="str">
        <f t="shared" si="1"/>
        <v>Receivable</v>
      </c>
    </row>
    <row r="38" spans="1:6" x14ac:dyDescent="0.2">
      <c r="A38" s="93" t="str">
        <f>Party_Master!$A$33</f>
        <v>SRIJANA DAIRY (DEVI NAGAR)</v>
      </c>
      <c r="B38" s="94" t="str">
        <f>Party_Master!$B$33</f>
        <v>Customer</v>
      </c>
      <c r="C38" s="95">
        <f>SUMIFS(Party_Ledger!$F:$F,Party_Ledger!$B:$B,$A38,Party_Ledger!$A:$A,"&gt;="&amp;$B$4,Party_Ledger!$A:$A,"&lt;="&amp;$D$4)</f>
        <v>71190</v>
      </c>
      <c r="D38" s="95">
        <f>SUMIFS(Party_Ledger!$G:$G,Party_Ledger!$B:$B,$A38,Party_Ledger!$A:$A,"&gt;="&amp;$B$4,Party_Ledger!$A:$A,"&lt;="&amp;$D$4)</f>
        <v>0</v>
      </c>
      <c r="E38" s="95">
        <f t="shared" si="0"/>
        <v>71190</v>
      </c>
      <c r="F38" s="96" t="str">
        <f t="shared" si="1"/>
        <v>Receivable</v>
      </c>
    </row>
    <row r="39" spans="1:6" x14ac:dyDescent="0.2">
      <c r="A39" s="97" t="str">
        <f>Party_Master!$A$34</f>
        <v>SUBHA MAYA STORE</v>
      </c>
      <c r="B39" s="98" t="str">
        <f>Party_Master!$B$34</f>
        <v>Customer</v>
      </c>
      <c r="C39" s="99">
        <f>SUMIFS(Party_Ledger!$F:$F,Party_Ledger!$B:$B,$A39,Party_Ledger!$A:$A,"&gt;="&amp;$B$4,Party_Ledger!$A:$A,"&lt;="&amp;$D$4)</f>
        <v>11000</v>
      </c>
      <c r="D39" s="99">
        <f>SUMIFS(Party_Ledger!$G:$G,Party_Ledger!$B:$B,$A39,Party_Ledger!$A:$A,"&gt;="&amp;$B$4,Party_Ledger!$A:$A,"&lt;="&amp;$D$4)</f>
        <v>0</v>
      </c>
      <c r="E39" s="99">
        <f t="shared" si="0"/>
        <v>11000</v>
      </c>
      <c r="F39" s="100" t="str">
        <f t="shared" si="1"/>
        <v>Receivable</v>
      </c>
    </row>
    <row r="40" spans="1:6" x14ac:dyDescent="0.2">
      <c r="A40" s="93" t="str">
        <f>Party_Master!$A$35</f>
        <v>THE DARBAR</v>
      </c>
      <c r="B40" s="94" t="str">
        <f>Party_Master!$B$35</f>
        <v>Customer</v>
      </c>
      <c r="C40" s="95">
        <f>SUMIFS(Party_Ledger!$F:$F,Party_Ledger!$B:$B,$A40,Party_Ledger!$A:$A,"&gt;="&amp;$B$4,Party_Ledger!$A:$A,"&lt;="&amp;$D$4)</f>
        <v>13200</v>
      </c>
      <c r="D40" s="95">
        <f>SUMIFS(Party_Ledger!$G:$G,Party_Ledger!$B:$B,$A40,Party_Ledger!$A:$A,"&gt;="&amp;$B$4,Party_Ledger!$A:$A,"&lt;="&amp;$D$4)</f>
        <v>0</v>
      </c>
      <c r="E40" s="95">
        <f t="shared" si="0"/>
        <v>13200</v>
      </c>
      <c r="F40" s="96" t="str">
        <f t="shared" si="1"/>
        <v>Receivable</v>
      </c>
    </row>
    <row r="41" spans="1:6" x14ac:dyDescent="0.2">
      <c r="A41" s="97" t="str">
        <f>Party_Master!$A$36</f>
        <v>YUBARAJ AND SAMRAT</v>
      </c>
      <c r="B41" s="98" t="str">
        <f>Party_Master!$B$36</f>
        <v>Customer</v>
      </c>
      <c r="C41" s="99">
        <f>SUMIFS(Party_Ledger!$F:$F,Party_Ledger!$B:$B,$A41,Party_Ledger!$A:$A,"&gt;="&amp;$B$4,Party_Ledger!$A:$A,"&lt;="&amp;$D$4)</f>
        <v>18785</v>
      </c>
      <c r="D41" s="99">
        <f>SUMIFS(Party_Ledger!$G:$G,Party_Ledger!$B:$B,$A41,Party_Ledger!$A:$A,"&gt;="&amp;$B$4,Party_Ledger!$A:$A,"&lt;="&amp;$D$4)</f>
        <v>0</v>
      </c>
      <c r="E41" s="99">
        <f t="shared" si="0"/>
        <v>18785</v>
      </c>
      <c r="F41" s="100" t="str">
        <f t="shared" si="1"/>
        <v>Receivable</v>
      </c>
    </row>
    <row r="42" spans="1:6" x14ac:dyDescent="0.2">
      <c r="A42" s="93" t="str">
        <f>Party_Master!$A$37</f>
        <v>BASUDEV DAIRY 316</v>
      </c>
      <c r="B42" s="94" t="str">
        <f>Party_Master!$B$37</f>
        <v>Supplier</v>
      </c>
      <c r="C42" s="95">
        <f>SUMIFS(Party_Ledger!$F:$F,Party_Ledger!$B:$B,$A42,Party_Ledger!$A:$A,"&gt;="&amp;$B$4,Party_Ledger!$A:$A,"&lt;="&amp;$D$4)</f>
        <v>0</v>
      </c>
      <c r="D42" s="95">
        <f>SUMIFS(Party_Ledger!$G:$G,Party_Ledger!$B:$B,$A42,Party_Ledger!$A:$A,"&gt;="&amp;$B$4,Party_Ledger!$A:$A,"&lt;="&amp;$D$4)</f>
        <v>181908</v>
      </c>
      <c r="E42" s="95">
        <f t="shared" si="0"/>
        <v>-181908</v>
      </c>
      <c r="F42" s="96" t="str">
        <f t="shared" si="1"/>
        <v>Payable</v>
      </c>
    </row>
    <row r="43" spans="1:6" x14ac:dyDescent="0.2">
      <c r="A43" s="97" t="str">
        <f>Party_Master!$A$38</f>
        <v>BODESH 310</v>
      </c>
      <c r="B43" s="98" t="str">
        <f>Party_Master!$B$38</f>
        <v>Supplier</v>
      </c>
      <c r="C43" s="99">
        <f>SUMIFS(Party_Ledger!$F:$F,Party_Ledger!$B:$B,$A43,Party_Ledger!$A:$A,"&gt;="&amp;$B$4,Party_Ledger!$A:$A,"&lt;="&amp;$D$4)</f>
        <v>0</v>
      </c>
      <c r="D43" s="99">
        <f>SUMIFS(Party_Ledger!$G:$G,Party_Ledger!$B:$B,$A43,Party_Ledger!$A:$A,"&gt;="&amp;$B$4,Party_Ledger!$A:$A,"&lt;="&amp;$D$4)</f>
        <v>40500</v>
      </c>
      <c r="E43" s="99">
        <f t="shared" si="0"/>
        <v>-40500</v>
      </c>
      <c r="F43" s="100" t="str">
        <f t="shared" si="1"/>
        <v>Payable</v>
      </c>
    </row>
    <row r="44" spans="1:6" x14ac:dyDescent="0.2">
      <c r="A44" s="93" t="str">
        <f>Party_Master!$A$39</f>
        <v>MINA LAMICHHANE 322</v>
      </c>
      <c r="B44" s="94" t="str">
        <f>Party_Master!$B$39</f>
        <v>Supplier</v>
      </c>
      <c r="C44" s="95">
        <f>SUMIFS(Party_Ledger!$F:$F,Party_Ledger!$B:$B,$A44,Party_Ledger!$A:$A,"&gt;="&amp;$B$4,Party_Ledger!$A:$A,"&lt;="&amp;$D$4)</f>
        <v>0</v>
      </c>
      <c r="D44" s="95">
        <f>SUMIFS(Party_Ledger!$G:$G,Party_Ledger!$B:$B,$A44,Party_Ledger!$A:$A,"&gt;="&amp;$B$4,Party_Ledger!$A:$A,"&lt;="&amp;$D$4)</f>
        <v>6643.6900000000005</v>
      </c>
      <c r="E44" s="95">
        <f t="shared" si="0"/>
        <v>-6643.6900000000005</v>
      </c>
      <c r="F44" s="96" t="str">
        <f t="shared" si="1"/>
        <v>Payable</v>
      </c>
    </row>
    <row r="45" spans="1:6" x14ac:dyDescent="0.2">
      <c r="A45" s="97" t="str">
        <f>Party_Master!$A$40</f>
        <v>MODERN AGRO  -315</v>
      </c>
      <c r="B45" s="98" t="str">
        <f>Party_Master!$B$40</f>
        <v>Supplier</v>
      </c>
      <c r="C45" s="99">
        <f>SUMIFS(Party_Ledger!$F:$F,Party_Ledger!$B:$B,$A45,Party_Ledger!$A:$A,"&gt;="&amp;$B$4,Party_Ledger!$A:$A,"&lt;="&amp;$D$4)</f>
        <v>0</v>
      </c>
      <c r="D45" s="99">
        <f>SUMIFS(Party_Ledger!$G:$G,Party_Ledger!$B:$B,$A45,Party_Ledger!$A:$A,"&gt;="&amp;$B$4,Party_Ledger!$A:$A,"&lt;="&amp;$D$4)</f>
        <v>123647.45999999998</v>
      </c>
      <c r="E45" s="99">
        <f t="shared" si="0"/>
        <v>-123647.45999999998</v>
      </c>
      <c r="F45" s="100" t="str">
        <f t="shared" si="1"/>
        <v>Payable</v>
      </c>
    </row>
    <row r="46" spans="1:6" x14ac:dyDescent="0.2">
      <c r="A46" s="93" t="str">
        <f>Party_Master!$A$41</f>
        <v>NAWA DURGA -317</v>
      </c>
      <c r="B46" s="94" t="str">
        <f>Party_Master!$B$41</f>
        <v>Supplier</v>
      </c>
      <c r="C46" s="95">
        <f>SUMIFS(Party_Ledger!$F:$F,Party_Ledger!$B:$B,$A46,Party_Ledger!$A:$A,"&gt;="&amp;$B$4,Party_Ledger!$A:$A,"&lt;="&amp;$D$4)</f>
        <v>0</v>
      </c>
      <c r="D46" s="95">
        <f>SUMIFS(Party_Ledger!$G:$G,Party_Ledger!$B:$B,$A46,Party_Ledger!$A:$A,"&gt;="&amp;$B$4,Party_Ledger!$A:$A,"&lt;="&amp;$D$4)</f>
        <v>33903.32</v>
      </c>
      <c r="E46" s="95">
        <f t="shared" si="0"/>
        <v>-33903.32</v>
      </c>
      <c r="F46" s="96" t="str">
        <f t="shared" si="1"/>
        <v>Payable</v>
      </c>
    </row>
    <row r="47" spans="1:6" x14ac:dyDescent="0.2">
      <c r="A47" s="97" t="str">
        <f>Party_Master!$A$42</f>
        <v>PARSURAM THARU -333</v>
      </c>
      <c r="B47" s="98" t="str">
        <f>Party_Master!$B$42</f>
        <v>Supplier</v>
      </c>
      <c r="C47" s="99">
        <f>SUMIFS(Party_Ledger!$F:$F,Party_Ledger!$B:$B,$A47,Party_Ledger!$A:$A,"&gt;="&amp;$B$4,Party_Ledger!$A:$A,"&lt;="&amp;$D$4)</f>
        <v>0</v>
      </c>
      <c r="D47" s="99">
        <f>SUMIFS(Party_Ledger!$G:$G,Party_Ledger!$B:$B,$A47,Party_Ledger!$A:$A,"&gt;="&amp;$B$4,Party_Ledger!$A:$A,"&lt;="&amp;$D$4)</f>
        <v>9452.42</v>
      </c>
      <c r="E47" s="99">
        <f t="shared" si="0"/>
        <v>-9452.42</v>
      </c>
      <c r="F47" s="100" t="str">
        <f t="shared" si="1"/>
        <v>Payable</v>
      </c>
    </row>
    <row r="48" spans="1:6" x14ac:dyDescent="0.2">
      <c r="A48" s="93" t="str">
        <f>Party_Master!$A$43</f>
        <v>SANA KISAN -311</v>
      </c>
      <c r="B48" s="94" t="str">
        <f>Party_Master!$B$43</f>
        <v>Supplier</v>
      </c>
      <c r="C48" s="95">
        <f>SUMIFS(Party_Ledger!$F:$F,Party_Ledger!$B:$B,$A48,Party_Ledger!$A:$A,"&gt;="&amp;$B$4,Party_Ledger!$A:$A,"&lt;="&amp;$D$4)</f>
        <v>0</v>
      </c>
      <c r="D48" s="95">
        <f>SUMIFS(Party_Ledger!$G:$G,Party_Ledger!$B:$B,$A48,Party_Ledger!$A:$A,"&gt;="&amp;$B$4,Party_Ledger!$A:$A,"&lt;="&amp;$D$4)</f>
        <v>134400</v>
      </c>
      <c r="E48" s="95">
        <f t="shared" si="0"/>
        <v>-134400</v>
      </c>
      <c r="F48" s="96" t="str">
        <f t="shared" si="1"/>
        <v>Payable</v>
      </c>
    </row>
    <row r="49" spans="1:6" x14ac:dyDescent="0.2">
      <c r="A49" s="101" t="s">
        <v>47</v>
      </c>
      <c r="B49" s="102"/>
      <c r="C49" s="103">
        <f>SUM(C8:C48)</f>
        <v>601231.04</v>
      </c>
      <c r="D49" s="103">
        <f>SUM(D8:D48)</f>
        <v>530454.8899999999</v>
      </c>
      <c r="E49" s="103">
        <f>SUM(E8:E48)</f>
        <v>70776.150000000052</v>
      </c>
      <c r="F49" s="102"/>
    </row>
    <row r="51" spans="1:6" x14ac:dyDescent="0.2">
      <c r="A51" s="87" t="s">
        <v>48</v>
      </c>
    </row>
    <row r="52" spans="1:6" x14ac:dyDescent="0.2">
      <c r="A52" s="88" t="s">
        <v>49</v>
      </c>
    </row>
  </sheetData>
  <mergeCells count="2">
    <mergeCell ref="A2:F2"/>
    <mergeCell ref="A1:F1"/>
  </mergeCells>
  <conditionalFormatting sqref="F8:F48">
    <cfRule type="cellIs" dxfId="23" priority="1" operator="equal">
      <formula>"Payable"</formula>
    </cfRule>
    <cfRule type="cellIs" dxfId="22" priority="2" operator="equal">
      <formula>"Receivable"</formula>
    </cfRule>
  </conditionalFormatting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75623"/>
    <pageSetUpPr fitToPage="1"/>
  </sheetPr>
  <dimension ref="A1:L582"/>
  <sheetViews>
    <sheetView showGridLines="0" workbookViewId="0">
      <pane ySplit="2" topLeftCell="A534" activePane="bottomLeft" state="frozen"/>
      <selection pane="bottomLeft" activeCell="F571" sqref="F571"/>
    </sheetView>
  </sheetViews>
  <sheetFormatPr baseColWidth="10" defaultColWidth="8.83203125" defaultRowHeight="15" x14ac:dyDescent="0.2"/>
  <cols>
    <col min="1" max="1" width="11.5" customWidth="1"/>
    <col min="3" max="3" width="25.5" customWidth="1"/>
    <col min="6" max="6" width="11.5" bestFit="1" customWidth="1"/>
    <col min="7" max="7" width="14.6640625" customWidth="1"/>
    <col min="9" max="9" width="15.5" customWidth="1"/>
    <col min="12" max="12" width="20" customWidth="1"/>
  </cols>
  <sheetData>
    <row r="1" spans="1:12" ht="32" customHeight="1" x14ac:dyDescent="0.2">
      <c r="A1" s="155" t="s">
        <v>50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</row>
    <row r="2" spans="1:12" ht="28" customHeight="1" x14ac:dyDescent="0.2">
      <c r="A2" s="3" t="s">
        <v>11</v>
      </c>
      <c r="B2" s="3" t="s">
        <v>51</v>
      </c>
      <c r="C2" s="3" t="s">
        <v>41</v>
      </c>
      <c r="D2" s="3" t="s">
        <v>52</v>
      </c>
      <c r="E2" s="3" t="s">
        <v>53</v>
      </c>
      <c r="F2" s="3" t="s">
        <v>54</v>
      </c>
      <c r="G2" s="3" t="s">
        <v>17</v>
      </c>
      <c r="H2" s="3" t="s">
        <v>55</v>
      </c>
      <c r="I2" s="3" t="s">
        <v>14</v>
      </c>
      <c r="J2" s="3" t="s">
        <v>56</v>
      </c>
      <c r="K2" s="3" t="s">
        <v>15</v>
      </c>
      <c r="L2" s="3" t="s">
        <v>57</v>
      </c>
    </row>
    <row r="3" spans="1:12" x14ac:dyDescent="0.2">
      <c r="A3" s="130">
        <v>66916</v>
      </c>
      <c r="B3" s="4" t="s">
        <v>58</v>
      </c>
      <c r="C3" s="4" t="s">
        <v>59</v>
      </c>
      <c r="D3" s="4" t="s">
        <v>60</v>
      </c>
      <c r="E3" s="36">
        <v>60</v>
      </c>
      <c r="F3" s="5">
        <v>85</v>
      </c>
      <c r="G3" s="5">
        <f t="shared" ref="G3:G66" si="0">IF($E3="","",$E3*$F3)</f>
        <v>5100</v>
      </c>
      <c r="H3" s="37">
        <v>0</v>
      </c>
      <c r="I3" s="5">
        <f t="shared" ref="I3:I66" si="1">IF($E3="","",$G3*(1-$H3/100))</f>
        <v>5100</v>
      </c>
      <c r="J3" s="4" t="s">
        <v>61</v>
      </c>
      <c r="K3" s="4" t="s">
        <v>62</v>
      </c>
      <c r="L3" s="4"/>
    </row>
    <row r="4" spans="1:12" x14ac:dyDescent="0.2">
      <c r="A4" s="130">
        <v>66916</v>
      </c>
      <c r="B4" s="4" t="s">
        <v>63</v>
      </c>
      <c r="C4" s="4" t="s">
        <v>64</v>
      </c>
      <c r="D4" s="4" t="s">
        <v>60</v>
      </c>
      <c r="E4" s="36">
        <v>15</v>
      </c>
      <c r="F4" s="5">
        <v>85</v>
      </c>
      <c r="G4" s="5">
        <f t="shared" si="0"/>
        <v>1275</v>
      </c>
      <c r="H4" s="37">
        <v>0</v>
      </c>
      <c r="I4" s="5">
        <f t="shared" si="1"/>
        <v>1275</v>
      </c>
      <c r="J4" s="4" t="s">
        <v>61</v>
      </c>
      <c r="K4" s="4" t="s">
        <v>62</v>
      </c>
      <c r="L4" s="4"/>
    </row>
    <row r="5" spans="1:12" x14ac:dyDescent="0.2">
      <c r="A5" s="130">
        <v>66916</v>
      </c>
      <c r="B5" s="4" t="s">
        <v>65</v>
      </c>
      <c r="C5" s="4" t="s">
        <v>66</v>
      </c>
      <c r="D5" s="4" t="s">
        <v>60</v>
      </c>
      <c r="E5" s="36">
        <v>25</v>
      </c>
      <c r="F5" s="5">
        <v>85</v>
      </c>
      <c r="G5" s="5">
        <f t="shared" si="0"/>
        <v>2125</v>
      </c>
      <c r="H5" s="37">
        <v>0</v>
      </c>
      <c r="I5" s="5">
        <f t="shared" si="1"/>
        <v>2125</v>
      </c>
      <c r="J5" s="4" t="s">
        <v>61</v>
      </c>
      <c r="K5" s="4" t="s">
        <v>62</v>
      </c>
      <c r="L5" s="4"/>
    </row>
    <row r="6" spans="1:12" x14ac:dyDescent="0.2">
      <c r="A6" s="130">
        <v>66916</v>
      </c>
      <c r="B6" s="4" t="s">
        <v>67</v>
      </c>
      <c r="C6" s="4" t="s">
        <v>68</v>
      </c>
      <c r="D6" s="4" t="s">
        <v>60</v>
      </c>
      <c r="E6" s="36">
        <v>60</v>
      </c>
      <c r="F6" s="5">
        <v>85</v>
      </c>
      <c r="G6" s="5">
        <f t="shared" si="0"/>
        <v>5100</v>
      </c>
      <c r="H6" s="37">
        <v>0</v>
      </c>
      <c r="I6" s="5">
        <f t="shared" si="1"/>
        <v>5100</v>
      </c>
      <c r="J6" s="4" t="s">
        <v>61</v>
      </c>
      <c r="K6" s="4" t="s">
        <v>62</v>
      </c>
      <c r="L6" s="4"/>
    </row>
    <row r="7" spans="1:12" x14ac:dyDescent="0.2">
      <c r="A7" s="130">
        <v>66916</v>
      </c>
      <c r="B7" s="4" t="s">
        <v>67</v>
      </c>
      <c r="C7" s="4" t="s">
        <v>68</v>
      </c>
      <c r="D7" s="4" t="s">
        <v>69</v>
      </c>
      <c r="E7" s="36">
        <v>1</v>
      </c>
      <c r="F7" s="5">
        <v>80</v>
      </c>
      <c r="G7" s="5">
        <f t="shared" si="0"/>
        <v>80</v>
      </c>
      <c r="H7" s="37">
        <v>0</v>
      </c>
      <c r="I7" s="5">
        <f t="shared" si="1"/>
        <v>80</v>
      </c>
      <c r="J7" s="4" t="s">
        <v>61</v>
      </c>
      <c r="K7" s="4" t="s">
        <v>62</v>
      </c>
      <c r="L7" s="4"/>
    </row>
    <row r="8" spans="1:12" x14ac:dyDescent="0.2">
      <c r="A8" s="130">
        <v>66916</v>
      </c>
      <c r="B8" s="4" t="s">
        <v>70</v>
      </c>
      <c r="C8" s="4" t="s">
        <v>71</v>
      </c>
      <c r="D8" s="4" t="s">
        <v>60</v>
      </c>
      <c r="E8" s="36">
        <v>15</v>
      </c>
      <c r="F8" s="5">
        <v>86</v>
      </c>
      <c r="G8" s="5">
        <f t="shared" si="0"/>
        <v>1290</v>
      </c>
      <c r="H8" s="37">
        <v>0</v>
      </c>
      <c r="I8" s="5">
        <f t="shared" si="1"/>
        <v>1290</v>
      </c>
      <c r="J8" s="4" t="s">
        <v>61</v>
      </c>
      <c r="K8" s="4" t="s">
        <v>62</v>
      </c>
      <c r="L8" s="4"/>
    </row>
    <row r="9" spans="1:12" x14ac:dyDescent="0.2">
      <c r="A9" s="130">
        <v>66916</v>
      </c>
      <c r="B9" s="4" t="s">
        <v>72</v>
      </c>
      <c r="C9" s="4" t="s">
        <v>73</v>
      </c>
      <c r="D9" s="4" t="s">
        <v>60</v>
      </c>
      <c r="E9" s="36">
        <v>10</v>
      </c>
      <c r="F9" s="5">
        <v>85</v>
      </c>
      <c r="G9" s="5">
        <f t="shared" si="0"/>
        <v>850</v>
      </c>
      <c r="H9" s="37">
        <v>0</v>
      </c>
      <c r="I9" s="5">
        <f t="shared" si="1"/>
        <v>850</v>
      </c>
      <c r="J9" s="4" t="s">
        <v>61</v>
      </c>
      <c r="K9" s="4" t="s">
        <v>62</v>
      </c>
      <c r="L9" s="4"/>
    </row>
    <row r="10" spans="1:12" x14ac:dyDescent="0.2">
      <c r="A10" s="130">
        <v>66916</v>
      </c>
      <c r="B10" s="4" t="s">
        <v>74</v>
      </c>
      <c r="C10" s="4" t="s">
        <v>75</v>
      </c>
      <c r="D10" s="4" t="s">
        <v>60</v>
      </c>
      <c r="E10" s="36">
        <v>7</v>
      </c>
      <c r="F10" s="5">
        <v>85</v>
      </c>
      <c r="G10" s="5">
        <f t="shared" si="0"/>
        <v>595</v>
      </c>
      <c r="H10" s="37">
        <v>0</v>
      </c>
      <c r="I10" s="5">
        <f t="shared" si="1"/>
        <v>595</v>
      </c>
      <c r="J10" s="4" t="s">
        <v>61</v>
      </c>
      <c r="K10" s="4" t="s">
        <v>62</v>
      </c>
      <c r="L10" s="4"/>
    </row>
    <row r="11" spans="1:12" x14ac:dyDescent="0.2">
      <c r="A11" s="130">
        <v>66916</v>
      </c>
      <c r="B11" s="4" t="s">
        <v>76</v>
      </c>
      <c r="C11" s="4" t="s">
        <v>77</v>
      </c>
      <c r="D11" s="4" t="s">
        <v>60</v>
      </c>
      <c r="E11" s="36">
        <v>20</v>
      </c>
      <c r="F11" s="5">
        <v>85</v>
      </c>
      <c r="G11" s="5">
        <f t="shared" si="0"/>
        <v>1700</v>
      </c>
      <c r="H11" s="37">
        <v>0</v>
      </c>
      <c r="I11" s="5">
        <f t="shared" si="1"/>
        <v>1700</v>
      </c>
      <c r="J11" s="4" t="s">
        <v>61</v>
      </c>
      <c r="K11" s="4" t="s">
        <v>62</v>
      </c>
      <c r="L11" s="4"/>
    </row>
    <row r="12" spans="1:12" x14ac:dyDescent="0.2">
      <c r="A12" s="130">
        <v>66916</v>
      </c>
      <c r="B12" s="4" t="s">
        <v>78</v>
      </c>
      <c r="C12" s="4" t="s">
        <v>79</v>
      </c>
      <c r="D12" s="4" t="s">
        <v>60</v>
      </c>
      <c r="E12" s="36">
        <v>10</v>
      </c>
      <c r="F12" s="5">
        <v>85</v>
      </c>
      <c r="G12" s="5">
        <f t="shared" si="0"/>
        <v>850</v>
      </c>
      <c r="H12" s="37">
        <v>0</v>
      </c>
      <c r="I12" s="5">
        <f t="shared" si="1"/>
        <v>850</v>
      </c>
      <c r="J12" s="4" t="s">
        <v>61</v>
      </c>
      <c r="K12" s="4" t="s">
        <v>62</v>
      </c>
      <c r="L12" s="4"/>
    </row>
    <row r="13" spans="1:12" x14ac:dyDescent="0.2">
      <c r="A13" s="130">
        <v>66916</v>
      </c>
      <c r="B13" s="4" t="s">
        <v>80</v>
      </c>
      <c r="C13" s="4" t="s">
        <v>81</v>
      </c>
      <c r="D13" s="4" t="s">
        <v>60</v>
      </c>
      <c r="E13" s="36">
        <v>4</v>
      </c>
      <c r="F13" s="5">
        <v>86</v>
      </c>
      <c r="G13" s="5">
        <f t="shared" si="0"/>
        <v>344</v>
      </c>
      <c r="H13" s="37">
        <v>0</v>
      </c>
      <c r="I13" s="5">
        <f t="shared" si="1"/>
        <v>344</v>
      </c>
      <c r="J13" s="4" t="s">
        <v>61</v>
      </c>
      <c r="K13" s="4" t="s">
        <v>62</v>
      </c>
      <c r="L13" s="4"/>
    </row>
    <row r="14" spans="1:12" x14ac:dyDescent="0.2">
      <c r="A14" s="130">
        <v>66916</v>
      </c>
      <c r="B14" s="4" t="s">
        <v>82</v>
      </c>
      <c r="C14" s="4" t="s">
        <v>83</v>
      </c>
      <c r="D14" s="4" t="s">
        <v>60</v>
      </c>
      <c r="E14" s="36">
        <v>20</v>
      </c>
      <c r="F14" s="5">
        <v>86</v>
      </c>
      <c r="G14" s="5">
        <f t="shared" si="0"/>
        <v>1720</v>
      </c>
      <c r="H14" s="37">
        <v>0</v>
      </c>
      <c r="I14" s="5">
        <f t="shared" si="1"/>
        <v>1720</v>
      </c>
      <c r="J14" s="4" t="s">
        <v>61</v>
      </c>
      <c r="K14" s="4" t="s">
        <v>62</v>
      </c>
      <c r="L14" s="4"/>
    </row>
    <row r="15" spans="1:12" x14ac:dyDescent="0.2">
      <c r="A15" s="130">
        <v>66916</v>
      </c>
      <c r="B15" s="4" t="s">
        <v>84</v>
      </c>
      <c r="C15" s="4" t="s">
        <v>85</v>
      </c>
      <c r="D15" s="4" t="s">
        <v>60</v>
      </c>
      <c r="E15" s="36">
        <v>5</v>
      </c>
      <c r="F15" s="5">
        <v>85</v>
      </c>
      <c r="G15" s="5">
        <f t="shared" si="0"/>
        <v>425</v>
      </c>
      <c r="H15" s="37">
        <v>0</v>
      </c>
      <c r="I15" s="5">
        <f t="shared" si="1"/>
        <v>425</v>
      </c>
      <c r="J15" s="4" t="s">
        <v>61</v>
      </c>
      <c r="K15" s="4" t="s">
        <v>62</v>
      </c>
      <c r="L15" s="4"/>
    </row>
    <row r="16" spans="1:12" x14ac:dyDescent="0.2">
      <c r="A16" s="130">
        <v>66916</v>
      </c>
      <c r="B16" s="4" t="s">
        <v>86</v>
      </c>
      <c r="C16" s="4" t="s">
        <v>87</v>
      </c>
      <c r="D16" s="4" t="s">
        <v>60</v>
      </c>
      <c r="E16" s="36">
        <v>15</v>
      </c>
      <c r="F16" s="5">
        <v>85</v>
      </c>
      <c r="G16" s="5">
        <f t="shared" si="0"/>
        <v>1275</v>
      </c>
      <c r="H16" s="37">
        <v>0</v>
      </c>
      <c r="I16" s="5">
        <f t="shared" si="1"/>
        <v>1275</v>
      </c>
      <c r="J16" s="4" t="s">
        <v>61</v>
      </c>
      <c r="K16" s="4" t="s">
        <v>62</v>
      </c>
      <c r="L16" s="4"/>
    </row>
    <row r="17" spans="1:12" x14ac:dyDescent="0.2">
      <c r="A17" s="130">
        <v>66916</v>
      </c>
      <c r="B17" s="4" t="s">
        <v>88</v>
      </c>
      <c r="C17" s="4" t="s">
        <v>89</v>
      </c>
      <c r="D17" s="4" t="s">
        <v>60</v>
      </c>
      <c r="E17" s="36">
        <v>30</v>
      </c>
      <c r="F17" s="5">
        <v>95</v>
      </c>
      <c r="G17" s="5">
        <f t="shared" si="0"/>
        <v>2850</v>
      </c>
      <c r="H17" s="37">
        <v>0</v>
      </c>
      <c r="I17" s="5">
        <f t="shared" si="1"/>
        <v>2850</v>
      </c>
      <c r="J17" s="4" t="s">
        <v>61</v>
      </c>
      <c r="K17" s="4" t="s">
        <v>62</v>
      </c>
      <c r="L17" s="4"/>
    </row>
    <row r="18" spans="1:12" x14ac:dyDescent="0.2">
      <c r="A18" s="130">
        <v>66916</v>
      </c>
      <c r="B18" s="4" t="s">
        <v>90</v>
      </c>
      <c r="C18" s="4" t="s">
        <v>91</v>
      </c>
      <c r="D18" s="4" t="s">
        <v>60</v>
      </c>
      <c r="E18" s="36">
        <v>25</v>
      </c>
      <c r="F18" s="5">
        <v>84</v>
      </c>
      <c r="G18" s="5">
        <f t="shared" si="0"/>
        <v>2100</v>
      </c>
      <c r="H18" s="37">
        <v>0</v>
      </c>
      <c r="I18" s="5">
        <f t="shared" si="1"/>
        <v>2100</v>
      </c>
      <c r="J18" s="4" t="s">
        <v>61</v>
      </c>
      <c r="K18" s="4" t="s">
        <v>62</v>
      </c>
      <c r="L18" s="4"/>
    </row>
    <row r="19" spans="1:12" x14ac:dyDescent="0.2">
      <c r="A19" s="130">
        <v>66916</v>
      </c>
      <c r="B19" s="4" t="s">
        <v>90</v>
      </c>
      <c r="C19" s="4" t="s">
        <v>91</v>
      </c>
      <c r="D19" s="4" t="s">
        <v>92</v>
      </c>
      <c r="E19" s="36">
        <v>0.5</v>
      </c>
      <c r="F19" s="5">
        <v>1100</v>
      </c>
      <c r="G19" s="5">
        <f t="shared" si="0"/>
        <v>550</v>
      </c>
      <c r="H19" s="37">
        <v>0</v>
      </c>
      <c r="I19" s="5">
        <f t="shared" si="1"/>
        <v>550</v>
      </c>
      <c r="J19" s="4" t="s">
        <v>61</v>
      </c>
      <c r="K19" s="4" t="s">
        <v>62</v>
      </c>
      <c r="L19" s="4"/>
    </row>
    <row r="20" spans="1:12" x14ac:dyDescent="0.2">
      <c r="A20" s="130">
        <v>66916</v>
      </c>
      <c r="B20" s="4" t="s">
        <v>90</v>
      </c>
      <c r="C20" s="4" t="s">
        <v>91</v>
      </c>
      <c r="D20" s="4" t="s">
        <v>93</v>
      </c>
      <c r="E20" s="36">
        <v>1</v>
      </c>
      <c r="F20" s="5">
        <v>800</v>
      </c>
      <c r="G20" s="5">
        <f t="shared" si="0"/>
        <v>800</v>
      </c>
      <c r="H20" s="37">
        <v>0</v>
      </c>
      <c r="I20" s="5">
        <f t="shared" si="1"/>
        <v>800</v>
      </c>
      <c r="J20" s="4" t="s">
        <v>61</v>
      </c>
      <c r="K20" s="4" t="s">
        <v>62</v>
      </c>
      <c r="L20" s="4"/>
    </row>
    <row r="21" spans="1:12" x14ac:dyDescent="0.2">
      <c r="A21" s="130">
        <v>66916</v>
      </c>
      <c r="B21" s="4" t="s">
        <v>94</v>
      </c>
      <c r="C21" s="4" t="s">
        <v>95</v>
      </c>
      <c r="D21" s="4" t="s">
        <v>60</v>
      </c>
      <c r="E21" s="36">
        <v>7</v>
      </c>
      <c r="F21" s="5">
        <v>85</v>
      </c>
      <c r="G21" s="5">
        <f t="shared" si="0"/>
        <v>595</v>
      </c>
      <c r="H21" s="37">
        <v>0</v>
      </c>
      <c r="I21" s="5">
        <f t="shared" si="1"/>
        <v>595</v>
      </c>
      <c r="J21" s="4" t="s">
        <v>61</v>
      </c>
      <c r="K21" s="4" t="s">
        <v>62</v>
      </c>
      <c r="L21" s="4"/>
    </row>
    <row r="22" spans="1:12" x14ac:dyDescent="0.2">
      <c r="A22" s="130">
        <v>66916</v>
      </c>
      <c r="B22" s="4" t="s">
        <v>96</v>
      </c>
      <c r="C22" s="4" t="s">
        <v>97</v>
      </c>
      <c r="D22" s="4" t="s">
        <v>60</v>
      </c>
      <c r="E22" s="36">
        <v>2.5</v>
      </c>
      <c r="F22" s="5">
        <v>96</v>
      </c>
      <c r="G22" s="5">
        <f t="shared" si="0"/>
        <v>240</v>
      </c>
      <c r="H22" s="37">
        <v>0</v>
      </c>
      <c r="I22" s="5">
        <f t="shared" si="1"/>
        <v>240</v>
      </c>
      <c r="J22" s="4" t="s">
        <v>61</v>
      </c>
      <c r="K22" s="4" t="s">
        <v>62</v>
      </c>
      <c r="L22" s="4"/>
    </row>
    <row r="23" spans="1:12" x14ac:dyDescent="0.2">
      <c r="A23" s="130">
        <v>66916</v>
      </c>
      <c r="B23" s="4" t="s">
        <v>98</v>
      </c>
      <c r="C23" s="4" t="s">
        <v>99</v>
      </c>
      <c r="D23" s="4" t="s">
        <v>60</v>
      </c>
      <c r="E23" s="36">
        <v>5</v>
      </c>
      <c r="F23" s="5">
        <v>86</v>
      </c>
      <c r="G23" s="5">
        <f t="shared" si="0"/>
        <v>430</v>
      </c>
      <c r="H23" s="37">
        <v>0</v>
      </c>
      <c r="I23" s="5">
        <f t="shared" si="1"/>
        <v>430</v>
      </c>
      <c r="J23" s="4" t="s">
        <v>61</v>
      </c>
      <c r="K23" s="4" t="s">
        <v>62</v>
      </c>
      <c r="L23" s="4"/>
    </row>
    <row r="24" spans="1:12" x14ac:dyDescent="0.2">
      <c r="A24" s="130">
        <v>66917</v>
      </c>
      <c r="B24" s="4" t="s">
        <v>100</v>
      </c>
      <c r="C24" s="4" t="s">
        <v>59</v>
      </c>
      <c r="D24" s="4" t="s">
        <v>60</v>
      </c>
      <c r="E24" s="36">
        <v>60</v>
      </c>
      <c r="F24" s="5">
        <v>85</v>
      </c>
      <c r="G24" s="5">
        <f t="shared" si="0"/>
        <v>5100</v>
      </c>
      <c r="H24" s="37">
        <v>0</v>
      </c>
      <c r="I24" s="5">
        <f t="shared" si="1"/>
        <v>5100</v>
      </c>
      <c r="J24" s="4" t="s">
        <v>61</v>
      </c>
      <c r="K24" s="4" t="s">
        <v>62</v>
      </c>
      <c r="L24" s="4"/>
    </row>
    <row r="25" spans="1:12" x14ac:dyDescent="0.2">
      <c r="A25" s="130">
        <v>66917</v>
      </c>
      <c r="B25" s="4" t="s">
        <v>101</v>
      </c>
      <c r="C25" s="4" t="s">
        <v>64</v>
      </c>
      <c r="D25" s="4" t="s">
        <v>60</v>
      </c>
      <c r="E25" s="36">
        <v>25</v>
      </c>
      <c r="F25" s="5">
        <v>85</v>
      </c>
      <c r="G25" s="5">
        <f t="shared" si="0"/>
        <v>2125</v>
      </c>
      <c r="H25" s="37">
        <v>0</v>
      </c>
      <c r="I25" s="5">
        <f t="shared" si="1"/>
        <v>2125</v>
      </c>
      <c r="J25" s="4" t="s">
        <v>61</v>
      </c>
      <c r="K25" s="4" t="s">
        <v>62</v>
      </c>
      <c r="L25" s="4"/>
    </row>
    <row r="26" spans="1:12" x14ac:dyDescent="0.2">
      <c r="A26" s="130">
        <v>66917</v>
      </c>
      <c r="B26" s="4" t="s">
        <v>102</v>
      </c>
      <c r="C26" s="4" t="s">
        <v>73</v>
      </c>
      <c r="D26" s="4" t="s">
        <v>60</v>
      </c>
      <c r="E26" s="36">
        <v>10</v>
      </c>
      <c r="F26" s="5">
        <v>85</v>
      </c>
      <c r="G26" s="5">
        <f t="shared" si="0"/>
        <v>850</v>
      </c>
      <c r="H26" s="37">
        <v>0</v>
      </c>
      <c r="I26" s="5">
        <f t="shared" si="1"/>
        <v>850</v>
      </c>
      <c r="J26" s="4" t="s">
        <v>61</v>
      </c>
      <c r="K26" s="4" t="s">
        <v>62</v>
      </c>
      <c r="L26" s="4"/>
    </row>
    <row r="27" spans="1:12" x14ac:dyDescent="0.2">
      <c r="A27" s="130">
        <v>66917</v>
      </c>
      <c r="B27" s="4" t="s">
        <v>103</v>
      </c>
      <c r="C27" s="4" t="s">
        <v>79</v>
      </c>
      <c r="D27" s="4" t="s">
        <v>60</v>
      </c>
      <c r="E27" s="36">
        <v>10</v>
      </c>
      <c r="F27" s="5">
        <v>85</v>
      </c>
      <c r="G27" s="5">
        <f t="shared" si="0"/>
        <v>850</v>
      </c>
      <c r="H27" s="37">
        <v>0</v>
      </c>
      <c r="I27" s="5">
        <f t="shared" si="1"/>
        <v>850</v>
      </c>
      <c r="J27" s="4" t="s">
        <v>61</v>
      </c>
      <c r="K27" s="4" t="s">
        <v>62</v>
      </c>
      <c r="L27" s="4"/>
    </row>
    <row r="28" spans="1:12" x14ac:dyDescent="0.2">
      <c r="A28" s="130">
        <v>66917</v>
      </c>
      <c r="B28" s="4" t="s">
        <v>104</v>
      </c>
      <c r="C28" s="4" t="s">
        <v>81</v>
      </c>
      <c r="D28" s="4" t="s">
        <v>60</v>
      </c>
      <c r="E28" s="36">
        <v>4</v>
      </c>
      <c r="F28" s="5">
        <v>86</v>
      </c>
      <c r="G28" s="5">
        <f t="shared" si="0"/>
        <v>344</v>
      </c>
      <c r="H28" s="37">
        <v>0</v>
      </c>
      <c r="I28" s="5">
        <f t="shared" si="1"/>
        <v>344</v>
      </c>
      <c r="J28" s="4" t="s">
        <v>61</v>
      </c>
      <c r="K28" s="4" t="s">
        <v>62</v>
      </c>
      <c r="L28" s="4"/>
    </row>
    <row r="29" spans="1:12" x14ac:dyDescent="0.2">
      <c r="A29" s="130">
        <v>66917</v>
      </c>
      <c r="B29" s="4" t="s">
        <v>105</v>
      </c>
      <c r="C29" s="4" t="s">
        <v>83</v>
      </c>
      <c r="D29" s="4" t="s">
        <v>60</v>
      </c>
      <c r="E29" s="36">
        <v>20</v>
      </c>
      <c r="F29" s="5">
        <v>86</v>
      </c>
      <c r="G29" s="5">
        <f t="shared" si="0"/>
        <v>1720</v>
      </c>
      <c r="H29" s="37">
        <v>0</v>
      </c>
      <c r="I29" s="5">
        <f t="shared" si="1"/>
        <v>1720</v>
      </c>
      <c r="J29" s="4" t="s">
        <v>61</v>
      </c>
      <c r="K29" s="4" t="s">
        <v>62</v>
      </c>
      <c r="L29" s="4"/>
    </row>
    <row r="30" spans="1:12" x14ac:dyDescent="0.2">
      <c r="A30" s="130">
        <v>66917</v>
      </c>
      <c r="B30" s="4" t="s">
        <v>106</v>
      </c>
      <c r="C30" s="4" t="s">
        <v>66</v>
      </c>
      <c r="D30" s="4" t="s">
        <v>60</v>
      </c>
      <c r="E30" s="36">
        <v>20</v>
      </c>
      <c r="F30" s="5">
        <v>85</v>
      </c>
      <c r="G30" s="5">
        <f t="shared" si="0"/>
        <v>1700</v>
      </c>
      <c r="H30" s="37">
        <v>0</v>
      </c>
      <c r="I30" s="5">
        <f t="shared" si="1"/>
        <v>1700</v>
      </c>
      <c r="J30" s="4" t="s">
        <v>61</v>
      </c>
      <c r="K30" s="4" t="s">
        <v>62</v>
      </c>
      <c r="L30" s="4"/>
    </row>
    <row r="31" spans="1:12" x14ac:dyDescent="0.2">
      <c r="A31" s="130">
        <v>66917</v>
      </c>
      <c r="B31" s="4" t="s">
        <v>107</v>
      </c>
      <c r="C31" s="4" t="s">
        <v>68</v>
      </c>
      <c r="D31" s="4" t="s">
        <v>60</v>
      </c>
      <c r="E31" s="36">
        <v>70</v>
      </c>
      <c r="F31" s="5">
        <v>85</v>
      </c>
      <c r="G31" s="5">
        <f t="shared" si="0"/>
        <v>5950</v>
      </c>
      <c r="H31" s="37">
        <v>0</v>
      </c>
      <c r="I31" s="5">
        <f t="shared" si="1"/>
        <v>5950</v>
      </c>
      <c r="J31" s="4" t="s">
        <v>61</v>
      </c>
      <c r="K31" s="4" t="s">
        <v>62</v>
      </c>
      <c r="L31" s="4"/>
    </row>
    <row r="32" spans="1:12" x14ac:dyDescent="0.2">
      <c r="A32" s="130">
        <v>66917</v>
      </c>
      <c r="B32" s="4" t="s">
        <v>107</v>
      </c>
      <c r="C32" s="4" t="s">
        <v>68</v>
      </c>
      <c r="D32" s="4" t="s">
        <v>69</v>
      </c>
      <c r="E32" s="36">
        <v>40</v>
      </c>
      <c r="F32" s="5">
        <v>86</v>
      </c>
      <c r="G32" s="5">
        <f t="shared" si="0"/>
        <v>3440</v>
      </c>
      <c r="H32" s="37">
        <v>0</v>
      </c>
      <c r="I32" s="5">
        <f t="shared" si="1"/>
        <v>3440</v>
      </c>
      <c r="J32" s="4" t="s">
        <v>61</v>
      </c>
      <c r="K32" s="4" t="s">
        <v>62</v>
      </c>
      <c r="L32" s="4"/>
    </row>
    <row r="33" spans="1:12" x14ac:dyDescent="0.2">
      <c r="A33" s="130">
        <v>66917</v>
      </c>
      <c r="B33" s="4" t="s">
        <v>108</v>
      </c>
      <c r="C33" s="4" t="s">
        <v>85</v>
      </c>
      <c r="D33" s="4" t="s">
        <v>60</v>
      </c>
      <c r="E33" s="36">
        <v>5</v>
      </c>
      <c r="F33" s="5">
        <v>85</v>
      </c>
      <c r="G33" s="5">
        <f t="shared" si="0"/>
        <v>425</v>
      </c>
      <c r="H33" s="37">
        <v>0</v>
      </c>
      <c r="I33" s="5">
        <f t="shared" si="1"/>
        <v>425</v>
      </c>
      <c r="J33" s="4" t="s">
        <v>61</v>
      </c>
      <c r="K33" s="4" t="s">
        <v>62</v>
      </c>
      <c r="L33" s="4"/>
    </row>
    <row r="34" spans="1:12" x14ac:dyDescent="0.2">
      <c r="A34" s="130">
        <v>66917</v>
      </c>
      <c r="B34" s="4" t="s">
        <v>109</v>
      </c>
      <c r="C34" s="4" t="s">
        <v>87</v>
      </c>
      <c r="D34" s="4" t="s">
        <v>60</v>
      </c>
      <c r="E34" s="36">
        <v>15</v>
      </c>
      <c r="F34" s="5">
        <v>85</v>
      </c>
      <c r="G34" s="5">
        <f t="shared" si="0"/>
        <v>1275</v>
      </c>
      <c r="H34" s="37">
        <v>0</v>
      </c>
      <c r="I34" s="5">
        <f t="shared" si="1"/>
        <v>1275</v>
      </c>
      <c r="J34" s="4" t="s">
        <v>61</v>
      </c>
      <c r="K34" s="4" t="s">
        <v>62</v>
      </c>
      <c r="L34" s="4"/>
    </row>
    <row r="35" spans="1:12" x14ac:dyDescent="0.2">
      <c r="A35" s="130">
        <v>66917</v>
      </c>
      <c r="B35" s="4" t="s">
        <v>110</v>
      </c>
      <c r="C35" s="4" t="s">
        <v>77</v>
      </c>
      <c r="D35" s="4" t="s">
        <v>60</v>
      </c>
      <c r="E35" s="36">
        <v>15</v>
      </c>
      <c r="F35" s="5">
        <v>85</v>
      </c>
      <c r="G35" s="5">
        <f t="shared" si="0"/>
        <v>1275</v>
      </c>
      <c r="H35" s="37">
        <v>0</v>
      </c>
      <c r="I35" s="5">
        <f t="shared" si="1"/>
        <v>1275</v>
      </c>
      <c r="J35" s="4" t="s">
        <v>61</v>
      </c>
      <c r="K35" s="4" t="s">
        <v>62</v>
      </c>
      <c r="L35" s="4"/>
    </row>
    <row r="36" spans="1:12" x14ac:dyDescent="0.2">
      <c r="A36" s="130">
        <v>66917</v>
      </c>
      <c r="B36" s="4" t="s">
        <v>111</v>
      </c>
      <c r="C36" s="4" t="s">
        <v>75</v>
      </c>
      <c r="D36" s="4" t="s">
        <v>60</v>
      </c>
      <c r="E36" s="36">
        <v>5</v>
      </c>
      <c r="F36" s="5">
        <v>85</v>
      </c>
      <c r="G36" s="5">
        <f t="shared" si="0"/>
        <v>425</v>
      </c>
      <c r="H36" s="37">
        <v>0</v>
      </c>
      <c r="I36" s="5">
        <f t="shared" si="1"/>
        <v>425</v>
      </c>
      <c r="J36" s="4" t="s">
        <v>61</v>
      </c>
      <c r="K36" s="4" t="s">
        <v>62</v>
      </c>
      <c r="L36" s="4"/>
    </row>
    <row r="37" spans="1:12" x14ac:dyDescent="0.2">
      <c r="A37" s="130">
        <v>66917</v>
      </c>
      <c r="B37" s="4" t="s">
        <v>112</v>
      </c>
      <c r="C37" s="4" t="s">
        <v>113</v>
      </c>
      <c r="D37" s="4" t="s">
        <v>92</v>
      </c>
      <c r="E37" s="36">
        <v>15</v>
      </c>
      <c r="F37" s="5">
        <v>1100</v>
      </c>
      <c r="G37" s="5">
        <f t="shared" si="0"/>
        <v>16500</v>
      </c>
      <c r="H37" s="37">
        <v>0</v>
      </c>
      <c r="I37" s="5">
        <f t="shared" si="1"/>
        <v>16500</v>
      </c>
      <c r="J37" s="4" t="s">
        <v>61</v>
      </c>
      <c r="K37" s="4" t="s">
        <v>62</v>
      </c>
      <c r="L37" s="4"/>
    </row>
    <row r="38" spans="1:12" x14ac:dyDescent="0.2">
      <c r="A38" s="130">
        <v>66917</v>
      </c>
      <c r="B38" s="4" t="s">
        <v>114</v>
      </c>
      <c r="C38" s="4" t="s">
        <v>71</v>
      </c>
      <c r="D38" s="4" t="s">
        <v>60</v>
      </c>
      <c r="E38" s="36">
        <v>18</v>
      </c>
      <c r="F38" s="5">
        <v>86</v>
      </c>
      <c r="G38" s="5">
        <f t="shared" si="0"/>
        <v>1548</v>
      </c>
      <c r="H38" s="37">
        <v>0</v>
      </c>
      <c r="I38" s="5">
        <f t="shared" si="1"/>
        <v>1548</v>
      </c>
      <c r="J38" s="4" t="s">
        <v>61</v>
      </c>
      <c r="K38" s="4" t="s">
        <v>62</v>
      </c>
      <c r="L38" s="4"/>
    </row>
    <row r="39" spans="1:12" x14ac:dyDescent="0.2">
      <c r="A39" s="130">
        <v>66917</v>
      </c>
      <c r="B39" s="4" t="s">
        <v>114</v>
      </c>
      <c r="C39" s="4" t="s">
        <v>71</v>
      </c>
      <c r="D39" s="4" t="s">
        <v>93</v>
      </c>
      <c r="E39" s="36">
        <v>1</v>
      </c>
      <c r="F39" s="5">
        <v>775</v>
      </c>
      <c r="G39" s="5">
        <f t="shared" si="0"/>
        <v>775</v>
      </c>
      <c r="H39" s="37">
        <v>0</v>
      </c>
      <c r="I39" s="5">
        <f t="shared" si="1"/>
        <v>775</v>
      </c>
      <c r="J39" s="4" t="s">
        <v>61</v>
      </c>
      <c r="K39" s="4" t="s">
        <v>62</v>
      </c>
      <c r="L39" s="4"/>
    </row>
    <row r="40" spans="1:12" x14ac:dyDescent="0.2">
      <c r="A40" s="130">
        <v>66917</v>
      </c>
      <c r="B40" s="4" t="s">
        <v>115</v>
      </c>
      <c r="C40" s="4" t="s">
        <v>116</v>
      </c>
      <c r="D40" s="4" t="s">
        <v>60</v>
      </c>
      <c r="E40" s="36">
        <v>35</v>
      </c>
      <c r="F40" s="5">
        <v>85</v>
      </c>
      <c r="G40" s="5">
        <f t="shared" si="0"/>
        <v>2975</v>
      </c>
      <c r="H40" s="37">
        <v>0</v>
      </c>
      <c r="I40" s="5">
        <f t="shared" si="1"/>
        <v>2975</v>
      </c>
      <c r="J40" s="4" t="s">
        <v>61</v>
      </c>
      <c r="K40" s="4" t="s">
        <v>62</v>
      </c>
      <c r="L40" s="4"/>
    </row>
    <row r="41" spans="1:12" x14ac:dyDescent="0.2">
      <c r="A41" s="130">
        <v>66917</v>
      </c>
      <c r="B41" s="4" t="s">
        <v>117</v>
      </c>
      <c r="C41" s="4" t="s">
        <v>118</v>
      </c>
      <c r="D41" s="4" t="s">
        <v>60</v>
      </c>
      <c r="E41" s="36">
        <v>30</v>
      </c>
      <c r="F41" s="5">
        <v>85</v>
      </c>
      <c r="G41" s="5">
        <f t="shared" si="0"/>
        <v>2550</v>
      </c>
      <c r="H41" s="37">
        <v>0</v>
      </c>
      <c r="I41" s="5">
        <f t="shared" si="1"/>
        <v>2550</v>
      </c>
      <c r="J41" s="4" t="s">
        <v>61</v>
      </c>
      <c r="K41" s="4" t="s">
        <v>62</v>
      </c>
      <c r="L41" s="4"/>
    </row>
    <row r="42" spans="1:12" x14ac:dyDescent="0.2">
      <c r="A42" s="130">
        <v>66917</v>
      </c>
      <c r="B42" s="4" t="s">
        <v>119</v>
      </c>
      <c r="C42" s="4" t="s">
        <v>89</v>
      </c>
      <c r="D42" s="4" t="s">
        <v>60</v>
      </c>
      <c r="E42" s="36">
        <v>20</v>
      </c>
      <c r="F42" s="5">
        <v>95</v>
      </c>
      <c r="G42" s="5">
        <f t="shared" si="0"/>
        <v>1900</v>
      </c>
      <c r="H42" s="37">
        <v>0</v>
      </c>
      <c r="I42" s="5">
        <f t="shared" si="1"/>
        <v>1900</v>
      </c>
      <c r="J42" s="4" t="s">
        <v>61</v>
      </c>
      <c r="K42" s="4" t="s">
        <v>62</v>
      </c>
      <c r="L42" s="4"/>
    </row>
    <row r="43" spans="1:12" x14ac:dyDescent="0.2">
      <c r="A43" s="130">
        <v>66917</v>
      </c>
      <c r="B43" s="4" t="s">
        <v>119</v>
      </c>
      <c r="C43" s="4" t="s">
        <v>89</v>
      </c>
      <c r="D43" s="4" t="s">
        <v>60</v>
      </c>
      <c r="E43" s="36">
        <v>7</v>
      </c>
      <c r="F43" s="5">
        <v>85</v>
      </c>
      <c r="G43" s="5">
        <f t="shared" si="0"/>
        <v>595</v>
      </c>
      <c r="H43" s="37">
        <v>0</v>
      </c>
      <c r="I43" s="5">
        <f t="shared" si="1"/>
        <v>595</v>
      </c>
      <c r="J43" s="4" t="s">
        <v>61</v>
      </c>
      <c r="K43" s="4" t="s">
        <v>62</v>
      </c>
      <c r="L43" s="4"/>
    </row>
    <row r="44" spans="1:12" x14ac:dyDescent="0.2">
      <c r="A44" s="130">
        <v>66917</v>
      </c>
      <c r="B44" s="4" t="s">
        <v>120</v>
      </c>
      <c r="C44" s="4" t="s">
        <v>91</v>
      </c>
      <c r="D44" s="4" t="s">
        <v>60</v>
      </c>
      <c r="E44" s="36">
        <v>25</v>
      </c>
      <c r="F44" s="5">
        <v>84</v>
      </c>
      <c r="G44" s="5">
        <f t="shared" si="0"/>
        <v>2100</v>
      </c>
      <c r="H44" s="37">
        <v>0</v>
      </c>
      <c r="I44" s="5">
        <f t="shared" si="1"/>
        <v>2100</v>
      </c>
      <c r="J44" s="4" t="s">
        <v>61</v>
      </c>
      <c r="K44" s="4" t="s">
        <v>62</v>
      </c>
      <c r="L44" s="4"/>
    </row>
    <row r="45" spans="1:12" x14ac:dyDescent="0.2">
      <c r="A45" s="130">
        <v>66917</v>
      </c>
      <c r="B45" s="4" t="s">
        <v>121</v>
      </c>
      <c r="C45" s="4" t="s">
        <v>95</v>
      </c>
      <c r="D45" s="4" t="s">
        <v>60</v>
      </c>
      <c r="E45" s="36">
        <v>8</v>
      </c>
      <c r="F45" s="5">
        <v>85</v>
      </c>
      <c r="G45" s="5">
        <f t="shared" si="0"/>
        <v>680</v>
      </c>
      <c r="H45" s="37">
        <v>0</v>
      </c>
      <c r="I45" s="5">
        <f t="shared" si="1"/>
        <v>680</v>
      </c>
      <c r="J45" s="4" t="s">
        <v>61</v>
      </c>
      <c r="K45" s="4" t="s">
        <v>62</v>
      </c>
      <c r="L45" s="4"/>
    </row>
    <row r="46" spans="1:12" x14ac:dyDescent="0.2">
      <c r="A46" s="130">
        <v>66917</v>
      </c>
      <c r="B46" s="4" t="s">
        <v>122</v>
      </c>
      <c r="C46" s="4" t="s">
        <v>97</v>
      </c>
      <c r="D46" s="4" t="s">
        <v>60</v>
      </c>
      <c r="E46" s="36">
        <v>4</v>
      </c>
      <c r="F46" s="5">
        <v>85</v>
      </c>
      <c r="G46" s="5">
        <f t="shared" si="0"/>
        <v>340</v>
      </c>
      <c r="H46" s="37">
        <v>0</v>
      </c>
      <c r="I46" s="5">
        <f t="shared" si="1"/>
        <v>340</v>
      </c>
      <c r="J46" s="4" t="s">
        <v>61</v>
      </c>
      <c r="K46" s="4" t="s">
        <v>62</v>
      </c>
      <c r="L46" s="4"/>
    </row>
    <row r="47" spans="1:12" x14ac:dyDescent="0.2">
      <c r="A47" s="130">
        <v>66917</v>
      </c>
      <c r="B47" s="4" t="s">
        <v>122</v>
      </c>
      <c r="C47" s="4" t="s">
        <v>97</v>
      </c>
      <c r="D47" s="4" t="s">
        <v>92</v>
      </c>
      <c r="E47" s="36">
        <v>1</v>
      </c>
      <c r="F47" s="5">
        <v>1100</v>
      </c>
      <c r="G47" s="5">
        <f t="shared" si="0"/>
        <v>1100</v>
      </c>
      <c r="H47" s="37">
        <v>0</v>
      </c>
      <c r="I47" s="5">
        <f t="shared" si="1"/>
        <v>1100</v>
      </c>
      <c r="J47" s="4" t="s">
        <v>61</v>
      </c>
      <c r="K47" s="4" t="s">
        <v>62</v>
      </c>
      <c r="L47" s="4"/>
    </row>
    <row r="48" spans="1:12" x14ac:dyDescent="0.2">
      <c r="A48" s="130">
        <v>66918</v>
      </c>
      <c r="B48" s="4" t="s">
        <v>123</v>
      </c>
      <c r="C48" s="4" t="s">
        <v>73</v>
      </c>
      <c r="D48" s="4" t="s">
        <v>60</v>
      </c>
      <c r="E48" s="36">
        <v>10</v>
      </c>
      <c r="F48" s="5">
        <v>85</v>
      </c>
      <c r="G48" s="5">
        <f t="shared" si="0"/>
        <v>850</v>
      </c>
      <c r="H48" s="37">
        <v>0</v>
      </c>
      <c r="I48" s="5">
        <f t="shared" si="1"/>
        <v>850</v>
      </c>
      <c r="J48" s="4" t="s">
        <v>61</v>
      </c>
      <c r="K48" s="4" t="s">
        <v>62</v>
      </c>
      <c r="L48" s="4"/>
    </row>
    <row r="49" spans="1:12" x14ac:dyDescent="0.2">
      <c r="A49" s="130">
        <v>66918</v>
      </c>
      <c r="B49" s="4" t="s">
        <v>124</v>
      </c>
      <c r="C49" s="4" t="s">
        <v>77</v>
      </c>
      <c r="D49" s="4" t="s">
        <v>60</v>
      </c>
      <c r="E49" s="36">
        <v>20</v>
      </c>
      <c r="F49" s="5">
        <v>85</v>
      </c>
      <c r="G49" s="5">
        <f t="shared" si="0"/>
        <v>1700</v>
      </c>
      <c r="H49" s="37">
        <v>0</v>
      </c>
      <c r="I49" s="5">
        <f t="shared" si="1"/>
        <v>1700</v>
      </c>
      <c r="J49" s="4" t="s">
        <v>61</v>
      </c>
      <c r="K49" s="4" t="s">
        <v>62</v>
      </c>
      <c r="L49" s="4"/>
    </row>
    <row r="50" spans="1:12" x14ac:dyDescent="0.2">
      <c r="A50" s="130">
        <v>66918</v>
      </c>
      <c r="B50" s="4" t="s">
        <v>125</v>
      </c>
      <c r="C50" s="4" t="s">
        <v>81</v>
      </c>
      <c r="D50" s="4" t="s">
        <v>60</v>
      </c>
      <c r="E50" s="36">
        <v>4</v>
      </c>
      <c r="F50" s="5">
        <v>86</v>
      </c>
      <c r="G50" s="5">
        <f t="shared" si="0"/>
        <v>344</v>
      </c>
      <c r="H50" s="37">
        <v>0</v>
      </c>
      <c r="I50" s="5">
        <f t="shared" si="1"/>
        <v>344</v>
      </c>
      <c r="J50" s="4" t="s">
        <v>61</v>
      </c>
      <c r="K50" s="4" t="s">
        <v>62</v>
      </c>
      <c r="L50" s="4"/>
    </row>
    <row r="51" spans="1:12" x14ac:dyDescent="0.2">
      <c r="A51" s="130">
        <v>66918</v>
      </c>
      <c r="B51" s="4" t="s">
        <v>126</v>
      </c>
      <c r="C51" s="4" t="s">
        <v>83</v>
      </c>
      <c r="D51" s="4" t="s">
        <v>60</v>
      </c>
      <c r="E51" s="36">
        <v>40</v>
      </c>
      <c r="F51" s="5">
        <v>86</v>
      </c>
      <c r="G51" s="5">
        <f t="shared" si="0"/>
        <v>3440</v>
      </c>
      <c r="H51" s="37">
        <v>0</v>
      </c>
      <c r="I51" s="5">
        <f t="shared" si="1"/>
        <v>3440</v>
      </c>
      <c r="J51" s="4" t="s">
        <v>61</v>
      </c>
      <c r="K51" s="4" t="s">
        <v>62</v>
      </c>
      <c r="L51" s="4"/>
    </row>
    <row r="52" spans="1:12" x14ac:dyDescent="0.2">
      <c r="A52" s="130">
        <v>66918</v>
      </c>
      <c r="B52" s="4" t="s">
        <v>127</v>
      </c>
      <c r="C52" s="4" t="s">
        <v>68</v>
      </c>
      <c r="D52" s="4" t="s">
        <v>60</v>
      </c>
      <c r="E52" s="36">
        <v>40</v>
      </c>
      <c r="F52" s="5">
        <v>86</v>
      </c>
      <c r="G52" s="5">
        <f t="shared" si="0"/>
        <v>3440</v>
      </c>
      <c r="H52" s="37">
        <v>0</v>
      </c>
      <c r="I52" s="5">
        <f t="shared" si="1"/>
        <v>3440</v>
      </c>
      <c r="J52" s="4" t="s">
        <v>61</v>
      </c>
      <c r="K52" s="4" t="s">
        <v>62</v>
      </c>
      <c r="L52" s="4"/>
    </row>
    <row r="53" spans="1:12" x14ac:dyDescent="0.2">
      <c r="A53" s="130">
        <v>66918</v>
      </c>
      <c r="B53" s="4" t="s">
        <v>127</v>
      </c>
      <c r="C53" s="4" t="s">
        <v>68</v>
      </c>
      <c r="D53" s="4" t="s">
        <v>60</v>
      </c>
      <c r="E53" s="36">
        <v>30</v>
      </c>
      <c r="F53" s="5">
        <v>85</v>
      </c>
      <c r="G53" s="5">
        <f t="shared" si="0"/>
        <v>2550</v>
      </c>
      <c r="H53" s="37">
        <v>0</v>
      </c>
      <c r="I53" s="5">
        <f t="shared" si="1"/>
        <v>2550</v>
      </c>
      <c r="J53" s="4" t="s">
        <v>61</v>
      </c>
      <c r="K53" s="4" t="s">
        <v>62</v>
      </c>
      <c r="L53" s="4"/>
    </row>
    <row r="54" spans="1:12" x14ac:dyDescent="0.2">
      <c r="A54" s="130">
        <v>66918</v>
      </c>
      <c r="B54" s="4" t="s">
        <v>127</v>
      </c>
      <c r="C54" s="4" t="s">
        <v>68</v>
      </c>
      <c r="D54" s="4" t="s">
        <v>69</v>
      </c>
      <c r="E54" s="36">
        <v>1</v>
      </c>
      <c r="F54" s="5">
        <v>80</v>
      </c>
      <c r="G54" s="5">
        <f t="shared" si="0"/>
        <v>80</v>
      </c>
      <c r="H54" s="37">
        <v>0</v>
      </c>
      <c r="I54" s="5">
        <f t="shared" si="1"/>
        <v>80</v>
      </c>
      <c r="J54" s="4" t="s">
        <v>61</v>
      </c>
      <c r="K54" s="4" t="s">
        <v>62</v>
      </c>
      <c r="L54" s="4"/>
    </row>
    <row r="55" spans="1:12" x14ac:dyDescent="0.2">
      <c r="A55" s="130">
        <v>66918</v>
      </c>
      <c r="B55" s="4" t="s">
        <v>128</v>
      </c>
      <c r="C55" s="4" t="s">
        <v>71</v>
      </c>
      <c r="D55" s="4" t="s">
        <v>60</v>
      </c>
      <c r="E55" s="36">
        <v>15</v>
      </c>
      <c r="F55" s="5">
        <v>86</v>
      </c>
      <c r="G55" s="5">
        <f t="shared" si="0"/>
        <v>1290</v>
      </c>
      <c r="H55" s="37">
        <v>0</v>
      </c>
      <c r="I55" s="5">
        <f t="shared" si="1"/>
        <v>1290</v>
      </c>
      <c r="J55" s="4" t="s">
        <v>61</v>
      </c>
      <c r="K55" s="4" t="s">
        <v>62</v>
      </c>
      <c r="L55" s="4"/>
    </row>
    <row r="56" spans="1:12" x14ac:dyDescent="0.2">
      <c r="A56" s="130">
        <v>66918</v>
      </c>
      <c r="B56" s="4" t="s">
        <v>129</v>
      </c>
      <c r="C56" s="4" t="s">
        <v>64</v>
      </c>
      <c r="D56" s="4" t="s">
        <v>60</v>
      </c>
      <c r="E56" s="36">
        <v>30</v>
      </c>
      <c r="F56" s="5">
        <v>85</v>
      </c>
      <c r="G56" s="5">
        <f t="shared" si="0"/>
        <v>2550</v>
      </c>
      <c r="H56" s="37">
        <v>0</v>
      </c>
      <c r="I56" s="5">
        <f t="shared" si="1"/>
        <v>2550</v>
      </c>
      <c r="J56" s="4" t="s">
        <v>61</v>
      </c>
      <c r="K56" s="4" t="s">
        <v>62</v>
      </c>
      <c r="L56" s="4"/>
    </row>
    <row r="57" spans="1:12" x14ac:dyDescent="0.2">
      <c r="A57" s="130">
        <v>66918</v>
      </c>
      <c r="B57" s="4" t="s">
        <v>130</v>
      </c>
      <c r="C57" s="4" t="s">
        <v>75</v>
      </c>
      <c r="D57" s="4" t="s">
        <v>60</v>
      </c>
      <c r="E57" s="36">
        <v>5</v>
      </c>
      <c r="F57" s="5">
        <v>85</v>
      </c>
      <c r="G57" s="5">
        <f t="shared" si="0"/>
        <v>425</v>
      </c>
      <c r="H57" s="37">
        <v>0</v>
      </c>
      <c r="I57" s="5">
        <f t="shared" si="1"/>
        <v>425</v>
      </c>
      <c r="J57" s="4" t="s">
        <v>61</v>
      </c>
      <c r="K57" s="4" t="s">
        <v>62</v>
      </c>
      <c r="L57" s="4"/>
    </row>
    <row r="58" spans="1:12" x14ac:dyDescent="0.2">
      <c r="A58" s="130">
        <v>66918</v>
      </c>
      <c r="B58" s="4" t="s">
        <v>131</v>
      </c>
      <c r="C58" s="4" t="s">
        <v>79</v>
      </c>
      <c r="D58" s="4" t="s">
        <v>60</v>
      </c>
      <c r="E58" s="36">
        <v>10</v>
      </c>
      <c r="F58" s="5">
        <v>85</v>
      </c>
      <c r="G58" s="5">
        <f t="shared" si="0"/>
        <v>850</v>
      </c>
      <c r="H58" s="37">
        <v>0</v>
      </c>
      <c r="I58" s="5">
        <f t="shared" si="1"/>
        <v>850</v>
      </c>
      <c r="J58" s="4" t="s">
        <v>61</v>
      </c>
      <c r="K58" s="4" t="s">
        <v>62</v>
      </c>
      <c r="L58" s="4"/>
    </row>
    <row r="59" spans="1:12" x14ac:dyDescent="0.2">
      <c r="A59" s="130">
        <v>66918</v>
      </c>
      <c r="B59" s="4" t="s">
        <v>132</v>
      </c>
      <c r="C59" s="4" t="s">
        <v>87</v>
      </c>
      <c r="D59" s="4" t="s">
        <v>60</v>
      </c>
      <c r="E59" s="36">
        <v>15</v>
      </c>
      <c r="F59" s="5">
        <v>85</v>
      </c>
      <c r="G59" s="5">
        <f t="shared" si="0"/>
        <v>1275</v>
      </c>
      <c r="H59" s="37">
        <v>0</v>
      </c>
      <c r="I59" s="5">
        <f t="shared" si="1"/>
        <v>1275</v>
      </c>
      <c r="J59" s="4" t="s">
        <v>61</v>
      </c>
      <c r="K59" s="4" t="s">
        <v>62</v>
      </c>
      <c r="L59" s="4"/>
    </row>
    <row r="60" spans="1:12" x14ac:dyDescent="0.2">
      <c r="A60" s="130">
        <v>66918</v>
      </c>
      <c r="B60" s="4" t="s">
        <v>133</v>
      </c>
      <c r="C60" s="4" t="s">
        <v>85</v>
      </c>
      <c r="D60" s="4" t="s">
        <v>60</v>
      </c>
      <c r="E60" s="36">
        <v>5</v>
      </c>
      <c r="F60" s="5">
        <v>85</v>
      </c>
      <c r="G60" s="5">
        <f t="shared" si="0"/>
        <v>425</v>
      </c>
      <c r="H60" s="37">
        <v>0</v>
      </c>
      <c r="I60" s="5">
        <f t="shared" si="1"/>
        <v>425</v>
      </c>
      <c r="J60" s="4" t="s">
        <v>61</v>
      </c>
      <c r="K60" s="4" t="s">
        <v>62</v>
      </c>
      <c r="L60" s="4"/>
    </row>
    <row r="61" spans="1:12" x14ac:dyDescent="0.2">
      <c r="A61" s="130">
        <v>66918</v>
      </c>
      <c r="B61" s="4" t="s">
        <v>134</v>
      </c>
      <c r="C61" s="4" t="s">
        <v>66</v>
      </c>
      <c r="D61" s="4" t="s">
        <v>60</v>
      </c>
      <c r="E61" s="36">
        <v>20</v>
      </c>
      <c r="F61" s="5">
        <v>85</v>
      </c>
      <c r="G61" s="5">
        <f t="shared" si="0"/>
        <v>1700</v>
      </c>
      <c r="H61" s="37">
        <v>0</v>
      </c>
      <c r="I61" s="5">
        <f t="shared" si="1"/>
        <v>1700</v>
      </c>
      <c r="J61" s="4" t="s">
        <v>61</v>
      </c>
      <c r="K61" s="4" t="s">
        <v>62</v>
      </c>
      <c r="L61" s="4"/>
    </row>
    <row r="62" spans="1:12" x14ac:dyDescent="0.2">
      <c r="A62" s="130">
        <v>66918</v>
      </c>
      <c r="B62" s="4" t="s">
        <v>135</v>
      </c>
      <c r="C62" s="4" t="s">
        <v>89</v>
      </c>
      <c r="D62" s="4" t="s">
        <v>60</v>
      </c>
      <c r="E62" s="36">
        <v>26</v>
      </c>
      <c r="F62" s="5">
        <v>95</v>
      </c>
      <c r="G62" s="5">
        <f t="shared" si="0"/>
        <v>2470</v>
      </c>
      <c r="H62" s="37">
        <v>0</v>
      </c>
      <c r="I62" s="5">
        <f t="shared" si="1"/>
        <v>2470</v>
      </c>
      <c r="J62" s="4" t="s">
        <v>61</v>
      </c>
      <c r="K62" s="4" t="s">
        <v>62</v>
      </c>
      <c r="L62" s="4"/>
    </row>
    <row r="63" spans="1:12" x14ac:dyDescent="0.2">
      <c r="A63" s="130">
        <v>66918</v>
      </c>
      <c r="B63" s="4" t="s">
        <v>135</v>
      </c>
      <c r="C63" s="4" t="s">
        <v>89</v>
      </c>
      <c r="D63" s="4" t="s">
        <v>60</v>
      </c>
      <c r="E63" s="36">
        <v>5</v>
      </c>
      <c r="F63" s="5">
        <v>85</v>
      </c>
      <c r="G63" s="5">
        <f t="shared" si="0"/>
        <v>425</v>
      </c>
      <c r="H63" s="37">
        <v>0</v>
      </c>
      <c r="I63" s="5">
        <f t="shared" si="1"/>
        <v>425</v>
      </c>
      <c r="J63" s="4" t="s">
        <v>61</v>
      </c>
      <c r="K63" s="4" t="s">
        <v>62</v>
      </c>
      <c r="L63" s="4"/>
    </row>
    <row r="64" spans="1:12" x14ac:dyDescent="0.2">
      <c r="A64" s="130">
        <v>66918</v>
      </c>
      <c r="B64" s="4" t="s">
        <v>136</v>
      </c>
      <c r="C64" s="4" t="s">
        <v>89</v>
      </c>
      <c r="D64" s="4" t="s">
        <v>60</v>
      </c>
      <c r="E64" s="36">
        <v>25</v>
      </c>
      <c r="F64" s="5">
        <v>95</v>
      </c>
      <c r="G64" s="5">
        <f t="shared" si="0"/>
        <v>2375</v>
      </c>
      <c r="H64" s="37">
        <v>0</v>
      </c>
      <c r="I64" s="5">
        <f t="shared" si="1"/>
        <v>2375</v>
      </c>
      <c r="J64" s="4" t="s">
        <v>61</v>
      </c>
      <c r="K64" s="4" t="s">
        <v>62</v>
      </c>
      <c r="L64" s="4"/>
    </row>
    <row r="65" spans="1:12" x14ac:dyDescent="0.2">
      <c r="A65" s="130">
        <v>66918</v>
      </c>
      <c r="B65" s="4" t="s">
        <v>136</v>
      </c>
      <c r="C65" s="4" t="s">
        <v>89</v>
      </c>
      <c r="D65" s="4" t="s">
        <v>60</v>
      </c>
      <c r="E65" s="36">
        <v>12</v>
      </c>
      <c r="F65" s="5">
        <v>85</v>
      </c>
      <c r="G65" s="5">
        <f t="shared" si="0"/>
        <v>1020</v>
      </c>
      <c r="H65" s="37">
        <v>0</v>
      </c>
      <c r="I65" s="5">
        <f t="shared" si="1"/>
        <v>1020</v>
      </c>
      <c r="J65" s="4" t="s">
        <v>61</v>
      </c>
      <c r="K65" s="4" t="s">
        <v>62</v>
      </c>
      <c r="L65" s="4"/>
    </row>
    <row r="66" spans="1:12" x14ac:dyDescent="0.2">
      <c r="A66" s="130">
        <v>66918</v>
      </c>
      <c r="B66" s="4" t="s">
        <v>137</v>
      </c>
      <c r="C66" s="4" t="s">
        <v>91</v>
      </c>
      <c r="D66" s="4" t="s">
        <v>60</v>
      </c>
      <c r="E66" s="36">
        <v>25</v>
      </c>
      <c r="F66" s="5">
        <v>84</v>
      </c>
      <c r="G66" s="5">
        <f t="shared" si="0"/>
        <v>2100</v>
      </c>
      <c r="H66" s="37">
        <v>0</v>
      </c>
      <c r="I66" s="5">
        <f t="shared" si="1"/>
        <v>2100</v>
      </c>
      <c r="J66" s="4" t="s">
        <v>61</v>
      </c>
      <c r="K66" s="4" t="s">
        <v>62</v>
      </c>
      <c r="L66" s="4"/>
    </row>
    <row r="67" spans="1:12" x14ac:dyDescent="0.2">
      <c r="A67" s="130">
        <v>66918</v>
      </c>
      <c r="B67" s="4" t="s">
        <v>138</v>
      </c>
      <c r="C67" s="4" t="s">
        <v>95</v>
      </c>
      <c r="D67" s="4" t="s">
        <v>60</v>
      </c>
      <c r="E67" s="36">
        <v>8</v>
      </c>
      <c r="F67" s="5">
        <v>85</v>
      </c>
      <c r="G67" s="5">
        <f t="shared" ref="G67:G130" si="2">IF($E67="","",$E67*$F67)</f>
        <v>680</v>
      </c>
      <c r="H67" s="37">
        <v>0</v>
      </c>
      <c r="I67" s="5">
        <f t="shared" ref="I67:I130" si="3">IF($E67="","",$G67*(1-$H67/100))</f>
        <v>680</v>
      </c>
      <c r="J67" s="4" t="s">
        <v>61</v>
      </c>
      <c r="K67" s="4" t="s">
        <v>62</v>
      </c>
      <c r="L67" s="4"/>
    </row>
    <row r="68" spans="1:12" x14ac:dyDescent="0.2">
      <c r="A68" s="130">
        <v>66918</v>
      </c>
      <c r="B68" s="4" t="s">
        <v>139</v>
      </c>
      <c r="C68" s="4" t="s">
        <v>97</v>
      </c>
      <c r="D68" s="4" t="s">
        <v>60</v>
      </c>
      <c r="E68" s="36">
        <v>5</v>
      </c>
      <c r="F68" s="5">
        <v>90</v>
      </c>
      <c r="G68" s="5">
        <f t="shared" si="2"/>
        <v>450</v>
      </c>
      <c r="H68" s="37">
        <v>0</v>
      </c>
      <c r="I68" s="5">
        <f t="shared" si="3"/>
        <v>450</v>
      </c>
      <c r="J68" s="4" t="s">
        <v>61</v>
      </c>
      <c r="K68" s="4" t="s">
        <v>62</v>
      </c>
      <c r="L68" s="4"/>
    </row>
    <row r="69" spans="1:12" x14ac:dyDescent="0.2">
      <c r="A69" s="130">
        <v>66918</v>
      </c>
      <c r="B69" s="4" t="s">
        <v>140</v>
      </c>
      <c r="C69" s="4" t="s">
        <v>141</v>
      </c>
      <c r="D69" s="4" t="s">
        <v>60</v>
      </c>
      <c r="E69" s="36">
        <v>3</v>
      </c>
      <c r="F69" s="5">
        <v>85</v>
      </c>
      <c r="G69" s="5">
        <f t="shared" si="2"/>
        <v>255</v>
      </c>
      <c r="H69" s="37">
        <v>0</v>
      </c>
      <c r="I69" s="5">
        <f t="shared" si="3"/>
        <v>255</v>
      </c>
      <c r="J69" s="4" t="s">
        <v>61</v>
      </c>
      <c r="K69" s="4" t="s">
        <v>62</v>
      </c>
      <c r="L69" s="4"/>
    </row>
    <row r="70" spans="1:12" x14ac:dyDescent="0.2">
      <c r="A70" s="130">
        <v>66918</v>
      </c>
      <c r="B70" s="4" t="s">
        <v>140</v>
      </c>
      <c r="C70" s="4" t="s">
        <v>141</v>
      </c>
      <c r="D70" s="4" t="s">
        <v>92</v>
      </c>
      <c r="E70" s="36">
        <v>0.5</v>
      </c>
      <c r="F70" s="5">
        <v>1100</v>
      </c>
      <c r="G70" s="5">
        <f t="shared" si="2"/>
        <v>550</v>
      </c>
      <c r="H70" s="37">
        <v>0</v>
      </c>
      <c r="I70" s="5">
        <f t="shared" si="3"/>
        <v>550</v>
      </c>
      <c r="J70" s="4" t="s">
        <v>61</v>
      </c>
      <c r="K70" s="4" t="s">
        <v>62</v>
      </c>
      <c r="L70" s="4"/>
    </row>
    <row r="71" spans="1:12" x14ac:dyDescent="0.2">
      <c r="A71" s="130">
        <v>66919</v>
      </c>
      <c r="B71" s="4" t="s">
        <v>142</v>
      </c>
      <c r="C71" s="4" t="s">
        <v>59</v>
      </c>
      <c r="D71" s="4" t="s">
        <v>60</v>
      </c>
      <c r="E71" s="36">
        <v>50</v>
      </c>
      <c r="F71" s="5">
        <v>85</v>
      </c>
      <c r="G71" s="5">
        <f t="shared" si="2"/>
        <v>4250</v>
      </c>
      <c r="H71" s="37">
        <v>0</v>
      </c>
      <c r="I71" s="5">
        <f t="shared" si="3"/>
        <v>4250</v>
      </c>
      <c r="J71" s="4" t="s">
        <v>61</v>
      </c>
      <c r="K71" s="4" t="s">
        <v>62</v>
      </c>
      <c r="L71" s="4"/>
    </row>
    <row r="72" spans="1:12" x14ac:dyDescent="0.2">
      <c r="A72" s="130">
        <v>66919</v>
      </c>
      <c r="B72" s="4" t="s">
        <v>143</v>
      </c>
      <c r="C72" s="4" t="s">
        <v>64</v>
      </c>
      <c r="D72" s="4" t="s">
        <v>60</v>
      </c>
      <c r="E72" s="36">
        <v>25</v>
      </c>
      <c r="F72" s="5">
        <v>85</v>
      </c>
      <c r="G72" s="5">
        <f t="shared" si="2"/>
        <v>2125</v>
      </c>
      <c r="H72" s="37">
        <v>0</v>
      </c>
      <c r="I72" s="5">
        <f t="shared" si="3"/>
        <v>2125</v>
      </c>
      <c r="J72" s="4" t="s">
        <v>61</v>
      </c>
      <c r="K72" s="4" t="s">
        <v>62</v>
      </c>
      <c r="L72" s="4"/>
    </row>
    <row r="73" spans="1:12" x14ac:dyDescent="0.2">
      <c r="A73" s="130">
        <v>66919</v>
      </c>
      <c r="B73" s="4" t="s">
        <v>144</v>
      </c>
      <c r="C73" s="4" t="s">
        <v>68</v>
      </c>
      <c r="D73" s="4" t="s">
        <v>60</v>
      </c>
      <c r="E73" s="36">
        <v>40</v>
      </c>
      <c r="F73" s="5">
        <v>86</v>
      </c>
      <c r="G73" s="5">
        <f t="shared" si="2"/>
        <v>3440</v>
      </c>
      <c r="H73" s="37">
        <v>0</v>
      </c>
      <c r="I73" s="5">
        <f t="shared" si="3"/>
        <v>3440</v>
      </c>
      <c r="J73" s="4" t="s">
        <v>61</v>
      </c>
      <c r="K73" s="4" t="s">
        <v>62</v>
      </c>
      <c r="L73" s="4"/>
    </row>
    <row r="74" spans="1:12" x14ac:dyDescent="0.2">
      <c r="A74" s="130">
        <v>66919</v>
      </c>
      <c r="B74" s="4" t="s">
        <v>144</v>
      </c>
      <c r="C74" s="4" t="s">
        <v>68</v>
      </c>
      <c r="D74" s="4" t="s">
        <v>60</v>
      </c>
      <c r="E74" s="36">
        <v>50</v>
      </c>
      <c r="F74" s="5">
        <v>85</v>
      </c>
      <c r="G74" s="5">
        <f t="shared" si="2"/>
        <v>4250</v>
      </c>
      <c r="H74" s="37">
        <v>0</v>
      </c>
      <c r="I74" s="5">
        <f t="shared" si="3"/>
        <v>4250</v>
      </c>
      <c r="J74" s="4" t="s">
        <v>61</v>
      </c>
      <c r="K74" s="4" t="s">
        <v>62</v>
      </c>
      <c r="L74" s="4"/>
    </row>
    <row r="75" spans="1:12" x14ac:dyDescent="0.2">
      <c r="A75" s="130">
        <v>66919</v>
      </c>
      <c r="B75" s="4" t="s">
        <v>144</v>
      </c>
      <c r="C75" s="4" t="s">
        <v>68</v>
      </c>
      <c r="D75" s="4" t="s">
        <v>69</v>
      </c>
      <c r="E75" s="36">
        <v>1</v>
      </c>
      <c r="F75" s="5">
        <v>80</v>
      </c>
      <c r="G75" s="5">
        <f t="shared" si="2"/>
        <v>80</v>
      </c>
      <c r="H75" s="37">
        <v>0</v>
      </c>
      <c r="I75" s="5">
        <f t="shared" si="3"/>
        <v>80</v>
      </c>
      <c r="J75" s="4" t="s">
        <v>61</v>
      </c>
      <c r="K75" s="4" t="s">
        <v>62</v>
      </c>
      <c r="L75" s="4"/>
    </row>
    <row r="76" spans="1:12" x14ac:dyDescent="0.2">
      <c r="A76" s="130">
        <v>66919</v>
      </c>
      <c r="B76" s="4" t="s">
        <v>145</v>
      </c>
      <c r="C76" s="4" t="s">
        <v>66</v>
      </c>
      <c r="D76" s="4" t="s">
        <v>60</v>
      </c>
      <c r="E76" s="36">
        <v>25</v>
      </c>
      <c r="F76" s="5">
        <v>85</v>
      </c>
      <c r="G76" s="5">
        <f t="shared" si="2"/>
        <v>2125</v>
      </c>
      <c r="H76" s="37">
        <v>0</v>
      </c>
      <c r="I76" s="5">
        <f t="shared" si="3"/>
        <v>2125</v>
      </c>
      <c r="J76" s="4" t="s">
        <v>61</v>
      </c>
      <c r="K76" s="4" t="s">
        <v>62</v>
      </c>
      <c r="L76" s="4"/>
    </row>
    <row r="77" spans="1:12" x14ac:dyDescent="0.2">
      <c r="A77" s="130">
        <v>66919</v>
      </c>
      <c r="B77" s="4" t="s">
        <v>146</v>
      </c>
      <c r="C77" s="4" t="s">
        <v>87</v>
      </c>
      <c r="D77" s="4" t="s">
        <v>60</v>
      </c>
      <c r="E77" s="36">
        <v>15</v>
      </c>
      <c r="F77" s="5">
        <v>85</v>
      </c>
      <c r="G77" s="5">
        <f t="shared" si="2"/>
        <v>1275</v>
      </c>
      <c r="H77" s="37">
        <v>0</v>
      </c>
      <c r="I77" s="5">
        <f t="shared" si="3"/>
        <v>1275</v>
      </c>
      <c r="J77" s="4" t="s">
        <v>61</v>
      </c>
      <c r="K77" s="4" t="s">
        <v>62</v>
      </c>
      <c r="L77" s="4"/>
    </row>
    <row r="78" spans="1:12" x14ac:dyDescent="0.2">
      <c r="A78" s="130">
        <v>66919</v>
      </c>
      <c r="B78" s="4" t="s">
        <v>147</v>
      </c>
      <c r="C78" s="4" t="s">
        <v>83</v>
      </c>
      <c r="D78" s="4" t="s">
        <v>60</v>
      </c>
      <c r="E78" s="36">
        <v>20</v>
      </c>
      <c r="F78" s="5">
        <v>86</v>
      </c>
      <c r="G78" s="5">
        <f t="shared" si="2"/>
        <v>1720</v>
      </c>
      <c r="H78" s="37">
        <v>0</v>
      </c>
      <c r="I78" s="5">
        <f t="shared" si="3"/>
        <v>1720</v>
      </c>
      <c r="J78" s="4" t="s">
        <v>61</v>
      </c>
      <c r="K78" s="4" t="s">
        <v>62</v>
      </c>
      <c r="L78" s="4"/>
    </row>
    <row r="79" spans="1:12" x14ac:dyDescent="0.2">
      <c r="A79" s="130">
        <v>66919</v>
      </c>
      <c r="B79" s="4" t="s">
        <v>148</v>
      </c>
      <c r="C79" s="4" t="s">
        <v>81</v>
      </c>
      <c r="D79" s="4" t="s">
        <v>60</v>
      </c>
      <c r="E79" s="36">
        <v>4</v>
      </c>
      <c r="F79" s="5">
        <v>86</v>
      </c>
      <c r="G79" s="5">
        <f t="shared" si="2"/>
        <v>344</v>
      </c>
      <c r="H79" s="37">
        <v>0</v>
      </c>
      <c r="I79" s="5">
        <f t="shared" si="3"/>
        <v>344</v>
      </c>
      <c r="J79" s="4" t="s">
        <v>61</v>
      </c>
      <c r="K79" s="4" t="s">
        <v>62</v>
      </c>
      <c r="L79" s="4"/>
    </row>
    <row r="80" spans="1:12" x14ac:dyDescent="0.2">
      <c r="A80" s="130">
        <v>66919</v>
      </c>
      <c r="B80" s="4" t="s">
        <v>149</v>
      </c>
      <c r="C80" s="4" t="s">
        <v>85</v>
      </c>
      <c r="D80" s="4" t="s">
        <v>60</v>
      </c>
      <c r="E80" s="36">
        <v>5</v>
      </c>
      <c r="F80" s="5">
        <v>85</v>
      </c>
      <c r="G80" s="5">
        <f t="shared" si="2"/>
        <v>425</v>
      </c>
      <c r="H80" s="37">
        <v>0</v>
      </c>
      <c r="I80" s="5">
        <f t="shared" si="3"/>
        <v>425</v>
      </c>
      <c r="J80" s="4" t="s">
        <v>61</v>
      </c>
      <c r="K80" s="4" t="s">
        <v>62</v>
      </c>
      <c r="L80" s="4"/>
    </row>
    <row r="81" spans="1:12" x14ac:dyDescent="0.2">
      <c r="A81" s="130">
        <v>66919</v>
      </c>
      <c r="B81" s="4" t="s">
        <v>150</v>
      </c>
      <c r="C81" s="4" t="s">
        <v>79</v>
      </c>
      <c r="D81" s="4" t="s">
        <v>60</v>
      </c>
      <c r="E81" s="36">
        <v>10</v>
      </c>
      <c r="F81" s="5">
        <v>85</v>
      </c>
      <c r="G81" s="5">
        <f t="shared" si="2"/>
        <v>850</v>
      </c>
      <c r="H81" s="37">
        <v>0</v>
      </c>
      <c r="I81" s="5">
        <f t="shared" si="3"/>
        <v>850</v>
      </c>
      <c r="J81" s="4" t="s">
        <v>61</v>
      </c>
      <c r="K81" s="4" t="s">
        <v>62</v>
      </c>
      <c r="L81" s="4"/>
    </row>
    <row r="82" spans="1:12" x14ac:dyDescent="0.2">
      <c r="A82" s="130">
        <v>66919</v>
      </c>
      <c r="B82" s="4" t="s">
        <v>151</v>
      </c>
      <c r="C82" s="4" t="s">
        <v>77</v>
      </c>
      <c r="D82" s="4" t="s">
        <v>60</v>
      </c>
      <c r="E82" s="36">
        <v>15</v>
      </c>
      <c r="F82" s="5">
        <v>85</v>
      </c>
      <c r="G82" s="5">
        <f t="shared" si="2"/>
        <v>1275</v>
      </c>
      <c r="H82" s="37">
        <v>0</v>
      </c>
      <c r="I82" s="5">
        <f t="shared" si="3"/>
        <v>1275</v>
      </c>
      <c r="J82" s="4" t="s">
        <v>61</v>
      </c>
      <c r="K82" s="4" t="s">
        <v>62</v>
      </c>
      <c r="L82" s="4"/>
    </row>
    <row r="83" spans="1:12" x14ac:dyDescent="0.2">
      <c r="A83" s="130">
        <v>66919</v>
      </c>
      <c r="B83" s="4" t="s">
        <v>152</v>
      </c>
      <c r="C83" s="4" t="s">
        <v>73</v>
      </c>
      <c r="D83" s="4" t="s">
        <v>60</v>
      </c>
      <c r="E83" s="36">
        <v>10</v>
      </c>
      <c r="F83" s="5">
        <v>85</v>
      </c>
      <c r="G83" s="5">
        <f t="shared" si="2"/>
        <v>850</v>
      </c>
      <c r="H83" s="37">
        <v>0</v>
      </c>
      <c r="I83" s="5">
        <f t="shared" si="3"/>
        <v>850</v>
      </c>
      <c r="J83" s="4" t="s">
        <v>61</v>
      </c>
      <c r="K83" s="4" t="s">
        <v>62</v>
      </c>
      <c r="L83" s="4"/>
    </row>
    <row r="84" spans="1:12" x14ac:dyDescent="0.2">
      <c r="A84" s="130">
        <v>66919</v>
      </c>
      <c r="B84" s="4" t="s">
        <v>153</v>
      </c>
      <c r="C84" s="4" t="s">
        <v>71</v>
      </c>
      <c r="D84" s="4" t="s">
        <v>60</v>
      </c>
      <c r="E84" s="36">
        <v>20</v>
      </c>
      <c r="F84" s="5">
        <v>86</v>
      </c>
      <c r="G84" s="5">
        <f t="shared" si="2"/>
        <v>1720</v>
      </c>
      <c r="H84" s="37">
        <v>0</v>
      </c>
      <c r="I84" s="5">
        <f t="shared" si="3"/>
        <v>1720</v>
      </c>
      <c r="J84" s="4" t="s">
        <v>61</v>
      </c>
      <c r="K84" s="4" t="s">
        <v>62</v>
      </c>
      <c r="L84" s="4"/>
    </row>
    <row r="85" spans="1:12" x14ac:dyDescent="0.2">
      <c r="A85" s="130">
        <v>66919</v>
      </c>
      <c r="B85" s="4" t="s">
        <v>153</v>
      </c>
      <c r="C85" s="4" t="s">
        <v>71</v>
      </c>
      <c r="D85" s="4" t="s">
        <v>93</v>
      </c>
      <c r="E85" s="36">
        <v>1</v>
      </c>
      <c r="F85" s="5">
        <v>775</v>
      </c>
      <c r="G85" s="5">
        <f t="shared" si="2"/>
        <v>775</v>
      </c>
      <c r="H85" s="37">
        <v>0</v>
      </c>
      <c r="I85" s="5">
        <f t="shared" si="3"/>
        <v>775</v>
      </c>
      <c r="J85" s="4" t="s">
        <v>61</v>
      </c>
      <c r="K85" s="4" t="s">
        <v>62</v>
      </c>
      <c r="L85" s="4"/>
    </row>
    <row r="86" spans="1:12" x14ac:dyDescent="0.2">
      <c r="A86" s="130">
        <v>66919</v>
      </c>
      <c r="B86" s="4" t="s">
        <v>154</v>
      </c>
      <c r="C86" s="4" t="s">
        <v>155</v>
      </c>
      <c r="D86" s="4" t="s">
        <v>93</v>
      </c>
      <c r="E86" s="36">
        <v>3</v>
      </c>
      <c r="F86" s="5">
        <v>800</v>
      </c>
      <c r="G86" s="5">
        <f t="shared" si="2"/>
        <v>2400</v>
      </c>
      <c r="H86" s="37">
        <v>0</v>
      </c>
      <c r="I86" s="5">
        <f t="shared" si="3"/>
        <v>2400</v>
      </c>
      <c r="J86" s="4" t="s">
        <v>61</v>
      </c>
      <c r="K86" s="4" t="s">
        <v>62</v>
      </c>
      <c r="L86" s="4"/>
    </row>
    <row r="87" spans="1:12" x14ac:dyDescent="0.2">
      <c r="A87" s="130">
        <v>66919</v>
      </c>
      <c r="B87" s="4" t="s">
        <v>156</v>
      </c>
      <c r="C87" s="4" t="s">
        <v>91</v>
      </c>
      <c r="D87" s="4" t="s">
        <v>60</v>
      </c>
      <c r="E87" s="36">
        <v>25</v>
      </c>
      <c r="F87" s="5">
        <v>84</v>
      </c>
      <c r="G87" s="5">
        <f t="shared" si="2"/>
        <v>2100</v>
      </c>
      <c r="H87" s="37">
        <v>0</v>
      </c>
      <c r="I87" s="5">
        <f t="shared" si="3"/>
        <v>2100</v>
      </c>
      <c r="J87" s="4" t="s">
        <v>61</v>
      </c>
      <c r="K87" s="4" t="s">
        <v>62</v>
      </c>
      <c r="L87" s="4"/>
    </row>
    <row r="88" spans="1:12" x14ac:dyDescent="0.2">
      <c r="A88" s="130">
        <v>66919</v>
      </c>
      <c r="B88" s="4" t="s">
        <v>157</v>
      </c>
      <c r="C88" s="4" t="s">
        <v>95</v>
      </c>
      <c r="D88" s="4" t="s">
        <v>60</v>
      </c>
      <c r="E88" s="36">
        <v>8</v>
      </c>
      <c r="F88" s="5">
        <v>85</v>
      </c>
      <c r="G88" s="5">
        <f t="shared" si="2"/>
        <v>680</v>
      </c>
      <c r="H88" s="37">
        <v>0</v>
      </c>
      <c r="I88" s="5">
        <f t="shared" si="3"/>
        <v>680</v>
      </c>
      <c r="J88" s="4" t="s">
        <v>61</v>
      </c>
      <c r="K88" s="4" t="s">
        <v>62</v>
      </c>
      <c r="L88" s="4"/>
    </row>
    <row r="89" spans="1:12" x14ac:dyDescent="0.2">
      <c r="A89" s="130">
        <v>66919</v>
      </c>
      <c r="B89" s="4" t="s">
        <v>158</v>
      </c>
      <c r="C89" s="4" t="s">
        <v>89</v>
      </c>
      <c r="D89" s="4" t="s">
        <v>60</v>
      </c>
      <c r="E89" s="36">
        <v>25</v>
      </c>
      <c r="F89" s="5">
        <v>95</v>
      </c>
      <c r="G89" s="5">
        <f t="shared" si="2"/>
        <v>2375</v>
      </c>
      <c r="H89" s="37">
        <v>0</v>
      </c>
      <c r="I89" s="5">
        <f t="shared" si="3"/>
        <v>2375</v>
      </c>
      <c r="J89" s="4" t="s">
        <v>61</v>
      </c>
      <c r="K89" s="4" t="s">
        <v>62</v>
      </c>
      <c r="L89" s="4"/>
    </row>
    <row r="90" spans="1:12" x14ac:dyDescent="0.2">
      <c r="A90" s="130">
        <v>66919</v>
      </c>
      <c r="B90" s="4" t="s">
        <v>158</v>
      </c>
      <c r="C90" s="4" t="s">
        <v>89</v>
      </c>
      <c r="D90" s="4" t="s">
        <v>60</v>
      </c>
      <c r="E90" s="36">
        <v>12</v>
      </c>
      <c r="F90" s="5">
        <v>85</v>
      </c>
      <c r="G90" s="5">
        <f t="shared" si="2"/>
        <v>1020</v>
      </c>
      <c r="H90" s="37">
        <v>0</v>
      </c>
      <c r="I90" s="5">
        <f t="shared" si="3"/>
        <v>1020</v>
      </c>
      <c r="J90" s="4" t="s">
        <v>61</v>
      </c>
      <c r="K90" s="4" t="s">
        <v>62</v>
      </c>
      <c r="L90" s="4"/>
    </row>
    <row r="91" spans="1:12" x14ac:dyDescent="0.2">
      <c r="A91" s="130">
        <v>66919</v>
      </c>
      <c r="B91" s="4" t="s">
        <v>159</v>
      </c>
      <c r="C91" s="4" t="s">
        <v>99</v>
      </c>
      <c r="D91" s="4" t="s">
        <v>60</v>
      </c>
      <c r="E91" s="36">
        <v>5</v>
      </c>
      <c r="F91" s="5">
        <v>86</v>
      </c>
      <c r="G91" s="5">
        <f t="shared" si="2"/>
        <v>430</v>
      </c>
      <c r="H91" s="37">
        <v>0</v>
      </c>
      <c r="I91" s="5">
        <f t="shared" si="3"/>
        <v>430</v>
      </c>
      <c r="J91" s="4" t="s">
        <v>61</v>
      </c>
      <c r="K91" s="4" t="s">
        <v>62</v>
      </c>
      <c r="L91" s="4"/>
    </row>
    <row r="92" spans="1:12" x14ac:dyDescent="0.2">
      <c r="A92" s="130">
        <v>66919</v>
      </c>
      <c r="B92" s="4" t="s">
        <v>160</v>
      </c>
      <c r="C92" s="4" t="s">
        <v>97</v>
      </c>
      <c r="D92" s="4" t="s">
        <v>60</v>
      </c>
      <c r="E92" s="36">
        <v>4.5</v>
      </c>
      <c r="F92" s="5">
        <v>93.33</v>
      </c>
      <c r="G92" s="5">
        <f t="shared" si="2"/>
        <v>419.98500000000001</v>
      </c>
      <c r="H92" s="37">
        <v>0</v>
      </c>
      <c r="I92" s="5">
        <f t="shared" si="3"/>
        <v>419.98500000000001</v>
      </c>
      <c r="J92" s="4" t="s">
        <v>61</v>
      </c>
      <c r="K92" s="4" t="s">
        <v>62</v>
      </c>
      <c r="L92" s="4"/>
    </row>
    <row r="93" spans="1:12" x14ac:dyDescent="0.2">
      <c r="A93" s="130">
        <v>66919</v>
      </c>
      <c r="B93" s="4" t="s">
        <v>160</v>
      </c>
      <c r="C93" s="4" t="s">
        <v>97</v>
      </c>
      <c r="D93" s="4" t="s">
        <v>161</v>
      </c>
      <c r="E93" s="36">
        <v>0.5</v>
      </c>
      <c r="F93" s="5">
        <v>800</v>
      </c>
      <c r="G93" s="5">
        <f t="shared" si="2"/>
        <v>400</v>
      </c>
      <c r="H93" s="37">
        <v>0</v>
      </c>
      <c r="I93" s="5">
        <f t="shared" si="3"/>
        <v>400</v>
      </c>
      <c r="J93" s="4" t="s">
        <v>61</v>
      </c>
      <c r="K93" s="4" t="s">
        <v>62</v>
      </c>
      <c r="L93" s="4"/>
    </row>
    <row r="94" spans="1:12" x14ac:dyDescent="0.2">
      <c r="A94" s="130">
        <v>66919</v>
      </c>
      <c r="B94" s="4" t="s">
        <v>162</v>
      </c>
      <c r="C94" s="4" t="s">
        <v>163</v>
      </c>
      <c r="D94" s="4" t="s">
        <v>60</v>
      </c>
      <c r="E94" s="36">
        <v>6</v>
      </c>
      <c r="F94" s="5">
        <v>85</v>
      </c>
      <c r="G94" s="5">
        <f t="shared" si="2"/>
        <v>510</v>
      </c>
      <c r="H94" s="37">
        <v>0</v>
      </c>
      <c r="I94" s="5">
        <f t="shared" si="3"/>
        <v>510</v>
      </c>
      <c r="J94" s="4" t="s">
        <v>61</v>
      </c>
      <c r="K94" s="4" t="s">
        <v>62</v>
      </c>
      <c r="L94" s="4"/>
    </row>
    <row r="95" spans="1:12" x14ac:dyDescent="0.2">
      <c r="A95" s="130">
        <v>66919</v>
      </c>
      <c r="B95" s="4" t="s">
        <v>164</v>
      </c>
      <c r="C95" s="4" t="s">
        <v>83</v>
      </c>
      <c r="D95" s="4" t="s">
        <v>60</v>
      </c>
      <c r="E95" s="36">
        <v>10</v>
      </c>
      <c r="F95" s="5">
        <v>86</v>
      </c>
      <c r="G95" s="5">
        <f t="shared" si="2"/>
        <v>860</v>
      </c>
      <c r="H95" s="37">
        <v>0</v>
      </c>
      <c r="I95" s="5">
        <f t="shared" si="3"/>
        <v>860</v>
      </c>
      <c r="J95" s="4" t="s">
        <v>61</v>
      </c>
      <c r="K95" s="4" t="s">
        <v>62</v>
      </c>
      <c r="L95" s="4"/>
    </row>
    <row r="96" spans="1:12" x14ac:dyDescent="0.2">
      <c r="A96" s="130">
        <v>66920</v>
      </c>
      <c r="B96" s="4" t="s">
        <v>165</v>
      </c>
      <c r="C96" s="4" t="s">
        <v>59</v>
      </c>
      <c r="D96" s="4" t="s">
        <v>60</v>
      </c>
      <c r="E96" s="36">
        <v>60</v>
      </c>
      <c r="F96" s="5">
        <v>85</v>
      </c>
      <c r="G96" s="5">
        <f t="shared" si="2"/>
        <v>5100</v>
      </c>
      <c r="H96" s="37">
        <v>0</v>
      </c>
      <c r="I96" s="5">
        <f t="shared" si="3"/>
        <v>5100</v>
      </c>
      <c r="J96" s="4" t="s">
        <v>61</v>
      </c>
      <c r="K96" s="4" t="s">
        <v>62</v>
      </c>
      <c r="L96" s="4"/>
    </row>
    <row r="97" spans="1:12" x14ac:dyDescent="0.2">
      <c r="A97" s="130">
        <v>66920</v>
      </c>
      <c r="B97" s="4" t="s">
        <v>166</v>
      </c>
      <c r="C97" s="4" t="s">
        <v>64</v>
      </c>
      <c r="D97" s="4" t="s">
        <v>60</v>
      </c>
      <c r="E97" s="36">
        <v>30</v>
      </c>
      <c r="F97" s="5">
        <v>85</v>
      </c>
      <c r="G97" s="5">
        <f t="shared" si="2"/>
        <v>2550</v>
      </c>
      <c r="H97" s="37">
        <v>0</v>
      </c>
      <c r="I97" s="5">
        <f t="shared" si="3"/>
        <v>2550</v>
      </c>
      <c r="J97" s="4" t="s">
        <v>61</v>
      </c>
      <c r="K97" s="4" t="s">
        <v>62</v>
      </c>
      <c r="L97" s="4"/>
    </row>
    <row r="98" spans="1:12" x14ac:dyDescent="0.2">
      <c r="A98" s="130">
        <v>66920</v>
      </c>
      <c r="B98" s="4" t="s">
        <v>167</v>
      </c>
      <c r="C98" s="4" t="s">
        <v>73</v>
      </c>
      <c r="D98" s="4" t="s">
        <v>60</v>
      </c>
      <c r="E98" s="36">
        <v>10</v>
      </c>
      <c r="F98" s="5">
        <v>85</v>
      </c>
      <c r="G98" s="5">
        <f t="shared" si="2"/>
        <v>850</v>
      </c>
      <c r="H98" s="37">
        <v>0</v>
      </c>
      <c r="I98" s="5">
        <f t="shared" si="3"/>
        <v>850</v>
      </c>
      <c r="J98" s="4" t="s">
        <v>61</v>
      </c>
      <c r="K98" s="4" t="s">
        <v>62</v>
      </c>
      <c r="L98" s="4"/>
    </row>
    <row r="99" spans="1:12" x14ac:dyDescent="0.2">
      <c r="A99" s="130">
        <v>66920</v>
      </c>
      <c r="B99" s="4" t="s">
        <v>168</v>
      </c>
      <c r="C99" s="4" t="s">
        <v>79</v>
      </c>
      <c r="D99" s="4" t="s">
        <v>60</v>
      </c>
      <c r="E99" s="36">
        <v>10</v>
      </c>
      <c r="F99" s="5">
        <v>85</v>
      </c>
      <c r="G99" s="5">
        <f t="shared" si="2"/>
        <v>850</v>
      </c>
      <c r="H99" s="37">
        <v>0</v>
      </c>
      <c r="I99" s="5">
        <f t="shared" si="3"/>
        <v>850</v>
      </c>
      <c r="J99" s="4" t="s">
        <v>61</v>
      </c>
      <c r="K99" s="4" t="s">
        <v>62</v>
      </c>
      <c r="L99" s="4"/>
    </row>
    <row r="100" spans="1:12" x14ac:dyDescent="0.2">
      <c r="A100" s="130">
        <v>66920</v>
      </c>
      <c r="B100" s="4" t="s">
        <v>169</v>
      </c>
      <c r="C100" s="4" t="s">
        <v>81</v>
      </c>
      <c r="D100" s="4" t="s">
        <v>60</v>
      </c>
      <c r="E100" s="36">
        <v>4</v>
      </c>
      <c r="F100" s="5">
        <v>86</v>
      </c>
      <c r="G100" s="5">
        <f t="shared" si="2"/>
        <v>344</v>
      </c>
      <c r="H100" s="37">
        <v>0</v>
      </c>
      <c r="I100" s="5">
        <f t="shared" si="3"/>
        <v>344</v>
      </c>
      <c r="J100" s="4" t="s">
        <v>61</v>
      </c>
      <c r="K100" s="4" t="s">
        <v>62</v>
      </c>
      <c r="L100" s="4"/>
    </row>
    <row r="101" spans="1:12" x14ac:dyDescent="0.2">
      <c r="A101" s="130">
        <v>66920</v>
      </c>
      <c r="B101" s="4" t="s">
        <v>170</v>
      </c>
      <c r="C101" s="4" t="s">
        <v>83</v>
      </c>
      <c r="D101" s="4" t="s">
        <v>60</v>
      </c>
      <c r="E101" s="36">
        <v>20</v>
      </c>
      <c r="F101" s="5">
        <v>86</v>
      </c>
      <c r="G101" s="5">
        <f t="shared" si="2"/>
        <v>1720</v>
      </c>
      <c r="H101" s="37">
        <v>0</v>
      </c>
      <c r="I101" s="5">
        <f t="shared" si="3"/>
        <v>1720</v>
      </c>
      <c r="J101" s="4" t="s">
        <v>61</v>
      </c>
      <c r="K101" s="4" t="s">
        <v>62</v>
      </c>
      <c r="L101" s="4"/>
    </row>
    <row r="102" spans="1:12" x14ac:dyDescent="0.2">
      <c r="A102" s="130">
        <v>66920</v>
      </c>
      <c r="B102" s="4" t="s">
        <v>171</v>
      </c>
      <c r="C102" s="4" t="s">
        <v>66</v>
      </c>
      <c r="D102" s="4" t="s">
        <v>60</v>
      </c>
      <c r="E102" s="36">
        <v>20</v>
      </c>
      <c r="F102" s="5">
        <v>85</v>
      </c>
      <c r="G102" s="5">
        <f t="shared" si="2"/>
        <v>1700</v>
      </c>
      <c r="H102" s="37">
        <v>0</v>
      </c>
      <c r="I102" s="5">
        <f t="shared" si="3"/>
        <v>1700</v>
      </c>
      <c r="J102" s="4" t="s">
        <v>61</v>
      </c>
      <c r="K102" s="4" t="s">
        <v>62</v>
      </c>
      <c r="L102" s="4"/>
    </row>
    <row r="103" spans="1:12" x14ac:dyDescent="0.2">
      <c r="A103" s="130">
        <v>66920</v>
      </c>
      <c r="B103" s="4" t="s">
        <v>172</v>
      </c>
      <c r="C103" s="4" t="s">
        <v>68</v>
      </c>
      <c r="D103" s="4" t="s">
        <v>60</v>
      </c>
      <c r="E103" s="36">
        <v>40</v>
      </c>
      <c r="F103" s="5">
        <v>86</v>
      </c>
      <c r="G103" s="5">
        <f t="shared" si="2"/>
        <v>3440</v>
      </c>
      <c r="H103" s="37">
        <v>0</v>
      </c>
      <c r="I103" s="5">
        <f t="shared" si="3"/>
        <v>3440</v>
      </c>
      <c r="J103" s="4" t="s">
        <v>61</v>
      </c>
      <c r="K103" s="4" t="s">
        <v>62</v>
      </c>
      <c r="L103" s="4"/>
    </row>
    <row r="104" spans="1:12" x14ac:dyDescent="0.2">
      <c r="A104" s="130">
        <v>66920</v>
      </c>
      <c r="B104" s="4" t="s">
        <v>172</v>
      </c>
      <c r="C104" s="4" t="s">
        <v>68</v>
      </c>
      <c r="D104" s="4" t="s">
        <v>60</v>
      </c>
      <c r="E104" s="36">
        <v>35</v>
      </c>
      <c r="F104" s="5">
        <v>85</v>
      </c>
      <c r="G104" s="5">
        <f t="shared" si="2"/>
        <v>2975</v>
      </c>
      <c r="H104" s="37">
        <v>0</v>
      </c>
      <c r="I104" s="5">
        <f t="shared" si="3"/>
        <v>2975</v>
      </c>
      <c r="J104" s="4" t="s">
        <v>61</v>
      </c>
      <c r="K104" s="4" t="s">
        <v>62</v>
      </c>
      <c r="L104" s="4"/>
    </row>
    <row r="105" spans="1:12" x14ac:dyDescent="0.2">
      <c r="A105" s="130">
        <v>66920</v>
      </c>
      <c r="B105" s="4" t="s">
        <v>172</v>
      </c>
      <c r="C105" s="4" t="s">
        <v>68</v>
      </c>
      <c r="D105" s="4" t="s">
        <v>69</v>
      </c>
      <c r="E105" s="36">
        <v>1</v>
      </c>
      <c r="F105" s="5">
        <v>80</v>
      </c>
      <c r="G105" s="5">
        <f t="shared" si="2"/>
        <v>80</v>
      </c>
      <c r="H105" s="37">
        <v>0</v>
      </c>
      <c r="I105" s="5">
        <f t="shared" si="3"/>
        <v>80</v>
      </c>
      <c r="J105" s="4" t="s">
        <v>61</v>
      </c>
      <c r="K105" s="4" t="s">
        <v>62</v>
      </c>
      <c r="L105" s="4"/>
    </row>
    <row r="106" spans="1:12" x14ac:dyDescent="0.2">
      <c r="A106" s="130">
        <v>66920</v>
      </c>
      <c r="B106" s="4" t="s">
        <v>173</v>
      </c>
      <c r="C106" s="4" t="s">
        <v>85</v>
      </c>
      <c r="D106" s="4" t="s">
        <v>60</v>
      </c>
      <c r="E106" s="36">
        <v>5</v>
      </c>
      <c r="F106" s="5">
        <v>85</v>
      </c>
      <c r="G106" s="5">
        <f t="shared" si="2"/>
        <v>425</v>
      </c>
      <c r="H106" s="37">
        <v>0</v>
      </c>
      <c r="I106" s="5">
        <f t="shared" si="3"/>
        <v>425</v>
      </c>
      <c r="J106" s="4" t="s">
        <v>61</v>
      </c>
      <c r="K106" s="4" t="s">
        <v>62</v>
      </c>
      <c r="L106" s="4"/>
    </row>
    <row r="107" spans="1:12" x14ac:dyDescent="0.2">
      <c r="A107" s="130">
        <v>66920</v>
      </c>
      <c r="B107" s="4" t="s">
        <v>174</v>
      </c>
      <c r="C107" s="4" t="s">
        <v>87</v>
      </c>
      <c r="D107" s="4" t="s">
        <v>60</v>
      </c>
      <c r="E107" s="36">
        <v>15</v>
      </c>
      <c r="F107" s="5">
        <v>85</v>
      </c>
      <c r="G107" s="5">
        <f t="shared" si="2"/>
        <v>1275</v>
      </c>
      <c r="H107" s="37">
        <v>0</v>
      </c>
      <c r="I107" s="5">
        <f t="shared" si="3"/>
        <v>1275</v>
      </c>
      <c r="J107" s="4" t="s">
        <v>61</v>
      </c>
      <c r="K107" s="4" t="s">
        <v>62</v>
      </c>
      <c r="L107" s="4"/>
    </row>
    <row r="108" spans="1:12" x14ac:dyDescent="0.2">
      <c r="A108" s="130">
        <v>66920</v>
      </c>
      <c r="B108" s="4" t="s">
        <v>175</v>
      </c>
      <c r="C108" s="4" t="s">
        <v>75</v>
      </c>
      <c r="D108" s="4" t="s">
        <v>60</v>
      </c>
      <c r="E108" s="36">
        <v>5</v>
      </c>
      <c r="F108" s="5">
        <v>85</v>
      </c>
      <c r="G108" s="5">
        <f t="shared" si="2"/>
        <v>425</v>
      </c>
      <c r="H108" s="37">
        <v>0</v>
      </c>
      <c r="I108" s="5">
        <f t="shared" si="3"/>
        <v>425</v>
      </c>
      <c r="J108" s="4" t="s">
        <v>61</v>
      </c>
      <c r="K108" s="4" t="s">
        <v>62</v>
      </c>
      <c r="L108" s="4"/>
    </row>
    <row r="109" spans="1:12" x14ac:dyDescent="0.2">
      <c r="A109" s="130">
        <v>66920</v>
      </c>
      <c r="B109" s="4" t="s">
        <v>176</v>
      </c>
      <c r="C109" s="4" t="s">
        <v>77</v>
      </c>
      <c r="D109" s="4" t="s">
        <v>60</v>
      </c>
      <c r="E109" s="36">
        <v>12</v>
      </c>
      <c r="F109" s="5">
        <v>85</v>
      </c>
      <c r="G109" s="5">
        <f t="shared" si="2"/>
        <v>1020</v>
      </c>
      <c r="H109" s="37">
        <v>0</v>
      </c>
      <c r="I109" s="5">
        <f t="shared" si="3"/>
        <v>1020</v>
      </c>
      <c r="J109" s="4" t="s">
        <v>61</v>
      </c>
      <c r="K109" s="4" t="s">
        <v>62</v>
      </c>
      <c r="L109" s="4"/>
    </row>
    <row r="110" spans="1:12" x14ac:dyDescent="0.2">
      <c r="A110" s="130">
        <v>66920</v>
      </c>
      <c r="B110" s="4" t="s">
        <v>177</v>
      </c>
      <c r="C110" s="4" t="s">
        <v>71</v>
      </c>
      <c r="D110" s="4" t="s">
        <v>60</v>
      </c>
      <c r="E110" s="36">
        <v>20</v>
      </c>
      <c r="F110" s="5">
        <v>86</v>
      </c>
      <c r="G110" s="5">
        <f t="shared" si="2"/>
        <v>1720</v>
      </c>
      <c r="H110" s="37">
        <v>0</v>
      </c>
      <c r="I110" s="5">
        <f t="shared" si="3"/>
        <v>1720</v>
      </c>
      <c r="J110" s="4" t="s">
        <v>61</v>
      </c>
      <c r="K110" s="4" t="s">
        <v>62</v>
      </c>
      <c r="L110" s="4"/>
    </row>
    <row r="111" spans="1:12" x14ac:dyDescent="0.2">
      <c r="A111" s="130">
        <v>66920</v>
      </c>
      <c r="B111" s="4" t="s">
        <v>178</v>
      </c>
      <c r="C111" s="4" t="s">
        <v>89</v>
      </c>
      <c r="D111" s="4" t="s">
        <v>60</v>
      </c>
      <c r="E111" s="36">
        <v>25</v>
      </c>
      <c r="F111" s="5">
        <v>95</v>
      </c>
      <c r="G111" s="5">
        <f t="shared" si="2"/>
        <v>2375</v>
      </c>
      <c r="H111" s="37">
        <v>0</v>
      </c>
      <c r="I111" s="5">
        <f t="shared" si="3"/>
        <v>2375</v>
      </c>
      <c r="J111" s="4" t="s">
        <v>61</v>
      </c>
      <c r="K111" s="4" t="s">
        <v>62</v>
      </c>
      <c r="L111" s="4"/>
    </row>
    <row r="112" spans="1:12" x14ac:dyDescent="0.2">
      <c r="A112" s="130">
        <v>66920</v>
      </c>
      <c r="B112" s="4" t="s">
        <v>178</v>
      </c>
      <c r="C112" s="4" t="s">
        <v>89</v>
      </c>
      <c r="D112" s="4" t="s">
        <v>60</v>
      </c>
      <c r="E112" s="36">
        <v>12</v>
      </c>
      <c r="F112" s="5">
        <v>85</v>
      </c>
      <c r="G112" s="5">
        <f t="shared" si="2"/>
        <v>1020</v>
      </c>
      <c r="H112" s="37">
        <v>0</v>
      </c>
      <c r="I112" s="5">
        <f t="shared" si="3"/>
        <v>1020</v>
      </c>
      <c r="J112" s="4" t="s">
        <v>61</v>
      </c>
      <c r="K112" s="4" t="s">
        <v>62</v>
      </c>
      <c r="L112" s="4"/>
    </row>
    <row r="113" spans="1:12" x14ac:dyDescent="0.2">
      <c r="A113" s="130">
        <v>66920</v>
      </c>
      <c r="B113" s="4" t="s">
        <v>179</v>
      </c>
      <c r="C113" s="4" t="s">
        <v>91</v>
      </c>
      <c r="D113" s="4" t="s">
        <v>60</v>
      </c>
      <c r="E113" s="36">
        <v>25</v>
      </c>
      <c r="F113" s="5">
        <v>84</v>
      </c>
      <c r="G113" s="5">
        <f t="shared" si="2"/>
        <v>2100</v>
      </c>
      <c r="H113" s="37">
        <v>0</v>
      </c>
      <c r="I113" s="5">
        <f t="shared" si="3"/>
        <v>2100</v>
      </c>
      <c r="J113" s="4" t="s">
        <v>61</v>
      </c>
      <c r="K113" s="4" t="s">
        <v>62</v>
      </c>
      <c r="L113" s="4"/>
    </row>
    <row r="114" spans="1:12" x14ac:dyDescent="0.2">
      <c r="A114" s="130">
        <v>66920</v>
      </c>
      <c r="B114" s="4" t="s">
        <v>180</v>
      </c>
      <c r="C114" s="4" t="s">
        <v>95</v>
      </c>
      <c r="D114" s="4" t="s">
        <v>60</v>
      </c>
      <c r="E114" s="36">
        <v>8</v>
      </c>
      <c r="F114" s="5">
        <v>85</v>
      </c>
      <c r="G114" s="5">
        <f t="shared" si="2"/>
        <v>680</v>
      </c>
      <c r="H114" s="37">
        <v>0</v>
      </c>
      <c r="I114" s="5">
        <f t="shared" si="3"/>
        <v>680</v>
      </c>
      <c r="J114" s="4" t="s">
        <v>61</v>
      </c>
      <c r="K114" s="4" t="s">
        <v>62</v>
      </c>
      <c r="L114" s="4"/>
    </row>
    <row r="115" spans="1:12" x14ac:dyDescent="0.2">
      <c r="A115" s="130">
        <v>66920</v>
      </c>
      <c r="B115" s="4" t="s">
        <v>181</v>
      </c>
      <c r="C115" s="4" t="s">
        <v>97</v>
      </c>
      <c r="D115" s="4" t="s">
        <v>60</v>
      </c>
      <c r="E115" s="36">
        <v>9.15</v>
      </c>
      <c r="F115" s="5">
        <v>100</v>
      </c>
      <c r="G115" s="5">
        <f t="shared" si="2"/>
        <v>915</v>
      </c>
      <c r="H115" s="37">
        <v>0</v>
      </c>
      <c r="I115" s="5">
        <f t="shared" si="3"/>
        <v>915</v>
      </c>
      <c r="J115" s="4" t="s">
        <v>61</v>
      </c>
      <c r="K115" s="4" t="s">
        <v>62</v>
      </c>
      <c r="L115" s="4"/>
    </row>
    <row r="116" spans="1:12" x14ac:dyDescent="0.2">
      <c r="A116" s="130">
        <v>66920</v>
      </c>
      <c r="B116" s="4" t="s">
        <v>182</v>
      </c>
      <c r="C116" s="4" t="s">
        <v>83</v>
      </c>
      <c r="D116" s="4" t="s">
        <v>60</v>
      </c>
      <c r="E116" s="36">
        <v>10</v>
      </c>
      <c r="F116" s="5">
        <v>86</v>
      </c>
      <c r="G116" s="5">
        <f t="shared" si="2"/>
        <v>860</v>
      </c>
      <c r="H116" s="37">
        <v>0</v>
      </c>
      <c r="I116" s="5">
        <f t="shared" si="3"/>
        <v>860</v>
      </c>
      <c r="J116" s="4" t="s">
        <v>61</v>
      </c>
      <c r="K116" s="4" t="s">
        <v>62</v>
      </c>
      <c r="L116" s="4"/>
    </row>
    <row r="117" spans="1:12" x14ac:dyDescent="0.2">
      <c r="A117" s="130">
        <v>66921</v>
      </c>
      <c r="B117" s="4" t="s">
        <v>183</v>
      </c>
      <c r="C117" s="4" t="s">
        <v>59</v>
      </c>
      <c r="D117" s="4" t="s">
        <v>60</v>
      </c>
      <c r="E117" s="36">
        <v>60</v>
      </c>
      <c r="F117" s="5">
        <v>85</v>
      </c>
      <c r="G117" s="5">
        <f t="shared" si="2"/>
        <v>5100</v>
      </c>
      <c r="H117" s="37">
        <v>0</v>
      </c>
      <c r="I117" s="5">
        <f t="shared" si="3"/>
        <v>5100</v>
      </c>
      <c r="J117" s="4" t="s">
        <v>61</v>
      </c>
      <c r="K117" s="4" t="s">
        <v>62</v>
      </c>
      <c r="L117" s="4"/>
    </row>
    <row r="118" spans="1:12" x14ac:dyDescent="0.2">
      <c r="A118" s="130">
        <v>66921</v>
      </c>
      <c r="B118" s="4" t="s">
        <v>184</v>
      </c>
      <c r="C118" s="4" t="s">
        <v>64</v>
      </c>
      <c r="D118" s="4" t="s">
        <v>60</v>
      </c>
      <c r="E118" s="36">
        <v>30</v>
      </c>
      <c r="F118" s="5">
        <v>85</v>
      </c>
      <c r="G118" s="5">
        <f t="shared" si="2"/>
        <v>2550</v>
      </c>
      <c r="H118" s="37">
        <v>0</v>
      </c>
      <c r="I118" s="5">
        <f t="shared" si="3"/>
        <v>2550</v>
      </c>
      <c r="J118" s="4" t="s">
        <v>61</v>
      </c>
      <c r="K118" s="4" t="s">
        <v>62</v>
      </c>
      <c r="L118" s="4"/>
    </row>
    <row r="119" spans="1:12" x14ac:dyDescent="0.2">
      <c r="A119" s="130">
        <v>66921</v>
      </c>
      <c r="B119" s="4" t="s">
        <v>185</v>
      </c>
      <c r="C119" s="4" t="s">
        <v>73</v>
      </c>
      <c r="D119" s="4" t="s">
        <v>60</v>
      </c>
      <c r="E119" s="36">
        <v>10</v>
      </c>
      <c r="F119" s="5">
        <v>85</v>
      </c>
      <c r="G119" s="5">
        <f t="shared" si="2"/>
        <v>850</v>
      </c>
      <c r="H119" s="37">
        <v>0</v>
      </c>
      <c r="I119" s="5">
        <f t="shared" si="3"/>
        <v>850</v>
      </c>
      <c r="J119" s="4" t="s">
        <v>61</v>
      </c>
      <c r="K119" s="4" t="s">
        <v>62</v>
      </c>
      <c r="L119" s="4"/>
    </row>
    <row r="120" spans="1:12" x14ac:dyDescent="0.2">
      <c r="A120" s="130">
        <v>66921</v>
      </c>
      <c r="B120" s="4" t="s">
        <v>186</v>
      </c>
      <c r="C120" s="4" t="s">
        <v>79</v>
      </c>
      <c r="D120" s="4" t="s">
        <v>60</v>
      </c>
      <c r="E120" s="36">
        <v>10</v>
      </c>
      <c r="F120" s="5">
        <v>85</v>
      </c>
      <c r="G120" s="5">
        <f t="shared" si="2"/>
        <v>850</v>
      </c>
      <c r="H120" s="37">
        <v>0</v>
      </c>
      <c r="I120" s="5">
        <f t="shared" si="3"/>
        <v>850</v>
      </c>
      <c r="J120" s="4" t="s">
        <v>61</v>
      </c>
      <c r="K120" s="4" t="s">
        <v>62</v>
      </c>
      <c r="L120" s="4"/>
    </row>
    <row r="121" spans="1:12" x14ac:dyDescent="0.2">
      <c r="A121" s="130">
        <v>66921</v>
      </c>
      <c r="B121" s="4" t="s">
        <v>187</v>
      </c>
      <c r="C121" s="4" t="s">
        <v>81</v>
      </c>
      <c r="D121" s="4" t="s">
        <v>60</v>
      </c>
      <c r="E121" s="36">
        <v>4</v>
      </c>
      <c r="F121" s="5">
        <v>86</v>
      </c>
      <c r="G121" s="5">
        <f t="shared" si="2"/>
        <v>344</v>
      </c>
      <c r="H121" s="37">
        <v>0</v>
      </c>
      <c r="I121" s="5">
        <f t="shared" si="3"/>
        <v>344</v>
      </c>
      <c r="J121" s="4" t="s">
        <v>61</v>
      </c>
      <c r="K121" s="4" t="s">
        <v>62</v>
      </c>
      <c r="L121" s="4"/>
    </row>
    <row r="122" spans="1:12" x14ac:dyDescent="0.2">
      <c r="A122" s="130">
        <v>66921</v>
      </c>
      <c r="B122" s="4" t="s">
        <v>188</v>
      </c>
      <c r="C122" s="4" t="s">
        <v>83</v>
      </c>
      <c r="D122" s="4" t="s">
        <v>60</v>
      </c>
      <c r="E122" s="36">
        <v>25</v>
      </c>
      <c r="F122" s="5">
        <v>86</v>
      </c>
      <c r="G122" s="5">
        <f t="shared" si="2"/>
        <v>2150</v>
      </c>
      <c r="H122" s="37">
        <v>0</v>
      </c>
      <c r="I122" s="5">
        <f t="shared" si="3"/>
        <v>2150</v>
      </c>
      <c r="J122" s="4" t="s">
        <v>61</v>
      </c>
      <c r="K122" s="4" t="s">
        <v>62</v>
      </c>
      <c r="L122" s="4"/>
    </row>
    <row r="123" spans="1:12" x14ac:dyDescent="0.2">
      <c r="A123" s="130">
        <v>66921</v>
      </c>
      <c r="B123" s="4" t="s">
        <v>189</v>
      </c>
      <c r="C123" s="4" t="s">
        <v>66</v>
      </c>
      <c r="D123" s="4" t="s">
        <v>60</v>
      </c>
      <c r="E123" s="36">
        <v>35</v>
      </c>
      <c r="F123" s="5">
        <v>85</v>
      </c>
      <c r="G123" s="5">
        <f t="shared" si="2"/>
        <v>2975</v>
      </c>
      <c r="H123" s="37">
        <v>0</v>
      </c>
      <c r="I123" s="5">
        <f t="shared" si="3"/>
        <v>2975</v>
      </c>
      <c r="J123" s="4" t="s">
        <v>61</v>
      </c>
      <c r="K123" s="4" t="s">
        <v>62</v>
      </c>
      <c r="L123" s="4"/>
    </row>
    <row r="124" spans="1:12" x14ac:dyDescent="0.2">
      <c r="A124" s="130">
        <v>66921</v>
      </c>
      <c r="B124" s="4" t="s">
        <v>190</v>
      </c>
      <c r="C124" s="4" t="s">
        <v>68</v>
      </c>
      <c r="D124" s="4" t="s">
        <v>60</v>
      </c>
      <c r="E124" s="36">
        <v>40</v>
      </c>
      <c r="F124" s="5">
        <v>86</v>
      </c>
      <c r="G124" s="5">
        <f t="shared" si="2"/>
        <v>3440</v>
      </c>
      <c r="H124" s="37">
        <v>0</v>
      </c>
      <c r="I124" s="5">
        <f t="shared" si="3"/>
        <v>3440</v>
      </c>
      <c r="J124" s="4" t="s">
        <v>61</v>
      </c>
      <c r="K124" s="4" t="s">
        <v>62</v>
      </c>
      <c r="L124" s="4"/>
    </row>
    <row r="125" spans="1:12" x14ac:dyDescent="0.2">
      <c r="A125" s="130">
        <v>66921</v>
      </c>
      <c r="B125" s="4" t="s">
        <v>190</v>
      </c>
      <c r="C125" s="4" t="s">
        <v>68</v>
      </c>
      <c r="D125" s="4" t="s">
        <v>60</v>
      </c>
      <c r="E125" s="36">
        <v>50</v>
      </c>
      <c r="F125" s="5">
        <v>85</v>
      </c>
      <c r="G125" s="5">
        <f t="shared" si="2"/>
        <v>4250</v>
      </c>
      <c r="H125" s="37">
        <v>0</v>
      </c>
      <c r="I125" s="5">
        <f t="shared" si="3"/>
        <v>4250</v>
      </c>
      <c r="J125" s="4" t="s">
        <v>61</v>
      </c>
      <c r="K125" s="4" t="s">
        <v>62</v>
      </c>
      <c r="L125" s="4"/>
    </row>
    <row r="126" spans="1:12" x14ac:dyDescent="0.2">
      <c r="A126" s="130">
        <v>66921</v>
      </c>
      <c r="B126" s="4" t="s">
        <v>191</v>
      </c>
      <c r="C126" s="4" t="s">
        <v>192</v>
      </c>
      <c r="D126" s="4" t="s">
        <v>93</v>
      </c>
      <c r="E126" s="36">
        <v>1</v>
      </c>
      <c r="F126" s="5">
        <v>800</v>
      </c>
      <c r="G126" s="5">
        <f t="shared" si="2"/>
        <v>800</v>
      </c>
      <c r="H126" s="37">
        <v>0</v>
      </c>
      <c r="I126" s="5">
        <f t="shared" si="3"/>
        <v>800</v>
      </c>
      <c r="J126" s="4" t="s">
        <v>61</v>
      </c>
      <c r="K126" s="4" t="s">
        <v>62</v>
      </c>
      <c r="L126" s="4"/>
    </row>
    <row r="127" spans="1:12" x14ac:dyDescent="0.2">
      <c r="A127" s="130">
        <v>66921</v>
      </c>
      <c r="B127" s="4" t="s">
        <v>193</v>
      </c>
      <c r="C127" s="4" t="s">
        <v>85</v>
      </c>
      <c r="D127" s="4" t="s">
        <v>60</v>
      </c>
      <c r="E127" s="36">
        <v>5</v>
      </c>
      <c r="F127" s="5">
        <v>85</v>
      </c>
      <c r="G127" s="5">
        <f t="shared" si="2"/>
        <v>425</v>
      </c>
      <c r="H127" s="37">
        <v>0</v>
      </c>
      <c r="I127" s="5">
        <f t="shared" si="3"/>
        <v>425</v>
      </c>
      <c r="J127" s="4" t="s">
        <v>61</v>
      </c>
      <c r="K127" s="4" t="s">
        <v>62</v>
      </c>
      <c r="L127" s="4"/>
    </row>
    <row r="128" spans="1:12" x14ac:dyDescent="0.2">
      <c r="A128" s="130">
        <v>66921</v>
      </c>
      <c r="B128" s="4" t="s">
        <v>194</v>
      </c>
      <c r="C128" s="4" t="s">
        <v>87</v>
      </c>
      <c r="D128" s="4" t="s">
        <v>60</v>
      </c>
      <c r="E128" s="36">
        <v>15</v>
      </c>
      <c r="F128" s="5">
        <v>85</v>
      </c>
      <c r="G128" s="5">
        <f t="shared" si="2"/>
        <v>1275</v>
      </c>
      <c r="H128" s="37">
        <v>0</v>
      </c>
      <c r="I128" s="5">
        <f t="shared" si="3"/>
        <v>1275</v>
      </c>
      <c r="J128" s="4" t="s">
        <v>61</v>
      </c>
      <c r="K128" s="4" t="s">
        <v>62</v>
      </c>
      <c r="L128" s="4"/>
    </row>
    <row r="129" spans="1:12" x14ac:dyDescent="0.2">
      <c r="A129" s="130">
        <v>66921</v>
      </c>
      <c r="B129" s="4" t="s">
        <v>195</v>
      </c>
      <c r="C129" s="4" t="s">
        <v>77</v>
      </c>
      <c r="D129" s="4" t="s">
        <v>60</v>
      </c>
      <c r="E129" s="36">
        <v>20</v>
      </c>
      <c r="F129" s="5">
        <v>85</v>
      </c>
      <c r="G129" s="5">
        <f t="shared" si="2"/>
        <v>1700</v>
      </c>
      <c r="H129" s="37">
        <v>0</v>
      </c>
      <c r="I129" s="5">
        <f t="shared" si="3"/>
        <v>1700</v>
      </c>
      <c r="J129" s="4" t="s">
        <v>61</v>
      </c>
      <c r="K129" s="4" t="s">
        <v>62</v>
      </c>
      <c r="L129" s="4"/>
    </row>
    <row r="130" spans="1:12" x14ac:dyDescent="0.2">
      <c r="A130" s="130">
        <v>66921</v>
      </c>
      <c r="B130" s="4" t="s">
        <v>196</v>
      </c>
      <c r="C130" s="4" t="s">
        <v>75</v>
      </c>
      <c r="D130" s="4" t="s">
        <v>60</v>
      </c>
      <c r="E130" s="36">
        <v>5</v>
      </c>
      <c r="F130" s="5">
        <v>85</v>
      </c>
      <c r="G130" s="5">
        <f t="shared" si="2"/>
        <v>425</v>
      </c>
      <c r="H130" s="37">
        <v>0</v>
      </c>
      <c r="I130" s="5">
        <f t="shared" si="3"/>
        <v>425</v>
      </c>
      <c r="J130" s="4" t="s">
        <v>61</v>
      </c>
      <c r="K130" s="4" t="s">
        <v>62</v>
      </c>
      <c r="L130" s="4"/>
    </row>
    <row r="131" spans="1:12" x14ac:dyDescent="0.2">
      <c r="A131" s="130">
        <v>66921</v>
      </c>
      <c r="B131" s="4" t="s">
        <v>197</v>
      </c>
      <c r="C131" s="4" t="s">
        <v>71</v>
      </c>
      <c r="D131" s="4" t="s">
        <v>60</v>
      </c>
      <c r="E131" s="36">
        <v>15</v>
      </c>
      <c r="F131" s="5">
        <v>85</v>
      </c>
      <c r="G131" s="5">
        <f t="shared" ref="G131:G194" si="4">IF($E131="","",$E131*$F131)</f>
        <v>1275</v>
      </c>
      <c r="H131" s="37">
        <v>0</v>
      </c>
      <c r="I131" s="5">
        <f t="shared" ref="I131:I194" si="5">IF($E131="","",$G131*(1-$H131/100))</f>
        <v>1275</v>
      </c>
      <c r="J131" s="4" t="s">
        <v>61</v>
      </c>
      <c r="K131" s="4" t="s">
        <v>62</v>
      </c>
      <c r="L131" s="4"/>
    </row>
    <row r="132" spans="1:12" x14ac:dyDescent="0.2">
      <c r="A132" s="130">
        <v>66921</v>
      </c>
      <c r="B132" s="4" t="s">
        <v>198</v>
      </c>
      <c r="C132" s="4" t="s">
        <v>89</v>
      </c>
      <c r="D132" s="4" t="s">
        <v>60</v>
      </c>
      <c r="E132" s="36">
        <v>12</v>
      </c>
      <c r="F132" s="5">
        <v>95</v>
      </c>
      <c r="G132" s="5">
        <f t="shared" si="4"/>
        <v>1140</v>
      </c>
      <c r="H132" s="37">
        <v>0</v>
      </c>
      <c r="I132" s="5">
        <f t="shared" si="5"/>
        <v>1140</v>
      </c>
      <c r="J132" s="4" t="s">
        <v>61</v>
      </c>
      <c r="K132" s="4" t="s">
        <v>62</v>
      </c>
      <c r="L132" s="4"/>
    </row>
    <row r="133" spans="1:12" x14ac:dyDescent="0.2">
      <c r="A133" s="130">
        <v>66921</v>
      </c>
      <c r="B133" s="4" t="s">
        <v>199</v>
      </c>
      <c r="C133" s="4" t="s">
        <v>89</v>
      </c>
      <c r="D133" s="4" t="s">
        <v>60</v>
      </c>
      <c r="E133" s="36">
        <v>25</v>
      </c>
      <c r="F133" s="5">
        <v>95</v>
      </c>
      <c r="G133" s="5">
        <f t="shared" si="4"/>
        <v>2375</v>
      </c>
      <c r="H133" s="37">
        <v>0</v>
      </c>
      <c r="I133" s="5">
        <f t="shared" si="5"/>
        <v>2375</v>
      </c>
      <c r="J133" s="4" t="s">
        <v>61</v>
      </c>
      <c r="K133" s="4" t="s">
        <v>62</v>
      </c>
      <c r="L133" s="4"/>
    </row>
    <row r="134" spans="1:12" x14ac:dyDescent="0.2">
      <c r="A134" s="130">
        <v>66921</v>
      </c>
      <c r="B134" s="4" t="s">
        <v>199</v>
      </c>
      <c r="C134" s="4" t="s">
        <v>89</v>
      </c>
      <c r="D134" s="4" t="s">
        <v>60</v>
      </c>
      <c r="E134" s="36">
        <v>12</v>
      </c>
      <c r="F134" s="5">
        <v>85</v>
      </c>
      <c r="G134" s="5">
        <f t="shared" si="4"/>
        <v>1020</v>
      </c>
      <c r="H134" s="37">
        <v>0</v>
      </c>
      <c r="I134" s="5">
        <f t="shared" si="5"/>
        <v>1020</v>
      </c>
      <c r="J134" s="4" t="s">
        <v>61</v>
      </c>
      <c r="K134" s="4" t="s">
        <v>62</v>
      </c>
      <c r="L134" s="4"/>
    </row>
    <row r="135" spans="1:12" x14ac:dyDescent="0.2">
      <c r="A135" s="130">
        <v>66921</v>
      </c>
      <c r="B135" s="4" t="s">
        <v>200</v>
      </c>
      <c r="C135" s="4" t="s">
        <v>91</v>
      </c>
      <c r="D135" s="4" t="s">
        <v>60</v>
      </c>
      <c r="E135" s="36">
        <v>28</v>
      </c>
      <c r="F135" s="5">
        <v>84</v>
      </c>
      <c r="G135" s="5">
        <f t="shared" si="4"/>
        <v>2352</v>
      </c>
      <c r="H135" s="37">
        <v>0</v>
      </c>
      <c r="I135" s="5">
        <f t="shared" si="5"/>
        <v>2352</v>
      </c>
      <c r="J135" s="4" t="s">
        <v>61</v>
      </c>
      <c r="K135" s="4" t="s">
        <v>62</v>
      </c>
      <c r="L135" s="4"/>
    </row>
    <row r="136" spans="1:12" x14ac:dyDescent="0.2">
      <c r="A136" s="130">
        <v>66921</v>
      </c>
      <c r="B136" s="4" t="s">
        <v>201</v>
      </c>
      <c r="C136" s="4" t="s">
        <v>95</v>
      </c>
      <c r="D136" s="4" t="s">
        <v>60</v>
      </c>
      <c r="E136" s="36">
        <v>8</v>
      </c>
      <c r="F136" s="5">
        <v>85</v>
      </c>
      <c r="G136" s="5">
        <f t="shared" si="4"/>
        <v>680</v>
      </c>
      <c r="H136" s="37">
        <v>0</v>
      </c>
      <c r="I136" s="5">
        <f t="shared" si="5"/>
        <v>680</v>
      </c>
      <c r="J136" s="4" t="s">
        <v>61</v>
      </c>
      <c r="K136" s="4" t="s">
        <v>62</v>
      </c>
      <c r="L136" s="4"/>
    </row>
    <row r="137" spans="1:12" x14ac:dyDescent="0.2">
      <c r="A137" s="130">
        <v>66921</v>
      </c>
      <c r="B137" s="4" t="s">
        <v>202</v>
      </c>
      <c r="C137" s="4" t="s">
        <v>203</v>
      </c>
      <c r="D137" s="4" t="s">
        <v>92</v>
      </c>
      <c r="E137" s="36">
        <v>1</v>
      </c>
      <c r="F137" s="5">
        <v>1100</v>
      </c>
      <c r="G137" s="5">
        <f t="shared" si="4"/>
        <v>1100</v>
      </c>
      <c r="H137" s="37">
        <v>0</v>
      </c>
      <c r="I137" s="5">
        <f t="shared" si="5"/>
        <v>1100</v>
      </c>
      <c r="J137" s="4" t="s">
        <v>61</v>
      </c>
      <c r="K137" s="4" t="s">
        <v>62</v>
      </c>
      <c r="L137" s="4"/>
    </row>
    <row r="138" spans="1:12" x14ac:dyDescent="0.2">
      <c r="A138" s="130">
        <v>66921</v>
      </c>
      <c r="B138" s="4" t="s">
        <v>204</v>
      </c>
      <c r="C138" s="4" t="s">
        <v>97</v>
      </c>
      <c r="D138" s="4" t="s">
        <v>60</v>
      </c>
      <c r="E138" s="36">
        <v>5</v>
      </c>
      <c r="F138" s="5">
        <v>95</v>
      </c>
      <c r="G138" s="5">
        <f t="shared" si="4"/>
        <v>475</v>
      </c>
      <c r="H138" s="37">
        <v>0</v>
      </c>
      <c r="I138" s="5">
        <f t="shared" si="5"/>
        <v>475</v>
      </c>
      <c r="J138" s="4" t="s">
        <v>61</v>
      </c>
      <c r="K138" s="4" t="s">
        <v>62</v>
      </c>
      <c r="L138" s="4"/>
    </row>
    <row r="139" spans="1:12" x14ac:dyDescent="0.2">
      <c r="A139" s="130">
        <v>66921</v>
      </c>
      <c r="B139" s="4" t="s">
        <v>205</v>
      </c>
      <c r="C139" s="4" t="s">
        <v>206</v>
      </c>
      <c r="D139" s="4" t="s">
        <v>92</v>
      </c>
      <c r="E139" s="36">
        <v>10</v>
      </c>
      <c r="F139" s="5">
        <v>1100</v>
      </c>
      <c r="G139" s="5">
        <f t="shared" si="4"/>
        <v>11000</v>
      </c>
      <c r="H139" s="37">
        <v>0</v>
      </c>
      <c r="I139" s="5">
        <f t="shared" si="5"/>
        <v>11000</v>
      </c>
      <c r="J139" s="4" t="s">
        <v>61</v>
      </c>
      <c r="K139" s="4" t="s">
        <v>62</v>
      </c>
      <c r="L139" s="4"/>
    </row>
    <row r="140" spans="1:12" x14ac:dyDescent="0.2">
      <c r="A140" s="130">
        <v>66921</v>
      </c>
      <c r="B140" s="4" t="s">
        <v>207</v>
      </c>
      <c r="C140" s="4" t="s">
        <v>83</v>
      </c>
      <c r="D140" s="4" t="s">
        <v>60</v>
      </c>
      <c r="E140" s="36">
        <v>10</v>
      </c>
      <c r="F140" s="5">
        <v>86</v>
      </c>
      <c r="G140" s="5">
        <f t="shared" si="4"/>
        <v>860</v>
      </c>
      <c r="H140" s="37">
        <v>0</v>
      </c>
      <c r="I140" s="5">
        <f t="shared" si="5"/>
        <v>860</v>
      </c>
      <c r="J140" s="4" t="s">
        <v>61</v>
      </c>
      <c r="K140" s="4" t="s">
        <v>62</v>
      </c>
      <c r="L140" s="4"/>
    </row>
    <row r="141" spans="1:12" x14ac:dyDescent="0.2">
      <c r="A141" s="130">
        <v>66921</v>
      </c>
      <c r="B141" s="4" t="s">
        <v>208</v>
      </c>
      <c r="C141" s="4" t="s">
        <v>209</v>
      </c>
      <c r="D141" s="4" t="s">
        <v>92</v>
      </c>
      <c r="E141" s="36">
        <v>2</v>
      </c>
      <c r="F141" s="5">
        <v>1100</v>
      </c>
      <c r="G141" s="5">
        <f t="shared" si="4"/>
        <v>2200</v>
      </c>
      <c r="H141" s="37">
        <v>0</v>
      </c>
      <c r="I141" s="5">
        <f t="shared" si="5"/>
        <v>2200</v>
      </c>
      <c r="J141" s="4" t="s">
        <v>61</v>
      </c>
      <c r="K141" s="4" t="s">
        <v>62</v>
      </c>
      <c r="L141" s="4"/>
    </row>
    <row r="142" spans="1:12" x14ac:dyDescent="0.2">
      <c r="A142" s="130">
        <v>66921</v>
      </c>
      <c r="B142" s="4" t="s">
        <v>210</v>
      </c>
      <c r="C142" s="4" t="s">
        <v>211</v>
      </c>
      <c r="D142" s="4" t="s">
        <v>60</v>
      </c>
      <c r="E142" s="36">
        <v>2</v>
      </c>
      <c r="F142" s="5">
        <v>90</v>
      </c>
      <c r="G142" s="5">
        <f t="shared" si="4"/>
        <v>180</v>
      </c>
      <c r="H142" s="37">
        <v>0</v>
      </c>
      <c r="I142" s="5">
        <f t="shared" si="5"/>
        <v>180</v>
      </c>
      <c r="J142" s="4" t="s">
        <v>61</v>
      </c>
      <c r="K142" s="4" t="s">
        <v>62</v>
      </c>
      <c r="L142" s="4"/>
    </row>
    <row r="143" spans="1:12" x14ac:dyDescent="0.2">
      <c r="A143" s="130">
        <v>66922</v>
      </c>
      <c r="B143" s="4" t="s">
        <v>212</v>
      </c>
      <c r="C143" s="4" t="s">
        <v>59</v>
      </c>
      <c r="D143" s="4" t="s">
        <v>60</v>
      </c>
      <c r="E143" s="36">
        <v>60</v>
      </c>
      <c r="F143" s="5">
        <v>85</v>
      </c>
      <c r="G143" s="5">
        <f t="shared" si="4"/>
        <v>5100</v>
      </c>
      <c r="H143" s="37">
        <v>0</v>
      </c>
      <c r="I143" s="5">
        <f t="shared" si="5"/>
        <v>5100</v>
      </c>
      <c r="J143" s="4" t="s">
        <v>61</v>
      </c>
      <c r="K143" s="4" t="s">
        <v>62</v>
      </c>
      <c r="L143" s="4"/>
    </row>
    <row r="144" spans="1:12" x14ac:dyDescent="0.2">
      <c r="A144" s="130">
        <v>66922</v>
      </c>
      <c r="B144" s="4" t="s">
        <v>212</v>
      </c>
      <c r="C144" s="4" t="s">
        <v>59</v>
      </c>
      <c r="D144" s="4" t="s">
        <v>60</v>
      </c>
      <c r="E144" s="36">
        <v>1</v>
      </c>
      <c r="F144" s="5">
        <v>80</v>
      </c>
      <c r="G144" s="5">
        <f t="shared" si="4"/>
        <v>80</v>
      </c>
      <c r="H144" s="37">
        <v>0</v>
      </c>
      <c r="I144" s="5">
        <f t="shared" si="5"/>
        <v>80</v>
      </c>
      <c r="J144" s="4" t="s">
        <v>61</v>
      </c>
      <c r="K144" s="4" t="s">
        <v>62</v>
      </c>
      <c r="L144" s="4"/>
    </row>
    <row r="145" spans="1:12" x14ac:dyDescent="0.2">
      <c r="A145" s="130">
        <v>66922</v>
      </c>
      <c r="B145" s="4" t="s">
        <v>213</v>
      </c>
      <c r="C145" s="4" t="s">
        <v>64</v>
      </c>
      <c r="D145" s="4" t="s">
        <v>60</v>
      </c>
      <c r="E145" s="36">
        <v>40</v>
      </c>
      <c r="F145" s="5">
        <v>85</v>
      </c>
      <c r="G145" s="5">
        <f t="shared" si="4"/>
        <v>3400</v>
      </c>
      <c r="H145" s="37">
        <v>0</v>
      </c>
      <c r="I145" s="5">
        <f t="shared" si="5"/>
        <v>3400</v>
      </c>
      <c r="J145" s="4" t="s">
        <v>61</v>
      </c>
      <c r="K145" s="4" t="s">
        <v>62</v>
      </c>
      <c r="L145" s="4"/>
    </row>
    <row r="146" spans="1:12" x14ac:dyDescent="0.2">
      <c r="A146" s="130">
        <v>66922</v>
      </c>
      <c r="B146" s="4" t="s">
        <v>214</v>
      </c>
      <c r="C146" s="4" t="s">
        <v>68</v>
      </c>
      <c r="D146" s="4" t="s">
        <v>60</v>
      </c>
      <c r="E146" s="36">
        <v>40</v>
      </c>
      <c r="F146" s="5">
        <v>86</v>
      </c>
      <c r="G146" s="5">
        <f t="shared" si="4"/>
        <v>3440</v>
      </c>
      <c r="H146" s="37">
        <v>0</v>
      </c>
      <c r="I146" s="5">
        <f t="shared" si="5"/>
        <v>3440</v>
      </c>
      <c r="J146" s="4" t="s">
        <v>61</v>
      </c>
      <c r="K146" s="4" t="s">
        <v>62</v>
      </c>
      <c r="L146" s="4"/>
    </row>
    <row r="147" spans="1:12" x14ac:dyDescent="0.2">
      <c r="A147" s="130">
        <v>66922</v>
      </c>
      <c r="B147" s="4" t="s">
        <v>214</v>
      </c>
      <c r="C147" s="4" t="s">
        <v>68</v>
      </c>
      <c r="D147" s="4" t="s">
        <v>60</v>
      </c>
      <c r="E147" s="36">
        <v>50</v>
      </c>
      <c r="F147" s="5">
        <v>85</v>
      </c>
      <c r="G147" s="5">
        <f t="shared" si="4"/>
        <v>4250</v>
      </c>
      <c r="H147" s="37">
        <v>0</v>
      </c>
      <c r="I147" s="5">
        <f t="shared" si="5"/>
        <v>4250</v>
      </c>
      <c r="J147" s="4" t="s">
        <v>61</v>
      </c>
      <c r="K147" s="4" t="s">
        <v>62</v>
      </c>
      <c r="L147" s="4"/>
    </row>
    <row r="148" spans="1:12" x14ac:dyDescent="0.2">
      <c r="A148" s="130">
        <v>66922</v>
      </c>
      <c r="B148" s="4" t="s">
        <v>214</v>
      </c>
      <c r="C148" s="4" t="s">
        <v>68</v>
      </c>
      <c r="D148" s="4" t="s">
        <v>69</v>
      </c>
      <c r="E148" s="36">
        <v>2</v>
      </c>
      <c r="F148" s="5">
        <v>80</v>
      </c>
      <c r="G148" s="5">
        <f t="shared" si="4"/>
        <v>160</v>
      </c>
      <c r="H148" s="37">
        <v>0</v>
      </c>
      <c r="I148" s="5">
        <f t="shared" si="5"/>
        <v>160</v>
      </c>
      <c r="J148" s="4" t="s">
        <v>61</v>
      </c>
      <c r="K148" s="4" t="s">
        <v>62</v>
      </c>
      <c r="L148" s="4"/>
    </row>
    <row r="149" spans="1:12" x14ac:dyDescent="0.2">
      <c r="A149" s="130">
        <v>66922</v>
      </c>
      <c r="B149" s="4" t="s">
        <v>215</v>
      </c>
      <c r="C149" s="4" t="s">
        <v>91</v>
      </c>
      <c r="D149" s="4" t="s">
        <v>60</v>
      </c>
      <c r="E149" s="36">
        <v>28</v>
      </c>
      <c r="F149" s="5">
        <v>84</v>
      </c>
      <c r="G149" s="5">
        <f t="shared" si="4"/>
        <v>2352</v>
      </c>
      <c r="H149" s="37">
        <v>0</v>
      </c>
      <c r="I149" s="5">
        <f t="shared" si="5"/>
        <v>2352</v>
      </c>
      <c r="J149" s="4" t="s">
        <v>61</v>
      </c>
      <c r="K149" s="4" t="s">
        <v>62</v>
      </c>
      <c r="L149" s="4"/>
    </row>
    <row r="150" spans="1:12" x14ac:dyDescent="0.2">
      <c r="A150" s="130">
        <v>66922</v>
      </c>
      <c r="B150" s="4" t="s">
        <v>216</v>
      </c>
      <c r="C150" s="4" t="s">
        <v>85</v>
      </c>
      <c r="D150" s="4" t="s">
        <v>60</v>
      </c>
      <c r="E150" s="36">
        <v>5</v>
      </c>
      <c r="F150" s="5">
        <v>85</v>
      </c>
      <c r="G150" s="5">
        <f t="shared" si="4"/>
        <v>425</v>
      </c>
      <c r="H150" s="37">
        <v>0</v>
      </c>
      <c r="I150" s="5">
        <f t="shared" si="5"/>
        <v>425</v>
      </c>
      <c r="J150" s="4" t="s">
        <v>61</v>
      </c>
      <c r="K150" s="4" t="s">
        <v>62</v>
      </c>
      <c r="L150" s="4"/>
    </row>
    <row r="151" spans="1:12" x14ac:dyDescent="0.2">
      <c r="A151" s="130">
        <v>66922</v>
      </c>
      <c r="B151" s="4" t="s">
        <v>217</v>
      </c>
      <c r="C151" s="4" t="s">
        <v>83</v>
      </c>
      <c r="D151" s="4" t="s">
        <v>60</v>
      </c>
      <c r="E151" s="36">
        <v>30</v>
      </c>
      <c r="F151" s="5">
        <v>86</v>
      </c>
      <c r="G151" s="5">
        <f t="shared" si="4"/>
        <v>2580</v>
      </c>
      <c r="H151" s="37">
        <v>0</v>
      </c>
      <c r="I151" s="5">
        <f t="shared" si="5"/>
        <v>2580</v>
      </c>
      <c r="J151" s="4" t="s">
        <v>61</v>
      </c>
      <c r="K151" s="4" t="s">
        <v>62</v>
      </c>
      <c r="L151" s="4"/>
    </row>
    <row r="152" spans="1:12" x14ac:dyDescent="0.2">
      <c r="A152" s="130">
        <v>66922</v>
      </c>
      <c r="B152" s="4" t="s">
        <v>218</v>
      </c>
      <c r="C152" s="4" t="s">
        <v>81</v>
      </c>
      <c r="D152" s="4" t="s">
        <v>60</v>
      </c>
      <c r="E152" s="36">
        <v>4</v>
      </c>
      <c r="F152" s="5">
        <v>86</v>
      </c>
      <c r="G152" s="5">
        <f t="shared" si="4"/>
        <v>344</v>
      </c>
      <c r="H152" s="37">
        <v>0</v>
      </c>
      <c r="I152" s="5">
        <f t="shared" si="5"/>
        <v>344</v>
      </c>
      <c r="J152" s="4" t="s">
        <v>61</v>
      </c>
      <c r="K152" s="4" t="s">
        <v>62</v>
      </c>
      <c r="L152" s="4"/>
    </row>
    <row r="153" spans="1:12" x14ac:dyDescent="0.2">
      <c r="A153" s="130">
        <v>66922</v>
      </c>
      <c r="B153" s="4" t="s">
        <v>219</v>
      </c>
      <c r="C153" s="4" t="s">
        <v>79</v>
      </c>
      <c r="D153" s="4" t="s">
        <v>60</v>
      </c>
      <c r="E153" s="36">
        <v>10</v>
      </c>
      <c r="F153" s="5">
        <v>85</v>
      </c>
      <c r="G153" s="5">
        <f t="shared" si="4"/>
        <v>850</v>
      </c>
      <c r="H153" s="37">
        <v>0</v>
      </c>
      <c r="I153" s="5">
        <f t="shared" si="5"/>
        <v>850</v>
      </c>
      <c r="J153" s="4" t="s">
        <v>61</v>
      </c>
      <c r="K153" s="4" t="s">
        <v>62</v>
      </c>
      <c r="L153" s="4"/>
    </row>
    <row r="154" spans="1:12" x14ac:dyDescent="0.2">
      <c r="A154" s="130">
        <v>66922</v>
      </c>
      <c r="B154" s="4" t="s">
        <v>220</v>
      </c>
      <c r="C154" s="4" t="s">
        <v>73</v>
      </c>
      <c r="D154" s="4" t="s">
        <v>60</v>
      </c>
      <c r="E154" s="36">
        <v>10</v>
      </c>
      <c r="F154" s="5">
        <v>85</v>
      </c>
      <c r="G154" s="5">
        <f t="shared" si="4"/>
        <v>850</v>
      </c>
      <c r="H154" s="37">
        <v>0</v>
      </c>
      <c r="I154" s="5">
        <f t="shared" si="5"/>
        <v>850</v>
      </c>
      <c r="J154" s="4" t="s">
        <v>61</v>
      </c>
      <c r="K154" s="4" t="s">
        <v>62</v>
      </c>
      <c r="L154" s="4"/>
    </row>
    <row r="155" spans="1:12" x14ac:dyDescent="0.2">
      <c r="A155" s="130">
        <v>66922</v>
      </c>
      <c r="B155" s="4" t="s">
        <v>221</v>
      </c>
      <c r="C155" s="4" t="s">
        <v>71</v>
      </c>
      <c r="D155" s="4" t="s">
        <v>60</v>
      </c>
      <c r="E155" s="36">
        <v>20</v>
      </c>
      <c r="F155" s="5">
        <v>86</v>
      </c>
      <c r="G155" s="5">
        <f t="shared" si="4"/>
        <v>1720</v>
      </c>
      <c r="H155" s="37">
        <v>0</v>
      </c>
      <c r="I155" s="5">
        <f t="shared" si="5"/>
        <v>1720</v>
      </c>
      <c r="J155" s="4" t="s">
        <v>61</v>
      </c>
      <c r="K155" s="4" t="s">
        <v>62</v>
      </c>
      <c r="L155" s="4"/>
    </row>
    <row r="156" spans="1:12" x14ac:dyDescent="0.2">
      <c r="A156" s="130">
        <v>66922</v>
      </c>
      <c r="B156" s="4" t="s">
        <v>222</v>
      </c>
      <c r="C156" s="4" t="s">
        <v>75</v>
      </c>
      <c r="D156" s="4" t="s">
        <v>60</v>
      </c>
      <c r="E156" s="36">
        <v>3</v>
      </c>
      <c r="F156" s="5">
        <v>85</v>
      </c>
      <c r="G156" s="5">
        <f t="shared" si="4"/>
        <v>255</v>
      </c>
      <c r="H156" s="37">
        <v>0</v>
      </c>
      <c r="I156" s="5">
        <f t="shared" si="5"/>
        <v>255</v>
      </c>
      <c r="J156" s="4" t="s">
        <v>61</v>
      </c>
      <c r="K156" s="4" t="s">
        <v>62</v>
      </c>
      <c r="L156" s="4"/>
    </row>
    <row r="157" spans="1:12" x14ac:dyDescent="0.2">
      <c r="A157" s="130">
        <v>66922</v>
      </c>
      <c r="B157" s="4" t="s">
        <v>223</v>
      </c>
      <c r="C157" s="4" t="s">
        <v>77</v>
      </c>
      <c r="D157" s="4" t="s">
        <v>60</v>
      </c>
      <c r="E157" s="36">
        <v>6</v>
      </c>
      <c r="F157" s="5">
        <v>85</v>
      </c>
      <c r="G157" s="5">
        <f t="shared" si="4"/>
        <v>510</v>
      </c>
      <c r="H157" s="37">
        <v>0</v>
      </c>
      <c r="I157" s="5">
        <f t="shared" si="5"/>
        <v>510</v>
      </c>
      <c r="J157" s="4" t="s">
        <v>61</v>
      </c>
      <c r="K157" s="4" t="s">
        <v>62</v>
      </c>
      <c r="L157" s="4"/>
    </row>
    <row r="158" spans="1:12" x14ac:dyDescent="0.2">
      <c r="A158" s="130">
        <v>66922</v>
      </c>
      <c r="B158" s="4" t="s">
        <v>224</v>
      </c>
      <c r="C158" s="4" t="s">
        <v>66</v>
      </c>
      <c r="D158" s="4" t="s">
        <v>60</v>
      </c>
      <c r="E158" s="36">
        <v>20</v>
      </c>
      <c r="F158" s="5">
        <v>85</v>
      </c>
      <c r="G158" s="5">
        <f t="shared" si="4"/>
        <v>1700</v>
      </c>
      <c r="H158" s="37">
        <v>0</v>
      </c>
      <c r="I158" s="5">
        <f t="shared" si="5"/>
        <v>1700</v>
      </c>
      <c r="J158" s="4" t="s">
        <v>61</v>
      </c>
      <c r="K158" s="4" t="s">
        <v>62</v>
      </c>
      <c r="L158" s="4"/>
    </row>
    <row r="159" spans="1:12" x14ac:dyDescent="0.2">
      <c r="A159" s="130">
        <v>66922</v>
      </c>
      <c r="B159" s="4" t="s">
        <v>225</v>
      </c>
      <c r="C159" s="4" t="s">
        <v>87</v>
      </c>
      <c r="D159" s="4" t="s">
        <v>60</v>
      </c>
      <c r="E159" s="36">
        <v>15</v>
      </c>
      <c r="F159" s="5">
        <v>85</v>
      </c>
      <c r="G159" s="5">
        <f t="shared" si="4"/>
        <v>1275</v>
      </c>
      <c r="H159" s="37">
        <v>0</v>
      </c>
      <c r="I159" s="5">
        <f t="shared" si="5"/>
        <v>1275</v>
      </c>
      <c r="J159" s="4" t="s">
        <v>61</v>
      </c>
      <c r="K159" s="4" t="s">
        <v>62</v>
      </c>
      <c r="L159" s="4"/>
    </row>
    <row r="160" spans="1:12" x14ac:dyDescent="0.2">
      <c r="A160" s="130">
        <v>66922</v>
      </c>
      <c r="B160" s="4" t="s">
        <v>226</v>
      </c>
      <c r="C160" s="4" t="s">
        <v>89</v>
      </c>
      <c r="D160" s="4" t="s">
        <v>60</v>
      </c>
      <c r="E160" s="36">
        <v>20</v>
      </c>
      <c r="F160" s="5">
        <v>95</v>
      </c>
      <c r="G160" s="5">
        <f t="shared" si="4"/>
        <v>1900</v>
      </c>
      <c r="H160" s="37">
        <v>0</v>
      </c>
      <c r="I160" s="5">
        <f t="shared" si="5"/>
        <v>1900</v>
      </c>
      <c r="J160" s="4" t="s">
        <v>61</v>
      </c>
      <c r="K160" s="4" t="s">
        <v>62</v>
      </c>
      <c r="L160" s="4"/>
    </row>
    <row r="161" spans="1:12" x14ac:dyDescent="0.2">
      <c r="A161" s="130">
        <v>66922</v>
      </c>
      <c r="B161" s="4" t="s">
        <v>227</v>
      </c>
      <c r="C161" s="4" t="s">
        <v>95</v>
      </c>
      <c r="D161" s="4" t="s">
        <v>60</v>
      </c>
      <c r="E161" s="36">
        <v>8</v>
      </c>
      <c r="F161" s="5">
        <v>85</v>
      </c>
      <c r="G161" s="5">
        <f t="shared" si="4"/>
        <v>680</v>
      </c>
      <c r="H161" s="37">
        <v>0</v>
      </c>
      <c r="I161" s="5">
        <f t="shared" si="5"/>
        <v>680</v>
      </c>
      <c r="J161" s="4" t="s">
        <v>61</v>
      </c>
      <c r="K161" s="4" t="s">
        <v>62</v>
      </c>
      <c r="L161" s="4"/>
    </row>
    <row r="162" spans="1:12" x14ac:dyDescent="0.2">
      <c r="A162" s="130">
        <v>66922</v>
      </c>
      <c r="B162" s="4" t="s">
        <v>228</v>
      </c>
      <c r="C162" s="4" t="s">
        <v>97</v>
      </c>
      <c r="D162" s="4" t="s">
        <v>60</v>
      </c>
      <c r="E162" s="36">
        <v>4.5</v>
      </c>
      <c r="F162" s="5">
        <v>95.56</v>
      </c>
      <c r="G162" s="5">
        <f t="shared" si="4"/>
        <v>430.02</v>
      </c>
      <c r="H162" s="37">
        <v>0</v>
      </c>
      <c r="I162" s="5">
        <f t="shared" si="5"/>
        <v>430.02</v>
      </c>
      <c r="J162" s="4" t="s">
        <v>61</v>
      </c>
      <c r="K162" s="4" t="s">
        <v>62</v>
      </c>
      <c r="L162" s="4"/>
    </row>
    <row r="163" spans="1:12" x14ac:dyDescent="0.2">
      <c r="A163" s="130">
        <v>66922</v>
      </c>
      <c r="B163" s="4" t="s">
        <v>229</v>
      </c>
      <c r="C163" s="4" t="s">
        <v>99</v>
      </c>
      <c r="D163" s="4" t="s">
        <v>60</v>
      </c>
      <c r="E163" s="36">
        <v>10</v>
      </c>
      <c r="F163" s="5">
        <v>86</v>
      </c>
      <c r="G163" s="5">
        <f t="shared" si="4"/>
        <v>860</v>
      </c>
      <c r="H163" s="37">
        <v>0</v>
      </c>
      <c r="I163" s="5">
        <f t="shared" si="5"/>
        <v>860</v>
      </c>
      <c r="J163" s="4" t="s">
        <v>61</v>
      </c>
      <c r="K163" s="4" t="s">
        <v>62</v>
      </c>
      <c r="L163" s="4"/>
    </row>
    <row r="164" spans="1:12" x14ac:dyDescent="0.2">
      <c r="A164" s="130">
        <v>66922</v>
      </c>
      <c r="B164" s="4" t="s">
        <v>230</v>
      </c>
      <c r="C164" s="4" t="s">
        <v>211</v>
      </c>
      <c r="D164" s="4" t="s">
        <v>60</v>
      </c>
      <c r="E164" s="36">
        <v>2</v>
      </c>
      <c r="F164" s="5">
        <v>90</v>
      </c>
      <c r="G164" s="5">
        <f t="shared" si="4"/>
        <v>180</v>
      </c>
      <c r="H164" s="37">
        <v>0</v>
      </c>
      <c r="I164" s="5">
        <f t="shared" si="5"/>
        <v>180</v>
      </c>
      <c r="J164" s="4" t="s">
        <v>61</v>
      </c>
      <c r="K164" s="4" t="s">
        <v>62</v>
      </c>
      <c r="L164" s="4"/>
    </row>
    <row r="165" spans="1:12" x14ac:dyDescent="0.2">
      <c r="A165" s="130">
        <v>66923</v>
      </c>
      <c r="B165" s="4" t="s">
        <v>231</v>
      </c>
      <c r="C165" s="4" t="s">
        <v>59</v>
      </c>
      <c r="D165" s="4" t="s">
        <v>60</v>
      </c>
      <c r="E165" s="36">
        <v>60</v>
      </c>
      <c r="F165" s="5">
        <v>85</v>
      </c>
      <c r="G165" s="5">
        <f t="shared" si="4"/>
        <v>5100</v>
      </c>
      <c r="H165" s="37">
        <v>0</v>
      </c>
      <c r="I165" s="5">
        <f t="shared" si="5"/>
        <v>5100</v>
      </c>
      <c r="J165" s="4" t="s">
        <v>61</v>
      </c>
      <c r="K165" s="4" t="s">
        <v>62</v>
      </c>
      <c r="L165" s="4"/>
    </row>
    <row r="166" spans="1:12" x14ac:dyDescent="0.2">
      <c r="A166" s="130">
        <v>66923</v>
      </c>
      <c r="B166" s="4" t="s">
        <v>231</v>
      </c>
      <c r="C166" s="4" t="s">
        <v>59</v>
      </c>
      <c r="D166" s="4" t="s">
        <v>69</v>
      </c>
      <c r="E166" s="36">
        <v>1</v>
      </c>
      <c r="F166" s="5">
        <v>80</v>
      </c>
      <c r="G166" s="5">
        <f t="shared" si="4"/>
        <v>80</v>
      </c>
      <c r="H166" s="37">
        <v>0</v>
      </c>
      <c r="I166" s="5">
        <f t="shared" si="5"/>
        <v>80</v>
      </c>
      <c r="J166" s="4" t="s">
        <v>61</v>
      </c>
      <c r="K166" s="4" t="s">
        <v>62</v>
      </c>
      <c r="L166" s="4"/>
    </row>
    <row r="167" spans="1:12" x14ac:dyDescent="0.2">
      <c r="A167" s="130">
        <v>66923</v>
      </c>
      <c r="B167" s="4" t="s">
        <v>232</v>
      </c>
      <c r="C167" s="4" t="s">
        <v>64</v>
      </c>
      <c r="D167" s="4" t="s">
        <v>60</v>
      </c>
      <c r="E167" s="36">
        <v>30</v>
      </c>
      <c r="F167" s="5">
        <v>85</v>
      </c>
      <c r="G167" s="5">
        <f t="shared" si="4"/>
        <v>2550</v>
      </c>
      <c r="H167" s="37">
        <v>0</v>
      </c>
      <c r="I167" s="5">
        <f t="shared" si="5"/>
        <v>2550</v>
      </c>
      <c r="J167" s="4" t="s">
        <v>61</v>
      </c>
      <c r="K167" s="4" t="s">
        <v>62</v>
      </c>
      <c r="L167" s="4"/>
    </row>
    <row r="168" spans="1:12" x14ac:dyDescent="0.2">
      <c r="A168" s="130">
        <v>66923</v>
      </c>
      <c r="B168" s="4" t="s">
        <v>233</v>
      </c>
      <c r="C168" s="4" t="s">
        <v>73</v>
      </c>
      <c r="D168" s="4" t="s">
        <v>60</v>
      </c>
      <c r="E168" s="36">
        <v>20</v>
      </c>
      <c r="F168" s="5">
        <v>85</v>
      </c>
      <c r="G168" s="5">
        <f t="shared" si="4"/>
        <v>1700</v>
      </c>
      <c r="H168" s="37">
        <v>0</v>
      </c>
      <c r="I168" s="5">
        <f t="shared" si="5"/>
        <v>1700</v>
      </c>
      <c r="J168" s="4" t="s">
        <v>61</v>
      </c>
      <c r="K168" s="4" t="s">
        <v>62</v>
      </c>
      <c r="L168" s="4"/>
    </row>
    <row r="169" spans="1:12" x14ac:dyDescent="0.2">
      <c r="A169" s="130">
        <v>66923</v>
      </c>
      <c r="B169" s="4" t="s">
        <v>234</v>
      </c>
      <c r="C169" s="4" t="s">
        <v>77</v>
      </c>
      <c r="D169" s="4" t="s">
        <v>60</v>
      </c>
      <c r="E169" s="36">
        <v>15</v>
      </c>
      <c r="F169" s="5">
        <v>85</v>
      </c>
      <c r="G169" s="5">
        <f t="shared" si="4"/>
        <v>1275</v>
      </c>
      <c r="H169" s="37">
        <v>0</v>
      </c>
      <c r="I169" s="5">
        <f t="shared" si="5"/>
        <v>1275</v>
      </c>
      <c r="J169" s="4" t="s">
        <v>61</v>
      </c>
      <c r="K169" s="4" t="s">
        <v>62</v>
      </c>
      <c r="L169" s="4"/>
    </row>
    <row r="170" spans="1:12" x14ac:dyDescent="0.2">
      <c r="A170" s="130">
        <v>66923</v>
      </c>
      <c r="B170" s="4" t="s">
        <v>235</v>
      </c>
      <c r="C170" s="4" t="s">
        <v>79</v>
      </c>
      <c r="D170" s="4" t="s">
        <v>60</v>
      </c>
      <c r="E170" s="36">
        <v>5</v>
      </c>
      <c r="F170" s="5">
        <v>85</v>
      </c>
      <c r="G170" s="5">
        <f t="shared" si="4"/>
        <v>425</v>
      </c>
      <c r="H170" s="37">
        <v>0</v>
      </c>
      <c r="I170" s="5">
        <f t="shared" si="5"/>
        <v>425</v>
      </c>
      <c r="J170" s="4" t="s">
        <v>61</v>
      </c>
      <c r="K170" s="4" t="s">
        <v>62</v>
      </c>
      <c r="L170" s="4"/>
    </row>
    <row r="171" spans="1:12" x14ac:dyDescent="0.2">
      <c r="A171" s="130">
        <v>66923</v>
      </c>
      <c r="B171" s="4" t="s">
        <v>236</v>
      </c>
      <c r="C171" s="4" t="s">
        <v>81</v>
      </c>
      <c r="D171" s="4" t="s">
        <v>60</v>
      </c>
      <c r="E171" s="36">
        <v>4</v>
      </c>
      <c r="F171" s="5">
        <v>86</v>
      </c>
      <c r="G171" s="5">
        <f t="shared" si="4"/>
        <v>344</v>
      </c>
      <c r="H171" s="37">
        <v>0</v>
      </c>
      <c r="I171" s="5">
        <f t="shared" si="5"/>
        <v>344</v>
      </c>
      <c r="J171" s="4" t="s">
        <v>61</v>
      </c>
      <c r="K171" s="4" t="s">
        <v>62</v>
      </c>
      <c r="L171" s="4"/>
    </row>
    <row r="172" spans="1:12" x14ac:dyDescent="0.2">
      <c r="A172" s="130">
        <v>66923</v>
      </c>
      <c r="B172" s="4" t="s">
        <v>237</v>
      </c>
      <c r="C172" s="4" t="s">
        <v>83</v>
      </c>
      <c r="D172" s="4" t="s">
        <v>60</v>
      </c>
      <c r="E172" s="36">
        <v>25</v>
      </c>
      <c r="F172" s="5">
        <v>86</v>
      </c>
      <c r="G172" s="5">
        <f t="shared" si="4"/>
        <v>2150</v>
      </c>
      <c r="H172" s="37">
        <v>0</v>
      </c>
      <c r="I172" s="5">
        <f t="shared" si="5"/>
        <v>2150</v>
      </c>
      <c r="J172" s="4" t="s">
        <v>61</v>
      </c>
      <c r="K172" s="4" t="s">
        <v>62</v>
      </c>
      <c r="L172" s="4"/>
    </row>
    <row r="173" spans="1:12" x14ac:dyDescent="0.2">
      <c r="A173" s="130">
        <v>66923</v>
      </c>
      <c r="B173" s="4" t="s">
        <v>238</v>
      </c>
      <c r="C173" s="4" t="s">
        <v>66</v>
      </c>
      <c r="D173" s="4" t="s">
        <v>60</v>
      </c>
      <c r="E173" s="36">
        <v>30</v>
      </c>
      <c r="F173" s="5">
        <v>85</v>
      </c>
      <c r="G173" s="5">
        <f t="shared" si="4"/>
        <v>2550</v>
      </c>
      <c r="H173" s="37">
        <v>0</v>
      </c>
      <c r="I173" s="5">
        <f t="shared" si="5"/>
        <v>2550</v>
      </c>
      <c r="J173" s="4" t="s">
        <v>61</v>
      </c>
      <c r="K173" s="4" t="s">
        <v>62</v>
      </c>
      <c r="L173" s="4"/>
    </row>
    <row r="174" spans="1:12" x14ac:dyDescent="0.2">
      <c r="A174" s="130">
        <v>66923</v>
      </c>
      <c r="B174" s="4" t="s">
        <v>239</v>
      </c>
      <c r="C174" s="4" t="s">
        <v>87</v>
      </c>
      <c r="D174" s="4" t="s">
        <v>60</v>
      </c>
      <c r="E174" s="36">
        <v>15</v>
      </c>
      <c r="F174" s="5">
        <v>85</v>
      </c>
      <c r="G174" s="5">
        <f t="shared" si="4"/>
        <v>1275</v>
      </c>
      <c r="H174" s="37">
        <v>0</v>
      </c>
      <c r="I174" s="5">
        <f t="shared" si="5"/>
        <v>1275</v>
      </c>
      <c r="J174" s="4" t="s">
        <v>61</v>
      </c>
      <c r="K174" s="4" t="s">
        <v>62</v>
      </c>
      <c r="L174" s="4"/>
    </row>
    <row r="175" spans="1:12" x14ac:dyDescent="0.2">
      <c r="A175" s="130">
        <v>66923</v>
      </c>
      <c r="B175" s="4" t="s">
        <v>240</v>
      </c>
      <c r="C175" s="4" t="s">
        <v>192</v>
      </c>
      <c r="D175" s="4" t="s">
        <v>93</v>
      </c>
      <c r="E175" s="36">
        <v>1</v>
      </c>
      <c r="F175" s="5">
        <v>800</v>
      </c>
      <c r="G175" s="5">
        <f t="shared" si="4"/>
        <v>800</v>
      </c>
      <c r="H175" s="37">
        <v>0</v>
      </c>
      <c r="I175" s="5">
        <f t="shared" si="5"/>
        <v>800</v>
      </c>
      <c r="J175" s="4" t="s">
        <v>61</v>
      </c>
      <c r="K175" s="4" t="s">
        <v>62</v>
      </c>
      <c r="L175" s="4"/>
    </row>
    <row r="176" spans="1:12" x14ac:dyDescent="0.2">
      <c r="A176" s="130">
        <v>66923</v>
      </c>
      <c r="B176" s="4" t="s">
        <v>241</v>
      </c>
      <c r="C176" s="4" t="s">
        <v>68</v>
      </c>
      <c r="D176" s="4" t="s">
        <v>60</v>
      </c>
      <c r="E176" s="36">
        <v>40</v>
      </c>
      <c r="F176" s="5">
        <v>86</v>
      </c>
      <c r="G176" s="5">
        <f t="shared" si="4"/>
        <v>3440</v>
      </c>
      <c r="H176" s="37">
        <v>0</v>
      </c>
      <c r="I176" s="5">
        <f t="shared" si="5"/>
        <v>3440</v>
      </c>
      <c r="J176" s="4" t="s">
        <v>61</v>
      </c>
      <c r="K176" s="4" t="s">
        <v>62</v>
      </c>
      <c r="L176" s="4"/>
    </row>
    <row r="177" spans="1:12" x14ac:dyDescent="0.2">
      <c r="A177" s="130">
        <v>66923</v>
      </c>
      <c r="B177" s="4" t="s">
        <v>241</v>
      </c>
      <c r="C177" s="4" t="s">
        <v>68</v>
      </c>
      <c r="D177" s="4" t="s">
        <v>60</v>
      </c>
      <c r="E177" s="36">
        <v>50</v>
      </c>
      <c r="F177" s="5">
        <v>85</v>
      </c>
      <c r="G177" s="5">
        <f t="shared" si="4"/>
        <v>4250</v>
      </c>
      <c r="H177" s="37">
        <v>0</v>
      </c>
      <c r="I177" s="5">
        <f t="shared" si="5"/>
        <v>4250</v>
      </c>
      <c r="J177" s="4" t="s">
        <v>61</v>
      </c>
      <c r="K177" s="4" t="s">
        <v>62</v>
      </c>
      <c r="L177" s="4"/>
    </row>
    <row r="178" spans="1:12" x14ac:dyDescent="0.2">
      <c r="A178" s="130">
        <v>66923</v>
      </c>
      <c r="B178" s="4" t="s">
        <v>241</v>
      </c>
      <c r="C178" s="4" t="s">
        <v>68</v>
      </c>
      <c r="D178" s="4" t="s">
        <v>69</v>
      </c>
      <c r="E178" s="36">
        <v>1</v>
      </c>
      <c r="F178" s="5">
        <v>80</v>
      </c>
      <c r="G178" s="5">
        <f t="shared" si="4"/>
        <v>80</v>
      </c>
      <c r="H178" s="37">
        <v>0</v>
      </c>
      <c r="I178" s="5">
        <f t="shared" si="5"/>
        <v>80</v>
      </c>
      <c r="J178" s="4" t="s">
        <v>61</v>
      </c>
      <c r="K178" s="4" t="s">
        <v>62</v>
      </c>
      <c r="L178" s="4"/>
    </row>
    <row r="179" spans="1:12" x14ac:dyDescent="0.2">
      <c r="A179" s="130">
        <v>66923</v>
      </c>
      <c r="B179" s="4" t="s">
        <v>242</v>
      </c>
      <c r="C179" s="4" t="s">
        <v>71</v>
      </c>
      <c r="D179" s="4" t="s">
        <v>60</v>
      </c>
      <c r="E179" s="36">
        <v>15</v>
      </c>
      <c r="F179" s="5">
        <v>86</v>
      </c>
      <c r="G179" s="5">
        <f t="shared" si="4"/>
        <v>1290</v>
      </c>
      <c r="H179" s="37">
        <v>0</v>
      </c>
      <c r="I179" s="5">
        <f t="shared" si="5"/>
        <v>1290</v>
      </c>
      <c r="J179" s="4" t="s">
        <v>61</v>
      </c>
      <c r="K179" s="4" t="s">
        <v>62</v>
      </c>
      <c r="L179" s="4"/>
    </row>
    <row r="180" spans="1:12" x14ac:dyDescent="0.2">
      <c r="A180" s="130">
        <v>66923</v>
      </c>
      <c r="B180" s="4" t="s">
        <v>242</v>
      </c>
      <c r="C180" s="4" t="s">
        <v>71</v>
      </c>
      <c r="D180" s="4" t="s">
        <v>93</v>
      </c>
      <c r="E180" s="36">
        <v>2.5</v>
      </c>
      <c r="F180" s="5">
        <v>775</v>
      </c>
      <c r="G180" s="5">
        <f t="shared" si="4"/>
        <v>1937.5</v>
      </c>
      <c r="H180" s="37">
        <v>0</v>
      </c>
      <c r="I180" s="5">
        <f t="shared" si="5"/>
        <v>1937.5</v>
      </c>
      <c r="J180" s="4" t="s">
        <v>61</v>
      </c>
      <c r="K180" s="4" t="s">
        <v>62</v>
      </c>
      <c r="L180" s="4"/>
    </row>
    <row r="181" spans="1:12" x14ac:dyDescent="0.2">
      <c r="A181" s="130">
        <v>66923</v>
      </c>
      <c r="B181" s="4" t="s">
        <v>243</v>
      </c>
      <c r="C181" s="4" t="s">
        <v>89</v>
      </c>
      <c r="D181" s="4" t="s">
        <v>60</v>
      </c>
      <c r="E181" s="36">
        <v>25</v>
      </c>
      <c r="F181" s="5">
        <v>95</v>
      </c>
      <c r="G181" s="5">
        <f t="shared" si="4"/>
        <v>2375</v>
      </c>
      <c r="H181" s="37">
        <v>0</v>
      </c>
      <c r="I181" s="5">
        <f t="shared" si="5"/>
        <v>2375</v>
      </c>
      <c r="J181" s="4" t="s">
        <v>61</v>
      </c>
      <c r="K181" s="4" t="s">
        <v>62</v>
      </c>
      <c r="L181" s="4"/>
    </row>
    <row r="182" spans="1:12" x14ac:dyDescent="0.2">
      <c r="A182" s="130">
        <v>66923</v>
      </c>
      <c r="B182" s="4" t="s">
        <v>244</v>
      </c>
      <c r="C182" s="4" t="s">
        <v>91</v>
      </c>
      <c r="D182" s="4" t="s">
        <v>60</v>
      </c>
      <c r="E182" s="36">
        <v>25</v>
      </c>
      <c r="F182" s="5">
        <v>84</v>
      </c>
      <c r="G182" s="5">
        <f t="shared" si="4"/>
        <v>2100</v>
      </c>
      <c r="H182" s="37">
        <v>0</v>
      </c>
      <c r="I182" s="5">
        <f t="shared" si="5"/>
        <v>2100</v>
      </c>
      <c r="J182" s="4" t="s">
        <v>61</v>
      </c>
      <c r="K182" s="4" t="s">
        <v>62</v>
      </c>
      <c r="L182" s="4"/>
    </row>
    <row r="183" spans="1:12" x14ac:dyDescent="0.2">
      <c r="A183" s="130">
        <v>66923</v>
      </c>
      <c r="B183" s="4" t="s">
        <v>245</v>
      </c>
      <c r="C183" s="4" t="s">
        <v>95</v>
      </c>
      <c r="D183" s="4" t="s">
        <v>60</v>
      </c>
      <c r="E183" s="36">
        <v>8</v>
      </c>
      <c r="F183" s="5">
        <v>85</v>
      </c>
      <c r="G183" s="5">
        <f t="shared" si="4"/>
        <v>680</v>
      </c>
      <c r="H183" s="37">
        <v>0</v>
      </c>
      <c r="I183" s="5">
        <f t="shared" si="5"/>
        <v>680</v>
      </c>
      <c r="J183" s="4" t="s">
        <v>61</v>
      </c>
      <c r="K183" s="4" t="s">
        <v>62</v>
      </c>
      <c r="L183" s="4"/>
    </row>
    <row r="184" spans="1:12" x14ac:dyDescent="0.2">
      <c r="A184" s="130">
        <v>66923</v>
      </c>
      <c r="B184" s="4" t="s">
        <v>246</v>
      </c>
      <c r="C184" s="4" t="s">
        <v>85</v>
      </c>
      <c r="D184" s="4" t="s">
        <v>60</v>
      </c>
      <c r="E184" s="36">
        <v>5</v>
      </c>
      <c r="F184" s="5">
        <v>85</v>
      </c>
      <c r="G184" s="5">
        <f t="shared" si="4"/>
        <v>425</v>
      </c>
      <c r="H184" s="37">
        <v>0</v>
      </c>
      <c r="I184" s="5">
        <f t="shared" si="5"/>
        <v>425</v>
      </c>
      <c r="J184" s="4" t="s">
        <v>61</v>
      </c>
      <c r="K184" s="4" t="s">
        <v>62</v>
      </c>
      <c r="L184" s="4"/>
    </row>
    <row r="185" spans="1:12" x14ac:dyDescent="0.2">
      <c r="A185" s="130">
        <v>66923</v>
      </c>
      <c r="B185" s="4" t="s">
        <v>247</v>
      </c>
      <c r="C185" s="4" t="s">
        <v>211</v>
      </c>
      <c r="D185" s="4" t="s">
        <v>60</v>
      </c>
      <c r="E185" s="36">
        <v>2</v>
      </c>
      <c r="F185" s="5">
        <v>90</v>
      </c>
      <c r="G185" s="5">
        <f t="shared" si="4"/>
        <v>180</v>
      </c>
      <c r="H185" s="37">
        <v>0</v>
      </c>
      <c r="I185" s="5">
        <f t="shared" si="5"/>
        <v>180</v>
      </c>
      <c r="J185" s="4" t="s">
        <v>61</v>
      </c>
      <c r="K185" s="4" t="s">
        <v>62</v>
      </c>
      <c r="L185" s="4"/>
    </row>
    <row r="186" spans="1:12" x14ac:dyDescent="0.2">
      <c r="A186" s="130">
        <v>66923</v>
      </c>
      <c r="B186" s="4" t="s">
        <v>248</v>
      </c>
      <c r="C186" s="4" t="s">
        <v>97</v>
      </c>
      <c r="D186" s="4" t="s">
        <v>60</v>
      </c>
      <c r="E186" s="36">
        <v>4</v>
      </c>
      <c r="F186" s="5">
        <v>92.5</v>
      </c>
      <c r="G186" s="5">
        <f t="shared" si="4"/>
        <v>370</v>
      </c>
      <c r="H186" s="37">
        <v>0</v>
      </c>
      <c r="I186" s="5">
        <f t="shared" si="5"/>
        <v>370</v>
      </c>
      <c r="J186" s="4" t="s">
        <v>61</v>
      </c>
      <c r="K186" s="4" t="s">
        <v>62</v>
      </c>
      <c r="L186" s="4"/>
    </row>
    <row r="187" spans="1:12" x14ac:dyDescent="0.2">
      <c r="A187" s="130">
        <v>66924</v>
      </c>
      <c r="B187" s="4" t="s">
        <v>249</v>
      </c>
      <c r="C187" s="4" t="s">
        <v>59</v>
      </c>
      <c r="D187" s="4" t="s">
        <v>60</v>
      </c>
      <c r="E187" s="36">
        <v>60</v>
      </c>
      <c r="F187" s="5">
        <v>85</v>
      </c>
      <c r="G187" s="5">
        <f t="shared" si="4"/>
        <v>5100</v>
      </c>
      <c r="H187" s="37">
        <v>0</v>
      </c>
      <c r="I187" s="5">
        <f t="shared" si="5"/>
        <v>5100</v>
      </c>
      <c r="J187" s="4" t="s">
        <v>61</v>
      </c>
      <c r="K187" s="4" t="s">
        <v>62</v>
      </c>
      <c r="L187" s="4"/>
    </row>
    <row r="188" spans="1:12" x14ac:dyDescent="0.2">
      <c r="A188" s="130">
        <v>66924</v>
      </c>
      <c r="B188" s="4" t="s">
        <v>249</v>
      </c>
      <c r="C188" s="4" t="s">
        <v>59</v>
      </c>
      <c r="D188" s="4" t="s">
        <v>69</v>
      </c>
      <c r="E188" s="36">
        <v>1</v>
      </c>
      <c r="F188" s="5">
        <v>80</v>
      </c>
      <c r="G188" s="5">
        <f t="shared" si="4"/>
        <v>80</v>
      </c>
      <c r="H188" s="37">
        <v>0</v>
      </c>
      <c r="I188" s="5">
        <f t="shared" si="5"/>
        <v>80</v>
      </c>
      <c r="J188" s="4" t="s">
        <v>61</v>
      </c>
      <c r="K188" s="4" t="s">
        <v>62</v>
      </c>
      <c r="L188" s="4"/>
    </row>
    <row r="189" spans="1:12" x14ac:dyDescent="0.2">
      <c r="A189" s="130">
        <v>66924</v>
      </c>
      <c r="B189" s="4" t="s">
        <v>250</v>
      </c>
      <c r="C189" s="4" t="s">
        <v>64</v>
      </c>
      <c r="D189" s="4" t="s">
        <v>60</v>
      </c>
      <c r="E189" s="36">
        <v>15</v>
      </c>
      <c r="F189" s="5">
        <v>85</v>
      </c>
      <c r="G189" s="5">
        <f t="shared" si="4"/>
        <v>1275</v>
      </c>
      <c r="H189" s="37">
        <v>0</v>
      </c>
      <c r="I189" s="5">
        <f t="shared" si="5"/>
        <v>1275</v>
      </c>
      <c r="J189" s="4" t="s">
        <v>61</v>
      </c>
      <c r="K189" s="4" t="s">
        <v>62</v>
      </c>
      <c r="L189" s="4"/>
    </row>
    <row r="190" spans="1:12" x14ac:dyDescent="0.2">
      <c r="A190" s="130">
        <v>66924</v>
      </c>
      <c r="B190" s="4" t="s">
        <v>251</v>
      </c>
      <c r="C190" s="4" t="s">
        <v>252</v>
      </c>
      <c r="D190" s="4" t="s">
        <v>60</v>
      </c>
      <c r="E190" s="36">
        <v>40</v>
      </c>
      <c r="F190" s="5">
        <v>85</v>
      </c>
      <c r="G190" s="5">
        <f t="shared" si="4"/>
        <v>3400</v>
      </c>
      <c r="H190" s="37">
        <v>0</v>
      </c>
      <c r="I190" s="5">
        <f t="shared" si="5"/>
        <v>3400</v>
      </c>
      <c r="J190" s="4" t="s">
        <v>61</v>
      </c>
      <c r="K190" s="4" t="s">
        <v>62</v>
      </c>
      <c r="L190" s="4"/>
    </row>
    <row r="191" spans="1:12" x14ac:dyDescent="0.2">
      <c r="A191" s="130">
        <v>66924</v>
      </c>
      <c r="B191" s="4" t="s">
        <v>253</v>
      </c>
      <c r="C191" s="4" t="s">
        <v>79</v>
      </c>
      <c r="D191" s="4" t="s">
        <v>60</v>
      </c>
      <c r="E191" s="36">
        <v>8</v>
      </c>
      <c r="F191" s="5">
        <v>85</v>
      </c>
      <c r="G191" s="5">
        <f t="shared" si="4"/>
        <v>680</v>
      </c>
      <c r="H191" s="37">
        <v>0</v>
      </c>
      <c r="I191" s="5">
        <f t="shared" si="5"/>
        <v>680</v>
      </c>
      <c r="J191" s="4" t="s">
        <v>61</v>
      </c>
      <c r="K191" s="4" t="s">
        <v>62</v>
      </c>
      <c r="L191" s="4"/>
    </row>
    <row r="192" spans="1:12" x14ac:dyDescent="0.2">
      <c r="A192" s="130">
        <v>66924</v>
      </c>
      <c r="B192" s="4" t="s">
        <v>254</v>
      </c>
      <c r="C192" s="4" t="s">
        <v>81</v>
      </c>
      <c r="D192" s="4" t="s">
        <v>60</v>
      </c>
      <c r="E192" s="36">
        <v>4</v>
      </c>
      <c r="F192" s="5">
        <v>86</v>
      </c>
      <c r="G192" s="5">
        <f t="shared" si="4"/>
        <v>344</v>
      </c>
      <c r="H192" s="37">
        <v>0</v>
      </c>
      <c r="I192" s="5">
        <f t="shared" si="5"/>
        <v>344</v>
      </c>
      <c r="J192" s="4" t="s">
        <v>61</v>
      </c>
      <c r="K192" s="4" t="s">
        <v>62</v>
      </c>
      <c r="L192" s="4"/>
    </row>
    <row r="193" spans="1:12" x14ac:dyDescent="0.2">
      <c r="A193" s="130">
        <v>66924</v>
      </c>
      <c r="B193" s="4" t="s">
        <v>255</v>
      </c>
      <c r="C193" s="4" t="s">
        <v>83</v>
      </c>
      <c r="D193" s="4" t="s">
        <v>60</v>
      </c>
      <c r="E193" s="36">
        <v>30</v>
      </c>
      <c r="F193" s="5">
        <v>86</v>
      </c>
      <c r="G193" s="5">
        <f t="shared" si="4"/>
        <v>2580</v>
      </c>
      <c r="H193" s="37">
        <v>0</v>
      </c>
      <c r="I193" s="5">
        <f t="shared" si="5"/>
        <v>2580</v>
      </c>
      <c r="J193" s="4" t="s">
        <v>61</v>
      </c>
      <c r="K193" s="4" t="s">
        <v>62</v>
      </c>
      <c r="L193" s="4"/>
    </row>
    <row r="194" spans="1:12" x14ac:dyDescent="0.2">
      <c r="A194" s="130">
        <v>66924</v>
      </c>
      <c r="B194" s="4" t="s">
        <v>256</v>
      </c>
      <c r="C194" s="4" t="s">
        <v>73</v>
      </c>
      <c r="D194" s="4" t="s">
        <v>60</v>
      </c>
      <c r="E194" s="36">
        <v>10</v>
      </c>
      <c r="F194" s="5">
        <v>85</v>
      </c>
      <c r="G194" s="5">
        <f t="shared" si="4"/>
        <v>850</v>
      </c>
      <c r="H194" s="37">
        <v>0</v>
      </c>
      <c r="I194" s="5">
        <f t="shared" si="5"/>
        <v>850</v>
      </c>
      <c r="J194" s="4" t="s">
        <v>61</v>
      </c>
      <c r="K194" s="4" t="s">
        <v>62</v>
      </c>
      <c r="L194" s="4"/>
    </row>
    <row r="195" spans="1:12" x14ac:dyDescent="0.2">
      <c r="A195" s="130">
        <v>66924</v>
      </c>
      <c r="B195" s="4" t="s">
        <v>257</v>
      </c>
      <c r="C195" s="4" t="s">
        <v>85</v>
      </c>
      <c r="D195" s="4" t="s">
        <v>60</v>
      </c>
      <c r="E195" s="36">
        <v>5</v>
      </c>
      <c r="F195" s="5">
        <v>85</v>
      </c>
      <c r="G195" s="5">
        <f t="shared" ref="G195:G258" si="6">IF($E195="","",$E195*$F195)</f>
        <v>425</v>
      </c>
      <c r="H195" s="37">
        <v>0</v>
      </c>
      <c r="I195" s="5">
        <f t="shared" ref="I195:I258" si="7">IF($E195="","",$G195*(1-$H195/100))</f>
        <v>425</v>
      </c>
      <c r="J195" s="4" t="s">
        <v>61</v>
      </c>
      <c r="K195" s="4" t="s">
        <v>62</v>
      </c>
      <c r="L195" s="4"/>
    </row>
    <row r="196" spans="1:12" x14ac:dyDescent="0.2">
      <c r="A196" s="130">
        <v>66924</v>
      </c>
      <c r="B196" s="4" t="s">
        <v>258</v>
      </c>
      <c r="C196" s="4" t="s">
        <v>68</v>
      </c>
      <c r="D196" s="4" t="s">
        <v>60</v>
      </c>
      <c r="E196" s="36">
        <v>40</v>
      </c>
      <c r="F196" s="5">
        <v>86</v>
      </c>
      <c r="G196" s="5">
        <f t="shared" si="6"/>
        <v>3440</v>
      </c>
      <c r="H196" s="37">
        <v>0</v>
      </c>
      <c r="I196" s="5">
        <f t="shared" si="7"/>
        <v>3440</v>
      </c>
      <c r="J196" s="4" t="s">
        <v>61</v>
      </c>
      <c r="K196" s="4" t="s">
        <v>62</v>
      </c>
      <c r="L196" s="4"/>
    </row>
    <row r="197" spans="1:12" x14ac:dyDescent="0.2">
      <c r="A197" s="130">
        <v>66924</v>
      </c>
      <c r="B197" s="4" t="s">
        <v>258</v>
      </c>
      <c r="C197" s="4" t="s">
        <v>68</v>
      </c>
      <c r="D197" s="4" t="s">
        <v>60</v>
      </c>
      <c r="E197" s="36">
        <v>50</v>
      </c>
      <c r="F197" s="5">
        <v>85</v>
      </c>
      <c r="G197" s="5">
        <f t="shared" si="6"/>
        <v>4250</v>
      </c>
      <c r="H197" s="37">
        <v>0</v>
      </c>
      <c r="I197" s="5">
        <f t="shared" si="7"/>
        <v>4250</v>
      </c>
      <c r="J197" s="4" t="s">
        <v>61</v>
      </c>
      <c r="K197" s="4" t="s">
        <v>62</v>
      </c>
      <c r="L197" s="4"/>
    </row>
    <row r="198" spans="1:12" x14ac:dyDescent="0.2">
      <c r="A198" s="130">
        <v>66924</v>
      </c>
      <c r="B198" s="4" t="s">
        <v>258</v>
      </c>
      <c r="C198" s="4" t="s">
        <v>68</v>
      </c>
      <c r="D198" s="4" t="s">
        <v>69</v>
      </c>
      <c r="E198" s="36">
        <v>1</v>
      </c>
      <c r="F198" s="5">
        <v>80</v>
      </c>
      <c r="G198" s="5">
        <f t="shared" si="6"/>
        <v>80</v>
      </c>
      <c r="H198" s="37">
        <v>0</v>
      </c>
      <c r="I198" s="5">
        <f t="shared" si="7"/>
        <v>80</v>
      </c>
      <c r="J198" s="4" t="s">
        <v>61</v>
      </c>
      <c r="K198" s="4" t="s">
        <v>62</v>
      </c>
      <c r="L198" s="4"/>
    </row>
    <row r="199" spans="1:12" x14ac:dyDescent="0.2">
      <c r="A199" s="130">
        <v>66924</v>
      </c>
      <c r="B199" s="4" t="s">
        <v>258</v>
      </c>
      <c r="C199" s="4" t="s">
        <v>68</v>
      </c>
      <c r="D199" s="4" t="s">
        <v>92</v>
      </c>
      <c r="E199" s="36">
        <v>2</v>
      </c>
      <c r="F199" s="5">
        <v>1100</v>
      </c>
      <c r="G199" s="5">
        <f t="shared" si="6"/>
        <v>2200</v>
      </c>
      <c r="H199" s="37">
        <v>0</v>
      </c>
      <c r="I199" s="5">
        <f t="shared" si="7"/>
        <v>2200</v>
      </c>
      <c r="J199" s="4" t="s">
        <v>61</v>
      </c>
      <c r="K199" s="4" t="s">
        <v>62</v>
      </c>
      <c r="L199" s="4"/>
    </row>
    <row r="200" spans="1:12" x14ac:dyDescent="0.2">
      <c r="A200" s="130">
        <v>66924</v>
      </c>
      <c r="B200" s="4" t="s">
        <v>259</v>
      </c>
      <c r="C200" s="4" t="s">
        <v>77</v>
      </c>
      <c r="D200" s="4" t="s">
        <v>60</v>
      </c>
      <c r="E200" s="36">
        <v>12</v>
      </c>
      <c r="F200" s="5">
        <v>85</v>
      </c>
      <c r="G200" s="5">
        <f t="shared" si="6"/>
        <v>1020</v>
      </c>
      <c r="H200" s="37">
        <v>0</v>
      </c>
      <c r="I200" s="5">
        <f t="shared" si="7"/>
        <v>1020</v>
      </c>
      <c r="J200" s="4" t="s">
        <v>61</v>
      </c>
      <c r="K200" s="4" t="s">
        <v>62</v>
      </c>
      <c r="L200" s="4"/>
    </row>
    <row r="201" spans="1:12" x14ac:dyDescent="0.2">
      <c r="A201" s="130">
        <v>66924</v>
      </c>
      <c r="B201" s="4" t="s">
        <v>260</v>
      </c>
      <c r="C201" s="4" t="s">
        <v>75</v>
      </c>
      <c r="D201" s="4" t="s">
        <v>60</v>
      </c>
      <c r="E201" s="36">
        <v>5</v>
      </c>
      <c r="F201" s="5">
        <v>85</v>
      </c>
      <c r="G201" s="5">
        <f t="shared" si="6"/>
        <v>425</v>
      </c>
      <c r="H201" s="37">
        <v>0</v>
      </c>
      <c r="I201" s="5">
        <f t="shared" si="7"/>
        <v>425</v>
      </c>
      <c r="J201" s="4" t="s">
        <v>61</v>
      </c>
      <c r="K201" s="4" t="s">
        <v>62</v>
      </c>
      <c r="L201" s="4"/>
    </row>
    <row r="202" spans="1:12" x14ac:dyDescent="0.2">
      <c r="A202" s="130">
        <v>66924</v>
      </c>
      <c r="B202" s="4" t="s">
        <v>261</v>
      </c>
      <c r="C202" s="4" t="s">
        <v>66</v>
      </c>
      <c r="D202" s="4" t="s">
        <v>60</v>
      </c>
      <c r="E202" s="36">
        <v>20</v>
      </c>
      <c r="F202" s="5">
        <v>85</v>
      </c>
      <c r="G202" s="5">
        <f t="shared" si="6"/>
        <v>1700</v>
      </c>
      <c r="H202" s="37">
        <v>0</v>
      </c>
      <c r="I202" s="5">
        <f t="shared" si="7"/>
        <v>1700</v>
      </c>
      <c r="J202" s="4" t="s">
        <v>61</v>
      </c>
      <c r="K202" s="4" t="s">
        <v>62</v>
      </c>
      <c r="L202" s="4"/>
    </row>
    <row r="203" spans="1:12" x14ac:dyDescent="0.2">
      <c r="A203" s="130">
        <v>66924</v>
      </c>
      <c r="B203" s="4" t="s">
        <v>262</v>
      </c>
      <c r="C203" s="4" t="s">
        <v>87</v>
      </c>
      <c r="D203" s="4" t="s">
        <v>60</v>
      </c>
      <c r="E203" s="36">
        <v>15</v>
      </c>
      <c r="F203" s="5">
        <v>85</v>
      </c>
      <c r="G203" s="5">
        <f t="shared" si="6"/>
        <v>1275</v>
      </c>
      <c r="H203" s="37">
        <v>0</v>
      </c>
      <c r="I203" s="5">
        <f t="shared" si="7"/>
        <v>1275</v>
      </c>
      <c r="J203" s="4" t="s">
        <v>61</v>
      </c>
      <c r="K203" s="4" t="s">
        <v>62</v>
      </c>
      <c r="L203" s="4"/>
    </row>
    <row r="204" spans="1:12" x14ac:dyDescent="0.2">
      <c r="A204" s="130">
        <v>66924</v>
      </c>
      <c r="B204" s="4" t="s">
        <v>263</v>
      </c>
      <c r="C204" s="4" t="s">
        <v>264</v>
      </c>
      <c r="D204" s="4" t="s">
        <v>265</v>
      </c>
      <c r="E204" s="36">
        <v>2</v>
      </c>
      <c r="F204" s="5">
        <v>1100</v>
      </c>
      <c r="G204" s="5">
        <f t="shared" si="6"/>
        <v>2200</v>
      </c>
      <c r="H204" s="37">
        <v>0</v>
      </c>
      <c r="I204" s="5">
        <f t="shared" si="7"/>
        <v>2200</v>
      </c>
      <c r="J204" s="4" t="s">
        <v>61</v>
      </c>
      <c r="K204" s="4" t="s">
        <v>62</v>
      </c>
      <c r="L204" s="4"/>
    </row>
    <row r="205" spans="1:12" x14ac:dyDescent="0.2">
      <c r="A205" s="130">
        <v>66924</v>
      </c>
      <c r="B205" s="4" t="s">
        <v>266</v>
      </c>
      <c r="C205" s="4" t="s">
        <v>71</v>
      </c>
      <c r="D205" s="4" t="s">
        <v>60</v>
      </c>
      <c r="E205" s="36">
        <v>15</v>
      </c>
      <c r="F205" s="5">
        <v>86</v>
      </c>
      <c r="G205" s="5">
        <f t="shared" si="6"/>
        <v>1290</v>
      </c>
      <c r="H205" s="37">
        <v>0</v>
      </c>
      <c r="I205" s="5">
        <f t="shared" si="7"/>
        <v>1290</v>
      </c>
      <c r="J205" s="4" t="s">
        <v>61</v>
      </c>
      <c r="K205" s="4" t="s">
        <v>62</v>
      </c>
      <c r="L205" s="4"/>
    </row>
    <row r="206" spans="1:12" x14ac:dyDescent="0.2">
      <c r="A206" s="130">
        <v>66924</v>
      </c>
      <c r="B206" s="4" t="s">
        <v>267</v>
      </c>
      <c r="C206" s="4" t="s">
        <v>116</v>
      </c>
      <c r="D206" s="4" t="s">
        <v>60</v>
      </c>
      <c r="E206" s="36">
        <v>35</v>
      </c>
      <c r="F206" s="5">
        <v>85</v>
      </c>
      <c r="G206" s="5">
        <f t="shared" si="6"/>
        <v>2975</v>
      </c>
      <c r="H206" s="37">
        <v>0</v>
      </c>
      <c r="I206" s="5">
        <f t="shared" si="7"/>
        <v>2975</v>
      </c>
      <c r="J206" s="4" t="s">
        <v>61</v>
      </c>
      <c r="K206" s="4" t="s">
        <v>62</v>
      </c>
      <c r="L206" s="4"/>
    </row>
    <row r="207" spans="1:12" x14ac:dyDescent="0.2">
      <c r="A207" s="130">
        <v>66924</v>
      </c>
      <c r="B207" s="4" t="s">
        <v>268</v>
      </c>
      <c r="C207" s="4" t="s">
        <v>118</v>
      </c>
      <c r="D207" s="4" t="s">
        <v>60</v>
      </c>
      <c r="E207" s="36">
        <v>30</v>
      </c>
      <c r="F207" s="5">
        <v>85</v>
      </c>
      <c r="G207" s="5">
        <f t="shared" si="6"/>
        <v>2550</v>
      </c>
      <c r="H207" s="37">
        <v>0</v>
      </c>
      <c r="I207" s="5">
        <f t="shared" si="7"/>
        <v>2550</v>
      </c>
      <c r="J207" s="4" t="s">
        <v>61</v>
      </c>
      <c r="K207" s="4" t="s">
        <v>62</v>
      </c>
      <c r="L207" s="4"/>
    </row>
    <row r="208" spans="1:12" x14ac:dyDescent="0.2">
      <c r="A208" s="130">
        <v>66924</v>
      </c>
      <c r="B208" s="4" t="s">
        <v>269</v>
      </c>
      <c r="C208" s="4" t="s">
        <v>270</v>
      </c>
      <c r="D208" s="4" t="s">
        <v>60</v>
      </c>
      <c r="E208" s="36">
        <v>50</v>
      </c>
      <c r="F208" s="5">
        <v>90</v>
      </c>
      <c r="G208" s="5">
        <f t="shared" si="6"/>
        <v>4500</v>
      </c>
      <c r="H208" s="37">
        <v>0</v>
      </c>
      <c r="I208" s="5">
        <f t="shared" si="7"/>
        <v>4500</v>
      </c>
      <c r="J208" s="4" t="s">
        <v>61</v>
      </c>
      <c r="K208" s="4" t="s">
        <v>62</v>
      </c>
      <c r="L208" s="4"/>
    </row>
    <row r="209" spans="1:12" x14ac:dyDescent="0.2">
      <c r="A209" s="130">
        <v>66924</v>
      </c>
      <c r="B209" s="4" t="s">
        <v>269</v>
      </c>
      <c r="C209" s="4" t="s">
        <v>270</v>
      </c>
      <c r="D209" s="4" t="s">
        <v>92</v>
      </c>
      <c r="E209" s="36">
        <v>2</v>
      </c>
      <c r="F209" s="5">
        <v>1150</v>
      </c>
      <c r="G209" s="5">
        <f t="shared" si="6"/>
        <v>2300</v>
      </c>
      <c r="H209" s="37">
        <v>0</v>
      </c>
      <c r="I209" s="5">
        <f t="shared" si="7"/>
        <v>2300</v>
      </c>
      <c r="J209" s="4" t="s">
        <v>61</v>
      </c>
      <c r="K209" s="4" t="s">
        <v>62</v>
      </c>
      <c r="L209" s="4"/>
    </row>
    <row r="210" spans="1:12" x14ac:dyDescent="0.2">
      <c r="A210" s="130">
        <v>66924</v>
      </c>
      <c r="B210" s="4" t="s">
        <v>269</v>
      </c>
      <c r="C210" s="4" t="s">
        <v>270</v>
      </c>
      <c r="D210" s="4" t="s">
        <v>161</v>
      </c>
      <c r="E210" s="36">
        <v>8</v>
      </c>
      <c r="F210" s="5">
        <v>800</v>
      </c>
      <c r="G210" s="5">
        <f t="shared" si="6"/>
        <v>6400</v>
      </c>
      <c r="H210" s="37">
        <v>0</v>
      </c>
      <c r="I210" s="5">
        <f t="shared" si="7"/>
        <v>6400</v>
      </c>
      <c r="J210" s="4" t="s">
        <v>61</v>
      </c>
      <c r="K210" s="4" t="s">
        <v>62</v>
      </c>
      <c r="L210" s="4"/>
    </row>
    <row r="211" spans="1:12" x14ac:dyDescent="0.2">
      <c r="A211" s="130">
        <v>66924</v>
      </c>
      <c r="B211" s="4" t="s">
        <v>271</v>
      </c>
      <c r="C211" s="4" t="s">
        <v>89</v>
      </c>
      <c r="D211" s="4" t="s">
        <v>60</v>
      </c>
      <c r="E211" s="36">
        <v>30</v>
      </c>
      <c r="F211" s="5">
        <v>95</v>
      </c>
      <c r="G211" s="5">
        <f t="shared" si="6"/>
        <v>2850</v>
      </c>
      <c r="H211" s="37">
        <v>0</v>
      </c>
      <c r="I211" s="5">
        <f t="shared" si="7"/>
        <v>2850</v>
      </c>
      <c r="J211" s="4" t="s">
        <v>61</v>
      </c>
      <c r="K211" s="4" t="s">
        <v>62</v>
      </c>
      <c r="L211" s="4"/>
    </row>
    <row r="212" spans="1:12" x14ac:dyDescent="0.2">
      <c r="A212" s="130">
        <v>66924</v>
      </c>
      <c r="B212" s="4" t="s">
        <v>272</v>
      </c>
      <c r="C212" s="4" t="s">
        <v>91</v>
      </c>
      <c r="D212" s="4" t="s">
        <v>60</v>
      </c>
      <c r="E212" s="36">
        <v>25</v>
      </c>
      <c r="F212" s="5">
        <v>84</v>
      </c>
      <c r="G212" s="5">
        <f t="shared" si="6"/>
        <v>2100</v>
      </c>
      <c r="H212" s="37">
        <v>0</v>
      </c>
      <c r="I212" s="5">
        <f t="shared" si="7"/>
        <v>2100</v>
      </c>
      <c r="J212" s="4" t="s">
        <v>61</v>
      </c>
      <c r="K212" s="4" t="s">
        <v>62</v>
      </c>
      <c r="L212" s="4"/>
    </row>
    <row r="213" spans="1:12" x14ac:dyDescent="0.2">
      <c r="A213" s="130">
        <v>66924</v>
      </c>
      <c r="B213" s="4" t="s">
        <v>273</v>
      </c>
      <c r="C213" s="4" t="s">
        <v>95</v>
      </c>
      <c r="D213" s="4" t="s">
        <v>60</v>
      </c>
      <c r="E213" s="36">
        <v>8</v>
      </c>
      <c r="F213" s="5">
        <v>85</v>
      </c>
      <c r="G213" s="5">
        <f t="shared" si="6"/>
        <v>680</v>
      </c>
      <c r="H213" s="37">
        <v>0</v>
      </c>
      <c r="I213" s="5">
        <f t="shared" si="7"/>
        <v>680</v>
      </c>
      <c r="J213" s="4" t="s">
        <v>61</v>
      </c>
      <c r="K213" s="4" t="s">
        <v>62</v>
      </c>
      <c r="L213" s="4"/>
    </row>
    <row r="214" spans="1:12" x14ac:dyDescent="0.2">
      <c r="A214" s="130">
        <v>66924</v>
      </c>
      <c r="B214" s="4" t="s">
        <v>274</v>
      </c>
      <c r="C214" s="4" t="s">
        <v>99</v>
      </c>
      <c r="D214" s="4" t="s">
        <v>60</v>
      </c>
      <c r="E214" s="36">
        <v>10</v>
      </c>
      <c r="F214" s="5">
        <v>86</v>
      </c>
      <c r="G214" s="5">
        <f t="shared" si="6"/>
        <v>860</v>
      </c>
      <c r="H214" s="37">
        <v>0</v>
      </c>
      <c r="I214" s="5">
        <f t="shared" si="7"/>
        <v>860</v>
      </c>
      <c r="J214" s="4" t="s">
        <v>61</v>
      </c>
      <c r="K214" s="4" t="s">
        <v>62</v>
      </c>
      <c r="L214" s="4"/>
    </row>
    <row r="215" spans="1:12" x14ac:dyDescent="0.2">
      <c r="A215" s="130">
        <v>66924</v>
      </c>
      <c r="B215" s="4" t="s">
        <v>275</v>
      </c>
      <c r="C215" s="4" t="s">
        <v>97</v>
      </c>
      <c r="D215" s="4" t="s">
        <v>60</v>
      </c>
      <c r="E215" s="36">
        <v>5.5</v>
      </c>
      <c r="F215" s="5">
        <v>92.73</v>
      </c>
      <c r="G215" s="5">
        <f t="shared" si="6"/>
        <v>510.01500000000004</v>
      </c>
      <c r="H215" s="37">
        <v>0</v>
      </c>
      <c r="I215" s="5">
        <f t="shared" si="7"/>
        <v>510.01500000000004</v>
      </c>
      <c r="J215" s="4" t="s">
        <v>61</v>
      </c>
      <c r="K215" s="4" t="s">
        <v>62</v>
      </c>
      <c r="L215" s="4"/>
    </row>
    <row r="216" spans="1:12" x14ac:dyDescent="0.2">
      <c r="A216" s="130">
        <v>66924</v>
      </c>
      <c r="B216" s="4" t="s">
        <v>276</v>
      </c>
      <c r="C216" s="4" t="s">
        <v>211</v>
      </c>
      <c r="D216" s="4" t="s">
        <v>60</v>
      </c>
      <c r="E216" s="36">
        <v>2</v>
      </c>
      <c r="F216" s="5">
        <v>90</v>
      </c>
      <c r="G216" s="5">
        <f t="shared" si="6"/>
        <v>180</v>
      </c>
      <c r="H216" s="37">
        <v>0</v>
      </c>
      <c r="I216" s="5">
        <f t="shared" si="7"/>
        <v>180</v>
      </c>
      <c r="J216" s="4" t="s">
        <v>61</v>
      </c>
      <c r="K216" s="4" t="s">
        <v>62</v>
      </c>
      <c r="L216" s="4"/>
    </row>
    <row r="217" spans="1:12" x14ac:dyDescent="0.2">
      <c r="A217" s="130">
        <v>66925</v>
      </c>
      <c r="B217" s="4" t="s">
        <v>277</v>
      </c>
      <c r="C217" s="4" t="s">
        <v>59</v>
      </c>
      <c r="D217" s="4" t="s">
        <v>60</v>
      </c>
      <c r="E217" s="36">
        <v>60</v>
      </c>
      <c r="F217" s="5">
        <v>85</v>
      </c>
      <c r="G217" s="5">
        <f t="shared" si="6"/>
        <v>5100</v>
      </c>
      <c r="H217" s="37">
        <v>0</v>
      </c>
      <c r="I217" s="5">
        <f t="shared" si="7"/>
        <v>5100</v>
      </c>
      <c r="J217" s="4" t="s">
        <v>61</v>
      </c>
      <c r="K217" s="4" t="s">
        <v>62</v>
      </c>
      <c r="L217" s="4"/>
    </row>
    <row r="218" spans="1:12" x14ac:dyDescent="0.2">
      <c r="A218" s="130">
        <v>66925</v>
      </c>
      <c r="B218" s="4" t="s">
        <v>277</v>
      </c>
      <c r="C218" s="4" t="s">
        <v>59</v>
      </c>
      <c r="D218" s="4" t="s">
        <v>69</v>
      </c>
      <c r="E218" s="36">
        <v>1</v>
      </c>
      <c r="F218" s="5">
        <v>80</v>
      </c>
      <c r="G218" s="5">
        <f t="shared" si="6"/>
        <v>80</v>
      </c>
      <c r="H218" s="37">
        <v>0</v>
      </c>
      <c r="I218" s="5">
        <f t="shared" si="7"/>
        <v>80</v>
      </c>
      <c r="J218" s="4" t="s">
        <v>61</v>
      </c>
      <c r="K218" s="4" t="s">
        <v>62</v>
      </c>
      <c r="L218" s="4"/>
    </row>
    <row r="219" spans="1:12" x14ac:dyDescent="0.2">
      <c r="A219" s="130">
        <v>66925</v>
      </c>
      <c r="B219" s="4" t="s">
        <v>278</v>
      </c>
      <c r="C219" s="4" t="s">
        <v>64</v>
      </c>
      <c r="D219" s="4" t="s">
        <v>60</v>
      </c>
      <c r="E219" s="36">
        <v>30</v>
      </c>
      <c r="F219" s="5">
        <v>85</v>
      </c>
      <c r="G219" s="5">
        <f t="shared" si="6"/>
        <v>2550</v>
      </c>
      <c r="H219" s="37">
        <v>0</v>
      </c>
      <c r="I219" s="5">
        <f t="shared" si="7"/>
        <v>2550</v>
      </c>
      <c r="J219" s="4" t="s">
        <v>61</v>
      </c>
      <c r="K219" s="4" t="s">
        <v>62</v>
      </c>
      <c r="L219" s="4"/>
    </row>
    <row r="220" spans="1:12" x14ac:dyDescent="0.2">
      <c r="A220" s="130">
        <v>66925</v>
      </c>
      <c r="B220" s="4" t="s">
        <v>279</v>
      </c>
      <c r="C220" s="4" t="s">
        <v>73</v>
      </c>
      <c r="D220" s="4" t="s">
        <v>60</v>
      </c>
      <c r="E220" s="36">
        <v>10</v>
      </c>
      <c r="F220" s="5">
        <v>85</v>
      </c>
      <c r="G220" s="5">
        <f t="shared" si="6"/>
        <v>850</v>
      </c>
      <c r="H220" s="37">
        <v>0</v>
      </c>
      <c r="I220" s="5">
        <f t="shared" si="7"/>
        <v>850</v>
      </c>
      <c r="J220" s="4" t="s">
        <v>61</v>
      </c>
      <c r="K220" s="4" t="s">
        <v>62</v>
      </c>
      <c r="L220" s="4"/>
    </row>
    <row r="221" spans="1:12" x14ac:dyDescent="0.2">
      <c r="A221" s="130">
        <v>66925</v>
      </c>
      <c r="B221" s="4" t="s">
        <v>280</v>
      </c>
      <c r="C221" s="4" t="s">
        <v>79</v>
      </c>
      <c r="D221" s="4" t="s">
        <v>60</v>
      </c>
      <c r="E221" s="36">
        <v>8</v>
      </c>
      <c r="F221" s="5">
        <v>85</v>
      </c>
      <c r="G221" s="5">
        <f t="shared" si="6"/>
        <v>680</v>
      </c>
      <c r="H221" s="37">
        <v>0</v>
      </c>
      <c r="I221" s="5">
        <f t="shared" si="7"/>
        <v>680</v>
      </c>
      <c r="J221" s="4" t="s">
        <v>61</v>
      </c>
      <c r="K221" s="4" t="s">
        <v>62</v>
      </c>
      <c r="L221" s="4"/>
    </row>
    <row r="222" spans="1:12" x14ac:dyDescent="0.2">
      <c r="A222" s="130">
        <v>66925</v>
      </c>
      <c r="B222" s="4" t="s">
        <v>281</v>
      </c>
      <c r="C222" s="4" t="s">
        <v>81</v>
      </c>
      <c r="D222" s="4" t="s">
        <v>60</v>
      </c>
      <c r="E222" s="36">
        <v>4</v>
      </c>
      <c r="F222" s="5">
        <v>86</v>
      </c>
      <c r="G222" s="5">
        <f t="shared" si="6"/>
        <v>344</v>
      </c>
      <c r="H222" s="37">
        <v>0</v>
      </c>
      <c r="I222" s="5">
        <f t="shared" si="7"/>
        <v>344</v>
      </c>
      <c r="J222" s="4" t="s">
        <v>61</v>
      </c>
      <c r="K222" s="4" t="s">
        <v>62</v>
      </c>
      <c r="L222" s="4"/>
    </row>
    <row r="223" spans="1:12" x14ac:dyDescent="0.2">
      <c r="A223" s="130">
        <v>66925</v>
      </c>
      <c r="B223" s="4" t="s">
        <v>281</v>
      </c>
      <c r="C223" s="4" t="s">
        <v>81</v>
      </c>
      <c r="D223" s="4" t="s">
        <v>93</v>
      </c>
      <c r="E223" s="36">
        <v>3</v>
      </c>
      <c r="F223" s="5">
        <v>800</v>
      </c>
      <c r="G223" s="5">
        <f t="shared" si="6"/>
        <v>2400</v>
      </c>
      <c r="H223" s="37">
        <v>0</v>
      </c>
      <c r="I223" s="5">
        <f t="shared" si="7"/>
        <v>2400</v>
      </c>
      <c r="J223" s="4" t="s">
        <v>61</v>
      </c>
      <c r="K223" s="4" t="s">
        <v>62</v>
      </c>
      <c r="L223" s="4"/>
    </row>
    <row r="224" spans="1:12" x14ac:dyDescent="0.2">
      <c r="A224" s="130">
        <v>66925</v>
      </c>
      <c r="B224" s="4" t="s">
        <v>282</v>
      </c>
      <c r="C224" s="4" t="s">
        <v>83</v>
      </c>
      <c r="D224" s="4" t="s">
        <v>60</v>
      </c>
      <c r="E224" s="36">
        <v>30</v>
      </c>
      <c r="F224" s="5">
        <v>86</v>
      </c>
      <c r="G224" s="5">
        <f t="shared" si="6"/>
        <v>2580</v>
      </c>
      <c r="H224" s="37">
        <v>0</v>
      </c>
      <c r="I224" s="5">
        <f t="shared" si="7"/>
        <v>2580</v>
      </c>
      <c r="J224" s="4" t="s">
        <v>61</v>
      </c>
      <c r="K224" s="4" t="s">
        <v>62</v>
      </c>
      <c r="L224" s="4"/>
    </row>
    <row r="225" spans="1:12" x14ac:dyDescent="0.2">
      <c r="A225" s="130">
        <v>66925</v>
      </c>
      <c r="B225" s="4" t="s">
        <v>283</v>
      </c>
      <c r="C225" s="4" t="s">
        <v>66</v>
      </c>
      <c r="D225" s="4" t="s">
        <v>60</v>
      </c>
      <c r="E225" s="36">
        <v>20</v>
      </c>
      <c r="F225" s="5">
        <v>85</v>
      </c>
      <c r="G225" s="5">
        <f t="shared" si="6"/>
        <v>1700</v>
      </c>
      <c r="H225" s="37">
        <v>0</v>
      </c>
      <c r="I225" s="5">
        <f t="shared" si="7"/>
        <v>1700</v>
      </c>
      <c r="J225" s="4" t="s">
        <v>61</v>
      </c>
      <c r="K225" s="4" t="s">
        <v>62</v>
      </c>
      <c r="L225" s="4"/>
    </row>
    <row r="226" spans="1:12" x14ac:dyDescent="0.2">
      <c r="A226" s="130">
        <v>66925</v>
      </c>
      <c r="B226" s="4" t="s">
        <v>284</v>
      </c>
      <c r="C226" s="4" t="s">
        <v>68</v>
      </c>
      <c r="D226" s="4" t="s">
        <v>60</v>
      </c>
      <c r="E226" s="36">
        <v>40</v>
      </c>
      <c r="F226" s="5">
        <v>86</v>
      </c>
      <c r="G226" s="5">
        <f t="shared" si="6"/>
        <v>3440</v>
      </c>
      <c r="H226" s="37">
        <v>0</v>
      </c>
      <c r="I226" s="5">
        <f t="shared" si="7"/>
        <v>3440</v>
      </c>
      <c r="J226" s="4" t="s">
        <v>61</v>
      </c>
      <c r="K226" s="4" t="s">
        <v>62</v>
      </c>
      <c r="L226" s="4"/>
    </row>
    <row r="227" spans="1:12" x14ac:dyDescent="0.2">
      <c r="A227" s="130">
        <v>66925</v>
      </c>
      <c r="B227" s="4" t="s">
        <v>284</v>
      </c>
      <c r="C227" s="4" t="s">
        <v>68</v>
      </c>
      <c r="D227" s="4" t="s">
        <v>60</v>
      </c>
      <c r="E227" s="36">
        <v>45</v>
      </c>
      <c r="F227" s="5">
        <v>85</v>
      </c>
      <c r="G227" s="5">
        <f t="shared" si="6"/>
        <v>3825</v>
      </c>
      <c r="H227" s="37">
        <v>0</v>
      </c>
      <c r="I227" s="5">
        <f t="shared" si="7"/>
        <v>3825</v>
      </c>
      <c r="J227" s="4" t="s">
        <v>61</v>
      </c>
      <c r="K227" s="4" t="s">
        <v>62</v>
      </c>
      <c r="L227" s="4"/>
    </row>
    <row r="228" spans="1:12" x14ac:dyDescent="0.2">
      <c r="A228" s="130">
        <v>66925</v>
      </c>
      <c r="B228" s="4" t="s">
        <v>284</v>
      </c>
      <c r="C228" s="4" t="s">
        <v>68</v>
      </c>
      <c r="D228" s="4" t="s">
        <v>69</v>
      </c>
      <c r="E228" s="36">
        <v>1</v>
      </c>
      <c r="F228" s="5">
        <v>80</v>
      </c>
      <c r="G228" s="5">
        <f t="shared" si="6"/>
        <v>80</v>
      </c>
      <c r="H228" s="37">
        <v>0</v>
      </c>
      <c r="I228" s="5">
        <f t="shared" si="7"/>
        <v>80</v>
      </c>
      <c r="J228" s="4" t="s">
        <v>61</v>
      </c>
      <c r="K228" s="4" t="s">
        <v>62</v>
      </c>
      <c r="L228" s="4"/>
    </row>
    <row r="229" spans="1:12" x14ac:dyDescent="0.2">
      <c r="A229" s="130">
        <v>66925</v>
      </c>
      <c r="B229" s="4" t="s">
        <v>285</v>
      </c>
      <c r="C229" s="4" t="s">
        <v>85</v>
      </c>
      <c r="D229" s="4" t="s">
        <v>60</v>
      </c>
      <c r="E229" s="36">
        <v>5</v>
      </c>
      <c r="F229" s="5">
        <v>85</v>
      </c>
      <c r="G229" s="5">
        <f t="shared" si="6"/>
        <v>425</v>
      </c>
      <c r="H229" s="37">
        <v>0</v>
      </c>
      <c r="I229" s="5">
        <f t="shared" si="7"/>
        <v>425</v>
      </c>
      <c r="J229" s="4" t="s">
        <v>61</v>
      </c>
      <c r="K229" s="4" t="s">
        <v>62</v>
      </c>
      <c r="L229" s="4"/>
    </row>
    <row r="230" spans="1:12" x14ac:dyDescent="0.2">
      <c r="A230" s="130">
        <v>66925</v>
      </c>
      <c r="B230" s="4" t="s">
        <v>286</v>
      </c>
      <c r="C230" s="4" t="s">
        <v>87</v>
      </c>
      <c r="D230" s="4" t="s">
        <v>60</v>
      </c>
      <c r="E230" s="36">
        <v>15</v>
      </c>
      <c r="F230" s="5">
        <v>85</v>
      </c>
      <c r="G230" s="5">
        <f t="shared" si="6"/>
        <v>1275</v>
      </c>
      <c r="H230" s="37">
        <v>0</v>
      </c>
      <c r="I230" s="5">
        <f t="shared" si="7"/>
        <v>1275</v>
      </c>
      <c r="J230" s="4" t="s">
        <v>61</v>
      </c>
      <c r="K230" s="4" t="s">
        <v>62</v>
      </c>
      <c r="L230" s="4"/>
    </row>
    <row r="231" spans="1:12" x14ac:dyDescent="0.2">
      <c r="A231" s="130">
        <v>66925</v>
      </c>
      <c r="B231" s="4" t="s">
        <v>287</v>
      </c>
      <c r="C231" s="4" t="s">
        <v>77</v>
      </c>
      <c r="D231" s="4" t="s">
        <v>60</v>
      </c>
      <c r="E231" s="36">
        <v>12</v>
      </c>
      <c r="F231" s="5">
        <v>85</v>
      </c>
      <c r="G231" s="5">
        <f t="shared" si="6"/>
        <v>1020</v>
      </c>
      <c r="H231" s="37">
        <v>0</v>
      </c>
      <c r="I231" s="5">
        <f t="shared" si="7"/>
        <v>1020</v>
      </c>
      <c r="J231" s="4" t="s">
        <v>61</v>
      </c>
      <c r="K231" s="4" t="s">
        <v>62</v>
      </c>
      <c r="L231" s="4"/>
    </row>
    <row r="232" spans="1:12" x14ac:dyDescent="0.2">
      <c r="A232" s="130">
        <v>66925</v>
      </c>
      <c r="B232" s="4" t="s">
        <v>288</v>
      </c>
      <c r="C232" s="4" t="s">
        <v>75</v>
      </c>
      <c r="D232" s="4" t="s">
        <v>60</v>
      </c>
      <c r="E232" s="36">
        <v>8</v>
      </c>
      <c r="F232" s="5">
        <v>85</v>
      </c>
      <c r="G232" s="5">
        <f t="shared" si="6"/>
        <v>680</v>
      </c>
      <c r="H232" s="37">
        <v>0</v>
      </c>
      <c r="I232" s="5">
        <f t="shared" si="7"/>
        <v>680</v>
      </c>
      <c r="J232" s="4" t="s">
        <v>61</v>
      </c>
      <c r="K232" s="4" t="s">
        <v>62</v>
      </c>
      <c r="L232" s="4"/>
    </row>
    <row r="233" spans="1:12" x14ac:dyDescent="0.2">
      <c r="A233" s="130">
        <v>66925</v>
      </c>
      <c r="B233" s="4" t="s">
        <v>289</v>
      </c>
      <c r="C233" s="4" t="s">
        <v>290</v>
      </c>
      <c r="D233" s="4" t="s">
        <v>60</v>
      </c>
      <c r="E233" s="36">
        <v>2</v>
      </c>
      <c r="F233" s="5">
        <v>85</v>
      </c>
      <c r="G233" s="5">
        <f t="shared" si="6"/>
        <v>170</v>
      </c>
      <c r="H233" s="37">
        <v>0</v>
      </c>
      <c r="I233" s="5">
        <f t="shared" si="7"/>
        <v>170</v>
      </c>
      <c r="J233" s="4" t="s">
        <v>61</v>
      </c>
      <c r="K233" s="4" t="s">
        <v>62</v>
      </c>
      <c r="L233" s="4"/>
    </row>
    <row r="234" spans="1:12" x14ac:dyDescent="0.2">
      <c r="A234" s="130">
        <v>66925</v>
      </c>
      <c r="B234" s="4" t="s">
        <v>289</v>
      </c>
      <c r="C234" s="4" t="s">
        <v>290</v>
      </c>
      <c r="D234" s="4" t="s">
        <v>92</v>
      </c>
      <c r="E234" s="36">
        <v>1</v>
      </c>
      <c r="F234" s="5">
        <v>1100</v>
      </c>
      <c r="G234" s="5">
        <f t="shared" si="6"/>
        <v>1100</v>
      </c>
      <c r="H234" s="37">
        <v>0</v>
      </c>
      <c r="I234" s="5">
        <f t="shared" si="7"/>
        <v>1100</v>
      </c>
      <c r="J234" s="4" t="s">
        <v>61</v>
      </c>
      <c r="K234" s="4" t="s">
        <v>62</v>
      </c>
      <c r="L234" s="4"/>
    </row>
    <row r="235" spans="1:12" x14ac:dyDescent="0.2">
      <c r="A235" s="130">
        <v>66925</v>
      </c>
      <c r="B235" s="4" t="s">
        <v>291</v>
      </c>
      <c r="C235" s="4" t="s">
        <v>71</v>
      </c>
      <c r="D235" s="4" t="s">
        <v>60</v>
      </c>
      <c r="E235" s="36">
        <v>15</v>
      </c>
      <c r="F235" s="5">
        <v>86</v>
      </c>
      <c r="G235" s="5">
        <f t="shared" si="6"/>
        <v>1290</v>
      </c>
      <c r="H235" s="37">
        <v>0</v>
      </c>
      <c r="I235" s="5">
        <f t="shared" si="7"/>
        <v>1290</v>
      </c>
      <c r="J235" s="4" t="s">
        <v>61</v>
      </c>
      <c r="K235" s="4" t="s">
        <v>62</v>
      </c>
      <c r="L235" s="4"/>
    </row>
    <row r="236" spans="1:12" x14ac:dyDescent="0.2">
      <c r="A236" s="130">
        <v>66925</v>
      </c>
      <c r="B236" s="4" t="s">
        <v>292</v>
      </c>
      <c r="C236" s="4" t="s">
        <v>89</v>
      </c>
      <c r="D236" s="4" t="s">
        <v>60</v>
      </c>
      <c r="E236" s="36">
        <v>20</v>
      </c>
      <c r="F236" s="5">
        <v>95</v>
      </c>
      <c r="G236" s="5">
        <f t="shared" si="6"/>
        <v>1900</v>
      </c>
      <c r="H236" s="37">
        <v>0</v>
      </c>
      <c r="I236" s="5">
        <f t="shared" si="7"/>
        <v>1900</v>
      </c>
      <c r="J236" s="4" t="s">
        <v>61</v>
      </c>
      <c r="K236" s="4" t="s">
        <v>62</v>
      </c>
      <c r="L236" s="4"/>
    </row>
    <row r="237" spans="1:12" x14ac:dyDescent="0.2">
      <c r="A237" s="130">
        <v>66925</v>
      </c>
      <c r="B237" s="4" t="s">
        <v>292</v>
      </c>
      <c r="C237" s="4" t="s">
        <v>89</v>
      </c>
      <c r="D237" s="4" t="s">
        <v>60</v>
      </c>
      <c r="E237" s="36">
        <v>12</v>
      </c>
      <c r="F237" s="5">
        <v>85</v>
      </c>
      <c r="G237" s="5">
        <f t="shared" si="6"/>
        <v>1020</v>
      </c>
      <c r="H237" s="37">
        <v>0</v>
      </c>
      <c r="I237" s="5">
        <f t="shared" si="7"/>
        <v>1020</v>
      </c>
      <c r="J237" s="4" t="s">
        <v>61</v>
      </c>
      <c r="K237" s="4" t="s">
        <v>62</v>
      </c>
      <c r="L237" s="4"/>
    </row>
    <row r="238" spans="1:12" x14ac:dyDescent="0.2">
      <c r="A238" s="130">
        <v>66925</v>
      </c>
      <c r="B238" s="4" t="s">
        <v>292</v>
      </c>
      <c r="C238" s="4" t="s">
        <v>89</v>
      </c>
      <c r="D238" s="4" t="s">
        <v>92</v>
      </c>
      <c r="E238" s="36">
        <v>1</v>
      </c>
      <c r="F238" s="5">
        <v>1100</v>
      </c>
      <c r="G238" s="5">
        <f t="shared" si="6"/>
        <v>1100</v>
      </c>
      <c r="H238" s="37">
        <v>0</v>
      </c>
      <c r="I238" s="5">
        <f t="shared" si="7"/>
        <v>1100</v>
      </c>
      <c r="J238" s="4" t="s">
        <v>61</v>
      </c>
      <c r="K238" s="4" t="s">
        <v>62</v>
      </c>
      <c r="L238" s="4"/>
    </row>
    <row r="239" spans="1:12" x14ac:dyDescent="0.2">
      <c r="A239" s="130">
        <v>66925</v>
      </c>
      <c r="B239" s="4" t="s">
        <v>293</v>
      </c>
      <c r="C239" s="4" t="s">
        <v>91</v>
      </c>
      <c r="D239" s="4" t="s">
        <v>60</v>
      </c>
      <c r="E239" s="36">
        <v>25</v>
      </c>
      <c r="F239" s="5">
        <v>84</v>
      </c>
      <c r="G239" s="5">
        <f t="shared" si="6"/>
        <v>2100</v>
      </c>
      <c r="H239" s="37">
        <v>0</v>
      </c>
      <c r="I239" s="5">
        <f t="shared" si="7"/>
        <v>2100</v>
      </c>
      <c r="J239" s="4" t="s">
        <v>61</v>
      </c>
      <c r="K239" s="4" t="s">
        <v>62</v>
      </c>
      <c r="L239" s="4"/>
    </row>
    <row r="240" spans="1:12" x14ac:dyDescent="0.2">
      <c r="A240" s="130">
        <v>66925</v>
      </c>
      <c r="B240" s="4" t="s">
        <v>294</v>
      </c>
      <c r="C240" s="4" t="s">
        <v>95</v>
      </c>
      <c r="D240" s="4" t="s">
        <v>60</v>
      </c>
      <c r="E240" s="36">
        <v>8</v>
      </c>
      <c r="F240" s="5">
        <v>85</v>
      </c>
      <c r="G240" s="5">
        <f t="shared" si="6"/>
        <v>680</v>
      </c>
      <c r="H240" s="37">
        <v>0</v>
      </c>
      <c r="I240" s="5">
        <f t="shared" si="7"/>
        <v>680</v>
      </c>
      <c r="J240" s="4" t="s">
        <v>61</v>
      </c>
      <c r="K240" s="4" t="s">
        <v>62</v>
      </c>
      <c r="L240" s="4"/>
    </row>
    <row r="241" spans="1:12" x14ac:dyDescent="0.2">
      <c r="A241" s="130">
        <v>66925</v>
      </c>
      <c r="B241" s="4" t="s">
        <v>295</v>
      </c>
      <c r="C241" s="4" t="s">
        <v>97</v>
      </c>
      <c r="D241" s="4" t="s">
        <v>60</v>
      </c>
      <c r="E241" s="36">
        <v>2.5</v>
      </c>
      <c r="F241" s="5">
        <v>100</v>
      </c>
      <c r="G241" s="5">
        <f t="shared" si="6"/>
        <v>250</v>
      </c>
      <c r="H241" s="37">
        <v>0</v>
      </c>
      <c r="I241" s="5">
        <f t="shared" si="7"/>
        <v>250</v>
      </c>
      <c r="J241" s="4" t="s">
        <v>61</v>
      </c>
      <c r="K241" s="4" t="s">
        <v>62</v>
      </c>
      <c r="L241" s="4"/>
    </row>
    <row r="242" spans="1:12" x14ac:dyDescent="0.2">
      <c r="A242" s="130">
        <v>66925</v>
      </c>
      <c r="B242" s="4" t="s">
        <v>296</v>
      </c>
      <c r="C242" s="4" t="s">
        <v>211</v>
      </c>
      <c r="D242" s="4" t="s">
        <v>60</v>
      </c>
      <c r="E242" s="36">
        <v>2</v>
      </c>
      <c r="F242" s="5">
        <v>90</v>
      </c>
      <c r="G242" s="5">
        <f t="shared" si="6"/>
        <v>180</v>
      </c>
      <c r="H242" s="37">
        <v>0</v>
      </c>
      <c r="I242" s="5">
        <f t="shared" si="7"/>
        <v>180</v>
      </c>
      <c r="J242" s="4" t="s">
        <v>61</v>
      </c>
      <c r="K242" s="4" t="s">
        <v>62</v>
      </c>
      <c r="L242" s="4"/>
    </row>
    <row r="243" spans="1:12" x14ac:dyDescent="0.2">
      <c r="A243" s="130">
        <v>66926</v>
      </c>
      <c r="B243" s="4" t="s">
        <v>297</v>
      </c>
      <c r="C243" s="4" t="s">
        <v>89</v>
      </c>
      <c r="D243" s="4" t="s">
        <v>60</v>
      </c>
      <c r="E243" s="36">
        <v>20</v>
      </c>
      <c r="F243" s="5">
        <v>95</v>
      </c>
      <c r="G243" s="5">
        <f t="shared" si="6"/>
        <v>1900</v>
      </c>
      <c r="H243" s="37">
        <v>0</v>
      </c>
      <c r="I243" s="5">
        <f t="shared" si="7"/>
        <v>1900</v>
      </c>
      <c r="J243" s="4" t="s">
        <v>61</v>
      </c>
      <c r="K243" s="4" t="s">
        <v>62</v>
      </c>
      <c r="L243" s="4"/>
    </row>
    <row r="244" spans="1:12" x14ac:dyDescent="0.2">
      <c r="A244" s="130">
        <v>66926</v>
      </c>
      <c r="B244" s="4" t="s">
        <v>298</v>
      </c>
      <c r="C244" s="4" t="s">
        <v>91</v>
      </c>
      <c r="D244" s="4" t="s">
        <v>60</v>
      </c>
      <c r="E244" s="36">
        <v>28</v>
      </c>
      <c r="F244" s="5">
        <v>84</v>
      </c>
      <c r="G244" s="5">
        <f t="shared" si="6"/>
        <v>2352</v>
      </c>
      <c r="H244" s="37">
        <v>0</v>
      </c>
      <c r="I244" s="5">
        <f t="shared" si="7"/>
        <v>2352</v>
      </c>
      <c r="J244" s="4" t="s">
        <v>61</v>
      </c>
      <c r="K244" s="4" t="s">
        <v>62</v>
      </c>
      <c r="L244" s="4"/>
    </row>
    <row r="245" spans="1:12" x14ac:dyDescent="0.2">
      <c r="A245" s="130">
        <v>66926</v>
      </c>
      <c r="B245" s="4" t="s">
        <v>299</v>
      </c>
      <c r="C245" s="4" t="s">
        <v>95</v>
      </c>
      <c r="D245" s="4" t="s">
        <v>60</v>
      </c>
      <c r="E245" s="36">
        <v>8</v>
      </c>
      <c r="F245" s="5">
        <v>85</v>
      </c>
      <c r="G245" s="5">
        <f t="shared" si="6"/>
        <v>680</v>
      </c>
      <c r="H245" s="37">
        <v>0</v>
      </c>
      <c r="I245" s="5">
        <f t="shared" si="7"/>
        <v>680</v>
      </c>
      <c r="J245" s="4" t="s">
        <v>61</v>
      </c>
      <c r="K245" s="4" t="s">
        <v>62</v>
      </c>
      <c r="L245" s="4"/>
    </row>
    <row r="246" spans="1:12" x14ac:dyDescent="0.2">
      <c r="A246" s="130">
        <v>66926</v>
      </c>
      <c r="B246" s="4" t="s">
        <v>300</v>
      </c>
      <c r="C246" s="4" t="s">
        <v>97</v>
      </c>
      <c r="D246" s="4" t="s">
        <v>93</v>
      </c>
      <c r="E246" s="36">
        <v>4</v>
      </c>
      <c r="F246" s="5">
        <v>800</v>
      </c>
      <c r="G246" s="5">
        <f t="shared" si="6"/>
        <v>3200</v>
      </c>
      <c r="H246" s="37">
        <v>0</v>
      </c>
      <c r="I246" s="5">
        <f t="shared" si="7"/>
        <v>3200</v>
      </c>
      <c r="J246" s="4" t="s">
        <v>61</v>
      </c>
      <c r="K246" s="4" t="s">
        <v>62</v>
      </c>
      <c r="L246" s="4"/>
    </row>
    <row r="247" spans="1:12" x14ac:dyDescent="0.2">
      <c r="A247" s="130">
        <v>66926</v>
      </c>
      <c r="B247" s="4" t="s">
        <v>300</v>
      </c>
      <c r="C247" s="4" t="s">
        <v>97</v>
      </c>
      <c r="D247" s="4" t="s">
        <v>60</v>
      </c>
      <c r="E247" s="36">
        <v>4.75</v>
      </c>
      <c r="F247" s="5">
        <v>95.79</v>
      </c>
      <c r="G247" s="5">
        <f t="shared" si="6"/>
        <v>455.00250000000005</v>
      </c>
      <c r="H247" s="37">
        <v>0</v>
      </c>
      <c r="I247" s="5">
        <f t="shared" si="7"/>
        <v>455.00250000000005</v>
      </c>
      <c r="J247" s="4" t="s">
        <v>61</v>
      </c>
      <c r="K247" s="4" t="s">
        <v>62</v>
      </c>
      <c r="L247" s="4"/>
    </row>
    <row r="248" spans="1:12" x14ac:dyDescent="0.2">
      <c r="A248" s="130">
        <v>66926</v>
      </c>
      <c r="B248" s="4" t="s">
        <v>301</v>
      </c>
      <c r="C248" s="4" t="s">
        <v>59</v>
      </c>
      <c r="D248" s="4" t="s">
        <v>60</v>
      </c>
      <c r="E248" s="36">
        <v>60</v>
      </c>
      <c r="F248" s="5">
        <v>85</v>
      </c>
      <c r="G248" s="5">
        <f t="shared" si="6"/>
        <v>5100</v>
      </c>
      <c r="H248" s="37">
        <v>0</v>
      </c>
      <c r="I248" s="5">
        <f t="shared" si="7"/>
        <v>5100</v>
      </c>
      <c r="J248" s="4" t="s">
        <v>61</v>
      </c>
      <c r="K248" s="4" t="s">
        <v>62</v>
      </c>
      <c r="L248" s="4"/>
    </row>
    <row r="249" spans="1:12" x14ac:dyDescent="0.2">
      <c r="A249" s="130">
        <v>66926</v>
      </c>
      <c r="B249" s="4" t="s">
        <v>301</v>
      </c>
      <c r="C249" s="4" t="s">
        <v>59</v>
      </c>
      <c r="D249" s="4" t="s">
        <v>69</v>
      </c>
      <c r="E249" s="36">
        <v>1</v>
      </c>
      <c r="F249" s="5">
        <v>80</v>
      </c>
      <c r="G249" s="5">
        <f t="shared" si="6"/>
        <v>80</v>
      </c>
      <c r="H249" s="37">
        <v>0</v>
      </c>
      <c r="I249" s="5">
        <f t="shared" si="7"/>
        <v>80</v>
      </c>
      <c r="J249" s="4" t="s">
        <v>61</v>
      </c>
      <c r="K249" s="4" t="s">
        <v>62</v>
      </c>
      <c r="L249" s="4"/>
    </row>
    <row r="250" spans="1:12" x14ac:dyDescent="0.2">
      <c r="A250" s="130">
        <v>66926</v>
      </c>
      <c r="B250" s="4" t="s">
        <v>302</v>
      </c>
      <c r="C250" s="4" t="s">
        <v>64</v>
      </c>
      <c r="D250" s="4" t="s">
        <v>60</v>
      </c>
      <c r="E250" s="36">
        <v>30</v>
      </c>
      <c r="F250" s="5">
        <v>85</v>
      </c>
      <c r="G250" s="5">
        <f t="shared" si="6"/>
        <v>2550</v>
      </c>
      <c r="H250" s="37">
        <v>0</v>
      </c>
      <c r="I250" s="5">
        <f t="shared" si="7"/>
        <v>2550</v>
      </c>
      <c r="J250" s="4" t="s">
        <v>61</v>
      </c>
      <c r="K250" s="4" t="s">
        <v>62</v>
      </c>
      <c r="L250" s="4"/>
    </row>
    <row r="251" spans="1:12" x14ac:dyDescent="0.2">
      <c r="A251" s="130">
        <v>66926</v>
      </c>
      <c r="B251" s="4" t="s">
        <v>303</v>
      </c>
      <c r="C251" s="4" t="s">
        <v>66</v>
      </c>
      <c r="D251" s="4" t="s">
        <v>60</v>
      </c>
      <c r="E251" s="36">
        <v>20</v>
      </c>
      <c r="F251" s="5">
        <v>85</v>
      </c>
      <c r="G251" s="5">
        <f t="shared" si="6"/>
        <v>1700</v>
      </c>
      <c r="H251" s="37">
        <v>0</v>
      </c>
      <c r="I251" s="5">
        <f t="shared" si="7"/>
        <v>1700</v>
      </c>
      <c r="J251" s="4" t="s">
        <v>61</v>
      </c>
      <c r="K251" s="4" t="s">
        <v>62</v>
      </c>
      <c r="L251" s="4"/>
    </row>
    <row r="252" spans="1:12" x14ac:dyDescent="0.2">
      <c r="A252" s="130">
        <v>66926</v>
      </c>
      <c r="B252" s="4" t="s">
        <v>304</v>
      </c>
      <c r="C252" s="4" t="s">
        <v>68</v>
      </c>
      <c r="D252" s="4" t="s">
        <v>60</v>
      </c>
      <c r="E252" s="36">
        <v>40</v>
      </c>
      <c r="F252" s="5">
        <v>86</v>
      </c>
      <c r="G252" s="5">
        <f t="shared" si="6"/>
        <v>3440</v>
      </c>
      <c r="H252" s="37">
        <v>0</v>
      </c>
      <c r="I252" s="5">
        <f t="shared" si="7"/>
        <v>3440</v>
      </c>
      <c r="J252" s="4" t="s">
        <v>61</v>
      </c>
      <c r="K252" s="4" t="s">
        <v>62</v>
      </c>
      <c r="L252" s="4"/>
    </row>
    <row r="253" spans="1:12" x14ac:dyDescent="0.2">
      <c r="A253" s="130">
        <v>66926</v>
      </c>
      <c r="B253" s="4" t="s">
        <v>304</v>
      </c>
      <c r="C253" s="4" t="s">
        <v>68</v>
      </c>
      <c r="D253" s="4" t="s">
        <v>60</v>
      </c>
      <c r="E253" s="36">
        <v>40</v>
      </c>
      <c r="F253" s="5">
        <v>85</v>
      </c>
      <c r="G253" s="5">
        <f t="shared" si="6"/>
        <v>3400</v>
      </c>
      <c r="H253" s="37">
        <v>0</v>
      </c>
      <c r="I253" s="5">
        <f t="shared" si="7"/>
        <v>3400</v>
      </c>
      <c r="J253" s="4" t="s">
        <v>61</v>
      </c>
      <c r="K253" s="4" t="s">
        <v>62</v>
      </c>
      <c r="L253" s="4"/>
    </row>
    <row r="254" spans="1:12" x14ac:dyDescent="0.2">
      <c r="A254" s="130">
        <v>66926</v>
      </c>
      <c r="B254" s="4" t="s">
        <v>304</v>
      </c>
      <c r="C254" s="4" t="s">
        <v>68</v>
      </c>
      <c r="D254" s="4" t="s">
        <v>69</v>
      </c>
      <c r="E254" s="36">
        <v>1</v>
      </c>
      <c r="F254" s="5">
        <v>80</v>
      </c>
      <c r="G254" s="5">
        <f t="shared" si="6"/>
        <v>80</v>
      </c>
      <c r="H254" s="37">
        <v>0</v>
      </c>
      <c r="I254" s="5">
        <f t="shared" si="7"/>
        <v>80</v>
      </c>
      <c r="J254" s="4" t="s">
        <v>61</v>
      </c>
      <c r="K254" s="4" t="s">
        <v>62</v>
      </c>
      <c r="L254" s="4"/>
    </row>
    <row r="255" spans="1:12" x14ac:dyDescent="0.2">
      <c r="A255" s="130">
        <v>66926</v>
      </c>
      <c r="B255" s="4" t="s">
        <v>305</v>
      </c>
      <c r="C255" s="4" t="s">
        <v>85</v>
      </c>
      <c r="D255" s="4" t="s">
        <v>60</v>
      </c>
      <c r="E255" s="36">
        <v>5</v>
      </c>
      <c r="F255" s="5">
        <v>85</v>
      </c>
      <c r="G255" s="5">
        <f t="shared" si="6"/>
        <v>425</v>
      </c>
      <c r="H255" s="37">
        <v>0</v>
      </c>
      <c r="I255" s="5">
        <f t="shared" si="7"/>
        <v>425</v>
      </c>
      <c r="J255" s="4" t="s">
        <v>61</v>
      </c>
      <c r="K255" s="4" t="s">
        <v>62</v>
      </c>
      <c r="L255" s="4"/>
    </row>
    <row r="256" spans="1:12" x14ac:dyDescent="0.2">
      <c r="A256" s="130">
        <v>66926</v>
      </c>
      <c r="B256" s="4" t="s">
        <v>306</v>
      </c>
      <c r="C256" s="4" t="s">
        <v>87</v>
      </c>
      <c r="D256" s="4" t="s">
        <v>60</v>
      </c>
      <c r="E256" s="36">
        <v>15</v>
      </c>
      <c r="F256" s="5">
        <v>85</v>
      </c>
      <c r="G256" s="5">
        <f t="shared" si="6"/>
        <v>1275</v>
      </c>
      <c r="H256" s="37">
        <v>0</v>
      </c>
      <c r="I256" s="5">
        <f t="shared" si="7"/>
        <v>1275</v>
      </c>
      <c r="J256" s="4" t="s">
        <v>61</v>
      </c>
      <c r="K256" s="4" t="s">
        <v>62</v>
      </c>
      <c r="L256" s="4"/>
    </row>
    <row r="257" spans="1:12" x14ac:dyDescent="0.2">
      <c r="A257" s="130">
        <v>66926</v>
      </c>
      <c r="B257" s="4" t="s">
        <v>307</v>
      </c>
      <c r="C257" s="4" t="s">
        <v>83</v>
      </c>
      <c r="D257" s="4" t="s">
        <v>60</v>
      </c>
      <c r="E257" s="36">
        <v>25</v>
      </c>
      <c r="F257" s="5">
        <v>86</v>
      </c>
      <c r="G257" s="5">
        <f t="shared" si="6"/>
        <v>2150</v>
      </c>
      <c r="H257" s="37">
        <v>0</v>
      </c>
      <c r="I257" s="5">
        <f t="shared" si="7"/>
        <v>2150</v>
      </c>
      <c r="J257" s="4" t="s">
        <v>61</v>
      </c>
      <c r="K257" s="4" t="s">
        <v>62</v>
      </c>
      <c r="L257" s="4"/>
    </row>
    <row r="258" spans="1:12" x14ac:dyDescent="0.2">
      <c r="A258" s="130">
        <v>66926</v>
      </c>
      <c r="B258" s="4" t="s">
        <v>308</v>
      </c>
      <c r="C258" s="4" t="s">
        <v>81</v>
      </c>
      <c r="D258" s="4" t="s">
        <v>60</v>
      </c>
      <c r="E258" s="36">
        <v>4</v>
      </c>
      <c r="F258" s="5">
        <v>86</v>
      </c>
      <c r="G258" s="5">
        <f t="shared" si="6"/>
        <v>344</v>
      </c>
      <c r="H258" s="37">
        <v>0</v>
      </c>
      <c r="I258" s="5">
        <f t="shared" si="7"/>
        <v>344</v>
      </c>
      <c r="J258" s="4" t="s">
        <v>61</v>
      </c>
      <c r="K258" s="4" t="s">
        <v>62</v>
      </c>
      <c r="L258" s="4"/>
    </row>
    <row r="259" spans="1:12" x14ac:dyDescent="0.2">
      <c r="A259" s="130">
        <v>66926</v>
      </c>
      <c r="B259" s="4" t="s">
        <v>309</v>
      </c>
      <c r="C259" s="4" t="s">
        <v>79</v>
      </c>
      <c r="D259" s="4" t="s">
        <v>60</v>
      </c>
      <c r="E259" s="36">
        <v>8</v>
      </c>
      <c r="F259" s="5">
        <v>85</v>
      </c>
      <c r="G259" s="5">
        <f t="shared" ref="G259:G322" si="8">IF($E259="","",$E259*$F259)</f>
        <v>680</v>
      </c>
      <c r="H259" s="37">
        <v>0</v>
      </c>
      <c r="I259" s="5">
        <f t="shared" ref="I259:I322" si="9">IF($E259="","",$G259*(1-$H259/100))</f>
        <v>680</v>
      </c>
      <c r="J259" s="4" t="s">
        <v>61</v>
      </c>
      <c r="K259" s="4" t="s">
        <v>62</v>
      </c>
      <c r="L259" s="4"/>
    </row>
    <row r="260" spans="1:12" x14ac:dyDescent="0.2">
      <c r="A260" s="130">
        <v>66926</v>
      </c>
      <c r="B260" s="4" t="s">
        <v>310</v>
      </c>
      <c r="C260" s="4" t="s">
        <v>75</v>
      </c>
      <c r="D260" s="4" t="s">
        <v>60</v>
      </c>
      <c r="E260" s="36">
        <v>5</v>
      </c>
      <c r="F260" s="5">
        <v>85</v>
      </c>
      <c r="G260" s="5">
        <f t="shared" si="8"/>
        <v>425</v>
      </c>
      <c r="H260" s="37">
        <v>0</v>
      </c>
      <c r="I260" s="5">
        <f t="shared" si="9"/>
        <v>425</v>
      </c>
      <c r="J260" s="4" t="s">
        <v>61</v>
      </c>
      <c r="K260" s="4" t="s">
        <v>62</v>
      </c>
      <c r="L260" s="4"/>
    </row>
    <row r="261" spans="1:12" x14ac:dyDescent="0.2">
      <c r="A261" s="130">
        <v>66926</v>
      </c>
      <c r="B261" s="4" t="s">
        <v>311</v>
      </c>
      <c r="C261" s="4" t="s">
        <v>77</v>
      </c>
      <c r="D261" s="4" t="s">
        <v>60</v>
      </c>
      <c r="E261" s="36">
        <v>17</v>
      </c>
      <c r="F261" s="5">
        <v>85</v>
      </c>
      <c r="G261" s="5">
        <f t="shared" si="8"/>
        <v>1445</v>
      </c>
      <c r="H261" s="37">
        <v>0</v>
      </c>
      <c r="I261" s="5">
        <f t="shared" si="9"/>
        <v>1445</v>
      </c>
      <c r="J261" s="4" t="s">
        <v>61</v>
      </c>
      <c r="K261" s="4" t="s">
        <v>62</v>
      </c>
      <c r="L261" s="4"/>
    </row>
    <row r="262" spans="1:12" x14ac:dyDescent="0.2">
      <c r="A262" s="130">
        <v>66926</v>
      </c>
      <c r="B262" s="4" t="s">
        <v>312</v>
      </c>
      <c r="C262" s="4" t="s">
        <v>73</v>
      </c>
      <c r="D262" s="4" t="s">
        <v>60</v>
      </c>
      <c r="E262" s="36">
        <v>10</v>
      </c>
      <c r="F262" s="5">
        <v>85</v>
      </c>
      <c r="G262" s="5">
        <f t="shared" si="8"/>
        <v>850</v>
      </c>
      <c r="H262" s="37">
        <v>0</v>
      </c>
      <c r="I262" s="5">
        <f t="shared" si="9"/>
        <v>850</v>
      </c>
      <c r="J262" s="4" t="s">
        <v>61</v>
      </c>
      <c r="K262" s="4" t="s">
        <v>62</v>
      </c>
      <c r="L262" s="4"/>
    </row>
    <row r="263" spans="1:12" x14ac:dyDescent="0.2">
      <c r="A263" s="130">
        <v>66926</v>
      </c>
      <c r="B263" s="4" t="s">
        <v>313</v>
      </c>
      <c r="C263" s="4" t="s">
        <v>71</v>
      </c>
      <c r="D263" s="4" t="s">
        <v>60</v>
      </c>
      <c r="E263" s="36">
        <v>15</v>
      </c>
      <c r="F263" s="5">
        <v>85</v>
      </c>
      <c r="G263" s="5">
        <f t="shared" si="8"/>
        <v>1275</v>
      </c>
      <c r="H263" s="37">
        <v>0</v>
      </c>
      <c r="I263" s="5">
        <f t="shared" si="9"/>
        <v>1275</v>
      </c>
      <c r="J263" s="4" t="s">
        <v>61</v>
      </c>
      <c r="K263" s="4" t="s">
        <v>62</v>
      </c>
      <c r="L263" s="4"/>
    </row>
    <row r="264" spans="1:12" x14ac:dyDescent="0.2">
      <c r="A264" s="130">
        <v>66926</v>
      </c>
      <c r="B264" s="4" t="s">
        <v>314</v>
      </c>
      <c r="C264" s="4" t="s">
        <v>99</v>
      </c>
      <c r="D264" s="4" t="s">
        <v>60</v>
      </c>
      <c r="E264" s="36">
        <v>5</v>
      </c>
      <c r="F264" s="5">
        <v>86</v>
      </c>
      <c r="G264" s="5">
        <f t="shared" si="8"/>
        <v>430</v>
      </c>
      <c r="H264" s="37">
        <v>0</v>
      </c>
      <c r="I264" s="5">
        <f t="shared" si="9"/>
        <v>430</v>
      </c>
      <c r="J264" s="4" t="s">
        <v>61</v>
      </c>
      <c r="K264" s="4" t="s">
        <v>62</v>
      </c>
      <c r="L264" s="4"/>
    </row>
    <row r="265" spans="1:12" x14ac:dyDescent="0.2">
      <c r="A265" s="130">
        <v>66927</v>
      </c>
      <c r="B265" s="4" t="s">
        <v>315</v>
      </c>
      <c r="C265" s="4" t="s">
        <v>59</v>
      </c>
      <c r="D265" s="4" t="s">
        <v>60</v>
      </c>
      <c r="E265" s="36">
        <v>60</v>
      </c>
      <c r="F265" s="5">
        <v>85</v>
      </c>
      <c r="G265" s="5">
        <f t="shared" si="8"/>
        <v>5100</v>
      </c>
      <c r="H265" s="37">
        <v>0</v>
      </c>
      <c r="I265" s="5">
        <f t="shared" si="9"/>
        <v>5100</v>
      </c>
      <c r="J265" s="4" t="s">
        <v>61</v>
      </c>
      <c r="K265" s="4" t="s">
        <v>62</v>
      </c>
      <c r="L265" s="4"/>
    </row>
    <row r="266" spans="1:12" x14ac:dyDescent="0.2">
      <c r="A266" s="130">
        <v>66927</v>
      </c>
      <c r="B266" s="4" t="s">
        <v>316</v>
      </c>
      <c r="C266" s="4" t="s">
        <v>64</v>
      </c>
      <c r="D266" s="4" t="s">
        <v>60</v>
      </c>
      <c r="E266" s="36">
        <v>35</v>
      </c>
      <c r="F266" s="5">
        <v>85</v>
      </c>
      <c r="G266" s="5">
        <f t="shared" si="8"/>
        <v>2975</v>
      </c>
      <c r="H266" s="37">
        <v>0</v>
      </c>
      <c r="I266" s="5">
        <f t="shared" si="9"/>
        <v>2975</v>
      </c>
      <c r="J266" s="4" t="s">
        <v>61</v>
      </c>
      <c r="K266" s="4" t="s">
        <v>62</v>
      </c>
      <c r="L266" s="4"/>
    </row>
    <row r="267" spans="1:12" x14ac:dyDescent="0.2">
      <c r="A267" s="130">
        <v>66927</v>
      </c>
      <c r="B267" s="4" t="s">
        <v>317</v>
      </c>
      <c r="C267" s="4" t="s">
        <v>66</v>
      </c>
      <c r="D267" s="4" t="s">
        <v>60</v>
      </c>
      <c r="E267" s="36">
        <v>20</v>
      </c>
      <c r="F267" s="5">
        <v>85</v>
      </c>
      <c r="G267" s="5">
        <f t="shared" si="8"/>
        <v>1700</v>
      </c>
      <c r="H267" s="37">
        <v>0</v>
      </c>
      <c r="I267" s="5">
        <f t="shared" si="9"/>
        <v>1700</v>
      </c>
      <c r="J267" s="4" t="s">
        <v>61</v>
      </c>
      <c r="K267" s="4" t="s">
        <v>62</v>
      </c>
      <c r="L267" s="4"/>
    </row>
    <row r="268" spans="1:12" x14ac:dyDescent="0.2">
      <c r="A268" s="130">
        <v>66927</v>
      </c>
      <c r="B268" s="4" t="s">
        <v>318</v>
      </c>
      <c r="C268" s="4" t="s">
        <v>68</v>
      </c>
      <c r="D268" s="4" t="s">
        <v>60</v>
      </c>
      <c r="E268" s="36">
        <v>40</v>
      </c>
      <c r="F268" s="5">
        <v>86</v>
      </c>
      <c r="G268" s="5">
        <f t="shared" si="8"/>
        <v>3440</v>
      </c>
      <c r="H268" s="37">
        <v>0</v>
      </c>
      <c r="I268" s="5">
        <f t="shared" si="9"/>
        <v>3440</v>
      </c>
      <c r="J268" s="4" t="s">
        <v>61</v>
      </c>
      <c r="K268" s="4" t="s">
        <v>62</v>
      </c>
      <c r="L268" s="4"/>
    </row>
    <row r="269" spans="1:12" x14ac:dyDescent="0.2">
      <c r="A269" s="130">
        <v>66927</v>
      </c>
      <c r="B269" s="4" t="s">
        <v>318</v>
      </c>
      <c r="C269" s="4" t="s">
        <v>68</v>
      </c>
      <c r="D269" s="4" t="s">
        <v>60</v>
      </c>
      <c r="E269" s="36">
        <v>50</v>
      </c>
      <c r="F269" s="5">
        <v>85</v>
      </c>
      <c r="G269" s="5">
        <f t="shared" si="8"/>
        <v>4250</v>
      </c>
      <c r="H269" s="37">
        <v>0</v>
      </c>
      <c r="I269" s="5">
        <f t="shared" si="9"/>
        <v>4250</v>
      </c>
      <c r="J269" s="4" t="s">
        <v>61</v>
      </c>
      <c r="K269" s="4" t="s">
        <v>62</v>
      </c>
      <c r="L269" s="4"/>
    </row>
    <row r="270" spans="1:12" x14ac:dyDescent="0.2">
      <c r="A270" s="130">
        <v>66927</v>
      </c>
      <c r="B270" s="4" t="s">
        <v>319</v>
      </c>
      <c r="C270" s="4" t="s">
        <v>85</v>
      </c>
      <c r="D270" s="4" t="s">
        <v>60</v>
      </c>
      <c r="E270" s="36">
        <v>5</v>
      </c>
      <c r="F270" s="5">
        <v>85</v>
      </c>
      <c r="G270" s="5">
        <f t="shared" si="8"/>
        <v>425</v>
      </c>
      <c r="H270" s="37">
        <v>0</v>
      </c>
      <c r="I270" s="5">
        <f t="shared" si="9"/>
        <v>425</v>
      </c>
      <c r="J270" s="4" t="s">
        <v>61</v>
      </c>
      <c r="K270" s="4" t="s">
        <v>62</v>
      </c>
      <c r="L270" s="4"/>
    </row>
    <row r="271" spans="1:12" x14ac:dyDescent="0.2">
      <c r="A271" s="130">
        <v>66927</v>
      </c>
      <c r="B271" s="4" t="s">
        <v>320</v>
      </c>
      <c r="C271" s="4" t="s">
        <v>87</v>
      </c>
      <c r="D271" s="4" t="s">
        <v>60</v>
      </c>
      <c r="E271" s="36">
        <v>15</v>
      </c>
      <c r="F271" s="5">
        <v>85</v>
      </c>
      <c r="G271" s="5">
        <f t="shared" si="8"/>
        <v>1275</v>
      </c>
      <c r="H271" s="37">
        <v>0</v>
      </c>
      <c r="I271" s="5">
        <f t="shared" si="9"/>
        <v>1275</v>
      </c>
      <c r="J271" s="4" t="s">
        <v>61</v>
      </c>
      <c r="K271" s="4" t="s">
        <v>62</v>
      </c>
      <c r="L271" s="4"/>
    </row>
    <row r="272" spans="1:12" x14ac:dyDescent="0.2">
      <c r="A272" s="130">
        <v>66927</v>
      </c>
      <c r="B272" s="4" t="s">
        <v>321</v>
      </c>
      <c r="C272" s="4" t="s">
        <v>83</v>
      </c>
      <c r="D272" s="4" t="s">
        <v>60</v>
      </c>
      <c r="E272" s="36">
        <v>20</v>
      </c>
      <c r="F272" s="5">
        <v>86</v>
      </c>
      <c r="G272" s="5">
        <f t="shared" si="8"/>
        <v>1720</v>
      </c>
      <c r="H272" s="37">
        <v>0</v>
      </c>
      <c r="I272" s="5">
        <f t="shared" si="9"/>
        <v>1720</v>
      </c>
      <c r="J272" s="4" t="s">
        <v>61</v>
      </c>
      <c r="K272" s="4" t="s">
        <v>62</v>
      </c>
      <c r="L272" s="4"/>
    </row>
    <row r="273" spans="1:12" x14ac:dyDescent="0.2">
      <c r="A273" s="130">
        <v>66927</v>
      </c>
      <c r="B273" s="4" t="s">
        <v>322</v>
      </c>
      <c r="C273" s="4" t="s">
        <v>81</v>
      </c>
      <c r="D273" s="4" t="s">
        <v>60</v>
      </c>
      <c r="E273" s="36">
        <v>4</v>
      </c>
      <c r="F273" s="5">
        <v>86</v>
      </c>
      <c r="G273" s="5">
        <f t="shared" si="8"/>
        <v>344</v>
      </c>
      <c r="H273" s="37">
        <v>0</v>
      </c>
      <c r="I273" s="5">
        <f t="shared" si="9"/>
        <v>344</v>
      </c>
      <c r="J273" s="4" t="s">
        <v>61</v>
      </c>
      <c r="K273" s="4" t="s">
        <v>62</v>
      </c>
      <c r="L273" s="4"/>
    </row>
    <row r="274" spans="1:12" x14ac:dyDescent="0.2">
      <c r="A274" s="130">
        <v>66927</v>
      </c>
      <c r="B274" s="4" t="s">
        <v>323</v>
      </c>
      <c r="C274" s="4" t="s">
        <v>79</v>
      </c>
      <c r="D274" s="4" t="s">
        <v>60</v>
      </c>
      <c r="E274" s="36">
        <v>8</v>
      </c>
      <c r="F274" s="5">
        <v>85</v>
      </c>
      <c r="G274" s="5">
        <f t="shared" si="8"/>
        <v>680</v>
      </c>
      <c r="H274" s="37">
        <v>0</v>
      </c>
      <c r="I274" s="5">
        <f t="shared" si="9"/>
        <v>680</v>
      </c>
      <c r="J274" s="4" t="s">
        <v>61</v>
      </c>
      <c r="K274" s="4" t="s">
        <v>62</v>
      </c>
      <c r="L274" s="4"/>
    </row>
    <row r="275" spans="1:12" x14ac:dyDescent="0.2">
      <c r="A275" s="130">
        <v>66927</v>
      </c>
      <c r="B275" s="4" t="s">
        <v>324</v>
      </c>
      <c r="C275" s="4" t="s">
        <v>73</v>
      </c>
      <c r="D275" s="4" t="s">
        <v>60</v>
      </c>
      <c r="E275" s="36">
        <v>10</v>
      </c>
      <c r="F275" s="5">
        <v>85</v>
      </c>
      <c r="G275" s="5">
        <f t="shared" si="8"/>
        <v>850</v>
      </c>
      <c r="H275" s="37">
        <v>0</v>
      </c>
      <c r="I275" s="5">
        <f t="shared" si="9"/>
        <v>850</v>
      </c>
      <c r="J275" s="4" t="s">
        <v>61</v>
      </c>
      <c r="K275" s="4" t="s">
        <v>62</v>
      </c>
      <c r="L275" s="4"/>
    </row>
    <row r="276" spans="1:12" x14ac:dyDescent="0.2">
      <c r="A276" s="130">
        <v>66927</v>
      </c>
      <c r="B276" s="4" t="s">
        <v>325</v>
      </c>
      <c r="C276" s="4" t="s">
        <v>77</v>
      </c>
      <c r="D276" s="4" t="s">
        <v>60</v>
      </c>
      <c r="E276" s="36">
        <v>15</v>
      </c>
      <c r="F276" s="5">
        <v>85</v>
      </c>
      <c r="G276" s="5">
        <f t="shared" si="8"/>
        <v>1275</v>
      </c>
      <c r="H276" s="37">
        <v>0</v>
      </c>
      <c r="I276" s="5">
        <f t="shared" si="9"/>
        <v>1275</v>
      </c>
      <c r="J276" s="4" t="s">
        <v>61</v>
      </c>
      <c r="K276" s="4" t="s">
        <v>62</v>
      </c>
      <c r="L276" s="4"/>
    </row>
    <row r="277" spans="1:12" x14ac:dyDescent="0.2">
      <c r="A277" s="130">
        <v>66927</v>
      </c>
      <c r="B277" s="4" t="s">
        <v>326</v>
      </c>
      <c r="C277" s="4" t="s">
        <v>75</v>
      </c>
      <c r="D277" s="4" t="s">
        <v>60</v>
      </c>
      <c r="E277" s="36">
        <v>5</v>
      </c>
      <c r="F277" s="5">
        <v>85</v>
      </c>
      <c r="G277" s="5">
        <f t="shared" si="8"/>
        <v>425</v>
      </c>
      <c r="H277" s="37">
        <v>0</v>
      </c>
      <c r="I277" s="5">
        <f t="shared" si="9"/>
        <v>425</v>
      </c>
      <c r="J277" s="4" t="s">
        <v>61</v>
      </c>
      <c r="K277" s="4" t="s">
        <v>62</v>
      </c>
      <c r="L277" s="4"/>
    </row>
    <row r="278" spans="1:12" x14ac:dyDescent="0.2">
      <c r="A278" s="130">
        <v>66927</v>
      </c>
      <c r="B278" s="4" t="s">
        <v>327</v>
      </c>
      <c r="C278" s="4" t="s">
        <v>71</v>
      </c>
      <c r="D278" s="4" t="s">
        <v>60</v>
      </c>
      <c r="E278" s="36">
        <v>10</v>
      </c>
      <c r="F278" s="5">
        <v>86</v>
      </c>
      <c r="G278" s="5">
        <f t="shared" si="8"/>
        <v>860</v>
      </c>
      <c r="H278" s="37">
        <v>0</v>
      </c>
      <c r="I278" s="5">
        <f t="shared" si="9"/>
        <v>860</v>
      </c>
      <c r="J278" s="4" t="s">
        <v>61</v>
      </c>
      <c r="K278" s="4" t="s">
        <v>62</v>
      </c>
      <c r="L278" s="4"/>
    </row>
    <row r="279" spans="1:12" x14ac:dyDescent="0.2">
      <c r="A279" s="130">
        <v>66927</v>
      </c>
      <c r="B279" s="4" t="s">
        <v>328</v>
      </c>
      <c r="C279" s="4" t="s">
        <v>89</v>
      </c>
      <c r="D279" s="4" t="s">
        <v>60</v>
      </c>
      <c r="E279" s="36">
        <v>30</v>
      </c>
      <c r="F279" s="5">
        <v>95</v>
      </c>
      <c r="G279" s="5">
        <f t="shared" si="8"/>
        <v>2850</v>
      </c>
      <c r="H279" s="37">
        <v>0</v>
      </c>
      <c r="I279" s="5">
        <f t="shared" si="9"/>
        <v>2850</v>
      </c>
      <c r="J279" s="4" t="s">
        <v>61</v>
      </c>
      <c r="K279" s="4" t="s">
        <v>62</v>
      </c>
      <c r="L279" s="4"/>
    </row>
    <row r="280" spans="1:12" x14ac:dyDescent="0.2">
      <c r="A280" s="130">
        <v>66927</v>
      </c>
      <c r="B280" s="4" t="s">
        <v>329</v>
      </c>
      <c r="C280" s="4" t="s">
        <v>211</v>
      </c>
      <c r="D280" s="4" t="s">
        <v>60</v>
      </c>
      <c r="E280" s="36">
        <v>4</v>
      </c>
      <c r="F280" s="5">
        <v>90</v>
      </c>
      <c r="G280" s="5">
        <f t="shared" si="8"/>
        <v>360</v>
      </c>
      <c r="H280" s="37">
        <v>0</v>
      </c>
      <c r="I280" s="5">
        <f t="shared" si="9"/>
        <v>360</v>
      </c>
      <c r="J280" s="4" t="s">
        <v>61</v>
      </c>
      <c r="K280" s="4" t="s">
        <v>62</v>
      </c>
      <c r="L280" s="4"/>
    </row>
    <row r="281" spans="1:12" x14ac:dyDescent="0.2">
      <c r="A281" s="130">
        <v>66927</v>
      </c>
      <c r="B281" s="4" t="s">
        <v>330</v>
      </c>
      <c r="C281" s="4" t="s">
        <v>97</v>
      </c>
      <c r="D281" s="4" t="s">
        <v>60</v>
      </c>
      <c r="E281" s="36">
        <v>5.5</v>
      </c>
      <c r="F281" s="5">
        <v>91.82</v>
      </c>
      <c r="G281" s="5">
        <f t="shared" si="8"/>
        <v>505.01</v>
      </c>
      <c r="H281" s="37">
        <v>0</v>
      </c>
      <c r="I281" s="5">
        <f t="shared" si="9"/>
        <v>505.01</v>
      </c>
      <c r="J281" s="4" t="s">
        <v>61</v>
      </c>
      <c r="K281" s="4" t="s">
        <v>62</v>
      </c>
      <c r="L281" s="4"/>
    </row>
    <row r="282" spans="1:12" x14ac:dyDescent="0.2">
      <c r="A282" s="130">
        <v>66927</v>
      </c>
      <c r="B282" s="4" t="s">
        <v>331</v>
      </c>
      <c r="C282" s="4" t="s">
        <v>95</v>
      </c>
      <c r="D282" s="4" t="s">
        <v>60</v>
      </c>
      <c r="E282" s="36">
        <v>8</v>
      </c>
      <c r="F282" s="5">
        <v>85</v>
      </c>
      <c r="G282" s="5">
        <f t="shared" si="8"/>
        <v>680</v>
      </c>
      <c r="H282" s="37">
        <v>0</v>
      </c>
      <c r="I282" s="5">
        <f t="shared" si="9"/>
        <v>680</v>
      </c>
      <c r="J282" s="4" t="s">
        <v>61</v>
      </c>
      <c r="K282" s="4" t="s">
        <v>62</v>
      </c>
      <c r="L282" s="4"/>
    </row>
    <row r="283" spans="1:12" x14ac:dyDescent="0.2">
      <c r="A283" s="130">
        <v>66928</v>
      </c>
      <c r="B283" s="4" t="s">
        <v>332</v>
      </c>
      <c r="C283" s="4" t="s">
        <v>71</v>
      </c>
      <c r="D283" s="4" t="s">
        <v>60</v>
      </c>
      <c r="E283" s="36">
        <v>15</v>
      </c>
      <c r="F283" s="5">
        <v>86</v>
      </c>
      <c r="G283" s="5">
        <f t="shared" si="8"/>
        <v>1290</v>
      </c>
      <c r="H283" s="37">
        <v>0</v>
      </c>
      <c r="I283" s="5">
        <f t="shared" si="9"/>
        <v>1290</v>
      </c>
      <c r="J283" s="4" t="s">
        <v>61</v>
      </c>
      <c r="K283" s="4" t="s">
        <v>62</v>
      </c>
      <c r="L283" s="4"/>
    </row>
    <row r="284" spans="1:12" x14ac:dyDescent="0.2">
      <c r="A284" s="130">
        <v>66928</v>
      </c>
      <c r="B284" s="4" t="s">
        <v>333</v>
      </c>
      <c r="C284" s="4" t="s">
        <v>64</v>
      </c>
      <c r="D284" s="4" t="s">
        <v>60</v>
      </c>
      <c r="E284" s="36">
        <v>35</v>
      </c>
      <c r="F284" s="5">
        <v>85</v>
      </c>
      <c r="G284" s="5">
        <f t="shared" si="8"/>
        <v>2975</v>
      </c>
      <c r="H284" s="37">
        <v>0</v>
      </c>
      <c r="I284" s="5">
        <f t="shared" si="9"/>
        <v>2975</v>
      </c>
      <c r="J284" s="4" t="s">
        <v>61</v>
      </c>
      <c r="K284" s="4" t="s">
        <v>62</v>
      </c>
      <c r="L284" s="4"/>
    </row>
    <row r="285" spans="1:12" x14ac:dyDescent="0.2">
      <c r="A285" s="130">
        <v>66928</v>
      </c>
      <c r="B285" s="4" t="s">
        <v>334</v>
      </c>
      <c r="C285" s="4" t="s">
        <v>73</v>
      </c>
      <c r="D285" s="4" t="s">
        <v>60</v>
      </c>
      <c r="E285" s="36">
        <v>10</v>
      </c>
      <c r="F285" s="5">
        <v>85</v>
      </c>
      <c r="G285" s="5">
        <f t="shared" si="8"/>
        <v>850</v>
      </c>
      <c r="H285" s="37">
        <v>0</v>
      </c>
      <c r="I285" s="5">
        <f t="shared" si="9"/>
        <v>850</v>
      </c>
      <c r="J285" s="4" t="s">
        <v>61</v>
      </c>
      <c r="K285" s="4" t="s">
        <v>62</v>
      </c>
      <c r="L285" s="4"/>
    </row>
    <row r="286" spans="1:12" x14ac:dyDescent="0.2">
      <c r="A286" s="130">
        <v>66928</v>
      </c>
      <c r="B286" s="4" t="s">
        <v>335</v>
      </c>
      <c r="C286" s="4" t="s">
        <v>79</v>
      </c>
      <c r="D286" s="4" t="s">
        <v>60</v>
      </c>
      <c r="E286" s="36">
        <v>8</v>
      </c>
      <c r="F286" s="5">
        <v>85</v>
      </c>
      <c r="G286" s="5">
        <f t="shared" si="8"/>
        <v>680</v>
      </c>
      <c r="H286" s="37">
        <v>0</v>
      </c>
      <c r="I286" s="5">
        <f t="shared" si="9"/>
        <v>680</v>
      </c>
      <c r="J286" s="4" t="s">
        <v>61</v>
      </c>
      <c r="K286" s="4" t="s">
        <v>62</v>
      </c>
      <c r="L286" s="4"/>
    </row>
    <row r="287" spans="1:12" x14ac:dyDescent="0.2">
      <c r="A287" s="130">
        <v>66928</v>
      </c>
      <c r="B287" s="4" t="s">
        <v>336</v>
      </c>
      <c r="C287" s="4" t="s">
        <v>83</v>
      </c>
      <c r="D287" s="4" t="s">
        <v>60</v>
      </c>
      <c r="E287" s="36">
        <v>30</v>
      </c>
      <c r="F287" s="5">
        <v>86</v>
      </c>
      <c r="G287" s="5">
        <f t="shared" si="8"/>
        <v>2580</v>
      </c>
      <c r="H287" s="37">
        <v>0</v>
      </c>
      <c r="I287" s="5">
        <f t="shared" si="9"/>
        <v>2580</v>
      </c>
      <c r="J287" s="4" t="s">
        <v>61</v>
      </c>
      <c r="K287" s="4" t="s">
        <v>62</v>
      </c>
      <c r="L287" s="4"/>
    </row>
    <row r="288" spans="1:12" x14ac:dyDescent="0.2">
      <c r="A288" s="130">
        <v>66928</v>
      </c>
      <c r="B288" s="4" t="s">
        <v>337</v>
      </c>
      <c r="C288" s="4" t="s">
        <v>81</v>
      </c>
      <c r="D288" s="4" t="s">
        <v>60</v>
      </c>
      <c r="E288" s="36">
        <v>4</v>
      </c>
      <c r="F288" s="5">
        <v>86</v>
      </c>
      <c r="G288" s="5">
        <f t="shared" si="8"/>
        <v>344</v>
      </c>
      <c r="H288" s="37">
        <v>0</v>
      </c>
      <c r="I288" s="5">
        <f t="shared" si="9"/>
        <v>344</v>
      </c>
      <c r="J288" s="4" t="s">
        <v>61</v>
      </c>
      <c r="K288" s="4" t="s">
        <v>62</v>
      </c>
      <c r="L288" s="4"/>
    </row>
    <row r="289" spans="1:12" x14ac:dyDescent="0.2">
      <c r="A289" s="130">
        <v>66928</v>
      </c>
      <c r="B289" s="4" t="s">
        <v>338</v>
      </c>
      <c r="C289" s="4" t="s">
        <v>89</v>
      </c>
      <c r="D289" s="4" t="s">
        <v>60</v>
      </c>
      <c r="E289" s="36">
        <v>25</v>
      </c>
      <c r="F289" s="5">
        <v>95</v>
      </c>
      <c r="G289" s="5">
        <f t="shared" si="8"/>
        <v>2375</v>
      </c>
      <c r="H289" s="37">
        <v>0</v>
      </c>
      <c r="I289" s="5">
        <f t="shared" si="9"/>
        <v>2375</v>
      </c>
      <c r="J289" s="4" t="s">
        <v>61</v>
      </c>
      <c r="K289" s="4" t="s">
        <v>62</v>
      </c>
      <c r="L289" s="4"/>
    </row>
    <row r="290" spans="1:12" x14ac:dyDescent="0.2">
      <c r="A290" s="130">
        <v>66928</v>
      </c>
      <c r="B290" s="4" t="s">
        <v>338</v>
      </c>
      <c r="C290" s="4" t="s">
        <v>89</v>
      </c>
      <c r="D290" s="4" t="s">
        <v>60</v>
      </c>
      <c r="E290" s="36">
        <v>12</v>
      </c>
      <c r="F290" s="5">
        <v>85</v>
      </c>
      <c r="G290" s="5">
        <f t="shared" si="8"/>
        <v>1020</v>
      </c>
      <c r="H290" s="37">
        <v>0</v>
      </c>
      <c r="I290" s="5">
        <f t="shared" si="9"/>
        <v>1020</v>
      </c>
      <c r="J290" s="4" t="s">
        <v>61</v>
      </c>
      <c r="K290" s="4" t="s">
        <v>62</v>
      </c>
      <c r="L290" s="4"/>
    </row>
    <row r="291" spans="1:12" x14ac:dyDescent="0.2">
      <c r="A291" s="130">
        <v>66928</v>
      </c>
      <c r="B291" s="4" t="s">
        <v>339</v>
      </c>
      <c r="C291" s="4" t="s">
        <v>66</v>
      </c>
      <c r="D291" s="4" t="s">
        <v>60</v>
      </c>
      <c r="E291" s="36">
        <v>35</v>
      </c>
      <c r="F291" s="5">
        <v>85</v>
      </c>
      <c r="G291" s="5">
        <f t="shared" si="8"/>
        <v>2975</v>
      </c>
      <c r="H291" s="37">
        <v>0</v>
      </c>
      <c r="I291" s="5">
        <f t="shared" si="9"/>
        <v>2975</v>
      </c>
      <c r="J291" s="4" t="s">
        <v>61</v>
      </c>
      <c r="K291" s="4" t="s">
        <v>62</v>
      </c>
      <c r="L291" s="4"/>
    </row>
    <row r="292" spans="1:12" x14ac:dyDescent="0.2">
      <c r="A292" s="130">
        <v>66928</v>
      </c>
      <c r="B292" s="4" t="s">
        <v>340</v>
      </c>
      <c r="C292" s="4" t="s">
        <v>87</v>
      </c>
      <c r="D292" s="4" t="s">
        <v>60</v>
      </c>
      <c r="E292" s="36">
        <v>15</v>
      </c>
      <c r="F292" s="5">
        <v>85</v>
      </c>
      <c r="G292" s="5">
        <f t="shared" si="8"/>
        <v>1275</v>
      </c>
      <c r="H292" s="37">
        <v>0</v>
      </c>
      <c r="I292" s="5">
        <f t="shared" si="9"/>
        <v>1275</v>
      </c>
      <c r="J292" s="4" t="s">
        <v>61</v>
      </c>
      <c r="K292" s="4" t="s">
        <v>62</v>
      </c>
      <c r="L292" s="4"/>
    </row>
    <row r="293" spans="1:12" x14ac:dyDescent="0.2">
      <c r="A293" s="130">
        <v>66928</v>
      </c>
      <c r="B293" s="4" t="s">
        <v>341</v>
      </c>
      <c r="C293" s="4" t="s">
        <v>85</v>
      </c>
      <c r="D293" s="4" t="s">
        <v>60</v>
      </c>
      <c r="E293" s="36">
        <v>8</v>
      </c>
      <c r="F293" s="5">
        <v>85</v>
      </c>
      <c r="G293" s="5">
        <f t="shared" si="8"/>
        <v>680</v>
      </c>
      <c r="H293" s="37">
        <v>0</v>
      </c>
      <c r="I293" s="5">
        <f t="shared" si="9"/>
        <v>680</v>
      </c>
      <c r="J293" s="4" t="s">
        <v>61</v>
      </c>
      <c r="K293" s="4" t="s">
        <v>62</v>
      </c>
      <c r="L293" s="4"/>
    </row>
    <row r="294" spans="1:12" x14ac:dyDescent="0.2">
      <c r="A294" s="130">
        <v>66928</v>
      </c>
      <c r="B294" s="4" t="s">
        <v>342</v>
      </c>
      <c r="C294" s="4" t="s">
        <v>68</v>
      </c>
      <c r="D294" s="4" t="s">
        <v>60</v>
      </c>
      <c r="E294" s="36">
        <v>40</v>
      </c>
      <c r="F294" s="5">
        <v>86</v>
      </c>
      <c r="G294" s="5">
        <f t="shared" si="8"/>
        <v>3440</v>
      </c>
      <c r="H294" s="37">
        <v>0</v>
      </c>
      <c r="I294" s="5">
        <f t="shared" si="9"/>
        <v>3440</v>
      </c>
      <c r="J294" s="4" t="s">
        <v>61</v>
      </c>
      <c r="K294" s="4" t="s">
        <v>62</v>
      </c>
      <c r="L294" s="4"/>
    </row>
    <row r="295" spans="1:12" x14ac:dyDescent="0.2">
      <c r="A295" s="130">
        <v>66928</v>
      </c>
      <c r="B295" s="4" t="s">
        <v>342</v>
      </c>
      <c r="C295" s="4" t="s">
        <v>68</v>
      </c>
      <c r="D295" s="4" t="s">
        <v>60</v>
      </c>
      <c r="E295" s="36">
        <v>50</v>
      </c>
      <c r="F295" s="5">
        <v>85</v>
      </c>
      <c r="G295" s="5">
        <f t="shared" si="8"/>
        <v>4250</v>
      </c>
      <c r="H295" s="37">
        <v>0</v>
      </c>
      <c r="I295" s="5">
        <f t="shared" si="9"/>
        <v>4250</v>
      </c>
      <c r="J295" s="4" t="s">
        <v>61</v>
      </c>
      <c r="K295" s="4" t="s">
        <v>62</v>
      </c>
      <c r="L295" s="4"/>
    </row>
    <row r="296" spans="1:12" x14ac:dyDescent="0.2">
      <c r="A296" s="130">
        <v>66928</v>
      </c>
      <c r="B296" s="4" t="s">
        <v>342</v>
      </c>
      <c r="C296" s="4" t="s">
        <v>68</v>
      </c>
      <c r="D296" s="4" t="s">
        <v>69</v>
      </c>
      <c r="E296" s="36">
        <v>1</v>
      </c>
      <c r="F296" s="5">
        <v>80</v>
      </c>
      <c r="G296" s="5">
        <f t="shared" si="8"/>
        <v>80</v>
      </c>
      <c r="H296" s="37">
        <v>0</v>
      </c>
      <c r="I296" s="5">
        <f t="shared" si="9"/>
        <v>80</v>
      </c>
      <c r="J296" s="4" t="s">
        <v>61</v>
      </c>
      <c r="K296" s="4" t="s">
        <v>62</v>
      </c>
      <c r="L296" s="4"/>
    </row>
    <row r="297" spans="1:12" x14ac:dyDescent="0.2">
      <c r="A297" s="130">
        <v>66928</v>
      </c>
      <c r="B297" s="4" t="s">
        <v>343</v>
      </c>
      <c r="C297" s="4" t="s">
        <v>91</v>
      </c>
      <c r="D297" s="4" t="s">
        <v>60</v>
      </c>
      <c r="E297" s="36">
        <v>20</v>
      </c>
      <c r="F297" s="5">
        <v>84</v>
      </c>
      <c r="G297" s="5">
        <f t="shared" si="8"/>
        <v>1680</v>
      </c>
      <c r="H297" s="37">
        <v>0</v>
      </c>
      <c r="I297" s="5">
        <f t="shared" si="9"/>
        <v>1680</v>
      </c>
      <c r="J297" s="4" t="s">
        <v>61</v>
      </c>
      <c r="K297" s="4" t="s">
        <v>62</v>
      </c>
      <c r="L297" s="4"/>
    </row>
    <row r="298" spans="1:12" x14ac:dyDescent="0.2">
      <c r="A298" s="130">
        <v>66928</v>
      </c>
      <c r="B298" s="4" t="s">
        <v>344</v>
      </c>
      <c r="C298" s="4" t="s">
        <v>95</v>
      </c>
      <c r="D298" s="4" t="s">
        <v>60</v>
      </c>
      <c r="E298" s="36">
        <v>8</v>
      </c>
      <c r="F298" s="5">
        <v>85</v>
      </c>
      <c r="G298" s="5">
        <f t="shared" si="8"/>
        <v>680</v>
      </c>
      <c r="H298" s="37">
        <v>0</v>
      </c>
      <c r="I298" s="5">
        <f t="shared" si="9"/>
        <v>680</v>
      </c>
      <c r="J298" s="4" t="s">
        <v>61</v>
      </c>
      <c r="K298" s="4" t="s">
        <v>62</v>
      </c>
      <c r="L298" s="4"/>
    </row>
    <row r="299" spans="1:12" x14ac:dyDescent="0.2">
      <c r="A299" s="130">
        <v>66928</v>
      </c>
      <c r="B299" s="4" t="s">
        <v>345</v>
      </c>
      <c r="C299" s="4" t="s">
        <v>97</v>
      </c>
      <c r="D299" s="4" t="s">
        <v>60</v>
      </c>
      <c r="E299" s="36">
        <v>3.5</v>
      </c>
      <c r="F299" s="5">
        <v>100</v>
      </c>
      <c r="G299" s="5">
        <f t="shared" si="8"/>
        <v>350</v>
      </c>
      <c r="H299" s="37">
        <v>0</v>
      </c>
      <c r="I299" s="5">
        <f t="shared" si="9"/>
        <v>350</v>
      </c>
      <c r="J299" s="4" t="s">
        <v>61</v>
      </c>
      <c r="K299" s="4" t="s">
        <v>62</v>
      </c>
      <c r="L299" s="4"/>
    </row>
    <row r="300" spans="1:12" x14ac:dyDescent="0.2">
      <c r="A300" s="130">
        <v>66929</v>
      </c>
      <c r="B300" s="4" t="s">
        <v>346</v>
      </c>
      <c r="C300" s="4" t="s">
        <v>347</v>
      </c>
      <c r="D300" s="4" t="s">
        <v>348</v>
      </c>
      <c r="E300" s="36">
        <v>35</v>
      </c>
      <c r="F300" s="5">
        <v>48</v>
      </c>
      <c r="G300" s="5">
        <f t="shared" si="8"/>
        <v>1680</v>
      </c>
      <c r="H300" s="37">
        <v>0</v>
      </c>
      <c r="I300" s="5">
        <f t="shared" si="9"/>
        <v>1680</v>
      </c>
      <c r="J300" s="4" t="s">
        <v>61</v>
      </c>
      <c r="K300" s="4" t="s">
        <v>62</v>
      </c>
      <c r="L300" s="4"/>
    </row>
    <row r="301" spans="1:12" x14ac:dyDescent="0.2">
      <c r="A301" s="130">
        <v>66929</v>
      </c>
      <c r="B301" s="4" t="s">
        <v>349</v>
      </c>
      <c r="C301" s="4" t="s">
        <v>211</v>
      </c>
      <c r="D301" s="4" t="s">
        <v>60</v>
      </c>
      <c r="E301" s="36">
        <v>4</v>
      </c>
      <c r="F301" s="5">
        <v>90</v>
      </c>
      <c r="G301" s="5">
        <f t="shared" si="8"/>
        <v>360</v>
      </c>
      <c r="H301" s="37">
        <v>0</v>
      </c>
      <c r="I301" s="5">
        <f t="shared" si="9"/>
        <v>360</v>
      </c>
      <c r="J301" s="4" t="s">
        <v>61</v>
      </c>
      <c r="K301" s="4" t="s">
        <v>62</v>
      </c>
      <c r="L301" s="4"/>
    </row>
    <row r="302" spans="1:12" x14ac:dyDescent="0.2">
      <c r="A302" s="130">
        <v>66929</v>
      </c>
      <c r="B302" s="4" t="s">
        <v>350</v>
      </c>
      <c r="C302" s="4" t="s">
        <v>95</v>
      </c>
      <c r="D302" s="4" t="s">
        <v>60</v>
      </c>
      <c r="E302" s="36">
        <v>6</v>
      </c>
      <c r="F302" s="5">
        <v>85</v>
      </c>
      <c r="G302" s="5">
        <f t="shared" si="8"/>
        <v>510</v>
      </c>
      <c r="H302" s="37">
        <v>0</v>
      </c>
      <c r="I302" s="5">
        <f t="shared" si="9"/>
        <v>510</v>
      </c>
      <c r="J302" s="4" t="s">
        <v>61</v>
      </c>
      <c r="K302" s="4" t="s">
        <v>62</v>
      </c>
      <c r="L302" s="4"/>
    </row>
    <row r="303" spans="1:12" x14ac:dyDescent="0.2">
      <c r="A303" s="130">
        <v>66929</v>
      </c>
      <c r="B303" s="4" t="s">
        <v>351</v>
      </c>
      <c r="C303" s="4" t="s">
        <v>97</v>
      </c>
      <c r="D303" s="4" t="s">
        <v>60</v>
      </c>
      <c r="E303" s="36">
        <v>7.75</v>
      </c>
      <c r="F303" s="5">
        <v>92.26</v>
      </c>
      <c r="G303" s="5">
        <f t="shared" si="8"/>
        <v>715.01499999999999</v>
      </c>
      <c r="H303" s="37">
        <v>0</v>
      </c>
      <c r="I303" s="5">
        <f t="shared" si="9"/>
        <v>715.01499999999999</v>
      </c>
      <c r="J303" s="4" t="s">
        <v>61</v>
      </c>
      <c r="K303" s="4" t="s">
        <v>62</v>
      </c>
      <c r="L303" s="4"/>
    </row>
    <row r="304" spans="1:12" x14ac:dyDescent="0.2">
      <c r="A304" s="130">
        <v>66929</v>
      </c>
      <c r="B304" s="4" t="s">
        <v>352</v>
      </c>
      <c r="C304" s="4" t="s">
        <v>59</v>
      </c>
      <c r="D304" s="4" t="s">
        <v>60</v>
      </c>
      <c r="E304" s="36">
        <v>60</v>
      </c>
      <c r="F304" s="5">
        <v>85</v>
      </c>
      <c r="G304" s="5">
        <f t="shared" si="8"/>
        <v>5100</v>
      </c>
      <c r="H304" s="37">
        <v>0</v>
      </c>
      <c r="I304" s="5">
        <f t="shared" si="9"/>
        <v>5100</v>
      </c>
      <c r="J304" s="4" t="s">
        <v>61</v>
      </c>
      <c r="K304" s="4" t="s">
        <v>62</v>
      </c>
      <c r="L304" s="4"/>
    </row>
    <row r="305" spans="1:12" x14ac:dyDescent="0.2">
      <c r="A305" s="130">
        <v>66929</v>
      </c>
      <c r="B305" s="4" t="s">
        <v>352</v>
      </c>
      <c r="C305" s="4" t="s">
        <v>59</v>
      </c>
      <c r="D305" s="4" t="s">
        <v>69</v>
      </c>
      <c r="E305" s="36">
        <v>1</v>
      </c>
      <c r="F305" s="5">
        <v>80</v>
      </c>
      <c r="G305" s="5">
        <f t="shared" si="8"/>
        <v>80</v>
      </c>
      <c r="H305" s="37">
        <v>0</v>
      </c>
      <c r="I305" s="5">
        <f t="shared" si="9"/>
        <v>80</v>
      </c>
      <c r="J305" s="4" t="s">
        <v>61</v>
      </c>
      <c r="K305" s="4" t="s">
        <v>62</v>
      </c>
      <c r="L305" s="4"/>
    </row>
    <row r="306" spans="1:12" x14ac:dyDescent="0.2">
      <c r="A306" s="130">
        <v>66929</v>
      </c>
      <c r="B306" s="4" t="s">
        <v>353</v>
      </c>
      <c r="C306" s="4" t="s">
        <v>64</v>
      </c>
      <c r="D306" s="4" t="s">
        <v>60</v>
      </c>
      <c r="E306" s="36">
        <v>30</v>
      </c>
      <c r="F306" s="5">
        <v>85</v>
      </c>
      <c r="G306" s="5">
        <f t="shared" si="8"/>
        <v>2550</v>
      </c>
      <c r="H306" s="37">
        <v>0</v>
      </c>
      <c r="I306" s="5">
        <f t="shared" si="9"/>
        <v>2550</v>
      </c>
      <c r="J306" s="4" t="s">
        <v>61</v>
      </c>
      <c r="K306" s="4" t="s">
        <v>62</v>
      </c>
      <c r="L306" s="4"/>
    </row>
    <row r="307" spans="1:12" x14ac:dyDescent="0.2">
      <c r="A307" s="130">
        <v>66929</v>
      </c>
      <c r="B307" s="4" t="s">
        <v>354</v>
      </c>
      <c r="C307" s="4" t="s">
        <v>77</v>
      </c>
      <c r="D307" s="4" t="s">
        <v>60</v>
      </c>
      <c r="E307" s="36">
        <v>12</v>
      </c>
      <c r="F307" s="5">
        <v>85</v>
      </c>
      <c r="G307" s="5">
        <f t="shared" si="8"/>
        <v>1020</v>
      </c>
      <c r="H307" s="37">
        <v>0</v>
      </c>
      <c r="I307" s="5">
        <f t="shared" si="9"/>
        <v>1020</v>
      </c>
      <c r="J307" s="4" t="s">
        <v>61</v>
      </c>
      <c r="K307" s="4" t="s">
        <v>62</v>
      </c>
      <c r="L307" s="4"/>
    </row>
    <row r="308" spans="1:12" x14ac:dyDescent="0.2">
      <c r="A308" s="130">
        <v>66929</v>
      </c>
      <c r="B308" s="4" t="s">
        <v>355</v>
      </c>
      <c r="C308" s="4" t="s">
        <v>79</v>
      </c>
      <c r="D308" s="4" t="s">
        <v>60</v>
      </c>
      <c r="E308" s="36">
        <v>8</v>
      </c>
      <c r="F308" s="5">
        <v>85</v>
      </c>
      <c r="G308" s="5">
        <f t="shared" si="8"/>
        <v>680</v>
      </c>
      <c r="H308" s="37">
        <v>0</v>
      </c>
      <c r="I308" s="5">
        <f t="shared" si="9"/>
        <v>680</v>
      </c>
      <c r="J308" s="4" t="s">
        <v>61</v>
      </c>
      <c r="K308" s="4" t="s">
        <v>62</v>
      </c>
      <c r="L308" s="4"/>
    </row>
    <row r="309" spans="1:12" x14ac:dyDescent="0.2">
      <c r="A309" s="130">
        <v>66929</v>
      </c>
      <c r="B309" s="4" t="s">
        <v>356</v>
      </c>
      <c r="C309" s="4" t="s">
        <v>81</v>
      </c>
      <c r="D309" s="4" t="s">
        <v>60</v>
      </c>
      <c r="E309" s="36">
        <v>4</v>
      </c>
      <c r="F309" s="5">
        <v>86</v>
      </c>
      <c r="G309" s="5">
        <f t="shared" si="8"/>
        <v>344</v>
      </c>
      <c r="H309" s="37">
        <v>0</v>
      </c>
      <c r="I309" s="5">
        <f t="shared" si="9"/>
        <v>344</v>
      </c>
      <c r="J309" s="4" t="s">
        <v>61</v>
      </c>
      <c r="K309" s="4" t="s">
        <v>62</v>
      </c>
      <c r="L309" s="4"/>
    </row>
    <row r="310" spans="1:12" x14ac:dyDescent="0.2">
      <c r="A310" s="130">
        <v>66929</v>
      </c>
      <c r="B310" s="4" t="s">
        <v>357</v>
      </c>
      <c r="C310" s="4" t="s">
        <v>83</v>
      </c>
      <c r="D310" s="4" t="s">
        <v>60</v>
      </c>
      <c r="E310" s="36">
        <v>30</v>
      </c>
      <c r="F310" s="5">
        <v>86</v>
      </c>
      <c r="G310" s="5">
        <f t="shared" si="8"/>
        <v>2580</v>
      </c>
      <c r="H310" s="37">
        <v>0</v>
      </c>
      <c r="I310" s="5">
        <f t="shared" si="9"/>
        <v>2580</v>
      </c>
      <c r="J310" s="4" t="s">
        <v>61</v>
      </c>
      <c r="K310" s="4" t="s">
        <v>62</v>
      </c>
      <c r="L310" s="4"/>
    </row>
    <row r="311" spans="1:12" x14ac:dyDescent="0.2">
      <c r="A311" s="130">
        <v>66929</v>
      </c>
      <c r="B311" s="4" t="s">
        <v>358</v>
      </c>
      <c r="C311" s="4" t="s">
        <v>66</v>
      </c>
      <c r="D311" s="4" t="s">
        <v>60</v>
      </c>
      <c r="E311" s="36">
        <v>20</v>
      </c>
      <c r="F311" s="5">
        <v>85</v>
      </c>
      <c r="G311" s="5">
        <f t="shared" si="8"/>
        <v>1700</v>
      </c>
      <c r="H311" s="37">
        <v>0</v>
      </c>
      <c r="I311" s="5">
        <f t="shared" si="9"/>
        <v>1700</v>
      </c>
      <c r="J311" s="4" t="s">
        <v>61</v>
      </c>
      <c r="K311" s="4" t="s">
        <v>62</v>
      </c>
      <c r="L311" s="4"/>
    </row>
    <row r="312" spans="1:12" x14ac:dyDescent="0.2">
      <c r="A312" s="130">
        <v>66929</v>
      </c>
      <c r="B312" s="4" t="s">
        <v>359</v>
      </c>
      <c r="C312" s="4" t="s">
        <v>87</v>
      </c>
      <c r="D312" s="4" t="s">
        <v>60</v>
      </c>
      <c r="E312" s="36">
        <v>30</v>
      </c>
      <c r="F312" s="5">
        <v>85</v>
      </c>
      <c r="G312" s="5">
        <f t="shared" si="8"/>
        <v>2550</v>
      </c>
      <c r="H312" s="37">
        <v>0</v>
      </c>
      <c r="I312" s="5">
        <f t="shared" si="9"/>
        <v>2550</v>
      </c>
      <c r="J312" s="4" t="s">
        <v>61</v>
      </c>
      <c r="K312" s="4" t="s">
        <v>62</v>
      </c>
      <c r="L312" s="4"/>
    </row>
    <row r="313" spans="1:12" x14ac:dyDescent="0.2">
      <c r="A313" s="130">
        <v>66929</v>
      </c>
      <c r="B313" s="4" t="s">
        <v>360</v>
      </c>
      <c r="C313" s="4" t="s">
        <v>85</v>
      </c>
      <c r="D313" s="4" t="s">
        <v>60</v>
      </c>
      <c r="E313" s="36">
        <v>8</v>
      </c>
      <c r="F313" s="5">
        <v>85</v>
      </c>
      <c r="G313" s="5">
        <f t="shared" si="8"/>
        <v>680</v>
      </c>
      <c r="H313" s="37">
        <v>0</v>
      </c>
      <c r="I313" s="5">
        <f t="shared" si="9"/>
        <v>680</v>
      </c>
      <c r="J313" s="4" t="s">
        <v>61</v>
      </c>
      <c r="K313" s="4" t="s">
        <v>62</v>
      </c>
      <c r="L313" s="4"/>
    </row>
    <row r="314" spans="1:12" x14ac:dyDescent="0.2">
      <c r="A314" s="130">
        <v>66929</v>
      </c>
      <c r="B314" s="4" t="s">
        <v>361</v>
      </c>
      <c r="C314" s="4" t="s">
        <v>91</v>
      </c>
      <c r="D314" s="4" t="s">
        <v>60</v>
      </c>
      <c r="E314" s="36">
        <v>26</v>
      </c>
      <c r="F314" s="5">
        <v>84</v>
      </c>
      <c r="G314" s="5">
        <f t="shared" si="8"/>
        <v>2184</v>
      </c>
      <c r="H314" s="37">
        <v>0</v>
      </c>
      <c r="I314" s="5">
        <f t="shared" si="9"/>
        <v>2184</v>
      </c>
      <c r="J314" s="4" t="s">
        <v>61</v>
      </c>
      <c r="K314" s="4" t="s">
        <v>62</v>
      </c>
      <c r="L314" s="4"/>
    </row>
    <row r="315" spans="1:12" x14ac:dyDescent="0.2">
      <c r="A315" s="130">
        <v>66929</v>
      </c>
      <c r="B315" s="4" t="s">
        <v>362</v>
      </c>
      <c r="C315" s="4" t="s">
        <v>68</v>
      </c>
      <c r="D315" s="4" t="s">
        <v>60</v>
      </c>
      <c r="E315" s="36">
        <v>40</v>
      </c>
      <c r="F315" s="5">
        <v>86</v>
      </c>
      <c r="G315" s="5">
        <f t="shared" si="8"/>
        <v>3440</v>
      </c>
      <c r="H315" s="37">
        <v>0</v>
      </c>
      <c r="I315" s="5">
        <f t="shared" si="9"/>
        <v>3440</v>
      </c>
      <c r="J315" s="4" t="s">
        <v>61</v>
      </c>
      <c r="K315" s="4" t="s">
        <v>62</v>
      </c>
      <c r="L315" s="4"/>
    </row>
    <row r="316" spans="1:12" x14ac:dyDescent="0.2">
      <c r="A316" s="130">
        <v>66929</v>
      </c>
      <c r="B316" s="4" t="s">
        <v>362</v>
      </c>
      <c r="C316" s="4" t="s">
        <v>68</v>
      </c>
      <c r="D316" s="4" t="s">
        <v>60</v>
      </c>
      <c r="E316" s="36">
        <v>70</v>
      </c>
      <c r="F316" s="5">
        <v>85</v>
      </c>
      <c r="G316" s="5">
        <f t="shared" si="8"/>
        <v>5950</v>
      </c>
      <c r="H316" s="37">
        <v>0</v>
      </c>
      <c r="I316" s="5">
        <f t="shared" si="9"/>
        <v>5950</v>
      </c>
      <c r="J316" s="4" t="s">
        <v>61</v>
      </c>
      <c r="K316" s="4" t="s">
        <v>62</v>
      </c>
      <c r="L316" s="4"/>
    </row>
    <row r="317" spans="1:12" x14ac:dyDescent="0.2">
      <c r="A317" s="130">
        <v>66929</v>
      </c>
      <c r="B317" s="4" t="s">
        <v>362</v>
      </c>
      <c r="C317" s="4" t="s">
        <v>68</v>
      </c>
      <c r="D317" s="4" t="s">
        <v>69</v>
      </c>
      <c r="E317" s="36">
        <v>1</v>
      </c>
      <c r="F317" s="5">
        <v>80</v>
      </c>
      <c r="G317" s="5">
        <f t="shared" si="8"/>
        <v>80</v>
      </c>
      <c r="H317" s="37">
        <v>0</v>
      </c>
      <c r="I317" s="5">
        <f t="shared" si="9"/>
        <v>80</v>
      </c>
      <c r="J317" s="4" t="s">
        <v>61</v>
      </c>
      <c r="K317" s="4" t="s">
        <v>62</v>
      </c>
      <c r="L317" s="4"/>
    </row>
    <row r="318" spans="1:12" x14ac:dyDescent="0.2">
      <c r="A318" s="130">
        <v>66929</v>
      </c>
      <c r="B318" s="4" t="s">
        <v>363</v>
      </c>
      <c r="C318" s="4" t="s">
        <v>71</v>
      </c>
      <c r="D318" s="4" t="s">
        <v>60</v>
      </c>
      <c r="E318" s="36">
        <v>15</v>
      </c>
      <c r="F318" s="5">
        <v>86</v>
      </c>
      <c r="G318" s="5">
        <f t="shared" si="8"/>
        <v>1290</v>
      </c>
      <c r="H318" s="37">
        <v>0</v>
      </c>
      <c r="I318" s="5">
        <f t="shared" si="9"/>
        <v>1290</v>
      </c>
      <c r="J318" s="4" t="s">
        <v>61</v>
      </c>
      <c r="K318" s="4" t="s">
        <v>62</v>
      </c>
      <c r="L318" s="4"/>
    </row>
    <row r="319" spans="1:12" x14ac:dyDescent="0.2">
      <c r="A319" s="130">
        <v>66929</v>
      </c>
      <c r="B319" s="4" t="s">
        <v>364</v>
      </c>
      <c r="C319" s="4" t="s">
        <v>89</v>
      </c>
      <c r="D319" s="4" t="s">
        <v>60</v>
      </c>
      <c r="E319" s="36">
        <v>20</v>
      </c>
      <c r="F319" s="5">
        <v>95</v>
      </c>
      <c r="G319" s="5">
        <f t="shared" si="8"/>
        <v>1900</v>
      </c>
      <c r="H319" s="37">
        <v>0</v>
      </c>
      <c r="I319" s="5">
        <f t="shared" si="9"/>
        <v>1900</v>
      </c>
      <c r="J319" s="4" t="s">
        <v>61</v>
      </c>
      <c r="K319" s="4" t="s">
        <v>62</v>
      </c>
      <c r="L319" s="4"/>
    </row>
    <row r="320" spans="1:12" x14ac:dyDescent="0.2">
      <c r="A320" s="130">
        <v>66929</v>
      </c>
      <c r="B320" s="4" t="s">
        <v>364</v>
      </c>
      <c r="C320" s="4" t="s">
        <v>89</v>
      </c>
      <c r="D320" s="4" t="s">
        <v>60</v>
      </c>
      <c r="E320" s="36">
        <v>12</v>
      </c>
      <c r="F320" s="5">
        <v>85</v>
      </c>
      <c r="G320" s="5">
        <f t="shared" si="8"/>
        <v>1020</v>
      </c>
      <c r="H320" s="37">
        <v>0</v>
      </c>
      <c r="I320" s="5">
        <f t="shared" si="9"/>
        <v>1020</v>
      </c>
      <c r="J320" s="4" t="s">
        <v>61</v>
      </c>
      <c r="K320" s="4" t="s">
        <v>62</v>
      </c>
      <c r="L320" s="4"/>
    </row>
    <row r="321" spans="1:12" x14ac:dyDescent="0.2">
      <c r="A321" s="130">
        <v>66930</v>
      </c>
      <c r="B321" s="4" t="s">
        <v>365</v>
      </c>
      <c r="C321" s="4" t="s">
        <v>59</v>
      </c>
      <c r="D321" s="4" t="s">
        <v>60</v>
      </c>
      <c r="E321" s="36">
        <v>60</v>
      </c>
      <c r="F321" s="5">
        <v>85</v>
      </c>
      <c r="G321" s="5">
        <f t="shared" si="8"/>
        <v>5100</v>
      </c>
      <c r="H321" s="37">
        <v>0</v>
      </c>
      <c r="I321" s="5">
        <f t="shared" si="9"/>
        <v>5100</v>
      </c>
      <c r="J321" s="4" t="s">
        <v>61</v>
      </c>
      <c r="K321" s="4" t="s">
        <v>62</v>
      </c>
      <c r="L321" s="4"/>
    </row>
    <row r="322" spans="1:12" x14ac:dyDescent="0.2">
      <c r="A322" s="130">
        <v>66930</v>
      </c>
      <c r="B322" s="4" t="s">
        <v>365</v>
      </c>
      <c r="C322" s="4" t="s">
        <v>59</v>
      </c>
      <c r="D322" s="4" t="s">
        <v>69</v>
      </c>
      <c r="E322" s="36">
        <v>1</v>
      </c>
      <c r="F322" s="5">
        <v>80</v>
      </c>
      <c r="G322" s="5">
        <f t="shared" si="8"/>
        <v>80</v>
      </c>
      <c r="H322" s="37">
        <v>0</v>
      </c>
      <c r="I322" s="5">
        <f t="shared" si="9"/>
        <v>80</v>
      </c>
      <c r="J322" s="4" t="s">
        <v>61</v>
      </c>
      <c r="K322" s="4" t="s">
        <v>62</v>
      </c>
      <c r="L322" s="4"/>
    </row>
    <row r="323" spans="1:12" x14ac:dyDescent="0.2">
      <c r="A323" s="130">
        <v>66930</v>
      </c>
      <c r="B323" s="4" t="s">
        <v>366</v>
      </c>
      <c r="C323" s="4" t="s">
        <v>64</v>
      </c>
      <c r="D323" s="4" t="s">
        <v>60</v>
      </c>
      <c r="E323" s="36">
        <v>35</v>
      </c>
      <c r="F323" s="5">
        <v>85</v>
      </c>
      <c r="G323" s="5">
        <f t="shared" ref="G323:G386" si="10">IF($E323="","",$E323*$F323)</f>
        <v>2975</v>
      </c>
      <c r="H323" s="37">
        <v>0</v>
      </c>
      <c r="I323" s="5">
        <f t="shared" ref="I323:I386" si="11">IF($E323="","",$G323*(1-$H323/100))</f>
        <v>2975</v>
      </c>
      <c r="J323" s="4" t="s">
        <v>61</v>
      </c>
      <c r="K323" s="4" t="s">
        <v>62</v>
      </c>
      <c r="L323" s="4"/>
    </row>
    <row r="324" spans="1:12" x14ac:dyDescent="0.2">
      <c r="A324" s="130">
        <v>66930</v>
      </c>
      <c r="B324" s="4" t="s">
        <v>367</v>
      </c>
      <c r="C324" s="4" t="s">
        <v>66</v>
      </c>
      <c r="D324" s="4" t="s">
        <v>60</v>
      </c>
      <c r="E324" s="36">
        <v>20</v>
      </c>
      <c r="F324" s="5">
        <v>85</v>
      </c>
      <c r="G324" s="5">
        <f t="shared" si="10"/>
        <v>1700</v>
      </c>
      <c r="H324" s="37">
        <v>0</v>
      </c>
      <c r="I324" s="5">
        <f t="shared" si="11"/>
        <v>1700</v>
      </c>
      <c r="J324" s="4" t="s">
        <v>61</v>
      </c>
      <c r="K324" s="4" t="s">
        <v>62</v>
      </c>
      <c r="L324" s="4"/>
    </row>
    <row r="325" spans="1:12" x14ac:dyDescent="0.2">
      <c r="A325" s="130">
        <v>66930</v>
      </c>
      <c r="B325" s="4" t="s">
        <v>368</v>
      </c>
      <c r="C325" s="4" t="s">
        <v>68</v>
      </c>
      <c r="D325" s="4" t="s">
        <v>60</v>
      </c>
      <c r="E325" s="36">
        <v>50</v>
      </c>
      <c r="F325" s="5">
        <v>86</v>
      </c>
      <c r="G325" s="5">
        <f t="shared" si="10"/>
        <v>4300</v>
      </c>
      <c r="H325" s="37">
        <v>0</v>
      </c>
      <c r="I325" s="5">
        <f t="shared" si="11"/>
        <v>4300</v>
      </c>
      <c r="J325" s="4" t="s">
        <v>61</v>
      </c>
      <c r="K325" s="4" t="s">
        <v>62</v>
      </c>
      <c r="L325" s="4"/>
    </row>
    <row r="326" spans="1:12" x14ac:dyDescent="0.2">
      <c r="A326" s="130">
        <v>66930</v>
      </c>
      <c r="B326" s="4" t="s">
        <v>368</v>
      </c>
      <c r="C326" s="4" t="s">
        <v>68</v>
      </c>
      <c r="D326" s="4" t="s">
        <v>60</v>
      </c>
      <c r="E326" s="36">
        <v>40</v>
      </c>
      <c r="F326" s="5">
        <v>85</v>
      </c>
      <c r="G326" s="5">
        <f t="shared" si="10"/>
        <v>3400</v>
      </c>
      <c r="H326" s="37">
        <v>0</v>
      </c>
      <c r="I326" s="5">
        <f t="shared" si="11"/>
        <v>3400</v>
      </c>
      <c r="J326" s="4" t="s">
        <v>61</v>
      </c>
      <c r="K326" s="4" t="s">
        <v>62</v>
      </c>
      <c r="L326" s="4"/>
    </row>
    <row r="327" spans="1:12" x14ac:dyDescent="0.2">
      <c r="A327" s="130">
        <v>66930</v>
      </c>
      <c r="B327" s="4" t="s">
        <v>368</v>
      </c>
      <c r="C327" s="4" t="s">
        <v>68</v>
      </c>
      <c r="D327" s="4" t="s">
        <v>69</v>
      </c>
      <c r="E327" s="36">
        <v>1</v>
      </c>
      <c r="F327" s="5">
        <v>80</v>
      </c>
      <c r="G327" s="5">
        <f t="shared" si="10"/>
        <v>80</v>
      </c>
      <c r="H327" s="37">
        <v>0</v>
      </c>
      <c r="I327" s="5">
        <f t="shared" si="11"/>
        <v>80</v>
      </c>
      <c r="J327" s="4" t="s">
        <v>61</v>
      </c>
      <c r="K327" s="4" t="s">
        <v>62</v>
      </c>
      <c r="L327" s="4"/>
    </row>
    <row r="328" spans="1:12" x14ac:dyDescent="0.2">
      <c r="A328" s="130">
        <v>66930</v>
      </c>
      <c r="B328" s="4" t="s">
        <v>369</v>
      </c>
      <c r="C328" s="4" t="s">
        <v>87</v>
      </c>
      <c r="D328" s="4" t="s">
        <v>60</v>
      </c>
      <c r="E328" s="36">
        <v>15</v>
      </c>
      <c r="F328" s="5">
        <v>85</v>
      </c>
      <c r="G328" s="5">
        <f t="shared" si="10"/>
        <v>1275</v>
      </c>
      <c r="H328" s="37">
        <v>0</v>
      </c>
      <c r="I328" s="5">
        <f t="shared" si="11"/>
        <v>1275</v>
      </c>
      <c r="J328" s="4" t="s">
        <v>61</v>
      </c>
      <c r="K328" s="4" t="s">
        <v>62</v>
      </c>
      <c r="L328" s="4"/>
    </row>
    <row r="329" spans="1:12" x14ac:dyDescent="0.2">
      <c r="A329" s="130">
        <v>66930</v>
      </c>
      <c r="B329" s="4" t="s">
        <v>370</v>
      </c>
      <c r="C329" s="4" t="s">
        <v>83</v>
      </c>
      <c r="D329" s="4" t="s">
        <v>60</v>
      </c>
      <c r="E329" s="36">
        <v>20</v>
      </c>
      <c r="F329" s="5">
        <v>86</v>
      </c>
      <c r="G329" s="5">
        <f t="shared" si="10"/>
        <v>1720</v>
      </c>
      <c r="H329" s="37">
        <v>0</v>
      </c>
      <c r="I329" s="5">
        <f t="shared" si="11"/>
        <v>1720</v>
      </c>
      <c r="J329" s="4" t="s">
        <v>61</v>
      </c>
      <c r="K329" s="4" t="s">
        <v>62</v>
      </c>
      <c r="L329" s="4"/>
    </row>
    <row r="330" spans="1:12" x14ac:dyDescent="0.2">
      <c r="A330" s="130">
        <v>66930</v>
      </c>
      <c r="B330" s="4" t="s">
        <v>371</v>
      </c>
      <c r="C330" s="4" t="s">
        <v>81</v>
      </c>
      <c r="D330" s="4" t="s">
        <v>60</v>
      </c>
      <c r="E330" s="36">
        <v>4</v>
      </c>
      <c r="F330" s="5">
        <v>86</v>
      </c>
      <c r="G330" s="5">
        <f t="shared" si="10"/>
        <v>344</v>
      </c>
      <c r="H330" s="37">
        <v>0</v>
      </c>
      <c r="I330" s="5">
        <f t="shared" si="11"/>
        <v>344</v>
      </c>
      <c r="J330" s="4" t="s">
        <v>61</v>
      </c>
      <c r="K330" s="4" t="s">
        <v>62</v>
      </c>
      <c r="L330" s="4"/>
    </row>
    <row r="331" spans="1:12" x14ac:dyDescent="0.2">
      <c r="A331" s="130">
        <v>66930</v>
      </c>
      <c r="B331" s="4" t="s">
        <v>372</v>
      </c>
      <c r="C331" s="4" t="s">
        <v>85</v>
      </c>
      <c r="D331" s="4" t="s">
        <v>60</v>
      </c>
      <c r="E331" s="36">
        <v>5</v>
      </c>
      <c r="F331" s="5">
        <v>85</v>
      </c>
      <c r="G331" s="5">
        <f t="shared" si="10"/>
        <v>425</v>
      </c>
      <c r="H331" s="37">
        <v>0</v>
      </c>
      <c r="I331" s="5">
        <f t="shared" si="11"/>
        <v>425</v>
      </c>
      <c r="J331" s="4" t="s">
        <v>61</v>
      </c>
      <c r="K331" s="4" t="s">
        <v>62</v>
      </c>
      <c r="L331" s="4"/>
    </row>
    <row r="332" spans="1:12" x14ac:dyDescent="0.2">
      <c r="A332" s="130">
        <v>66930</v>
      </c>
      <c r="B332" s="4" t="s">
        <v>373</v>
      </c>
      <c r="C332" s="4" t="s">
        <v>79</v>
      </c>
      <c r="D332" s="4" t="s">
        <v>60</v>
      </c>
      <c r="E332" s="36">
        <v>8</v>
      </c>
      <c r="F332" s="5">
        <v>85</v>
      </c>
      <c r="G332" s="5">
        <f t="shared" si="10"/>
        <v>680</v>
      </c>
      <c r="H332" s="37">
        <v>0</v>
      </c>
      <c r="I332" s="5">
        <f t="shared" si="11"/>
        <v>680</v>
      </c>
      <c r="J332" s="4" t="s">
        <v>61</v>
      </c>
      <c r="K332" s="4" t="s">
        <v>62</v>
      </c>
      <c r="L332" s="4"/>
    </row>
    <row r="333" spans="1:12" x14ac:dyDescent="0.2">
      <c r="A333" s="130">
        <v>66930</v>
      </c>
      <c r="B333" s="4" t="s">
        <v>374</v>
      </c>
      <c r="C333" s="4" t="s">
        <v>77</v>
      </c>
      <c r="D333" s="4" t="s">
        <v>60</v>
      </c>
      <c r="E333" s="36">
        <v>15</v>
      </c>
      <c r="F333" s="5">
        <v>85</v>
      </c>
      <c r="G333" s="5">
        <f t="shared" si="10"/>
        <v>1275</v>
      </c>
      <c r="H333" s="37">
        <v>0</v>
      </c>
      <c r="I333" s="5">
        <f t="shared" si="11"/>
        <v>1275</v>
      </c>
      <c r="J333" s="4" t="s">
        <v>61</v>
      </c>
      <c r="K333" s="4" t="s">
        <v>62</v>
      </c>
      <c r="L333" s="4"/>
    </row>
    <row r="334" spans="1:12" x14ac:dyDescent="0.2">
      <c r="A334" s="130">
        <v>66930</v>
      </c>
      <c r="B334" s="4" t="s">
        <v>375</v>
      </c>
      <c r="C334" s="4" t="s">
        <v>73</v>
      </c>
      <c r="D334" s="4" t="s">
        <v>60</v>
      </c>
      <c r="E334" s="36">
        <v>10</v>
      </c>
      <c r="F334" s="5">
        <v>85</v>
      </c>
      <c r="G334" s="5">
        <f t="shared" si="10"/>
        <v>850</v>
      </c>
      <c r="H334" s="37">
        <v>0</v>
      </c>
      <c r="I334" s="5">
        <f t="shared" si="11"/>
        <v>850</v>
      </c>
      <c r="J334" s="4" t="s">
        <v>61</v>
      </c>
      <c r="K334" s="4" t="s">
        <v>62</v>
      </c>
      <c r="L334" s="4"/>
    </row>
    <row r="335" spans="1:12" x14ac:dyDescent="0.2">
      <c r="A335" s="130">
        <v>66930</v>
      </c>
      <c r="B335" s="4" t="s">
        <v>376</v>
      </c>
      <c r="C335" s="4" t="s">
        <v>89</v>
      </c>
      <c r="D335" s="4" t="s">
        <v>60</v>
      </c>
      <c r="E335" s="36">
        <v>25</v>
      </c>
      <c r="F335" s="5">
        <v>95</v>
      </c>
      <c r="G335" s="5">
        <f t="shared" si="10"/>
        <v>2375</v>
      </c>
      <c r="H335" s="37">
        <v>0</v>
      </c>
      <c r="I335" s="5">
        <f t="shared" si="11"/>
        <v>2375</v>
      </c>
      <c r="J335" s="4" t="s">
        <v>61</v>
      </c>
      <c r="K335" s="4" t="s">
        <v>62</v>
      </c>
      <c r="L335" s="4"/>
    </row>
    <row r="336" spans="1:12" x14ac:dyDescent="0.2">
      <c r="A336" s="130">
        <v>66930</v>
      </c>
      <c r="B336" s="4" t="s">
        <v>377</v>
      </c>
      <c r="C336" s="4" t="s">
        <v>71</v>
      </c>
      <c r="D336" s="4" t="s">
        <v>60</v>
      </c>
      <c r="E336" s="36">
        <v>10</v>
      </c>
      <c r="F336" s="5">
        <v>86</v>
      </c>
      <c r="G336" s="5">
        <f t="shared" si="10"/>
        <v>860</v>
      </c>
      <c r="H336" s="37">
        <v>0</v>
      </c>
      <c r="I336" s="5">
        <f t="shared" si="11"/>
        <v>860</v>
      </c>
      <c r="J336" s="4" t="s">
        <v>61</v>
      </c>
      <c r="K336" s="4" t="s">
        <v>62</v>
      </c>
      <c r="L336" s="4"/>
    </row>
    <row r="337" spans="1:12" x14ac:dyDescent="0.2">
      <c r="A337" s="130">
        <v>66930</v>
      </c>
      <c r="B337" s="4" t="s">
        <v>377</v>
      </c>
      <c r="C337" s="4" t="s">
        <v>71</v>
      </c>
      <c r="D337" s="4" t="s">
        <v>93</v>
      </c>
      <c r="E337" s="36">
        <v>2</v>
      </c>
      <c r="F337" s="5">
        <v>800</v>
      </c>
      <c r="G337" s="5">
        <f t="shared" si="10"/>
        <v>1600</v>
      </c>
      <c r="H337" s="37">
        <v>0</v>
      </c>
      <c r="I337" s="5">
        <f t="shared" si="11"/>
        <v>1600</v>
      </c>
      <c r="J337" s="4" t="s">
        <v>61</v>
      </c>
      <c r="K337" s="4" t="s">
        <v>62</v>
      </c>
      <c r="L337" s="4"/>
    </row>
    <row r="338" spans="1:12" x14ac:dyDescent="0.2">
      <c r="A338" s="130">
        <v>66930</v>
      </c>
      <c r="B338" s="4" t="s">
        <v>378</v>
      </c>
      <c r="C338" s="4" t="s">
        <v>91</v>
      </c>
      <c r="D338" s="4" t="s">
        <v>60</v>
      </c>
      <c r="E338" s="36">
        <v>25</v>
      </c>
      <c r="F338" s="5">
        <v>84</v>
      </c>
      <c r="G338" s="5">
        <f t="shared" si="10"/>
        <v>2100</v>
      </c>
      <c r="H338" s="37">
        <v>0</v>
      </c>
      <c r="I338" s="5">
        <f t="shared" si="11"/>
        <v>2100</v>
      </c>
      <c r="J338" s="4" t="s">
        <v>61</v>
      </c>
      <c r="K338" s="4" t="s">
        <v>62</v>
      </c>
      <c r="L338" s="4"/>
    </row>
    <row r="339" spans="1:12" x14ac:dyDescent="0.2">
      <c r="A339" s="130">
        <v>66930</v>
      </c>
      <c r="B339" s="4" t="s">
        <v>379</v>
      </c>
      <c r="C339" s="4" t="s">
        <v>95</v>
      </c>
      <c r="D339" s="4" t="s">
        <v>60</v>
      </c>
      <c r="E339" s="36">
        <v>7</v>
      </c>
      <c r="F339" s="5">
        <v>85</v>
      </c>
      <c r="G339" s="5">
        <f t="shared" si="10"/>
        <v>595</v>
      </c>
      <c r="H339" s="37">
        <v>0</v>
      </c>
      <c r="I339" s="5">
        <f t="shared" si="11"/>
        <v>595</v>
      </c>
      <c r="J339" s="4" t="s">
        <v>61</v>
      </c>
      <c r="K339" s="4" t="s">
        <v>62</v>
      </c>
      <c r="L339" s="4"/>
    </row>
    <row r="340" spans="1:12" x14ac:dyDescent="0.2">
      <c r="A340" s="130">
        <v>66930</v>
      </c>
      <c r="B340" s="4" t="s">
        <v>380</v>
      </c>
      <c r="C340" s="4" t="s">
        <v>97</v>
      </c>
      <c r="D340" s="4" t="s">
        <v>60</v>
      </c>
      <c r="E340" s="36">
        <v>5.25</v>
      </c>
      <c r="F340" s="5">
        <v>100</v>
      </c>
      <c r="G340" s="5">
        <f t="shared" si="10"/>
        <v>525</v>
      </c>
      <c r="H340" s="37">
        <v>0</v>
      </c>
      <c r="I340" s="5">
        <f t="shared" si="11"/>
        <v>525</v>
      </c>
      <c r="J340" s="4" t="s">
        <v>61</v>
      </c>
      <c r="K340" s="4" t="s">
        <v>62</v>
      </c>
      <c r="L340" s="4"/>
    </row>
    <row r="341" spans="1:12" x14ac:dyDescent="0.2">
      <c r="A341" s="130">
        <v>66931</v>
      </c>
      <c r="B341" s="4" t="s">
        <v>381</v>
      </c>
      <c r="C341" s="4" t="s">
        <v>59</v>
      </c>
      <c r="D341" s="4" t="s">
        <v>60</v>
      </c>
      <c r="E341" s="36">
        <v>60</v>
      </c>
      <c r="F341" s="5">
        <v>85</v>
      </c>
      <c r="G341" s="5">
        <f t="shared" si="10"/>
        <v>5100</v>
      </c>
      <c r="H341" s="37">
        <v>0</v>
      </c>
      <c r="I341" s="5">
        <f t="shared" si="11"/>
        <v>5100</v>
      </c>
      <c r="J341" s="4" t="s">
        <v>61</v>
      </c>
      <c r="K341" s="4" t="s">
        <v>62</v>
      </c>
      <c r="L341" s="4"/>
    </row>
    <row r="342" spans="1:12" x14ac:dyDescent="0.2">
      <c r="A342" s="130">
        <v>66931</v>
      </c>
      <c r="B342" s="4" t="s">
        <v>381</v>
      </c>
      <c r="C342" s="4" t="s">
        <v>59</v>
      </c>
      <c r="D342" s="4" t="s">
        <v>69</v>
      </c>
      <c r="E342" s="36">
        <v>1</v>
      </c>
      <c r="F342" s="5">
        <v>80</v>
      </c>
      <c r="G342" s="5">
        <f t="shared" si="10"/>
        <v>80</v>
      </c>
      <c r="H342" s="37">
        <v>0</v>
      </c>
      <c r="I342" s="5">
        <f t="shared" si="11"/>
        <v>80</v>
      </c>
      <c r="J342" s="4" t="s">
        <v>61</v>
      </c>
      <c r="K342" s="4" t="s">
        <v>62</v>
      </c>
      <c r="L342" s="4"/>
    </row>
    <row r="343" spans="1:12" x14ac:dyDescent="0.2">
      <c r="A343" s="130">
        <v>66931</v>
      </c>
      <c r="B343" s="4" t="s">
        <v>382</v>
      </c>
      <c r="C343" s="4" t="s">
        <v>64</v>
      </c>
      <c r="D343" s="4" t="s">
        <v>60</v>
      </c>
      <c r="E343" s="36">
        <v>35</v>
      </c>
      <c r="F343" s="5">
        <v>85</v>
      </c>
      <c r="G343" s="5">
        <f t="shared" si="10"/>
        <v>2975</v>
      </c>
      <c r="H343" s="37">
        <v>0</v>
      </c>
      <c r="I343" s="5">
        <f t="shared" si="11"/>
        <v>2975</v>
      </c>
      <c r="J343" s="4" t="s">
        <v>61</v>
      </c>
      <c r="K343" s="4" t="s">
        <v>62</v>
      </c>
      <c r="L343" s="4"/>
    </row>
    <row r="344" spans="1:12" x14ac:dyDescent="0.2">
      <c r="A344" s="130">
        <v>66931</v>
      </c>
      <c r="B344" s="4" t="s">
        <v>383</v>
      </c>
      <c r="C344" s="4" t="s">
        <v>73</v>
      </c>
      <c r="D344" s="4" t="s">
        <v>60</v>
      </c>
      <c r="E344" s="36">
        <v>10</v>
      </c>
      <c r="F344" s="5">
        <v>85</v>
      </c>
      <c r="G344" s="5">
        <f t="shared" si="10"/>
        <v>850</v>
      </c>
      <c r="H344" s="37">
        <v>0</v>
      </c>
      <c r="I344" s="5">
        <f t="shared" si="11"/>
        <v>850</v>
      </c>
      <c r="J344" s="4" t="s">
        <v>61</v>
      </c>
      <c r="K344" s="4" t="s">
        <v>62</v>
      </c>
      <c r="L344" s="4"/>
    </row>
    <row r="345" spans="1:12" x14ac:dyDescent="0.2">
      <c r="A345" s="130">
        <v>66931</v>
      </c>
      <c r="B345" s="4" t="s">
        <v>384</v>
      </c>
      <c r="C345" s="4" t="s">
        <v>79</v>
      </c>
      <c r="D345" s="4" t="s">
        <v>60</v>
      </c>
      <c r="E345" s="36">
        <v>8</v>
      </c>
      <c r="F345" s="5">
        <v>85</v>
      </c>
      <c r="G345" s="5">
        <f t="shared" si="10"/>
        <v>680</v>
      </c>
      <c r="H345" s="37">
        <v>0</v>
      </c>
      <c r="I345" s="5">
        <f t="shared" si="11"/>
        <v>680</v>
      </c>
      <c r="J345" s="4" t="s">
        <v>61</v>
      </c>
      <c r="K345" s="4" t="s">
        <v>62</v>
      </c>
      <c r="L345" s="4"/>
    </row>
    <row r="346" spans="1:12" x14ac:dyDescent="0.2">
      <c r="A346" s="130">
        <v>66931</v>
      </c>
      <c r="B346" s="4" t="s">
        <v>385</v>
      </c>
      <c r="C346" s="4" t="s">
        <v>81</v>
      </c>
      <c r="D346" s="4" t="s">
        <v>60</v>
      </c>
      <c r="E346" s="36">
        <v>4.5</v>
      </c>
      <c r="F346" s="5">
        <v>86</v>
      </c>
      <c r="G346" s="5">
        <f t="shared" si="10"/>
        <v>387</v>
      </c>
      <c r="H346" s="37">
        <v>0</v>
      </c>
      <c r="I346" s="5">
        <f t="shared" si="11"/>
        <v>387</v>
      </c>
      <c r="J346" s="4" t="s">
        <v>61</v>
      </c>
      <c r="K346" s="4" t="s">
        <v>62</v>
      </c>
      <c r="L346" s="4"/>
    </row>
    <row r="347" spans="1:12" x14ac:dyDescent="0.2">
      <c r="A347" s="130">
        <v>66931</v>
      </c>
      <c r="B347" s="4" t="s">
        <v>386</v>
      </c>
      <c r="C347" s="4" t="s">
        <v>83</v>
      </c>
      <c r="D347" s="4" t="s">
        <v>60</v>
      </c>
      <c r="E347" s="36">
        <v>25</v>
      </c>
      <c r="F347" s="5">
        <v>86</v>
      </c>
      <c r="G347" s="5">
        <f t="shared" si="10"/>
        <v>2150</v>
      </c>
      <c r="H347" s="37">
        <v>0</v>
      </c>
      <c r="I347" s="5">
        <f t="shared" si="11"/>
        <v>2150</v>
      </c>
      <c r="J347" s="4" t="s">
        <v>61</v>
      </c>
      <c r="K347" s="4" t="s">
        <v>62</v>
      </c>
      <c r="L347" s="4"/>
    </row>
    <row r="348" spans="1:12" x14ac:dyDescent="0.2">
      <c r="A348" s="130">
        <v>66931</v>
      </c>
      <c r="B348" s="4" t="s">
        <v>387</v>
      </c>
      <c r="C348" s="4" t="s">
        <v>66</v>
      </c>
      <c r="D348" s="4" t="s">
        <v>60</v>
      </c>
      <c r="E348" s="36">
        <v>20</v>
      </c>
      <c r="F348" s="5">
        <v>85</v>
      </c>
      <c r="G348" s="5">
        <f t="shared" si="10"/>
        <v>1700</v>
      </c>
      <c r="H348" s="37">
        <v>0</v>
      </c>
      <c r="I348" s="5">
        <f t="shared" si="11"/>
        <v>1700</v>
      </c>
      <c r="J348" s="4" t="s">
        <v>61</v>
      </c>
      <c r="K348" s="4" t="s">
        <v>62</v>
      </c>
      <c r="L348" s="4"/>
    </row>
    <row r="349" spans="1:12" x14ac:dyDescent="0.2">
      <c r="A349" s="130">
        <v>66931</v>
      </c>
      <c r="B349" s="4" t="s">
        <v>388</v>
      </c>
      <c r="C349" s="4" t="s">
        <v>68</v>
      </c>
      <c r="D349" s="4" t="s">
        <v>60</v>
      </c>
      <c r="E349" s="36">
        <v>40</v>
      </c>
      <c r="F349" s="5">
        <v>86</v>
      </c>
      <c r="G349" s="5">
        <f t="shared" si="10"/>
        <v>3440</v>
      </c>
      <c r="H349" s="37">
        <v>0</v>
      </c>
      <c r="I349" s="5">
        <f t="shared" si="11"/>
        <v>3440</v>
      </c>
      <c r="J349" s="4" t="s">
        <v>61</v>
      </c>
      <c r="K349" s="4" t="s">
        <v>62</v>
      </c>
      <c r="L349" s="4"/>
    </row>
    <row r="350" spans="1:12" x14ac:dyDescent="0.2">
      <c r="A350" s="130">
        <v>66931</v>
      </c>
      <c r="B350" s="4" t="s">
        <v>388</v>
      </c>
      <c r="C350" s="4" t="s">
        <v>68</v>
      </c>
      <c r="D350" s="4" t="s">
        <v>60</v>
      </c>
      <c r="E350" s="36">
        <v>45</v>
      </c>
      <c r="F350" s="5">
        <v>85</v>
      </c>
      <c r="G350" s="5">
        <f t="shared" si="10"/>
        <v>3825</v>
      </c>
      <c r="H350" s="37">
        <v>0</v>
      </c>
      <c r="I350" s="5">
        <f t="shared" si="11"/>
        <v>3825</v>
      </c>
      <c r="J350" s="4" t="s">
        <v>61</v>
      </c>
      <c r="K350" s="4" t="s">
        <v>62</v>
      </c>
      <c r="L350" s="4"/>
    </row>
    <row r="351" spans="1:12" x14ac:dyDescent="0.2">
      <c r="A351" s="130">
        <v>66931</v>
      </c>
      <c r="B351" s="4" t="s">
        <v>388</v>
      </c>
      <c r="C351" s="4" t="s">
        <v>68</v>
      </c>
      <c r="D351" s="4" t="s">
        <v>69</v>
      </c>
      <c r="E351" s="36">
        <v>1</v>
      </c>
      <c r="F351" s="5">
        <v>80</v>
      </c>
      <c r="G351" s="5">
        <f t="shared" si="10"/>
        <v>80</v>
      </c>
      <c r="H351" s="37">
        <v>0</v>
      </c>
      <c r="I351" s="5">
        <f t="shared" si="11"/>
        <v>80</v>
      </c>
      <c r="J351" s="4" t="s">
        <v>61</v>
      </c>
      <c r="K351" s="4" t="s">
        <v>62</v>
      </c>
      <c r="L351" s="4"/>
    </row>
    <row r="352" spans="1:12" x14ac:dyDescent="0.2">
      <c r="A352" s="130">
        <v>66931</v>
      </c>
      <c r="B352" s="4" t="s">
        <v>389</v>
      </c>
      <c r="C352" s="4" t="s">
        <v>85</v>
      </c>
      <c r="D352" s="4" t="s">
        <v>60</v>
      </c>
      <c r="E352" s="36">
        <v>5</v>
      </c>
      <c r="F352" s="5">
        <v>85</v>
      </c>
      <c r="G352" s="5">
        <f t="shared" si="10"/>
        <v>425</v>
      </c>
      <c r="H352" s="37">
        <v>0</v>
      </c>
      <c r="I352" s="5">
        <f t="shared" si="11"/>
        <v>425</v>
      </c>
      <c r="J352" s="4" t="s">
        <v>61</v>
      </c>
      <c r="K352" s="4" t="s">
        <v>62</v>
      </c>
      <c r="L352" s="4"/>
    </row>
    <row r="353" spans="1:12" x14ac:dyDescent="0.2">
      <c r="A353" s="130">
        <v>66931</v>
      </c>
      <c r="B353" s="4" t="s">
        <v>390</v>
      </c>
      <c r="C353" s="4" t="s">
        <v>87</v>
      </c>
      <c r="D353" s="4" t="s">
        <v>60</v>
      </c>
      <c r="E353" s="36">
        <v>15</v>
      </c>
      <c r="F353" s="5">
        <v>85</v>
      </c>
      <c r="G353" s="5">
        <f t="shared" si="10"/>
        <v>1275</v>
      </c>
      <c r="H353" s="37">
        <v>0</v>
      </c>
      <c r="I353" s="5">
        <f t="shared" si="11"/>
        <v>1275</v>
      </c>
      <c r="J353" s="4" t="s">
        <v>61</v>
      </c>
      <c r="K353" s="4" t="s">
        <v>62</v>
      </c>
      <c r="L353" s="4"/>
    </row>
    <row r="354" spans="1:12" x14ac:dyDescent="0.2">
      <c r="A354" s="130">
        <v>66931</v>
      </c>
      <c r="B354" s="4" t="s">
        <v>391</v>
      </c>
      <c r="C354" s="4" t="s">
        <v>77</v>
      </c>
      <c r="D354" s="4" t="s">
        <v>60</v>
      </c>
      <c r="E354" s="36">
        <v>15</v>
      </c>
      <c r="F354" s="5">
        <v>85</v>
      </c>
      <c r="G354" s="5">
        <f t="shared" si="10"/>
        <v>1275</v>
      </c>
      <c r="H354" s="37">
        <v>0</v>
      </c>
      <c r="I354" s="5">
        <f t="shared" si="11"/>
        <v>1275</v>
      </c>
      <c r="J354" s="4" t="s">
        <v>61</v>
      </c>
      <c r="K354" s="4" t="s">
        <v>62</v>
      </c>
      <c r="L354" s="4"/>
    </row>
    <row r="355" spans="1:12" x14ac:dyDescent="0.2">
      <c r="A355" s="130">
        <v>66931</v>
      </c>
      <c r="B355" s="4" t="s">
        <v>392</v>
      </c>
      <c r="C355" s="4" t="s">
        <v>75</v>
      </c>
      <c r="D355" s="4" t="s">
        <v>60</v>
      </c>
      <c r="E355" s="36">
        <v>8</v>
      </c>
      <c r="F355" s="5">
        <v>85</v>
      </c>
      <c r="G355" s="5">
        <f t="shared" si="10"/>
        <v>680</v>
      </c>
      <c r="H355" s="37">
        <v>0</v>
      </c>
      <c r="I355" s="5">
        <f t="shared" si="11"/>
        <v>680</v>
      </c>
      <c r="J355" s="4" t="s">
        <v>61</v>
      </c>
      <c r="K355" s="4" t="s">
        <v>62</v>
      </c>
      <c r="L355" s="4"/>
    </row>
    <row r="356" spans="1:12" x14ac:dyDescent="0.2">
      <c r="A356" s="130">
        <v>66931</v>
      </c>
      <c r="B356" s="4" t="s">
        <v>393</v>
      </c>
      <c r="C356" s="4" t="s">
        <v>71</v>
      </c>
      <c r="D356" s="4" t="s">
        <v>60</v>
      </c>
      <c r="E356" s="36">
        <v>15</v>
      </c>
      <c r="F356" s="5">
        <v>86</v>
      </c>
      <c r="G356" s="5">
        <f t="shared" si="10"/>
        <v>1290</v>
      </c>
      <c r="H356" s="37">
        <v>0</v>
      </c>
      <c r="I356" s="5">
        <f t="shared" si="11"/>
        <v>1290</v>
      </c>
      <c r="J356" s="4" t="s">
        <v>61</v>
      </c>
      <c r="K356" s="4" t="s">
        <v>62</v>
      </c>
      <c r="L356" s="4"/>
    </row>
    <row r="357" spans="1:12" x14ac:dyDescent="0.2">
      <c r="A357" s="130">
        <v>66931</v>
      </c>
      <c r="B357" s="4" t="s">
        <v>394</v>
      </c>
      <c r="C357" s="4" t="s">
        <v>116</v>
      </c>
      <c r="D357" s="4" t="s">
        <v>60</v>
      </c>
      <c r="E357" s="36">
        <v>35</v>
      </c>
      <c r="F357" s="5">
        <v>85</v>
      </c>
      <c r="G357" s="5">
        <f t="shared" si="10"/>
        <v>2975</v>
      </c>
      <c r="H357" s="37">
        <v>0</v>
      </c>
      <c r="I357" s="5">
        <f t="shared" si="11"/>
        <v>2975</v>
      </c>
      <c r="J357" s="4" t="s">
        <v>61</v>
      </c>
      <c r="K357" s="4" t="s">
        <v>62</v>
      </c>
      <c r="L357" s="4"/>
    </row>
    <row r="358" spans="1:12" x14ac:dyDescent="0.2">
      <c r="A358" s="130">
        <v>66931</v>
      </c>
      <c r="B358" s="4" t="s">
        <v>395</v>
      </c>
      <c r="C358" s="4" t="s">
        <v>118</v>
      </c>
      <c r="D358" s="4" t="s">
        <v>60</v>
      </c>
      <c r="E358" s="36">
        <v>30</v>
      </c>
      <c r="F358" s="5">
        <v>85</v>
      </c>
      <c r="G358" s="5">
        <f t="shared" si="10"/>
        <v>2550</v>
      </c>
      <c r="H358" s="37">
        <v>0</v>
      </c>
      <c r="I358" s="5">
        <f t="shared" si="11"/>
        <v>2550</v>
      </c>
      <c r="J358" s="4" t="s">
        <v>61</v>
      </c>
      <c r="K358" s="4" t="s">
        <v>62</v>
      </c>
      <c r="L358" s="4"/>
    </row>
    <row r="359" spans="1:12" x14ac:dyDescent="0.2">
      <c r="A359" s="130">
        <v>66931</v>
      </c>
      <c r="B359" s="4" t="s">
        <v>396</v>
      </c>
      <c r="C359" s="4" t="s">
        <v>89</v>
      </c>
      <c r="D359" s="4" t="s">
        <v>60</v>
      </c>
      <c r="E359" s="36">
        <v>29.5</v>
      </c>
      <c r="F359" s="5">
        <v>95</v>
      </c>
      <c r="G359" s="5">
        <f t="shared" si="10"/>
        <v>2802.5</v>
      </c>
      <c r="H359" s="37">
        <v>0</v>
      </c>
      <c r="I359" s="5">
        <f t="shared" si="11"/>
        <v>2802.5</v>
      </c>
      <c r="J359" s="4" t="s">
        <v>61</v>
      </c>
      <c r="K359" s="4" t="s">
        <v>62</v>
      </c>
      <c r="L359" s="4"/>
    </row>
    <row r="360" spans="1:12" x14ac:dyDescent="0.2">
      <c r="A360" s="130">
        <v>66931</v>
      </c>
      <c r="B360" s="4" t="s">
        <v>397</v>
      </c>
      <c r="C360" s="4" t="s">
        <v>91</v>
      </c>
      <c r="D360" s="4" t="s">
        <v>60</v>
      </c>
      <c r="E360" s="36">
        <v>24</v>
      </c>
      <c r="F360" s="5">
        <v>84</v>
      </c>
      <c r="G360" s="5">
        <f t="shared" si="10"/>
        <v>2016</v>
      </c>
      <c r="H360" s="37">
        <v>0</v>
      </c>
      <c r="I360" s="5">
        <f t="shared" si="11"/>
        <v>2016</v>
      </c>
      <c r="J360" s="4" t="s">
        <v>61</v>
      </c>
      <c r="K360" s="4" t="s">
        <v>62</v>
      </c>
      <c r="L360" s="4"/>
    </row>
    <row r="361" spans="1:12" x14ac:dyDescent="0.2">
      <c r="A361" s="130">
        <v>66931</v>
      </c>
      <c r="B361" s="4" t="s">
        <v>398</v>
      </c>
      <c r="C361" s="4" t="s">
        <v>95</v>
      </c>
      <c r="D361" s="4" t="s">
        <v>60</v>
      </c>
      <c r="E361" s="36">
        <v>6</v>
      </c>
      <c r="F361" s="5">
        <v>85</v>
      </c>
      <c r="G361" s="5">
        <f t="shared" si="10"/>
        <v>510</v>
      </c>
      <c r="H361" s="37">
        <v>0</v>
      </c>
      <c r="I361" s="5">
        <f t="shared" si="11"/>
        <v>510</v>
      </c>
      <c r="J361" s="4" t="s">
        <v>61</v>
      </c>
      <c r="K361" s="4" t="s">
        <v>62</v>
      </c>
      <c r="L361" s="4"/>
    </row>
    <row r="362" spans="1:12" x14ac:dyDescent="0.2">
      <c r="A362" s="130">
        <v>66931</v>
      </c>
      <c r="B362" s="4" t="s">
        <v>399</v>
      </c>
      <c r="C362" s="4" t="s">
        <v>211</v>
      </c>
      <c r="D362" s="4" t="s">
        <v>60</v>
      </c>
      <c r="E362" s="36">
        <v>2</v>
      </c>
      <c r="F362" s="5">
        <v>90</v>
      </c>
      <c r="G362" s="5">
        <f t="shared" si="10"/>
        <v>180</v>
      </c>
      <c r="H362" s="37">
        <v>0</v>
      </c>
      <c r="I362" s="5">
        <f t="shared" si="11"/>
        <v>180</v>
      </c>
      <c r="J362" s="4" t="s">
        <v>61</v>
      </c>
      <c r="K362" s="4" t="s">
        <v>62</v>
      </c>
      <c r="L362" s="4"/>
    </row>
    <row r="363" spans="1:12" x14ac:dyDescent="0.2">
      <c r="A363" s="130">
        <v>66931</v>
      </c>
      <c r="B363" s="4" t="s">
        <v>400</v>
      </c>
      <c r="C363" s="4" t="s">
        <v>97</v>
      </c>
      <c r="D363" s="4" t="s">
        <v>60</v>
      </c>
      <c r="E363" s="36">
        <v>8.5</v>
      </c>
      <c r="F363" s="5">
        <v>92.94</v>
      </c>
      <c r="G363" s="5">
        <f t="shared" si="10"/>
        <v>789.99</v>
      </c>
      <c r="H363" s="37">
        <v>0</v>
      </c>
      <c r="I363" s="5">
        <f t="shared" si="11"/>
        <v>789.99</v>
      </c>
      <c r="J363" s="4" t="s">
        <v>61</v>
      </c>
      <c r="K363" s="4" t="s">
        <v>62</v>
      </c>
      <c r="L363" s="4"/>
    </row>
    <row r="364" spans="1:12" x14ac:dyDescent="0.2">
      <c r="A364" s="130" t="s">
        <v>401</v>
      </c>
      <c r="B364" s="4" t="s">
        <v>402</v>
      </c>
      <c r="C364" s="4" t="s">
        <v>403</v>
      </c>
      <c r="D364" s="4"/>
      <c r="E364" s="36"/>
      <c r="F364" s="5"/>
      <c r="G364" s="5" t="str">
        <f t="shared" si="10"/>
        <v/>
      </c>
      <c r="H364" s="37">
        <v>0</v>
      </c>
      <c r="I364" s="5" t="str">
        <f t="shared" si="11"/>
        <v/>
      </c>
      <c r="J364" s="4" t="s">
        <v>61</v>
      </c>
      <c r="K364" s="4" t="s">
        <v>62</v>
      </c>
      <c r="L364" s="4"/>
    </row>
    <row r="365" spans="1:12" x14ac:dyDescent="0.2">
      <c r="A365" s="130" t="s">
        <v>401</v>
      </c>
      <c r="B365" s="4" t="s">
        <v>404</v>
      </c>
      <c r="C365" s="4" t="s">
        <v>59</v>
      </c>
      <c r="D365" s="4" t="s">
        <v>60</v>
      </c>
      <c r="E365" s="36">
        <v>60</v>
      </c>
      <c r="F365" s="5">
        <v>85</v>
      </c>
      <c r="G365" s="5">
        <f t="shared" si="10"/>
        <v>5100</v>
      </c>
      <c r="H365" s="37">
        <v>0</v>
      </c>
      <c r="I365" s="5">
        <f t="shared" si="11"/>
        <v>5100</v>
      </c>
      <c r="J365" s="4" t="s">
        <v>61</v>
      </c>
      <c r="K365" s="4" t="s">
        <v>62</v>
      </c>
      <c r="L365" s="4"/>
    </row>
    <row r="366" spans="1:12" x14ac:dyDescent="0.2">
      <c r="A366" s="130" t="s">
        <v>401</v>
      </c>
      <c r="B366" s="4" t="s">
        <v>404</v>
      </c>
      <c r="C366" s="4" t="s">
        <v>59</v>
      </c>
      <c r="D366" s="4" t="s">
        <v>69</v>
      </c>
      <c r="E366" s="36">
        <v>1</v>
      </c>
      <c r="F366" s="5">
        <v>80</v>
      </c>
      <c r="G366" s="5">
        <f t="shared" si="10"/>
        <v>80</v>
      </c>
      <c r="H366" s="37">
        <v>0</v>
      </c>
      <c r="I366" s="5">
        <f t="shared" si="11"/>
        <v>80</v>
      </c>
      <c r="J366" s="4" t="s">
        <v>61</v>
      </c>
      <c r="K366" s="4" t="s">
        <v>62</v>
      </c>
      <c r="L366" s="4"/>
    </row>
    <row r="367" spans="1:12" x14ac:dyDescent="0.2">
      <c r="A367" s="130" t="s">
        <v>401</v>
      </c>
      <c r="B367" s="4" t="s">
        <v>405</v>
      </c>
      <c r="C367" s="4" t="s">
        <v>68</v>
      </c>
      <c r="D367" s="4" t="s">
        <v>60</v>
      </c>
      <c r="E367" s="36">
        <v>40</v>
      </c>
      <c r="F367" s="5">
        <v>86</v>
      </c>
      <c r="G367" s="5">
        <f t="shared" si="10"/>
        <v>3440</v>
      </c>
      <c r="H367" s="37">
        <v>0</v>
      </c>
      <c r="I367" s="5">
        <f t="shared" si="11"/>
        <v>3440</v>
      </c>
      <c r="J367" s="4" t="s">
        <v>61</v>
      </c>
      <c r="K367" s="4" t="s">
        <v>62</v>
      </c>
      <c r="L367" s="4"/>
    </row>
    <row r="368" spans="1:12" x14ac:dyDescent="0.2">
      <c r="A368" s="130" t="s">
        <v>401</v>
      </c>
      <c r="B368" s="4" t="s">
        <v>405</v>
      </c>
      <c r="C368" s="4" t="s">
        <v>68</v>
      </c>
      <c r="D368" s="4" t="s">
        <v>60</v>
      </c>
      <c r="E368" s="36">
        <v>50</v>
      </c>
      <c r="F368" s="5">
        <v>85</v>
      </c>
      <c r="G368" s="5">
        <f t="shared" si="10"/>
        <v>4250</v>
      </c>
      <c r="H368" s="37">
        <v>0</v>
      </c>
      <c r="I368" s="5">
        <f t="shared" si="11"/>
        <v>4250</v>
      </c>
      <c r="J368" s="4" t="s">
        <v>61</v>
      </c>
      <c r="K368" s="4" t="s">
        <v>62</v>
      </c>
      <c r="L368" s="4"/>
    </row>
    <row r="369" spans="1:12" x14ac:dyDescent="0.2">
      <c r="A369" s="130" t="s">
        <v>401</v>
      </c>
      <c r="B369" s="4" t="s">
        <v>405</v>
      </c>
      <c r="C369" s="4" t="s">
        <v>68</v>
      </c>
      <c r="D369" s="4" t="s">
        <v>69</v>
      </c>
      <c r="E369" s="36">
        <v>1</v>
      </c>
      <c r="F369" s="5">
        <v>80</v>
      </c>
      <c r="G369" s="5">
        <f t="shared" si="10"/>
        <v>80</v>
      </c>
      <c r="H369" s="37">
        <v>0</v>
      </c>
      <c r="I369" s="5">
        <f t="shared" si="11"/>
        <v>80</v>
      </c>
      <c r="J369" s="4" t="s">
        <v>61</v>
      </c>
      <c r="K369" s="4" t="s">
        <v>62</v>
      </c>
      <c r="L369" s="4"/>
    </row>
    <row r="370" spans="1:12" x14ac:dyDescent="0.2">
      <c r="A370" s="130" t="s">
        <v>401</v>
      </c>
      <c r="B370" s="4" t="s">
        <v>406</v>
      </c>
      <c r="C370" s="4" t="s">
        <v>64</v>
      </c>
      <c r="D370" s="4" t="s">
        <v>60</v>
      </c>
      <c r="E370" s="36">
        <v>35</v>
      </c>
      <c r="F370" s="5">
        <v>85</v>
      </c>
      <c r="G370" s="5">
        <f t="shared" si="10"/>
        <v>2975</v>
      </c>
      <c r="H370" s="37">
        <v>0</v>
      </c>
      <c r="I370" s="5">
        <f t="shared" si="11"/>
        <v>2975</v>
      </c>
      <c r="J370" s="4" t="s">
        <v>61</v>
      </c>
      <c r="K370" s="4" t="s">
        <v>62</v>
      </c>
      <c r="L370" s="4"/>
    </row>
    <row r="371" spans="1:12" x14ac:dyDescent="0.2">
      <c r="A371" s="130" t="s">
        <v>401</v>
      </c>
      <c r="B371" s="4" t="s">
        <v>407</v>
      </c>
      <c r="C371" s="4" t="s">
        <v>83</v>
      </c>
      <c r="D371" s="4" t="s">
        <v>60</v>
      </c>
      <c r="E371" s="36">
        <v>25</v>
      </c>
      <c r="F371" s="5">
        <v>86</v>
      </c>
      <c r="G371" s="5">
        <f t="shared" si="10"/>
        <v>2150</v>
      </c>
      <c r="H371" s="37">
        <v>0</v>
      </c>
      <c r="I371" s="5">
        <f t="shared" si="11"/>
        <v>2150</v>
      </c>
      <c r="J371" s="4" t="s">
        <v>61</v>
      </c>
      <c r="K371" s="4" t="s">
        <v>62</v>
      </c>
      <c r="L371" s="4"/>
    </row>
    <row r="372" spans="1:12" x14ac:dyDescent="0.2">
      <c r="A372" s="130" t="s">
        <v>401</v>
      </c>
      <c r="B372" s="4" t="s">
        <v>408</v>
      </c>
      <c r="C372" s="4" t="s">
        <v>81</v>
      </c>
      <c r="D372" s="4" t="s">
        <v>60</v>
      </c>
      <c r="E372" s="36">
        <v>4.5</v>
      </c>
      <c r="F372" s="5">
        <v>86</v>
      </c>
      <c r="G372" s="5">
        <f t="shared" si="10"/>
        <v>387</v>
      </c>
      <c r="H372" s="37">
        <v>0</v>
      </c>
      <c r="I372" s="5">
        <f t="shared" si="11"/>
        <v>387</v>
      </c>
      <c r="J372" s="4" t="s">
        <v>61</v>
      </c>
      <c r="K372" s="4" t="s">
        <v>62</v>
      </c>
      <c r="L372" s="4"/>
    </row>
    <row r="373" spans="1:12" x14ac:dyDescent="0.2">
      <c r="A373" s="130" t="s">
        <v>401</v>
      </c>
      <c r="B373" s="4" t="s">
        <v>408</v>
      </c>
      <c r="C373" s="4" t="s">
        <v>81</v>
      </c>
      <c r="D373" s="4" t="s">
        <v>93</v>
      </c>
      <c r="E373" s="36">
        <v>1</v>
      </c>
      <c r="F373" s="5">
        <v>800</v>
      </c>
      <c r="G373" s="5">
        <f t="shared" si="10"/>
        <v>800</v>
      </c>
      <c r="H373" s="37">
        <v>0</v>
      </c>
      <c r="I373" s="5">
        <f t="shared" si="11"/>
        <v>800</v>
      </c>
      <c r="J373" s="4" t="s">
        <v>61</v>
      </c>
      <c r="K373" s="4" t="s">
        <v>62</v>
      </c>
      <c r="L373" s="4"/>
    </row>
    <row r="374" spans="1:12" x14ac:dyDescent="0.2">
      <c r="A374" s="130" t="s">
        <v>401</v>
      </c>
      <c r="B374" s="4" t="s">
        <v>409</v>
      </c>
      <c r="C374" s="4" t="s">
        <v>79</v>
      </c>
      <c r="D374" s="4" t="s">
        <v>60</v>
      </c>
      <c r="E374" s="36">
        <v>8</v>
      </c>
      <c r="F374" s="5">
        <v>85</v>
      </c>
      <c r="G374" s="5">
        <f t="shared" si="10"/>
        <v>680</v>
      </c>
      <c r="H374" s="37">
        <v>0</v>
      </c>
      <c r="I374" s="5">
        <f t="shared" si="11"/>
        <v>680</v>
      </c>
      <c r="J374" s="4" t="s">
        <v>61</v>
      </c>
      <c r="K374" s="4" t="s">
        <v>62</v>
      </c>
      <c r="L374" s="4"/>
    </row>
    <row r="375" spans="1:12" x14ac:dyDescent="0.2">
      <c r="A375" s="130" t="s">
        <v>401</v>
      </c>
      <c r="B375" s="4" t="s">
        <v>410</v>
      </c>
      <c r="C375" s="4" t="s">
        <v>73</v>
      </c>
      <c r="D375" s="4" t="s">
        <v>60</v>
      </c>
      <c r="E375" s="36">
        <v>5</v>
      </c>
      <c r="F375" s="5">
        <v>85</v>
      </c>
      <c r="G375" s="5">
        <f t="shared" si="10"/>
        <v>425</v>
      </c>
      <c r="H375" s="37">
        <v>0</v>
      </c>
      <c r="I375" s="5">
        <f t="shared" si="11"/>
        <v>425</v>
      </c>
      <c r="J375" s="4" t="s">
        <v>61</v>
      </c>
      <c r="K375" s="4" t="s">
        <v>62</v>
      </c>
      <c r="L375" s="4"/>
    </row>
    <row r="376" spans="1:12" x14ac:dyDescent="0.2">
      <c r="A376" s="130" t="s">
        <v>401</v>
      </c>
      <c r="B376" s="4" t="s">
        <v>411</v>
      </c>
      <c r="C376" s="4" t="s">
        <v>71</v>
      </c>
      <c r="D376" s="4" t="s">
        <v>60</v>
      </c>
      <c r="E376" s="36">
        <v>10</v>
      </c>
      <c r="F376" s="5">
        <v>86</v>
      </c>
      <c r="G376" s="5">
        <f t="shared" si="10"/>
        <v>860</v>
      </c>
      <c r="H376" s="37">
        <v>0</v>
      </c>
      <c r="I376" s="5">
        <f t="shared" si="11"/>
        <v>860</v>
      </c>
      <c r="J376" s="4" t="s">
        <v>61</v>
      </c>
      <c r="K376" s="4" t="s">
        <v>62</v>
      </c>
      <c r="L376" s="4"/>
    </row>
    <row r="377" spans="1:12" x14ac:dyDescent="0.2">
      <c r="A377" s="130" t="s">
        <v>401</v>
      </c>
      <c r="B377" s="4" t="s">
        <v>411</v>
      </c>
      <c r="C377" s="4" t="s">
        <v>71</v>
      </c>
      <c r="D377" s="4" t="s">
        <v>92</v>
      </c>
      <c r="E377" s="36">
        <v>2</v>
      </c>
      <c r="F377" s="5">
        <v>1100</v>
      </c>
      <c r="G377" s="5">
        <f t="shared" si="10"/>
        <v>2200</v>
      </c>
      <c r="H377" s="37">
        <v>0</v>
      </c>
      <c r="I377" s="5">
        <f t="shared" si="11"/>
        <v>2200</v>
      </c>
      <c r="J377" s="4" t="s">
        <v>61</v>
      </c>
      <c r="K377" s="4" t="s">
        <v>62</v>
      </c>
      <c r="L377" s="4"/>
    </row>
    <row r="378" spans="1:12" x14ac:dyDescent="0.2">
      <c r="A378" s="130" t="s">
        <v>401</v>
      </c>
      <c r="B378" s="4" t="s">
        <v>412</v>
      </c>
      <c r="C378" s="4" t="s">
        <v>75</v>
      </c>
      <c r="D378" s="4" t="s">
        <v>60</v>
      </c>
      <c r="E378" s="36">
        <v>5</v>
      </c>
      <c r="F378" s="5">
        <v>85</v>
      </c>
      <c r="G378" s="5">
        <f t="shared" si="10"/>
        <v>425</v>
      </c>
      <c r="H378" s="37">
        <v>0</v>
      </c>
      <c r="I378" s="5">
        <f t="shared" si="11"/>
        <v>425</v>
      </c>
      <c r="J378" s="4" t="s">
        <v>61</v>
      </c>
      <c r="K378" s="4" t="s">
        <v>62</v>
      </c>
      <c r="L378" s="4"/>
    </row>
    <row r="379" spans="1:12" x14ac:dyDescent="0.2">
      <c r="A379" s="130" t="s">
        <v>401</v>
      </c>
      <c r="B379" s="4" t="s">
        <v>413</v>
      </c>
      <c r="C379" s="4" t="s">
        <v>75</v>
      </c>
      <c r="D379" s="4" t="s">
        <v>60</v>
      </c>
      <c r="E379" s="36">
        <v>15</v>
      </c>
      <c r="F379" s="5">
        <v>85</v>
      </c>
      <c r="G379" s="5">
        <f t="shared" si="10"/>
        <v>1275</v>
      </c>
      <c r="H379" s="37">
        <v>0</v>
      </c>
      <c r="I379" s="5">
        <f t="shared" si="11"/>
        <v>1275</v>
      </c>
      <c r="J379" s="4" t="s">
        <v>61</v>
      </c>
      <c r="K379" s="4" t="s">
        <v>62</v>
      </c>
      <c r="L379" s="4"/>
    </row>
    <row r="380" spans="1:12" x14ac:dyDescent="0.2">
      <c r="A380" s="130" t="s">
        <v>401</v>
      </c>
      <c r="B380" s="4" t="s">
        <v>414</v>
      </c>
      <c r="C380" s="4" t="s">
        <v>66</v>
      </c>
      <c r="D380" s="4" t="s">
        <v>60</v>
      </c>
      <c r="E380" s="36">
        <v>30</v>
      </c>
      <c r="F380" s="5">
        <v>85</v>
      </c>
      <c r="G380" s="5">
        <f t="shared" si="10"/>
        <v>2550</v>
      </c>
      <c r="H380" s="37">
        <v>0</v>
      </c>
      <c r="I380" s="5">
        <f t="shared" si="11"/>
        <v>2550</v>
      </c>
      <c r="J380" s="4" t="s">
        <v>61</v>
      </c>
      <c r="K380" s="4" t="s">
        <v>62</v>
      </c>
      <c r="L380" s="4"/>
    </row>
    <row r="381" spans="1:12" x14ac:dyDescent="0.2">
      <c r="A381" s="130" t="s">
        <v>401</v>
      </c>
      <c r="B381" s="4" t="s">
        <v>415</v>
      </c>
      <c r="C381" s="4" t="s">
        <v>85</v>
      </c>
      <c r="D381" s="4" t="s">
        <v>60</v>
      </c>
      <c r="E381" s="36">
        <v>10</v>
      </c>
      <c r="F381" s="5">
        <v>85</v>
      </c>
      <c r="G381" s="5">
        <f t="shared" si="10"/>
        <v>850</v>
      </c>
      <c r="H381" s="37">
        <v>0</v>
      </c>
      <c r="I381" s="5">
        <f t="shared" si="11"/>
        <v>850</v>
      </c>
      <c r="J381" s="4" t="s">
        <v>61</v>
      </c>
      <c r="K381" s="4" t="s">
        <v>62</v>
      </c>
      <c r="L381" s="4"/>
    </row>
    <row r="382" spans="1:12" x14ac:dyDescent="0.2">
      <c r="A382" s="130" t="s">
        <v>401</v>
      </c>
      <c r="B382" s="4" t="s">
        <v>416</v>
      </c>
      <c r="C382" s="4" t="s">
        <v>87</v>
      </c>
      <c r="D382" s="4" t="s">
        <v>60</v>
      </c>
      <c r="E382" s="36">
        <v>15</v>
      </c>
      <c r="F382" s="5">
        <v>85</v>
      </c>
      <c r="G382" s="5">
        <f t="shared" si="10"/>
        <v>1275</v>
      </c>
      <c r="H382" s="37">
        <v>0</v>
      </c>
      <c r="I382" s="5">
        <f t="shared" si="11"/>
        <v>1275</v>
      </c>
      <c r="J382" s="4" t="s">
        <v>61</v>
      </c>
      <c r="K382" s="4" t="s">
        <v>62</v>
      </c>
      <c r="L382" s="4"/>
    </row>
    <row r="383" spans="1:12" x14ac:dyDescent="0.2">
      <c r="A383" s="130" t="s">
        <v>401</v>
      </c>
      <c r="B383" s="4" t="s">
        <v>417</v>
      </c>
      <c r="C383" s="4" t="s">
        <v>418</v>
      </c>
      <c r="D383" s="4" t="s">
        <v>60</v>
      </c>
      <c r="E383" s="36">
        <v>60</v>
      </c>
      <c r="F383" s="5">
        <v>85</v>
      </c>
      <c r="G383" s="5">
        <f t="shared" si="10"/>
        <v>5100</v>
      </c>
      <c r="H383" s="37">
        <v>0</v>
      </c>
      <c r="I383" s="5">
        <f t="shared" si="11"/>
        <v>5100</v>
      </c>
      <c r="J383" s="4" t="s">
        <v>61</v>
      </c>
      <c r="K383" s="4" t="s">
        <v>62</v>
      </c>
      <c r="L383" s="4"/>
    </row>
    <row r="384" spans="1:12" x14ac:dyDescent="0.2">
      <c r="A384" s="130" t="s">
        <v>401</v>
      </c>
      <c r="B384" s="4" t="s">
        <v>417</v>
      </c>
      <c r="C384" s="4" t="s">
        <v>418</v>
      </c>
      <c r="D384" s="4" t="s">
        <v>161</v>
      </c>
      <c r="E384" s="36">
        <v>7</v>
      </c>
      <c r="F384" s="5">
        <v>800</v>
      </c>
      <c r="G384" s="5">
        <f t="shared" si="10"/>
        <v>5600</v>
      </c>
      <c r="H384" s="37">
        <v>0</v>
      </c>
      <c r="I384" s="5">
        <f t="shared" si="11"/>
        <v>5600</v>
      </c>
      <c r="J384" s="4" t="s">
        <v>61</v>
      </c>
      <c r="K384" s="4" t="s">
        <v>62</v>
      </c>
      <c r="L384" s="4"/>
    </row>
    <row r="385" spans="1:12" x14ac:dyDescent="0.2">
      <c r="A385" s="130" t="s">
        <v>401</v>
      </c>
      <c r="B385" s="4" t="s">
        <v>419</v>
      </c>
      <c r="C385" s="4" t="s">
        <v>89</v>
      </c>
      <c r="D385" s="4" t="s">
        <v>60</v>
      </c>
      <c r="E385" s="36">
        <v>20</v>
      </c>
      <c r="F385" s="5">
        <v>95</v>
      </c>
      <c r="G385" s="5">
        <f t="shared" si="10"/>
        <v>1900</v>
      </c>
      <c r="H385" s="37">
        <v>0</v>
      </c>
      <c r="I385" s="5">
        <f t="shared" si="11"/>
        <v>1900</v>
      </c>
      <c r="J385" s="4" t="s">
        <v>61</v>
      </c>
      <c r="K385" s="4" t="s">
        <v>62</v>
      </c>
      <c r="L385" s="4"/>
    </row>
    <row r="386" spans="1:12" x14ac:dyDescent="0.2">
      <c r="A386" s="130" t="s">
        <v>401</v>
      </c>
      <c r="B386" s="4" t="s">
        <v>419</v>
      </c>
      <c r="C386" s="4" t="s">
        <v>89</v>
      </c>
      <c r="D386" s="4" t="s">
        <v>92</v>
      </c>
      <c r="E386" s="36">
        <v>1</v>
      </c>
      <c r="F386" s="5">
        <v>1100</v>
      </c>
      <c r="G386" s="5">
        <f t="shared" si="10"/>
        <v>1100</v>
      </c>
      <c r="H386" s="37">
        <v>0</v>
      </c>
      <c r="I386" s="5">
        <f t="shared" si="11"/>
        <v>1100</v>
      </c>
      <c r="J386" s="4" t="s">
        <v>61</v>
      </c>
      <c r="K386" s="4" t="s">
        <v>62</v>
      </c>
      <c r="L386" s="4"/>
    </row>
    <row r="387" spans="1:12" x14ac:dyDescent="0.2">
      <c r="A387" s="130" t="s">
        <v>401</v>
      </c>
      <c r="B387" s="4" t="s">
        <v>419</v>
      </c>
      <c r="C387" s="4" t="s">
        <v>89</v>
      </c>
      <c r="D387" s="4" t="s">
        <v>161</v>
      </c>
      <c r="E387" s="36">
        <v>1</v>
      </c>
      <c r="F387" s="5">
        <v>800</v>
      </c>
      <c r="G387" s="5">
        <f t="shared" ref="G387:G403" si="12">IF($E387="","",$E387*$F387)</f>
        <v>800</v>
      </c>
      <c r="H387" s="37">
        <v>0</v>
      </c>
      <c r="I387" s="5">
        <f t="shared" ref="I387:I450" si="13">IF($E387="","",$G387*(1-$H387/100))</f>
        <v>800</v>
      </c>
      <c r="J387" s="4" t="s">
        <v>61</v>
      </c>
      <c r="K387" s="4" t="s">
        <v>62</v>
      </c>
      <c r="L387" s="4"/>
    </row>
    <row r="388" spans="1:12" x14ac:dyDescent="0.2">
      <c r="A388" s="130" t="s">
        <v>401</v>
      </c>
      <c r="B388" s="4" t="s">
        <v>420</v>
      </c>
      <c r="C388" s="4" t="s">
        <v>91</v>
      </c>
      <c r="D388" s="4" t="s">
        <v>60</v>
      </c>
      <c r="E388" s="36">
        <v>25</v>
      </c>
      <c r="F388" s="5">
        <v>84</v>
      </c>
      <c r="G388" s="5">
        <f t="shared" si="12"/>
        <v>2100</v>
      </c>
      <c r="H388" s="37">
        <v>0</v>
      </c>
      <c r="I388" s="5">
        <f t="shared" si="13"/>
        <v>2100</v>
      </c>
      <c r="J388" s="4" t="s">
        <v>61</v>
      </c>
      <c r="K388" s="4" t="s">
        <v>62</v>
      </c>
      <c r="L388" s="4"/>
    </row>
    <row r="389" spans="1:12" x14ac:dyDescent="0.2">
      <c r="A389" s="130" t="s">
        <v>401</v>
      </c>
      <c r="B389" s="4" t="s">
        <v>421</v>
      </c>
      <c r="C389" s="4" t="s">
        <v>95</v>
      </c>
      <c r="D389" s="4" t="s">
        <v>60</v>
      </c>
      <c r="E389" s="36">
        <v>6</v>
      </c>
      <c r="F389" s="5">
        <v>85</v>
      </c>
      <c r="G389" s="5">
        <f t="shared" si="12"/>
        <v>510</v>
      </c>
      <c r="H389" s="37">
        <v>0</v>
      </c>
      <c r="I389" s="5">
        <f t="shared" si="13"/>
        <v>510</v>
      </c>
      <c r="J389" s="4" t="s">
        <v>61</v>
      </c>
      <c r="K389" s="4" t="s">
        <v>62</v>
      </c>
      <c r="L389" s="4"/>
    </row>
    <row r="390" spans="1:12" x14ac:dyDescent="0.2">
      <c r="A390" s="130" t="s">
        <v>401</v>
      </c>
      <c r="B390" s="4" t="s">
        <v>422</v>
      </c>
      <c r="C390" s="4" t="s">
        <v>163</v>
      </c>
      <c r="D390" s="4" t="s">
        <v>60</v>
      </c>
      <c r="E390" s="36">
        <v>0.5</v>
      </c>
      <c r="F390" s="5">
        <v>1100</v>
      </c>
      <c r="G390" s="5">
        <f t="shared" si="12"/>
        <v>550</v>
      </c>
      <c r="H390" s="37">
        <v>0</v>
      </c>
      <c r="I390" s="5">
        <f t="shared" si="13"/>
        <v>550</v>
      </c>
      <c r="J390" s="4" t="s">
        <v>61</v>
      </c>
      <c r="K390" s="4" t="s">
        <v>62</v>
      </c>
      <c r="L390" s="4"/>
    </row>
    <row r="391" spans="1:12" x14ac:dyDescent="0.2">
      <c r="A391" s="130" t="s">
        <v>401</v>
      </c>
      <c r="B391" s="4" t="s">
        <v>423</v>
      </c>
      <c r="C391" s="4" t="s">
        <v>97</v>
      </c>
      <c r="D391" s="4" t="s">
        <v>60</v>
      </c>
      <c r="E391" s="36">
        <v>2.5</v>
      </c>
      <c r="F391" s="5">
        <v>94</v>
      </c>
      <c r="G391" s="5">
        <f t="shared" si="12"/>
        <v>235</v>
      </c>
      <c r="H391" s="37">
        <v>0</v>
      </c>
      <c r="I391" s="5">
        <f t="shared" si="13"/>
        <v>235</v>
      </c>
      <c r="J391" s="4" t="s">
        <v>61</v>
      </c>
      <c r="K391" s="4" t="s">
        <v>62</v>
      </c>
      <c r="L391" s="4"/>
    </row>
    <row r="392" spans="1:12" x14ac:dyDescent="0.2">
      <c r="A392" s="130" t="s">
        <v>401</v>
      </c>
      <c r="B392" s="4" t="s">
        <v>424</v>
      </c>
      <c r="C392" s="4" t="s">
        <v>211</v>
      </c>
      <c r="D392" s="4" t="s">
        <v>60</v>
      </c>
      <c r="E392" s="36">
        <v>2</v>
      </c>
      <c r="F392" s="5">
        <v>90</v>
      </c>
      <c r="G392" s="5">
        <f t="shared" si="12"/>
        <v>180</v>
      </c>
      <c r="H392" s="37">
        <v>0</v>
      </c>
      <c r="I392" s="5">
        <f t="shared" si="13"/>
        <v>180</v>
      </c>
      <c r="J392" s="4" t="s">
        <v>61</v>
      </c>
      <c r="K392" s="4" t="s">
        <v>62</v>
      </c>
      <c r="L392" s="4"/>
    </row>
    <row r="393" spans="1:12" x14ac:dyDescent="0.2">
      <c r="A393" s="130" t="s">
        <v>401</v>
      </c>
      <c r="B393" s="4" t="s">
        <v>425</v>
      </c>
      <c r="C393" s="4" t="s">
        <v>426</v>
      </c>
      <c r="D393" s="4" t="s">
        <v>60</v>
      </c>
      <c r="E393" s="36">
        <v>11</v>
      </c>
      <c r="F393" s="5">
        <v>100</v>
      </c>
      <c r="G393" s="5">
        <f t="shared" si="12"/>
        <v>1100</v>
      </c>
      <c r="H393" s="37">
        <v>0</v>
      </c>
      <c r="I393" s="5">
        <f t="shared" si="13"/>
        <v>1100</v>
      </c>
      <c r="J393" s="4" t="s">
        <v>61</v>
      </c>
      <c r="K393" s="4" t="s">
        <v>62</v>
      </c>
      <c r="L393" s="4"/>
    </row>
    <row r="394" spans="1:12" x14ac:dyDescent="0.2">
      <c r="A394" s="130" t="s">
        <v>401</v>
      </c>
      <c r="B394" s="4" t="s">
        <v>427</v>
      </c>
      <c r="C394" s="4" t="s">
        <v>428</v>
      </c>
      <c r="D394" s="4" t="s">
        <v>60</v>
      </c>
      <c r="E394" s="36">
        <v>35</v>
      </c>
      <c r="F394" s="5">
        <v>90</v>
      </c>
      <c r="G394" s="5">
        <f t="shared" si="12"/>
        <v>3150</v>
      </c>
      <c r="H394" s="37">
        <v>0</v>
      </c>
      <c r="I394" s="5">
        <f t="shared" si="13"/>
        <v>3150</v>
      </c>
      <c r="J394" s="4" t="s">
        <v>61</v>
      </c>
      <c r="K394" s="4" t="s">
        <v>62</v>
      </c>
      <c r="L394" s="4"/>
    </row>
    <row r="395" spans="1:12" x14ac:dyDescent="0.2">
      <c r="A395" s="130">
        <v>66932</v>
      </c>
      <c r="B395" s="4" t="s">
        <v>865</v>
      </c>
      <c r="C395" s="4" t="s">
        <v>59</v>
      </c>
      <c r="D395" s="4" t="s">
        <v>60</v>
      </c>
      <c r="E395" s="36">
        <v>60</v>
      </c>
      <c r="F395" s="5">
        <v>85</v>
      </c>
      <c r="G395" s="5">
        <f t="shared" si="12"/>
        <v>5100</v>
      </c>
      <c r="H395" s="37">
        <v>0</v>
      </c>
      <c r="I395" s="5">
        <f t="shared" si="13"/>
        <v>5100</v>
      </c>
      <c r="J395" s="4" t="s">
        <v>61</v>
      </c>
      <c r="K395" s="4" t="s">
        <v>62</v>
      </c>
      <c r="L395" s="4"/>
    </row>
    <row r="396" spans="1:12" x14ac:dyDescent="0.2">
      <c r="A396" s="130">
        <v>66932</v>
      </c>
      <c r="B396" s="4" t="s">
        <v>865</v>
      </c>
      <c r="C396" s="4" t="s">
        <v>59</v>
      </c>
      <c r="D396" s="4" t="s">
        <v>69</v>
      </c>
      <c r="E396" s="36">
        <v>1</v>
      </c>
      <c r="F396" s="5">
        <v>80</v>
      </c>
      <c r="G396" s="5">
        <f t="shared" si="12"/>
        <v>80</v>
      </c>
      <c r="H396" s="37">
        <v>0</v>
      </c>
      <c r="I396" s="5">
        <f t="shared" si="13"/>
        <v>80</v>
      </c>
      <c r="J396" s="4" t="s">
        <v>61</v>
      </c>
      <c r="K396" s="4" t="s">
        <v>62</v>
      </c>
      <c r="L396" s="4"/>
    </row>
    <row r="397" spans="1:12" x14ac:dyDescent="0.2">
      <c r="A397" s="130">
        <v>66932</v>
      </c>
      <c r="B397" s="4" t="s">
        <v>866</v>
      </c>
      <c r="C397" s="4" t="s">
        <v>64</v>
      </c>
      <c r="D397" s="4" t="s">
        <v>60</v>
      </c>
      <c r="E397" s="36">
        <v>55</v>
      </c>
      <c r="F397" s="5">
        <v>85</v>
      </c>
      <c r="G397" s="5">
        <f t="shared" si="12"/>
        <v>4675</v>
      </c>
      <c r="H397" s="37">
        <v>0</v>
      </c>
      <c r="I397" s="5">
        <f t="shared" si="13"/>
        <v>4675</v>
      </c>
      <c r="J397" s="4" t="s">
        <v>61</v>
      </c>
      <c r="K397" s="4" t="s">
        <v>62</v>
      </c>
      <c r="L397" s="4"/>
    </row>
    <row r="398" spans="1:12" x14ac:dyDescent="0.2">
      <c r="A398" s="130">
        <v>66932</v>
      </c>
      <c r="B398" s="4" t="s">
        <v>867</v>
      </c>
      <c r="C398" s="4" t="s">
        <v>66</v>
      </c>
      <c r="D398" s="4" t="s">
        <v>60</v>
      </c>
      <c r="E398" s="36">
        <v>25</v>
      </c>
      <c r="F398" s="5">
        <v>85</v>
      </c>
      <c r="G398" s="5">
        <f t="shared" si="12"/>
        <v>2125</v>
      </c>
      <c r="H398" s="37">
        <v>0</v>
      </c>
      <c r="I398" s="5">
        <f t="shared" si="13"/>
        <v>2125</v>
      </c>
      <c r="J398" s="4" t="s">
        <v>61</v>
      </c>
      <c r="K398" s="4" t="s">
        <v>62</v>
      </c>
      <c r="L398" s="4"/>
    </row>
    <row r="399" spans="1:12" x14ac:dyDescent="0.2">
      <c r="A399" s="130">
        <v>66932</v>
      </c>
      <c r="B399" s="4" t="s">
        <v>868</v>
      </c>
      <c r="C399" s="82" t="s">
        <v>68</v>
      </c>
      <c r="D399" s="82" t="s">
        <v>60</v>
      </c>
      <c r="E399" s="83">
        <v>40</v>
      </c>
      <c r="F399" s="84">
        <v>86</v>
      </c>
      <c r="G399" s="84">
        <f t="shared" si="12"/>
        <v>3440</v>
      </c>
      <c r="H399" s="37">
        <v>1</v>
      </c>
      <c r="I399" s="5">
        <f t="shared" si="13"/>
        <v>3405.6</v>
      </c>
      <c r="J399" s="4" t="s">
        <v>61</v>
      </c>
      <c r="K399" s="4" t="s">
        <v>62</v>
      </c>
      <c r="L399" s="82"/>
    </row>
    <row r="400" spans="1:12" x14ac:dyDescent="0.2">
      <c r="A400" s="130">
        <v>66932</v>
      </c>
      <c r="B400" s="4" t="s">
        <v>868</v>
      </c>
      <c r="C400" s="82" t="s">
        <v>68</v>
      </c>
      <c r="D400" s="82" t="s">
        <v>60</v>
      </c>
      <c r="E400" s="83">
        <v>55</v>
      </c>
      <c r="F400" s="84">
        <v>85</v>
      </c>
      <c r="G400" s="84">
        <f t="shared" si="12"/>
        <v>4675</v>
      </c>
      <c r="H400" s="37">
        <v>2</v>
      </c>
      <c r="I400" s="5">
        <f t="shared" si="13"/>
        <v>4581.5</v>
      </c>
      <c r="J400" s="4" t="s">
        <v>61</v>
      </c>
      <c r="K400" s="4" t="s">
        <v>62</v>
      </c>
      <c r="L400" s="82"/>
    </row>
    <row r="401" spans="1:12" x14ac:dyDescent="0.2">
      <c r="A401" s="130">
        <v>66932</v>
      </c>
      <c r="B401" s="4" t="s">
        <v>868</v>
      </c>
      <c r="C401" s="82" t="s">
        <v>68</v>
      </c>
      <c r="D401" s="82" t="s">
        <v>92</v>
      </c>
      <c r="E401" s="83">
        <v>4</v>
      </c>
      <c r="F401" s="84">
        <v>1100</v>
      </c>
      <c r="G401" s="84">
        <f t="shared" si="12"/>
        <v>4400</v>
      </c>
      <c r="H401" s="37">
        <v>3</v>
      </c>
      <c r="I401" s="5">
        <f t="shared" si="13"/>
        <v>4268</v>
      </c>
      <c r="J401" s="4" t="s">
        <v>61</v>
      </c>
      <c r="K401" s="4" t="s">
        <v>62</v>
      </c>
      <c r="L401" s="82"/>
    </row>
    <row r="402" spans="1:12" x14ac:dyDescent="0.2">
      <c r="A402" s="130">
        <v>66932</v>
      </c>
      <c r="B402" s="4" t="s">
        <v>868</v>
      </c>
      <c r="C402" s="82" t="s">
        <v>68</v>
      </c>
      <c r="D402" s="82" t="s">
        <v>69</v>
      </c>
      <c r="E402" s="83">
        <v>1</v>
      </c>
      <c r="F402" s="84">
        <v>80</v>
      </c>
      <c r="G402" s="84">
        <f t="shared" si="12"/>
        <v>80</v>
      </c>
      <c r="H402" s="37">
        <v>4</v>
      </c>
      <c r="I402" s="5">
        <f t="shared" si="13"/>
        <v>76.8</v>
      </c>
      <c r="J402" s="4" t="s">
        <v>61</v>
      </c>
      <c r="K402" s="4" t="s">
        <v>62</v>
      </c>
      <c r="L402" s="82"/>
    </row>
    <row r="403" spans="1:12" x14ac:dyDescent="0.2">
      <c r="A403" s="130">
        <v>66932</v>
      </c>
      <c r="B403" s="4" t="s">
        <v>869</v>
      </c>
      <c r="C403" s="82" t="s">
        <v>85</v>
      </c>
      <c r="D403" s="82" t="s">
        <v>60</v>
      </c>
      <c r="E403" s="83">
        <v>5</v>
      </c>
      <c r="F403" s="84">
        <v>85</v>
      </c>
      <c r="G403" s="84">
        <f t="shared" si="12"/>
        <v>425</v>
      </c>
      <c r="H403" s="37">
        <v>5</v>
      </c>
      <c r="I403" s="5">
        <f t="shared" si="13"/>
        <v>403.75</v>
      </c>
      <c r="J403" s="4" t="s">
        <v>61</v>
      </c>
      <c r="K403" s="4" t="s">
        <v>62</v>
      </c>
      <c r="L403" s="82"/>
    </row>
    <row r="404" spans="1:12" x14ac:dyDescent="0.2">
      <c r="A404" s="130">
        <v>66932</v>
      </c>
      <c r="B404" s="4" t="s">
        <v>870</v>
      </c>
      <c r="C404" s="4" t="s">
        <v>87</v>
      </c>
      <c r="D404" s="4" t="s">
        <v>60</v>
      </c>
      <c r="E404" s="36">
        <v>35</v>
      </c>
      <c r="F404" s="5">
        <v>85</v>
      </c>
      <c r="G404" s="5">
        <f t="shared" ref="G404:G435" si="14">IF($E404="","",$E404*$F404)</f>
        <v>2975</v>
      </c>
      <c r="H404" s="37">
        <v>6</v>
      </c>
      <c r="I404" s="5">
        <f t="shared" si="13"/>
        <v>2796.5</v>
      </c>
      <c r="J404" s="4" t="s">
        <v>61</v>
      </c>
      <c r="K404" s="4" t="s">
        <v>62</v>
      </c>
      <c r="L404" s="4"/>
    </row>
    <row r="405" spans="1:12" x14ac:dyDescent="0.2">
      <c r="A405" s="130">
        <v>66932</v>
      </c>
      <c r="B405" s="4" t="s">
        <v>871</v>
      </c>
      <c r="C405" s="4" t="s">
        <v>83</v>
      </c>
      <c r="D405" s="4" t="s">
        <v>60</v>
      </c>
      <c r="E405" s="36">
        <v>30</v>
      </c>
      <c r="F405" s="5">
        <v>86</v>
      </c>
      <c r="G405" s="5">
        <f t="shared" si="14"/>
        <v>2580</v>
      </c>
      <c r="H405" s="37">
        <v>0</v>
      </c>
      <c r="I405" s="5">
        <f t="shared" si="13"/>
        <v>2580</v>
      </c>
      <c r="J405" s="4" t="s">
        <v>61</v>
      </c>
      <c r="K405" s="4" t="s">
        <v>62</v>
      </c>
      <c r="L405" s="4"/>
    </row>
    <row r="406" spans="1:12" x14ac:dyDescent="0.2">
      <c r="A406" s="130">
        <v>66932</v>
      </c>
      <c r="B406" s="4" t="s">
        <v>872</v>
      </c>
      <c r="C406" s="4" t="s">
        <v>81</v>
      </c>
      <c r="D406" s="4" t="s">
        <v>60</v>
      </c>
      <c r="E406" s="36">
        <v>4.5</v>
      </c>
      <c r="F406" s="5">
        <v>86</v>
      </c>
      <c r="G406" s="5">
        <f t="shared" si="14"/>
        <v>387</v>
      </c>
      <c r="H406" s="37">
        <v>0</v>
      </c>
      <c r="I406" s="5">
        <f t="shared" si="13"/>
        <v>387</v>
      </c>
      <c r="J406" s="4" t="s">
        <v>61</v>
      </c>
      <c r="K406" s="4" t="s">
        <v>62</v>
      </c>
      <c r="L406" s="4"/>
    </row>
    <row r="407" spans="1:12" x14ac:dyDescent="0.2">
      <c r="A407" s="130">
        <v>66932</v>
      </c>
      <c r="B407" s="4" t="s">
        <v>873</v>
      </c>
      <c r="C407" s="4" t="s">
        <v>79</v>
      </c>
      <c r="D407" s="4" t="s">
        <v>60</v>
      </c>
      <c r="E407" s="36">
        <v>8</v>
      </c>
      <c r="F407" s="5">
        <v>85</v>
      </c>
      <c r="G407" s="5">
        <f t="shared" si="14"/>
        <v>680</v>
      </c>
      <c r="H407" s="37">
        <v>0</v>
      </c>
      <c r="I407" s="5">
        <f t="shared" si="13"/>
        <v>680</v>
      </c>
      <c r="J407" s="4" t="s">
        <v>61</v>
      </c>
      <c r="K407" s="4" t="s">
        <v>62</v>
      </c>
      <c r="L407" s="4"/>
    </row>
    <row r="408" spans="1:12" x14ac:dyDescent="0.2">
      <c r="A408" s="130">
        <v>66932</v>
      </c>
      <c r="B408" s="4" t="s">
        <v>874</v>
      </c>
      <c r="C408" s="4" t="s">
        <v>77</v>
      </c>
      <c r="D408" s="4" t="s">
        <v>60</v>
      </c>
      <c r="E408" s="36">
        <v>25</v>
      </c>
      <c r="F408" s="5">
        <v>85</v>
      </c>
      <c r="G408" s="5">
        <f t="shared" si="14"/>
        <v>2125</v>
      </c>
      <c r="H408" s="37">
        <v>0</v>
      </c>
      <c r="I408" s="5">
        <f t="shared" si="13"/>
        <v>2125</v>
      </c>
      <c r="J408" s="4" t="s">
        <v>61</v>
      </c>
      <c r="K408" s="4" t="s">
        <v>62</v>
      </c>
      <c r="L408" s="4"/>
    </row>
    <row r="409" spans="1:12" x14ac:dyDescent="0.2">
      <c r="A409" s="130">
        <v>66932</v>
      </c>
      <c r="B409" s="4" t="s">
        <v>875</v>
      </c>
      <c r="C409" s="4" t="s">
        <v>73</v>
      </c>
      <c r="D409" s="4" t="s">
        <v>60</v>
      </c>
      <c r="E409" s="36">
        <v>10</v>
      </c>
      <c r="F409" s="5">
        <v>85</v>
      </c>
      <c r="G409" s="5">
        <f t="shared" si="14"/>
        <v>850</v>
      </c>
      <c r="H409" s="37">
        <v>0</v>
      </c>
      <c r="I409" s="5">
        <f t="shared" si="13"/>
        <v>850</v>
      </c>
      <c r="J409" s="4" t="s">
        <v>61</v>
      </c>
      <c r="K409" s="4" t="s">
        <v>62</v>
      </c>
      <c r="L409" s="4"/>
    </row>
    <row r="410" spans="1:12" x14ac:dyDescent="0.2">
      <c r="A410" s="130">
        <v>66932</v>
      </c>
      <c r="B410" s="4" t="s">
        <v>876</v>
      </c>
      <c r="C410" s="4" t="s">
        <v>883</v>
      </c>
      <c r="D410" s="4" t="s">
        <v>92</v>
      </c>
      <c r="E410" s="36">
        <v>1</v>
      </c>
      <c r="F410" s="5">
        <v>1100</v>
      </c>
      <c r="G410" s="5">
        <f t="shared" si="14"/>
        <v>1100</v>
      </c>
      <c r="H410" s="37">
        <v>0</v>
      </c>
      <c r="I410" s="5">
        <f t="shared" si="13"/>
        <v>1100</v>
      </c>
      <c r="J410" s="4" t="s">
        <v>61</v>
      </c>
      <c r="K410" s="4" t="s">
        <v>62</v>
      </c>
      <c r="L410" s="4"/>
    </row>
    <row r="411" spans="1:12" x14ac:dyDescent="0.2">
      <c r="A411" s="130">
        <v>66932</v>
      </c>
      <c r="B411" s="4" t="s">
        <v>877</v>
      </c>
      <c r="C411" s="4" t="s">
        <v>71</v>
      </c>
      <c r="D411" s="4" t="s">
        <v>60</v>
      </c>
      <c r="E411" s="36">
        <v>15</v>
      </c>
      <c r="F411" s="5">
        <v>86</v>
      </c>
      <c r="G411" s="5">
        <f t="shared" si="14"/>
        <v>1290</v>
      </c>
      <c r="H411" s="37">
        <v>0</v>
      </c>
      <c r="I411" s="5">
        <f t="shared" si="13"/>
        <v>1290</v>
      </c>
      <c r="J411" s="4" t="s">
        <v>61</v>
      </c>
      <c r="K411" s="4" t="s">
        <v>62</v>
      </c>
      <c r="L411" s="4"/>
    </row>
    <row r="412" spans="1:12" x14ac:dyDescent="0.2">
      <c r="A412" s="130">
        <v>66932</v>
      </c>
      <c r="B412" s="4" t="s">
        <v>878</v>
      </c>
      <c r="C412" s="4" t="s">
        <v>91</v>
      </c>
      <c r="D412" s="4" t="s">
        <v>60</v>
      </c>
      <c r="E412" s="36">
        <v>30</v>
      </c>
      <c r="F412" s="5">
        <v>84</v>
      </c>
      <c r="G412" s="5">
        <f t="shared" si="14"/>
        <v>2520</v>
      </c>
      <c r="H412" s="37">
        <v>0</v>
      </c>
      <c r="I412" s="5">
        <f t="shared" si="13"/>
        <v>2520</v>
      </c>
      <c r="J412" s="4" t="s">
        <v>61</v>
      </c>
      <c r="K412" s="4" t="s">
        <v>62</v>
      </c>
      <c r="L412" s="4"/>
    </row>
    <row r="413" spans="1:12" x14ac:dyDescent="0.2">
      <c r="A413" s="130">
        <v>66932</v>
      </c>
      <c r="B413" s="4" t="s">
        <v>879</v>
      </c>
      <c r="C413" s="4" t="s">
        <v>95</v>
      </c>
      <c r="D413" s="4" t="s">
        <v>60</v>
      </c>
      <c r="E413" s="36">
        <v>8</v>
      </c>
      <c r="F413" s="5">
        <v>85</v>
      </c>
      <c r="G413" s="5">
        <f t="shared" si="14"/>
        <v>680</v>
      </c>
      <c r="H413" s="37">
        <v>0</v>
      </c>
      <c r="I413" s="5">
        <f t="shared" si="13"/>
        <v>680</v>
      </c>
      <c r="J413" s="4" t="s">
        <v>61</v>
      </c>
      <c r="K413" s="4" t="s">
        <v>62</v>
      </c>
      <c r="L413" s="4"/>
    </row>
    <row r="414" spans="1:12" x14ac:dyDescent="0.2">
      <c r="A414" s="130">
        <v>66932</v>
      </c>
      <c r="B414" s="4" t="s">
        <v>880</v>
      </c>
      <c r="C414" s="4" t="s">
        <v>89</v>
      </c>
      <c r="D414" s="4" t="s">
        <v>60</v>
      </c>
      <c r="E414" s="36">
        <v>12</v>
      </c>
      <c r="F414" s="5">
        <v>85</v>
      </c>
      <c r="G414" s="5">
        <f t="shared" si="14"/>
        <v>1020</v>
      </c>
      <c r="H414" s="37">
        <v>0</v>
      </c>
      <c r="I414" s="5">
        <f t="shared" si="13"/>
        <v>1020</v>
      </c>
      <c r="J414" s="4" t="s">
        <v>61</v>
      </c>
      <c r="K414" s="4" t="s">
        <v>62</v>
      </c>
      <c r="L414" s="4"/>
    </row>
    <row r="415" spans="1:12" x14ac:dyDescent="0.2">
      <c r="A415" s="130">
        <v>66932</v>
      </c>
      <c r="B415" s="4" t="s">
        <v>880</v>
      </c>
      <c r="C415" s="4" t="s">
        <v>89</v>
      </c>
      <c r="D415" s="4" t="s">
        <v>60</v>
      </c>
      <c r="E415" s="36">
        <v>20</v>
      </c>
      <c r="F415" s="5">
        <v>95</v>
      </c>
      <c r="G415" s="5">
        <f t="shared" si="14"/>
        <v>1900</v>
      </c>
      <c r="H415" s="37">
        <v>0</v>
      </c>
      <c r="I415" s="5">
        <f t="shared" si="13"/>
        <v>1900</v>
      </c>
      <c r="J415" s="4" t="s">
        <v>61</v>
      </c>
      <c r="K415" s="4" t="s">
        <v>62</v>
      </c>
      <c r="L415" s="4"/>
    </row>
    <row r="416" spans="1:12" x14ac:dyDescent="0.2">
      <c r="A416" s="130">
        <v>66932</v>
      </c>
      <c r="B416" s="4" t="s">
        <v>881</v>
      </c>
      <c r="C416" s="4" t="s">
        <v>97</v>
      </c>
      <c r="D416" s="4" t="s">
        <v>60</v>
      </c>
      <c r="E416" s="36">
        <v>7.25</v>
      </c>
      <c r="F416" s="5">
        <v>100</v>
      </c>
      <c r="G416" s="5">
        <f t="shared" si="14"/>
        <v>725</v>
      </c>
      <c r="H416" s="37">
        <v>0</v>
      </c>
      <c r="I416" s="5">
        <f t="shared" si="13"/>
        <v>725</v>
      </c>
      <c r="J416" s="4" t="s">
        <v>61</v>
      </c>
      <c r="K416" s="4" t="s">
        <v>62</v>
      </c>
      <c r="L416" s="4"/>
    </row>
    <row r="417" spans="1:12" x14ac:dyDescent="0.2">
      <c r="A417" s="130">
        <v>66932</v>
      </c>
      <c r="B417" s="4" t="s">
        <v>881</v>
      </c>
      <c r="C417" s="4" t="s">
        <v>97</v>
      </c>
      <c r="D417" s="4" t="s">
        <v>161</v>
      </c>
      <c r="E417" s="36">
        <v>0.75</v>
      </c>
      <c r="F417" s="5">
        <v>800</v>
      </c>
      <c r="G417" s="5">
        <f t="shared" si="14"/>
        <v>600</v>
      </c>
      <c r="H417" s="37">
        <v>0</v>
      </c>
      <c r="I417" s="5">
        <f t="shared" si="13"/>
        <v>600</v>
      </c>
      <c r="J417" s="4" t="s">
        <v>61</v>
      </c>
      <c r="K417" s="4" t="s">
        <v>62</v>
      </c>
      <c r="L417" s="4"/>
    </row>
    <row r="418" spans="1:12" x14ac:dyDescent="0.2">
      <c r="A418" s="130">
        <v>66932</v>
      </c>
      <c r="B418" s="4" t="s">
        <v>882</v>
      </c>
      <c r="C418" s="4" t="s">
        <v>211</v>
      </c>
      <c r="D418" s="4" t="s">
        <v>60</v>
      </c>
      <c r="E418" s="36">
        <v>2</v>
      </c>
      <c r="F418" s="5">
        <v>90</v>
      </c>
      <c r="G418" s="5">
        <f t="shared" si="14"/>
        <v>180</v>
      </c>
      <c r="H418" s="37">
        <v>0</v>
      </c>
      <c r="I418" s="5">
        <f t="shared" si="13"/>
        <v>180</v>
      </c>
      <c r="J418" s="4" t="s">
        <v>61</v>
      </c>
      <c r="K418" s="4" t="s">
        <v>62</v>
      </c>
      <c r="L418" s="4"/>
    </row>
    <row r="419" spans="1:12" x14ac:dyDescent="0.2">
      <c r="A419" s="130">
        <v>66933</v>
      </c>
      <c r="B419" s="4" t="s">
        <v>884</v>
      </c>
      <c r="C419" s="4" t="s">
        <v>97</v>
      </c>
      <c r="D419" s="4" t="s">
        <v>60</v>
      </c>
      <c r="E419" s="36">
        <v>3</v>
      </c>
      <c r="F419" s="5">
        <v>90</v>
      </c>
      <c r="G419" s="5">
        <f t="shared" si="14"/>
        <v>270</v>
      </c>
      <c r="H419" s="37">
        <v>0</v>
      </c>
      <c r="I419" s="5">
        <f t="shared" si="13"/>
        <v>270</v>
      </c>
      <c r="J419" s="4" t="s">
        <v>61</v>
      </c>
      <c r="K419" s="4" t="s">
        <v>62</v>
      </c>
      <c r="L419" s="4"/>
    </row>
    <row r="420" spans="1:12" x14ac:dyDescent="0.2">
      <c r="A420" s="130">
        <v>66933</v>
      </c>
      <c r="B420" s="4" t="s">
        <v>885</v>
      </c>
      <c r="C420" s="4" t="s">
        <v>97</v>
      </c>
      <c r="D420" s="4" t="s">
        <v>60</v>
      </c>
      <c r="E420" s="36">
        <v>9</v>
      </c>
      <c r="F420" s="5">
        <v>93.33</v>
      </c>
      <c r="G420" s="5">
        <f t="shared" si="14"/>
        <v>839.97</v>
      </c>
      <c r="H420" s="37">
        <v>0</v>
      </c>
      <c r="I420" s="5">
        <f t="shared" si="13"/>
        <v>839.97</v>
      </c>
      <c r="J420" s="4" t="s">
        <v>61</v>
      </c>
      <c r="K420" s="4" t="s">
        <v>62</v>
      </c>
      <c r="L420" s="4"/>
    </row>
    <row r="421" spans="1:12" x14ac:dyDescent="0.2">
      <c r="A421" s="130">
        <v>66933</v>
      </c>
      <c r="B421" s="4" t="s">
        <v>886</v>
      </c>
      <c r="C421" s="4" t="s">
        <v>59</v>
      </c>
      <c r="D421" s="4" t="s">
        <v>60</v>
      </c>
      <c r="E421" s="36">
        <v>35</v>
      </c>
      <c r="F421" s="5">
        <v>85</v>
      </c>
      <c r="G421" s="5">
        <f t="shared" si="14"/>
        <v>2975</v>
      </c>
      <c r="H421" s="37">
        <v>0</v>
      </c>
      <c r="I421" s="5">
        <f t="shared" si="13"/>
        <v>2975</v>
      </c>
      <c r="J421" s="4" t="s">
        <v>61</v>
      </c>
      <c r="K421" s="4" t="s">
        <v>62</v>
      </c>
      <c r="L421" s="4"/>
    </row>
    <row r="422" spans="1:12" x14ac:dyDescent="0.2">
      <c r="A422" s="130">
        <v>66933</v>
      </c>
      <c r="B422" s="4" t="s">
        <v>887</v>
      </c>
      <c r="C422" s="4" t="s">
        <v>64</v>
      </c>
      <c r="D422" s="4" t="s">
        <v>60</v>
      </c>
      <c r="E422" s="36">
        <v>25</v>
      </c>
      <c r="F422" s="5">
        <v>85</v>
      </c>
      <c r="G422" s="5">
        <f t="shared" si="14"/>
        <v>2125</v>
      </c>
      <c r="H422" s="37">
        <v>0</v>
      </c>
      <c r="I422" s="5">
        <f t="shared" si="13"/>
        <v>2125</v>
      </c>
      <c r="J422" s="4" t="s">
        <v>61</v>
      </c>
      <c r="K422" s="4" t="s">
        <v>62</v>
      </c>
      <c r="L422" s="4"/>
    </row>
    <row r="423" spans="1:12" x14ac:dyDescent="0.2">
      <c r="A423" s="130">
        <v>66933</v>
      </c>
      <c r="B423" s="4" t="s">
        <v>888</v>
      </c>
      <c r="C423" s="4" t="s">
        <v>68</v>
      </c>
      <c r="D423" s="4" t="s">
        <v>60</v>
      </c>
      <c r="E423" s="36">
        <v>40</v>
      </c>
      <c r="F423" s="5">
        <v>86</v>
      </c>
      <c r="G423" s="5">
        <f t="shared" si="14"/>
        <v>3440</v>
      </c>
      <c r="H423" s="37">
        <v>0</v>
      </c>
      <c r="I423" s="5">
        <f t="shared" si="13"/>
        <v>3440</v>
      </c>
      <c r="J423" s="4" t="s">
        <v>61</v>
      </c>
      <c r="K423" s="4" t="s">
        <v>62</v>
      </c>
      <c r="L423" s="4"/>
    </row>
    <row r="424" spans="1:12" x14ac:dyDescent="0.2">
      <c r="A424" s="130">
        <v>66933</v>
      </c>
      <c r="B424" s="4" t="s">
        <v>888</v>
      </c>
      <c r="C424" s="4" t="s">
        <v>68</v>
      </c>
      <c r="D424" s="4" t="s">
        <v>60</v>
      </c>
      <c r="E424" s="36">
        <v>60</v>
      </c>
      <c r="F424" s="5">
        <v>85</v>
      </c>
      <c r="G424" s="5">
        <f t="shared" si="14"/>
        <v>5100</v>
      </c>
      <c r="H424" s="37">
        <v>0</v>
      </c>
      <c r="I424" s="5">
        <f t="shared" si="13"/>
        <v>5100</v>
      </c>
      <c r="J424" s="4" t="s">
        <v>61</v>
      </c>
      <c r="K424" s="4" t="s">
        <v>62</v>
      </c>
      <c r="L424" s="4"/>
    </row>
    <row r="425" spans="1:12" x14ac:dyDescent="0.2">
      <c r="A425" s="130">
        <v>66933</v>
      </c>
      <c r="B425" s="4" t="s">
        <v>888</v>
      </c>
      <c r="C425" s="4" t="s">
        <v>68</v>
      </c>
      <c r="D425" s="4" t="s">
        <v>69</v>
      </c>
      <c r="E425" s="36">
        <v>1</v>
      </c>
      <c r="F425" s="5">
        <v>80</v>
      </c>
      <c r="G425" s="5">
        <f t="shared" si="14"/>
        <v>80</v>
      </c>
      <c r="H425" s="37">
        <v>0</v>
      </c>
      <c r="I425" s="5">
        <f t="shared" si="13"/>
        <v>80</v>
      </c>
      <c r="J425" s="4" t="s">
        <v>61</v>
      </c>
      <c r="K425" s="4" t="s">
        <v>62</v>
      </c>
      <c r="L425" s="4"/>
    </row>
    <row r="426" spans="1:12" x14ac:dyDescent="0.2">
      <c r="A426" s="130">
        <v>66933</v>
      </c>
      <c r="B426" s="4" t="s">
        <v>889</v>
      </c>
      <c r="C426" s="4" t="s">
        <v>75</v>
      </c>
      <c r="D426" s="4" t="s">
        <v>60</v>
      </c>
      <c r="E426" s="36">
        <v>8</v>
      </c>
      <c r="F426" s="5">
        <v>85</v>
      </c>
      <c r="G426" s="5">
        <f t="shared" si="14"/>
        <v>680</v>
      </c>
      <c r="H426" s="37">
        <v>0</v>
      </c>
      <c r="I426" s="5">
        <f t="shared" si="13"/>
        <v>680</v>
      </c>
      <c r="J426" s="4" t="s">
        <v>61</v>
      </c>
      <c r="K426" s="4" t="s">
        <v>62</v>
      </c>
      <c r="L426" s="4"/>
    </row>
    <row r="427" spans="1:12" x14ac:dyDescent="0.2">
      <c r="A427" s="130">
        <v>66933</v>
      </c>
      <c r="B427" s="4" t="s">
        <v>890</v>
      </c>
      <c r="C427" s="4" t="s">
        <v>77</v>
      </c>
      <c r="D427" s="4" t="s">
        <v>60</v>
      </c>
      <c r="E427" s="36">
        <v>12</v>
      </c>
      <c r="F427" s="5">
        <v>85</v>
      </c>
      <c r="G427" s="5">
        <f t="shared" si="14"/>
        <v>1020</v>
      </c>
      <c r="H427" s="37">
        <v>0</v>
      </c>
      <c r="I427" s="5">
        <f t="shared" si="13"/>
        <v>1020</v>
      </c>
      <c r="J427" s="4" t="s">
        <v>61</v>
      </c>
      <c r="K427" s="4" t="s">
        <v>62</v>
      </c>
      <c r="L427" s="4"/>
    </row>
    <row r="428" spans="1:12" x14ac:dyDescent="0.2">
      <c r="A428" s="130">
        <v>66933</v>
      </c>
      <c r="B428" s="4" t="s">
        <v>891</v>
      </c>
      <c r="C428" s="4" t="s">
        <v>81</v>
      </c>
      <c r="D428" s="4" t="s">
        <v>60</v>
      </c>
      <c r="E428" s="36">
        <v>3.5</v>
      </c>
      <c r="F428" s="5">
        <v>86</v>
      </c>
      <c r="G428" s="5">
        <f t="shared" si="14"/>
        <v>301</v>
      </c>
      <c r="H428" s="37">
        <v>0</v>
      </c>
      <c r="I428" s="5">
        <f t="shared" si="13"/>
        <v>301</v>
      </c>
      <c r="J428" s="4" t="s">
        <v>61</v>
      </c>
      <c r="K428" s="4" t="s">
        <v>62</v>
      </c>
      <c r="L428" s="4"/>
    </row>
    <row r="429" spans="1:12" x14ac:dyDescent="0.2">
      <c r="A429" s="130">
        <v>66933</v>
      </c>
      <c r="B429" s="4" t="s">
        <v>892</v>
      </c>
      <c r="C429" s="4" t="s">
        <v>83</v>
      </c>
      <c r="D429" s="4" t="s">
        <v>60</v>
      </c>
      <c r="E429" s="36">
        <v>30</v>
      </c>
      <c r="F429" s="5">
        <v>86</v>
      </c>
      <c r="G429" s="5">
        <f t="shared" si="14"/>
        <v>2580</v>
      </c>
      <c r="H429" s="37">
        <v>0</v>
      </c>
      <c r="I429" s="5">
        <f t="shared" si="13"/>
        <v>2580</v>
      </c>
      <c r="J429" s="4" t="s">
        <v>61</v>
      </c>
      <c r="K429" s="4" t="s">
        <v>62</v>
      </c>
      <c r="L429" s="4"/>
    </row>
    <row r="430" spans="1:12" x14ac:dyDescent="0.2">
      <c r="A430" s="130">
        <v>66933</v>
      </c>
      <c r="B430" s="4" t="s">
        <v>893</v>
      </c>
      <c r="C430" s="4" t="s">
        <v>113</v>
      </c>
      <c r="D430" s="4" t="s">
        <v>92</v>
      </c>
      <c r="E430" s="36">
        <v>2</v>
      </c>
      <c r="F430" s="5">
        <v>1100</v>
      </c>
      <c r="G430" s="5">
        <f t="shared" si="14"/>
        <v>2200</v>
      </c>
      <c r="H430" s="37">
        <v>0</v>
      </c>
      <c r="I430" s="5">
        <f t="shared" si="13"/>
        <v>2200</v>
      </c>
      <c r="J430" s="4" t="s">
        <v>61</v>
      </c>
      <c r="K430" s="4" t="s">
        <v>62</v>
      </c>
      <c r="L430" s="4"/>
    </row>
    <row r="431" spans="1:12" x14ac:dyDescent="0.2">
      <c r="A431" s="130">
        <v>66933</v>
      </c>
      <c r="B431" s="4" t="s">
        <v>894</v>
      </c>
      <c r="C431" s="4" t="s">
        <v>71</v>
      </c>
      <c r="D431" s="4" t="s">
        <v>60</v>
      </c>
      <c r="E431" s="36">
        <v>15</v>
      </c>
      <c r="F431" s="5">
        <v>86</v>
      </c>
      <c r="G431" s="5">
        <f t="shared" si="14"/>
        <v>1290</v>
      </c>
      <c r="H431" s="37">
        <v>0</v>
      </c>
      <c r="I431" s="5">
        <f t="shared" si="13"/>
        <v>1290</v>
      </c>
      <c r="J431" s="4" t="s">
        <v>61</v>
      </c>
      <c r="K431" s="4" t="s">
        <v>62</v>
      </c>
      <c r="L431" s="4"/>
    </row>
    <row r="432" spans="1:12" x14ac:dyDescent="0.2">
      <c r="A432" s="130">
        <v>66933</v>
      </c>
      <c r="B432" s="4" t="s">
        <v>895</v>
      </c>
      <c r="C432" s="4" t="s">
        <v>79</v>
      </c>
      <c r="D432" s="4" t="s">
        <v>60</v>
      </c>
      <c r="E432" s="36">
        <v>8</v>
      </c>
      <c r="F432" s="5">
        <v>85</v>
      </c>
      <c r="G432" s="5">
        <f t="shared" si="14"/>
        <v>680</v>
      </c>
      <c r="H432" s="37">
        <v>0</v>
      </c>
      <c r="I432" s="5">
        <f t="shared" si="13"/>
        <v>680</v>
      </c>
      <c r="J432" s="4" t="s">
        <v>61</v>
      </c>
      <c r="K432" s="4" t="s">
        <v>62</v>
      </c>
      <c r="L432" s="4"/>
    </row>
    <row r="433" spans="1:12" x14ac:dyDescent="0.2">
      <c r="A433" s="130">
        <v>66933</v>
      </c>
      <c r="B433" s="4" t="s">
        <v>896</v>
      </c>
      <c r="C433" s="4" t="s">
        <v>66</v>
      </c>
      <c r="D433" s="4" t="s">
        <v>60</v>
      </c>
      <c r="E433" s="36">
        <v>20</v>
      </c>
      <c r="F433" s="5">
        <v>85</v>
      </c>
      <c r="G433" s="5">
        <f t="shared" si="14"/>
        <v>1700</v>
      </c>
      <c r="H433" s="37">
        <v>0</v>
      </c>
      <c r="I433" s="5">
        <f t="shared" si="13"/>
        <v>1700</v>
      </c>
      <c r="J433" s="4" t="s">
        <v>61</v>
      </c>
      <c r="K433" s="4" t="s">
        <v>62</v>
      </c>
      <c r="L433" s="4"/>
    </row>
    <row r="434" spans="1:12" x14ac:dyDescent="0.2">
      <c r="A434" s="130">
        <v>66933</v>
      </c>
      <c r="B434" s="4" t="s">
        <v>897</v>
      </c>
      <c r="C434" s="4" t="s">
        <v>87</v>
      </c>
      <c r="D434" s="4" t="s">
        <v>60</v>
      </c>
      <c r="E434" s="36">
        <v>15</v>
      </c>
      <c r="F434" s="5">
        <v>85</v>
      </c>
      <c r="G434" s="5">
        <f t="shared" si="14"/>
        <v>1275</v>
      </c>
      <c r="H434" s="37">
        <v>0</v>
      </c>
      <c r="I434" s="5">
        <f t="shared" si="13"/>
        <v>1275</v>
      </c>
      <c r="J434" s="4" t="s">
        <v>61</v>
      </c>
      <c r="K434" s="4" t="s">
        <v>62</v>
      </c>
      <c r="L434" s="4"/>
    </row>
    <row r="435" spans="1:12" x14ac:dyDescent="0.2">
      <c r="A435" s="130">
        <v>66933</v>
      </c>
      <c r="B435" s="4" t="s">
        <v>898</v>
      </c>
      <c r="C435" s="4" t="s">
        <v>85</v>
      </c>
      <c r="D435" s="4" t="s">
        <v>60</v>
      </c>
      <c r="E435" s="36">
        <v>5</v>
      </c>
      <c r="F435" s="5">
        <v>85</v>
      </c>
      <c r="G435" s="5">
        <f t="shared" si="14"/>
        <v>425</v>
      </c>
      <c r="H435" s="37">
        <v>0</v>
      </c>
      <c r="I435" s="5">
        <f t="shared" si="13"/>
        <v>425</v>
      </c>
      <c r="J435" s="4" t="s">
        <v>61</v>
      </c>
      <c r="K435" s="4" t="s">
        <v>62</v>
      </c>
      <c r="L435" s="4"/>
    </row>
    <row r="436" spans="1:12" x14ac:dyDescent="0.2">
      <c r="A436" s="130">
        <v>66933</v>
      </c>
      <c r="B436" s="4" t="s">
        <v>899</v>
      </c>
      <c r="C436" s="4" t="s">
        <v>91</v>
      </c>
      <c r="D436" s="4" t="s">
        <v>60</v>
      </c>
      <c r="E436" s="36">
        <v>30</v>
      </c>
      <c r="F436" s="5">
        <v>84</v>
      </c>
      <c r="G436" s="5">
        <f t="shared" ref="G436:G467" si="15">IF($E436="","",$E436*$F436)</f>
        <v>2520</v>
      </c>
      <c r="H436" s="37">
        <v>0</v>
      </c>
      <c r="I436" s="5">
        <f t="shared" si="13"/>
        <v>2520</v>
      </c>
      <c r="J436" s="4" t="s">
        <v>61</v>
      </c>
      <c r="K436" s="4" t="s">
        <v>62</v>
      </c>
      <c r="L436" s="4"/>
    </row>
    <row r="437" spans="1:12" x14ac:dyDescent="0.2">
      <c r="A437" s="130">
        <v>66933</v>
      </c>
      <c r="B437" s="4" t="s">
        <v>900</v>
      </c>
      <c r="C437" s="4" t="s">
        <v>95</v>
      </c>
      <c r="D437" s="4" t="s">
        <v>60</v>
      </c>
      <c r="E437" s="36">
        <v>7</v>
      </c>
      <c r="F437" s="5">
        <v>85</v>
      </c>
      <c r="G437" s="5">
        <f t="shared" si="15"/>
        <v>595</v>
      </c>
      <c r="H437" s="37">
        <v>0</v>
      </c>
      <c r="I437" s="5">
        <f t="shared" si="13"/>
        <v>595</v>
      </c>
      <c r="J437" s="4" t="s">
        <v>61</v>
      </c>
      <c r="K437" s="4" t="s">
        <v>62</v>
      </c>
      <c r="L437" s="4"/>
    </row>
    <row r="438" spans="1:12" x14ac:dyDescent="0.2">
      <c r="A438" s="130">
        <v>66933</v>
      </c>
      <c r="B438" s="4" t="s">
        <v>901</v>
      </c>
      <c r="C438" s="4" t="s">
        <v>99</v>
      </c>
      <c r="D438" s="4" t="s">
        <v>60</v>
      </c>
      <c r="E438" s="36">
        <v>40</v>
      </c>
      <c r="F438" s="5">
        <v>85</v>
      </c>
      <c r="G438" s="5">
        <f t="shared" si="15"/>
        <v>3400</v>
      </c>
      <c r="H438" s="37">
        <v>0</v>
      </c>
      <c r="I438" s="5">
        <f t="shared" si="13"/>
        <v>3400</v>
      </c>
      <c r="J438" s="4" t="s">
        <v>61</v>
      </c>
      <c r="K438" s="4" t="s">
        <v>62</v>
      </c>
      <c r="L438" s="4"/>
    </row>
    <row r="439" spans="1:12" x14ac:dyDescent="0.2">
      <c r="A439" s="130">
        <v>66933</v>
      </c>
      <c r="B439" s="4" t="s">
        <v>901</v>
      </c>
      <c r="C439" s="4" t="s">
        <v>99</v>
      </c>
      <c r="D439" s="4" t="s">
        <v>60</v>
      </c>
      <c r="E439" s="36">
        <v>5</v>
      </c>
      <c r="F439" s="5">
        <v>86</v>
      </c>
      <c r="G439" s="5">
        <f t="shared" si="15"/>
        <v>430</v>
      </c>
      <c r="H439" s="37">
        <v>0</v>
      </c>
      <c r="I439" s="5">
        <f t="shared" si="13"/>
        <v>430</v>
      </c>
      <c r="J439" s="4" t="s">
        <v>61</v>
      </c>
      <c r="K439" s="4" t="s">
        <v>62</v>
      </c>
      <c r="L439" s="4"/>
    </row>
    <row r="440" spans="1:12" x14ac:dyDescent="0.2">
      <c r="A440" s="130">
        <v>66933</v>
      </c>
      <c r="B440" s="4" t="s">
        <v>902</v>
      </c>
      <c r="C440" s="4" t="s">
        <v>211</v>
      </c>
      <c r="D440" s="4" t="s">
        <v>60</v>
      </c>
      <c r="E440" s="36">
        <v>2</v>
      </c>
      <c r="F440" s="5">
        <v>100</v>
      </c>
      <c r="G440" s="5">
        <f t="shared" si="15"/>
        <v>200</v>
      </c>
      <c r="H440" s="37">
        <v>0</v>
      </c>
      <c r="I440" s="5">
        <f t="shared" si="13"/>
        <v>200</v>
      </c>
      <c r="J440" s="4" t="s">
        <v>61</v>
      </c>
      <c r="K440" s="4" t="s">
        <v>62</v>
      </c>
      <c r="L440" s="4"/>
    </row>
    <row r="441" spans="1:12" x14ac:dyDescent="0.2">
      <c r="A441" s="130">
        <v>66927</v>
      </c>
      <c r="B441" s="4" t="s">
        <v>331</v>
      </c>
      <c r="C441" s="4" t="s">
        <v>95</v>
      </c>
      <c r="D441" s="4" t="s">
        <v>60</v>
      </c>
      <c r="E441" s="36">
        <v>8</v>
      </c>
      <c r="F441" s="5">
        <v>85</v>
      </c>
      <c r="G441" s="5">
        <f t="shared" si="15"/>
        <v>680</v>
      </c>
      <c r="H441" s="37">
        <v>0</v>
      </c>
      <c r="I441" s="5">
        <f t="shared" si="13"/>
        <v>680</v>
      </c>
      <c r="J441" s="4" t="s">
        <v>61</v>
      </c>
      <c r="K441" s="4" t="s">
        <v>62</v>
      </c>
      <c r="L441" s="4"/>
    </row>
    <row r="442" spans="1:12" x14ac:dyDescent="0.2">
      <c r="A442" s="130">
        <v>66934</v>
      </c>
      <c r="B442" s="4" t="s">
        <v>903</v>
      </c>
      <c r="C442" s="4" t="s">
        <v>95</v>
      </c>
      <c r="D442" s="4" t="s">
        <v>60</v>
      </c>
      <c r="E442" s="36">
        <v>6</v>
      </c>
      <c r="F442" s="5">
        <v>85</v>
      </c>
      <c r="G442" s="5">
        <f t="shared" si="15"/>
        <v>510</v>
      </c>
      <c r="H442" s="37">
        <v>0</v>
      </c>
      <c r="I442" s="5">
        <f t="shared" si="13"/>
        <v>510</v>
      </c>
      <c r="J442" s="4" t="s">
        <v>61</v>
      </c>
      <c r="K442" s="4" t="s">
        <v>62</v>
      </c>
      <c r="L442" s="4"/>
    </row>
    <row r="443" spans="1:12" x14ac:dyDescent="0.2">
      <c r="A443" s="130">
        <v>66934</v>
      </c>
      <c r="B443" s="4" t="s">
        <v>904</v>
      </c>
      <c r="C443" s="4" t="s">
        <v>59</v>
      </c>
      <c r="D443" s="4" t="s">
        <v>60</v>
      </c>
      <c r="E443" s="36">
        <v>60</v>
      </c>
      <c r="F443" s="5">
        <v>85</v>
      </c>
      <c r="G443" s="5">
        <f t="shared" si="15"/>
        <v>5100</v>
      </c>
      <c r="H443" s="37">
        <v>0</v>
      </c>
      <c r="I443" s="5">
        <f t="shared" si="13"/>
        <v>5100</v>
      </c>
      <c r="J443" s="4" t="s">
        <v>61</v>
      </c>
      <c r="K443" s="4" t="s">
        <v>62</v>
      </c>
      <c r="L443" s="4"/>
    </row>
    <row r="444" spans="1:12" x14ac:dyDescent="0.2">
      <c r="A444" s="130">
        <v>66934</v>
      </c>
      <c r="B444" s="4" t="s">
        <v>905</v>
      </c>
      <c r="C444" s="4" t="s">
        <v>81</v>
      </c>
      <c r="D444" s="4" t="s">
        <v>60</v>
      </c>
      <c r="E444" s="36">
        <v>3.5</v>
      </c>
      <c r="F444" s="5">
        <v>86</v>
      </c>
      <c r="G444" s="5">
        <f t="shared" si="15"/>
        <v>301</v>
      </c>
      <c r="H444" s="37">
        <v>0</v>
      </c>
      <c r="I444" s="5">
        <f t="shared" si="13"/>
        <v>301</v>
      </c>
      <c r="J444" s="4" t="s">
        <v>61</v>
      </c>
      <c r="K444" s="4" t="s">
        <v>62</v>
      </c>
      <c r="L444" s="4"/>
    </row>
    <row r="445" spans="1:12" x14ac:dyDescent="0.2">
      <c r="A445" s="130">
        <v>66934</v>
      </c>
      <c r="B445" s="4" t="s">
        <v>906</v>
      </c>
      <c r="C445" s="4" t="s">
        <v>83</v>
      </c>
      <c r="D445" s="4" t="s">
        <v>60</v>
      </c>
      <c r="E445" s="36">
        <v>30</v>
      </c>
      <c r="F445" s="5">
        <v>86</v>
      </c>
      <c r="G445" s="5">
        <f t="shared" si="15"/>
        <v>2580</v>
      </c>
      <c r="H445" s="37">
        <v>0</v>
      </c>
      <c r="I445" s="5">
        <f t="shared" si="13"/>
        <v>2580</v>
      </c>
      <c r="J445" s="4" t="s">
        <v>61</v>
      </c>
      <c r="K445" s="4" t="s">
        <v>62</v>
      </c>
      <c r="L445" s="4"/>
    </row>
    <row r="446" spans="1:12" x14ac:dyDescent="0.2">
      <c r="A446" s="130">
        <v>66934</v>
      </c>
      <c r="B446" s="4" t="s">
        <v>907</v>
      </c>
      <c r="C446" s="4" t="s">
        <v>71</v>
      </c>
      <c r="D446" s="4" t="s">
        <v>60</v>
      </c>
      <c r="E446" s="36">
        <v>15</v>
      </c>
      <c r="F446" s="5">
        <v>86</v>
      </c>
      <c r="G446" s="5">
        <f t="shared" si="15"/>
        <v>1290</v>
      </c>
      <c r="H446" s="37">
        <v>0</v>
      </c>
      <c r="I446" s="5">
        <f t="shared" si="13"/>
        <v>1290</v>
      </c>
      <c r="J446" s="4" t="s">
        <v>61</v>
      </c>
      <c r="K446" s="4" t="s">
        <v>62</v>
      </c>
      <c r="L446" s="4"/>
    </row>
    <row r="447" spans="1:12" x14ac:dyDescent="0.2">
      <c r="A447" s="130">
        <v>66934</v>
      </c>
      <c r="B447" s="4" t="s">
        <v>908</v>
      </c>
      <c r="C447" s="4" t="s">
        <v>64</v>
      </c>
      <c r="D447" s="4" t="s">
        <v>60</v>
      </c>
      <c r="E447" s="36">
        <v>35</v>
      </c>
      <c r="F447" s="5">
        <v>85</v>
      </c>
      <c r="G447" s="5">
        <f t="shared" si="15"/>
        <v>2975</v>
      </c>
      <c r="H447" s="37">
        <v>0</v>
      </c>
      <c r="I447" s="5">
        <f t="shared" si="13"/>
        <v>2975</v>
      </c>
      <c r="J447" s="4" t="s">
        <v>61</v>
      </c>
      <c r="K447" s="4" t="s">
        <v>62</v>
      </c>
      <c r="L447" s="4"/>
    </row>
    <row r="448" spans="1:12" x14ac:dyDescent="0.2">
      <c r="A448" s="130">
        <v>66934</v>
      </c>
      <c r="B448" s="4" t="s">
        <v>909</v>
      </c>
      <c r="C448" s="4" t="s">
        <v>73</v>
      </c>
      <c r="D448" s="4" t="s">
        <v>60</v>
      </c>
      <c r="E448" s="36">
        <v>5</v>
      </c>
      <c r="F448" s="5">
        <v>85</v>
      </c>
      <c r="G448" s="5">
        <f t="shared" si="15"/>
        <v>425</v>
      </c>
      <c r="H448" s="37">
        <v>0</v>
      </c>
      <c r="I448" s="5">
        <f t="shared" si="13"/>
        <v>425</v>
      </c>
      <c r="J448" s="4" t="s">
        <v>61</v>
      </c>
      <c r="K448" s="4" t="s">
        <v>62</v>
      </c>
      <c r="L448" s="4"/>
    </row>
    <row r="449" spans="1:12" x14ac:dyDescent="0.2">
      <c r="A449" s="130">
        <v>66934</v>
      </c>
      <c r="B449" s="4" t="s">
        <v>910</v>
      </c>
      <c r="C449" s="4" t="s">
        <v>77</v>
      </c>
      <c r="D449" s="4" t="s">
        <v>60</v>
      </c>
      <c r="E449" s="36">
        <v>15</v>
      </c>
      <c r="F449" s="5">
        <v>85</v>
      </c>
      <c r="G449" s="5">
        <f t="shared" si="15"/>
        <v>1275</v>
      </c>
      <c r="H449" s="37">
        <v>0</v>
      </c>
      <c r="I449" s="5">
        <f t="shared" si="13"/>
        <v>1275</v>
      </c>
      <c r="J449" s="4" t="s">
        <v>61</v>
      </c>
      <c r="K449" s="4" t="s">
        <v>62</v>
      </c>
      <c r="L449" s="4"/>
    </row>
    <row r="450" spans="1:12" x14ac:dyDescent="0.2">
      <c r="A450" s="130">
        <v>66934</v>
      </c>
      <c r="B450" s="4" t="s">
        <v>911</v>
      </c>
      <c r="C450" s="4" t="s">
        <v>89</v>
      </c>
      <c r="D450" s="4" t="s">
        <v>60</v>
      </c>
      <c r="E450" s="36">
        <v>21</v>
      </c>
      <c r="F450" s="5">
        <v>95</v>
      </c>
      <c r="G450" s="5">
        <f t="shared" si="15"/>
        <v>1995</v>
      </c>
      <c r="H450" s="37">
        <v>0</v>
      </c>
      <c r="I450" s="5">
        <f t="shared" si="13"/>
        <v>1995</v>
      </c>
      <c r="J450" s="4" t="s">
        <v>61</v>
      </c>
      <c r="K450" s="4" t="s">
        <v>62</v>
      </c>
      <c r="L450" s="4"/>
    </row>
    <row r="451" spans="1:12" x14ac:dyDescent="0.2">
      <c r="A451" s="130">
        <v>66934</v>
      </c>
      <c r="B451" s="4" t="s">
        <v>912</v>
      </c>
      <c r="C451" s="4" t="s">
        <v>66</v>
      </c>
      <c r="D451" s="4" t="s">
        <v>60</v>
      </c>
      <c r="E451" s="36">
        <v>20</v>
      </c>
      <c r="F451" s="5">
        <v>85</v>
      </c>
      <c r="G451" s="5">
        <f t="shared" si="15"/>
        <v>1700</v>
      </c>
      <c r="H451" s="37">
        <v>0</v>
      </c>
      <c r="I451" s="5">
        <f t="shared" ref="I451:I581" si="16">IF($E451="","",$G451*(1-$H451/100))</f>
        <v>1700</v>
      </c>
      <c r="J451" s="4" t="s">
        <v>61</v>
      </c>
      <c r="K451" s="4" t="s">
        <v>62</v>
      </c>
      <c r="L451" s="4"/>
    </row>
    <row r="452" spans="1:12" x14ac:dyDescent="0.2">
      <c r="A452" s="130">
        <v>66934</v>
      </c>
      <c r="B452" s="4" t="s">
        <v>913</v>
      </c>
      <c r="C452" s="4" t="s">
        <v>87</v>
      </c>
      <c r="D452" s="4" t="s">
        <v>60</v>
      </c>
      <c r="E452" s="36">
        <v>15</v>
      </c>
      <c r="F452" s="5">
        <v>85</v>
      </c>
      <c r="G452" s="5">
        <f t="shared" si="15"/>
        <v>1275</v>
      </c>
      <c r="H452" s="37">
        <v>0</v>
      </c>
      <c r="I452" s="5">
        <f t="shared" si="16"/>
        <v>1275</v>
      </c>
      <c r="J452" s="4" t="s">
        <v>61</v>
      </c>
      <c r="K452" s="4" t="s">
        <v>62</v>
      </c>
      <c r="L452" s="4"/>
    </row>
    <row r="453" spans="1:12" x14ac:dyDescent="0.2">
      <c r="A453" s="130">
        <v>66934</v>
      </c>
      <c r="B453" s="4" t="s">
        <v>914</v>
      </c>
      <c r="C453" s="4" t="s">
        <v>85</v>
      </c>
      <c r="D453" s="4" t="s">
        <v>60</v>
      </c>
      <c r="E453" s="36">
        <v>5</v>
      </c>
      <c r="F453" s="5">
        <v>85</v>
      </c>
      <c r="G453" s="5">
        <f t="shared" si="15"/>
        <v>425</v>
      </c>
      <c r="H453" s="37">
        <v>0</v>
      </c>
      <c r="I453" s="5">
        <f t="shared" si="16"/>
        <v>425</v>
      </c>
      <c r="J453" s="4" t="s">
        <v>61</v>
      </c>
      <c r="K453" s="4" t="s">
        <v>62</v>
      </c>
      <c r="L453" s="4"/>
    </row>
    <row r="454" spans="1:12" x14ac:dyDescent="0.2">
      <c r="A454" s="130">
        <v>66934</v>
      </c>
      <c r="B454" s="4" t="s">
        <v>915</v>
      </c>
      <c r="C454" s="4" t="s">
        <v>68</v>
      </c>
      <c r="D454" s="4" t="s">
        <v>60</v>
      </c>
      <c r="E454" s="36">
        <v>70</v>
      </c>
      <c r="F454" s="5">
        <v>85</v>
      </c>
      <c r="G454" s="5">
        <f t="shared" si="15"/>
        <v>5950</v>
      </c>
      <c r="H454" s="37">
        <v>0</v>
      </c>
      <c r="I454" s="5">
        <f t="shared" si="16"/>
        <v>5950</v>
      </c>
      <c r="J454" s="4" t="s">
        <v>61</v>
      </c>
      <c r="K454" s="4" t="s">
        <v>62</v>
      </c>
      <c r="L454" s="4"/>
    </row>
    <row r="455" spans="1:12" x14ac:dyDescent="0.2">
      <c r="A455" s="130">
        <v>66934</v>
      </c>
      <c r="B455" s="4" t="s">
        <v>915</v>
      </c>
      <c r="C455" s="4" t="s">
        <v>68</v>
      </c>
      <c r="D455" s="4" t="s">
        <v>60</v>
      </c>
      <c r="E455" s="36">
        <v>30</v>
      </c>
      <c r="F455" s="5">
        <v>86</v>
      </c>
      <c r="G455" s="5">
        <f t="shared" si="15"/>
        <v>2580</v>
      </c>
      <c r="H455" s="37">
        <v>0</v>
      </c>
      <c r="I455" s="5">
        <f t="shared" si="16"/>
        <v>2580</v>
      </c>
      <c r="J455" s="4" t="s">
        <v>61</v>
      </c>
      <c r="K455" s="4" t="s">
        <v>62</v>
      </c>
      <c r="L455" s="4"/>
    </row>
    <row r="456" spans="1:12" x14ac:dyDescent="0.2">
      <c r="A456" s="130">
        <v>66934</v>
      </c>
      <c r="B456" s="4" t="s">
        <v>916</v>
      </c>
      <c r="C456" s="4" t="s">
        <v>79</v>
      </c>
      <c r="D456" s="4" t="s">
        <v>60</v>
      </c>
      <c r="E456" s="36">
        <v>8</v>
      </c>
      <c r="F456" s="5">
        <v>85</v>
      </c>
      <c r="G456" s="5">
        <f t="shared" si="15"/>
        <v>680</v>
      </c>
      <c r="H456" s="37">
        <v>0</v>
      </c>
      <c r="I456" s="5">
        <f t="shared" si="16"/>
        <v>680</v>
      </c>
      <c r="J456" s="4" t="s">
        <v>61</v>
      </c>
      <c r="K456" s="4" t="s">
        <v>62</v>
      </c>
      <c r="L456" s="4"/>
    </row>
    <row r="457" spans="1:12" x14ac:dyDescent="0.2">
      <c r="A457" s="130">
        <v>66934</v>
      </c>
      <c r="B457" s="4" t="s">
        <v>917</v>
      </c>
      <c r="C457" s="4" t="s">
        <v>91</v>
      </c>
      <c r="D457" s="4" t="s">
        <v>60</v>
      </c>
      <c r="E457" s="36">
        <v>32</v>
      </c>
      <c r="F457" s="5">
        <v>84</v>
      </c>
      <c r="G457" s="5">
        <f t="shared" si="15"/>
        <v>2688</v>
      </c>
      <c r="H457" s="37">
        <v>0</v>
      </c>
      <c r="I457" s="5">
        <f t="shared" si="16"/>
        <v>2688</v>
      </c>
      <c r="J457" s="4" t="s">
        <v>61</v>
      </c>
      <c r="K457" s="4" t="s">
        <v>62</v>
      </c>
      <c r="L457" s="4"/>
    </row>
    <row r="458" spans="1:12" x14ac:dyDescent="0.2">
      <c r="A458" s="130">
        <v>66934</v>
      </c>
      <c r="B458" s="4" t="s">
        <v>918</v>
      </c>
      <c r="C458" s="4" t="s">
        <v>97</v>
      </c>
      <c r="D458" s="4" t="s">
        <v>60</v>
      </c>
      <c r="E458" s="36">
        <v>5.5</v>
      </c>
      <c r="F458" s="5">
        <v>96.36</v>
      </c>
      <c r="G458" s="5">
        <f t="shared" si="15"/>
        <v>529.98</v>
      </c>
      <c r="H458" s="37">
        <v>0</v>
      </c>
      <c r="I458" s="5">
        <f t="shared" si="16"/>
        <v>529.98</v>
      </c>
      <c r="J458" s="4" t="s">
        <v>61</v>
      </c>
      <c r="K458" s="4" t="s">
        <v>62</v>
      </c>
      <c r="L458" s="4"/>
    </row>
    <row r="459" spans="1:12" x14ac:dyDescent="0.2">
      <c r="A459" s="130">
        <v>66934</v>
      </c>
      <c r="B459" s="4" t="s">
        <v>919</v>
      </c>
      <c r="C459" s="4" t="s">
        <v>934</v>
      </c>
      <c r="D459" s="4" t="s">
        <v>60</v>
      </c>
      <c r="E459" s="36">
        <v>0.5</v>
      </c>
      <c r="F459" s="5">
        <v>100</v>
      </c>
      <c r="G459" s="5">
        <f t="shared" si="15"/>
        <v>50</v>
      </c>
      <c r="H459" s="37">
        <v>0</v>
      </c>
      <c r="I459" s="5">
        <f t="shared" si="16"/>
        <v>50</v>
      </c>
      <c r="J459" s="4" t="s">
        <v>61</v>
      </c>
      <c r="K459" s="4" t="s">
        <v>62</v>
      </c>
      <c r="L459" s="4"/>
    </row>
    <row r="460" spans="1:12" x14ac:dyDescent="0.2">
      <c r="A460" s="130">
        <v>66935</v>
      </c>
      <c r="B460" s="4" t="s">
        <v>920</v>
      </c>
      <c r="C460" s="4" t="s">
        <v>59</v>
      </c>
      <c r="D460" s="4" t="s">
        <v>60</v>
      </c>
      <c r="E460" s="36">
        <v>60</v>
      </c>
      <c r="F460" s="5">
        <v>85</v>
      </c>
      <c r="G460" s="5">
        <f t="shared" si="15"/>
        <v>5100</v>
      </c>
      <c r="H460" s="37">
        <v>0</v>
      </c>
      <c r="I460" s="5">
        <f t="shared" si="16"/>
        <v>5100</v>
      </c>
      <c r="J460" s="4" t="s">
        <v>61</v>
      </c>
      <c r="K460" s="4" t="s">
        <v>62</v>
      </c>
      <c r="L460" s="4"/>
    </row>
    <row r="461" spans="1:12" x14ac:dyDescent="0.2">
      <c r="A461" s="130">
        <v>66935</v>
      </c>
      <c r="B461" s="4" t="s">
        <v>920</v>
      </c>
      <c r="C461" s="4" t="s">
        <v>59</v>
      </c>
      <c r="D461" s="4" t="s">
        <v>69</v>
      </c>
      <c r="E461" s="36">
        <v>1</v>
      </c>
      <c r="F461" s="5">
        <v>80</v>
      </c>
      <c r="G461" s="5">
        <f t="shared" si="15"/>
        <v>80</v>
      </c>
      <c r="H461" s="37">
        <v>0</v>
      </c>
      <c r="I461" s="5">
        <f t="shared" si="16"/>
        <v>80</v>
      </c>
      <c r="J461" s="4" t="s">
        <v>61</v>
      </c>
      <c r="K461" s="4" t="s">
        <v>62</v>
      </c>
      <c r="L461" s="4"/>
    </row>
    <row r="462" spans="1:12" x14ac:dyDescent="0.2">
      <c r="A462" s="130">
        <v>66935</v>
      </c>
      <c r="B462" s="4" t="s">
        <v>921</v>
      </c>
      <c r="C462" s="4" t="s">
        <v>64</v>
      </c>
      <c r="D462" s="4" t="s">
        <v>60</v>
      </c>
      <c r="E462" s="36">
        <v>35</v>
      </c>
      <c r="F462" s="5">
        <v>85</v>
      </c>
      <c r="G462" s="5">
        <f t="shared" si="15"/>
        <v>2975</v>
      </c>
      <c r="H462" s="37">
        <v>0</v>
      </c>
      <c r="I462" s="5">
        <f t="shared" si="16"/>
        <v>2975</v>
      </c>
      <c r="J462" s="4" t="s">
        <v>61</v>
      </c>
      <c r="K462" s="4" t="s">
        <v>62</v>
      </c>
      <c r="L462" s="4"/>
    </row>
    <row r="463" spans="1:12" x14ac:dyDescent="0.2">
      <c r="A463" s="130">
        <v>66935</v>
      </c>
      <c r="B463" s="4" t="s">
        <v>922</v>
      </c>
      <c r="C463" s="4" t="s">
        <v>79</v>
      </c>
      <c r="D463" s="4" t="s">
        <v>60</v>
      </c>
      <c r="E463" s="36">
        <v>8</v>
      </c>
      <c r="F463" s="5">
        <v>85</v>
      </c>
      <c r="G463" s="5">
        <f t="shared" si="15"/>
        <v>680</v>
      </c>
      <c r="H463" s="37">
        <v>0</v>
      </c>
      <c r="I463" s="5">
        <f t="shared" si="16"/>
        <v>680</v>
      </c>
      <c r="J463" s="4" t="s">
        <v>61</v>
      </c>
      <c r="K463" s="4" t="s">
        <v>62</v>
      </c>
      <c r="L463" s="4"/>
    </row>
    <row r="464" spans="1:12" x14ac:dyDescent="0.2">
      <c r="A464" s="130">
        <v>66935</v>
      </c>
      <c r="B464" s="4" t="s">
        <v>923</v>
      </c>
      <c r="C464" s="4" t="s">
        <v>66</v>
      </c>
      <c r="D464" s="4" t="s">
        <v>60</v>
      </c>
      <c r="E464" s="36">
        <v>25</v>
      </c>
      <c r="F464" s="5">
        <v>85</v>
      </c>
      <c r="G464" s="5">
        <f t="shared" si="15"/>
        <v>2125</v>
      </c>
      <c r="H464" s="37">
        <v>0</v>
      </c>
      <c r="I464" s="5">
        <f t="shared" si="16"/>
        <v>2125</v>
      </c>
      <c r="J464" s="4" t="s">
        <v>61</v>
      </c>
      <c r="K464" s="4" t="s">
        <v>62</v>
      </c>
      <c r="L464" s="4"/>
    </row>
    <row r="465" spans="1:12" x14ac:dyDescent="0.2">
      <c r="A465" s="130">
        <v>66935</v>
      </c>
      <c r="B465" s="4" t="s">
        <v>924</v>
      </c>
      <c r="C465" s="4" t="s">
        <v>68</v>
      </c>
      <c r="D465" s="4" t="s">
        <v>60</v>
      </c>
      <c r="E465" s="36">
        <v>40</v>
      </c>
      <c r="F465" s="5">
        <v>86</v>
      </c>
      <c r="G465" s="5">
        <f t="shared" si="15"/>
        <v>3440</v>
      </c>
      <c r="H465" s="37">
        <v>0</v>
      </c>
      <c r="I465" s="5">
        <f t="shared" si="16"/>
        <v>3440</v>
      </c>
      <c r="J465" s="4" t="s">
        <v>61</v>
      </c>
      <c r="K465" s="4" t="s">
        <v>62</v>
      </c>
      <c r="L465" s="4"/>
    </row>
    <row r="466" spans="1:12" x14ac:dyDescent="0.2">
      <c r="A466" s="130">
        <v>66935</v>
      </c>
      <c r="B466" s="4" t="s">
        <v>924</v>
      </c>
      <c r="C466" s="4" t="s">
        <v>68</v>
      </c>
      <c r="D466" s="4" t="s">
        <v>60</v>
      </c>
      <c r="E466" s="36">
        <v>80</v>
      </c>
      <c r="F466" s="5">
        <v>85</v>
      </c>
      <c r="G466" s="5">
        <f t="shared" si="15"/>
        <v>6800</v>
      </c>
      <c r="H466" s="37">
        <v>0</v>
      </c>
      <c r="I466" s="5">
        <f t="shared" si="16"/>
        <v>6800</v>
      </c>
      <c r="J466" s="4" t="s">
        <v>61</v>
      </c>
      <c r="K466" s="4" t="s">
        <v>62</v>
      </c>
      <c r="L466" s="4"/>
    </row>
    <row r="467" spans="1:12" x14ac:dyDescent="0.2">
      <c r="A467" s="130">
        <v>66935</v>
      </c>
      <c r="B467" s="4" t="s">
        <v>924</v>
      </c>
      <c r="C467" s="4" t="s">
        <v>68</v>
      </c>
      <c r="D467" s="4" t="s">
        <v>161</v>
      </c>
      <c r="E467" s="36">
        <v>2</v>
      </c>
      <c r="F467" s="5">
        <v>800</v>
      </c>
      <c r="G467" s="5">
        <f t="shared" si="15"/>
        <v>1600</v>
      </c>
      <c r="H467" s="37">
        <v>0</v>
      </c>
      <c r="I467" s="5">
        <f t="shared" si="16"/>
        <v>1600</v>
      </c>
      <c r="J467" s="4" t="s">
        <v>61</v>
      </c>
      <c r="K467" s="4" t="s">
        <v>62</v>
      </c>
      <c r="L467" s="4"/>
    </row>
    <row r="468" spans="1:12" x14ac:dyDescent="0.2">
      <c r="A468" s="130">
        <v>66935</v>
      </c>
      <c r="B468" s="4" t="s">
        <v>925</v>
      </c>
      <c r="C468" s="4" t="s">
        <v>85</v>
      </c>
      <c r="D468" s="4" t="s">
        <v>60</v>
      </c>
      <c r="E468" s="36">
        <v>5</v>
      </c>
      <c r="F468" s="5">
        <v>85</v>
      </c>
      <c r="G468" s="5">
        <f t="shared" ref="G468:G519" si="17">IF($E468="","",$E468*$F468)</f>
        <v>425</v>
      </c>
      <c r="H468" s="37">
        <v>0</v>
      </c>
      <c r="I468" s="5">
        <f t="shared" si="16"/>
        <v>425</v>
      </c>
      <c r="J468" s="4" t="s">
        <v>61</v>
      </c>
      <c r="K468" s="4" t="s">
        <v>62</v>
      </c>
      <c r="L468" s="4"/>
    </row>
    <row r="469" spans="1:12" x14ac:dyDescent="0.2">
      <c r="A469" s="130">
        <v>66935</v>
      </c>
      <c r="B469" s="4" t="s">
        <v>926</v>
      </c>
      <c r="C469" s="4" t="s">
        <v>87</v>
      </c>
      <c r="D469" s="4" t="s">
        <v>60</v>
      </c>
      <c r="E469" s="36">
        <v>15</v>
      </c>
      <c r="F469" s="5">
        <v>85</v>
      </c>
      <c r="G469" s="5">
        <f t="shared" si="17"/>
        <v>1275</v>
      </c>
      <c r="H469" s="37">
        <v>0</v>
      </c>
      <c r="I469" s="5">
        <f t="shared" si="16"/>
        <v>1275</v>
      </c>
      <c r="J469" s="4" t="s">
        <v>61</v>
      </c>
      <c r="K469" s="4" t="s">
        <v>62</v>
      </c>
      <c r="L469" s="4"/>
    </row>
    <row r="470" spans="1:12" x14ac:dyDescent="0.2">
      <c r="A470" s="130">
        <v>66935</v>
      </c>
      <c r="B470" s="4" t="s">
        <v>927</v>
      </c>
      <c r="C470" s="4" t="s">
        <v>83</v>
      </c>
      <c r="D470" s="4" t="s">
        <v>60</v>
      </c>
      <c r="E470" s="36">
        <v>20</v>
      </c>
      <c r="F470" s="5">
        <v>86</v>
      </c>
      <c r="G470" s="5">
        <f t="shared" si="17"/>
        <v>1720</v>
      </c>
      <c r="H470" s="37">
        <v>0</v>
      </c>
      <c r="I470" s="5">
        <f t="shared" si="16"/>
        <v>1720</v>
      </c>
      <c r="J470" s="4" t="s">
        <v>61</v>
      </c>
      <c r="K470" s="4" t="s">
        <v>62</v>
      </c>
      <c r="L470" s="4"/>
    </row>
    <row r="471" spans="1:12" x14ac:dyDescent="0.2">
      <c r="A471" s="130">
        <v>66935</v>
      </c>
      <c r="B471" s="4" t="s">
        <v>928</v>
      </c>
      <c r="C471" s="4" t="s">
        <v>77</v>
      </c>
      <c r="D471" s="4" t="s">
        <v>60</v>
      </c>
      <c r="E471" s="36">
        <v>12</v>
      </c>
      <c r="F471" s="5">
        <v>85</v>
      </c>
      <c r="G471" s="5">
        <f t="shared" si="17"/>
        <v>1020</v>
      </c>
      <c r="H471" s="37">
        <v>0</v>
      </c>
      <c r="I471" s="5">
        <f t="shared" si="16"/>
        <v>1020</v>
      </c>
      <c r="J471" s="4" t="s">
        <v>61</v>
      </c>
      <c r="K471" s="4" t="s">
        <v>62</v>
      </c>
      <c r="L471" s="4"/>
    </row>
    <row r="472" spans="1:12" x14ac:dyDescent="0.2">
      <c r="A472" s="130">
        <v>66935</v>
      </c>
      <c r="B472" s="4" t="s">
        <v>929</v>
      </c>
      <c r="C472" s="4" t="s">
        <v>75</v>
      </c>
      <c r="D472" s="4" t="s">
        <v>60</v>
      </c>
      <c r="E472" s="36">
        <v>8</v>
      </c>
      <c r="F472" s="5">
        <v>85</v>
      </c>
      <c r="G472" s="5">
        <f t="shared" si="17"/>
        <v>680</v>
      </c>
      <c r="H472" s="37">
        <v>0</v>
      </c>
      <c r="I472" s="5">
        <f t="shared" si="16"/>
        <v>680</v>
      </c>
      <c r="J472" s="4" t="s">
        <v>61</v>
      </c>
      <c r="K472" s="4" t="s">
        <v>62</v>
      </c>
      <c r="L472" s="4"/>
    </row>
    <row r="473" spans="1:12" x14ac:dyDescent="0.2">
      <c r="A473" s="130">
        <v>66935</v>
      </c>
      <c r="B473" s="4" t="s">
        <v>930</v>
      </c>
      <c r="C473" s="4" t="s">
        <v>89</v>
      </c>
      <c r="D473" s="4" t="s">
        <v>60</v>
      </c>
      <c r="E473" s="36">
        <v>30</v>
      </c>
      <c r="F473" s="5">
        <v>95</v>
      </c>
      <c r="G473" s="5">
        <f t="shared" si="17"/>
        <v>2850</v>
      </c>
      <c r="H473" s="37">
        <v>0</v>
      </c>
      <c r="I473" s="5">
        <f t="shared" si="16"/>
        <v>2850</v>
      </c>
      <c r="J473" s="4" t="s">
        <v>61</v>
      </c>
      <c r="K473" s="4" t="s">
        <v>62</v>
      </c>
      <c r="L473" s="4"/>
    </row>
    <row r="474" spans="1:12" x14ac:dyDescent="0.2">
      <c r="A474" s="130">
        <v>66935</v>
      </c>
      <c r="B474" s="4" t="s">
        <v>930</v>
      </c>
      <c r="C474" s="4" t="s">
        <v>89</v>
      </c>
      <c r="D474" s="4" t="s">
        <v>92</v>
      </c>
      <c r="E474" s="36">
        <v>2</v>
      </c>
      <c r="F474" s="5">
        <v>1100</v>
      </c>
      <c r="G474" s="5">
        <f t="shared" si="17"/>
        <v>2200</v>
      </c>
      <c r="H474" s="37">
        <v>0</v>
      </c>
      <c r="I474" s="5">
        <f t="shared" si="16"/>
        <v>2200</v>
      </c>
      <c r="J474" s="4" t="s">
        <v>61</v>
      </c>
      <c r="K474" s="4" t="s">
        <v>62</v>
      </c>
      <c r="L474" s="4"/>
    </row>
    <row r="475" spans="1:12" x14ac:dyDescent="0.2">
      <c r="A475" s="130">
        <v>66935</v>
      </c>
      <c r="B475" s="4" t="s">
        <v>930</v>
      </c>
      <c r="C475" s="4" t="s">
        <v>89</v>
      </c>
      <c r="D475" s="4" t="s">
        <v>161</v>
      </c>
      <c r="E475" s="36">
        <v>0.5</v>
      </c>
      <c r="F475" s="5">
        <v>800</v>
      </c>
      <c r="G475" s="5">
        <f t="shared" si="17"/>
        <v>400</v>
      </c>
      <c r="H475" s="37">
        <v>0</v>
      </c>
      <c r="I475" s="5">
        <f t="shared" si="16"/>
        <v>400</v>
      </c>
      <c r="J475" s="4" t="s">
        <v>61</v>
      </c>
      <c r="K475" s="4" t="s">
        <v>62</v>
      </c>
      <c r="L475" s="4"/>
    </row>
    <row r="476" spans="1:12" x14ac:dyDescent="0.2">
      <c r="A476" s="130">
        <v>66935</v>
      </c>
      <c r="B476" s="4" t="s">
        <v>931</v>
      </c>
      <c r="C476" s="4" t="s">
        <v>95</v>
      </c>
      <c r="D476" s="4" t="s">
        <v>60</v>
      </c>
      <c r="E476" s="36">
        <v>6</v>
      </c>
      <c r="F476" s="5">
        <v>85</v>
      </c>
      <c r="G476" s="5">
        <f t="shared" si="17"/>
        <v>510</v>
      </c>
      <c r="H476" s="37">
        <v>0</v>
      </c>
      <c r="I476" s="5">
        <f t="shared" si="16"/>
        <v>510</v>
      </c>
      <c r="J476" s="4" t="s">
        <v>61</v>
      </c>
      <c r="K476" s="4" t="s">
        <v>62</v>
      </c>
      <c r="L476" s="4"/>
    </row>
    <row r="477" spans="1:12" x14ac:dyDescent="0.2">
      <c r="A477" s="130">
        <v>66935</v>
      </c>
      <c r="B477" s="4" t="s">
        <v>932</v>
      </c>
      <c r="C477" s="4" t="s">
        <v>91</v>
      </c>
      <c r="D477" s="4" t="s">
        <v>60</v>
      </c>
      <c r="E477" s="36">
        <v>27</v>
      </c>
      <c r="F477" s="5">
        <v>84</v>
      </c>
      <c r="G477" s="5">
        <f t="shared" si="17"/>
        <v>2268</v>
      </c>
      <c r="H477" s="37">
        <v>0</v>
      </c>
      <c r="I477" s="5">
        <f t="shared" si="16"/>
        <v>2268</v>
      </c>
      <c r="J477" s="4" t="s">
        <v>61</v>
      </c>
      <c r="K477" s="4" t="s">
        <v>62</v>
      </c>
      <c r="L477" s="4"/>
    </row>
    <row r="478" spans="1:12" x14ac:dyDescent="0.2">
      <c r="A478" s="130">
        <v>66935</v>
      </c>
      <c r="B478" s="4" t="s">
        <v>933</v>
      </c>
      <c r="C478" s="4" t="s">
        <v>97</v>
      </c>
      <c r="D478" s="4" t="s">
        <v>60</v>
      </c>
      <c r="E478" s="36">
        <v>5.5</v>
      </c>
      <c r="F478" s="5">
        <v>100</v>
      </c>
      <c r="G478" s="5">
        <f t="shared" si="17"/>
        <v>550</v>
      </c>
      <c r="H478" s="37">
        <v>0</v>
      </c>
      <c r="I478" s="5">
        <f t="shared" si="16"/>
        <v>550</v>
      </c>
      <c r="J478" s="4" t="s">
        <v>61</v>
      </c>
      <c r="K478" s="4" t="s">
        <v>62</v>
      </c>
      <c r="L478" s="4"/>
    </row>
    <row r="479" spans="1:12" x14ac:dyDescent="0.2">
      <c r="A479" s="130">
        <v>66935</v>
      </c>
      <c r="B479" s="4" t="s">
        <v>933</v>
      </c>
      <c r="C479" s="4" t="s">
        <v>97</v>
      </c>
      <c r="D479" s="4" t="s">
        <v>93</v>
      </c>
      <c r="E479" s="36">
        <v>1</v>
      </c>
      <c r="F479" s="5">
        <v>800</v>
      </c>
      <c r="G479" s="5">
        <f t="shared" si="17"/>
        <v>800</v>
      </c>
      <c r="H479" s="37">
        <v>0</v>
      </c>
      <c r="I479" s="5">
        <f t="shared" si="16"/>
        <v>800</v>
      </c>
      <c r="J479" s="4" t="s">
        <v>61</v>
      </c>
      <c r="K479" s="4" t="s">
        <v>62</v>
      </c>
      <c r="L479" s="4"/>
    </row>
    <row r="480" spans="1:12" x14ac:dyDescent="0.2">
      <c r="A480" s="130">
        <v>66935</v>
      </c>
      <c r="B480" s="4" t="s">
        <v>935</v>
      </c>
      <c r="C480" s="4" t="s">
        <v>934</v>
      </c>
      <c r="D480" s="4" t="s">
        <v>60</v>
      </c>
      <c r="E480" s="36">
        <v>1</v>
      </c>
      <c r="F480" s="5">
        <v>100</v>
      </c>
      <c r="G480" s="5">
        <f t="shared" si="17"/>
        <v>100</v>
      </c>
      <c r="H480" s="37">
        <v>0</v>
      </c>
      <c r="I480" s="5">
        <f t="shared" si="16"/>
        <v>100</v>
      </c>
      <c r="J480" s="4" t="s">
        <v>61</v>
      </c>
      <c r="K480" s="4" t="s">
        <v>62</v>
      </c>
      <c r="L480" s="4"/>
    </row>
    <row r="481" spans="1:12" x14ac:dyDescent="0.2">
      <c r="A481" s="130">
        <v>66935</v>
      </c>
      <c r="B481" s="4" t="s">
        <v>936</v>
      </c>
      <c r="C481" s="4" t="s">
        <v>211</v>
      </c>
      <c r="D481" s="4" t="s">
        <v>60</v>
      </c>
      <c r="E481" s="36">
        <v>4</v>
      </c>
      <c r="F481" s="5">
        <v>100</v>
      </c>
      <c r="G481" s="5">
        <f t="shared" si="17"/>
        <v>400</v>
      </c>
      <c r="H481" s="37">
        <v>0</v>
      </c>
      <c r="I481" s="5">
        <f t="shared" si="16"/>
        <v>400</v>
      </c>
      <c r="J481" s="4" t="s">
        <v>61</v>
      </c>
      <c r="K481" s="4" t="s">
        <v>62</v>
      </c>
      <c r="L481" s="4"/>
    </row>
    <row r="482" spans="1:12" x14ac:dyDescent="0.2">
      <c r="A482" s="145">
        <v>66936</v>
      </c>
      <c r="B482" s="4" t="s">
        <v>942</v>
      </c>
      <c r="C482" s="146" t="s">
        <v>59</v>
      </c>
      <c r="D482" s="4" t="s">
        <v>60</v>
      </c>
      <c r="E482" s="147">
        <v>60</v>
      </c>
      <c r="F482" s="148">
        <v>85</v>
      </c>
      <c r="G482" s="5">
        <f t="shared" si="17"/>
        <v>5100</v>
      </c>
      <c r="H482" s="37">
        <v>0</v>
      </c>
      <c r="I482" s="5">
        <f t="shared" si="16"/>
        <v>5100</v>
      </c>
      <c r="J482" s="4" t="s">
        <v>61</v>
      </c>
      <c r="K482" s="4" t="s">
        <v>62</v>
      </c>
      <c r="L482" s="146"/>
    </row>
    <row r="483" spans="1:12" x14ac:dyDescent="0.2">
      <c r="A483" s="145">
        <v>66936</v>
      </c>
      <c r="B483" s="4" t="s">
        <v>942</v>
      </c>
      <c r="C483" s="146" t="s">
        <v>59</v>
      </c>
      <c r="D483" s="146" t="s">
        <v>69</v>
      </c>
      <c r="E483" s="147">
        <v>1</v>
      </c>
      <c r="F483" s="148">
        <v>80</v>
      </c>
      <c r="G483" s="5">
        <f t="shared" si="17"/>
        <v>80</v>
      </c>
      <c r="H483" s="37">
        <v>0</v>
      </c>
      <c r="I483" s="5">
        <f t="shared" si="16"/>
        <v>80</v>
      </c>
      <c r="J483" s="4" t="s">
        <v>61</v>
      </c>
      <c r="K483" s="4" t="s">
        <v>62</v>
      </c>
      <c r="L483" s="146"/>
    </row>
    <row r="484" spans="1:12" x14ac:dyDescent="0.2">
      <c r="A484" s="145">
        <v>66936</v>
      </c>
      <c r="B484" s="4" t="s">
        <v>943</v>
      </c>
      <c r="C484" s="146" t="s">
        <v>64</v>
      </c>
      <c r="D484" s="146" t="s">
        <v>60</v>
      </c>
      <c r="E484" s="147">
        <v>30</v>
      </c>
      <c r="F484" s="148">
        <v>85</v>
      </c>
      <c r="G484" s="5">
        <f t="shared" si="17"/>
        <v>2550</v>
      </c>
      <c r="H484" s="37">
        <v>0</v>
      </c>
      <c r="I484" s="5">
        <f t="shared" si="16"/>
        <v>2550</v>
      </c>
      <c r="J484" s="4" t="s">
        <v>61</v>
      </c>
      <c r="K484" s="4" t="s">
        <v>62</v>
      </c>
      <c r="L484" s="146"/>
    </row>
    <row r="485" spans="1:12" x14ac:dyDescent="0.2">
      <c r="A485" s="145">
        <v>66936</v>
      </c>
      <c r="B485" s="4" t="s">
        <v>944</v>
      </c>
      <c r="C485" s="146" t="s">
        <v>68</v>
      </c>
      <c r="D485" s="146" t="s">
        <v>60</v>
      </c>
      <c r="E485" s="147">
        <v>40</v>
      </c>
      <c r="F485" s="148">
        <v>86</v>
      </c>
      <c r="G485" s="5">
        <f t="shared" si="17"/>
        <v>3440</v>
      </c>
      <c r="H485" s="37">
        <v>0</v>
      </c>
      <c r="I485" s="5">
        <f t="shared" si="16"/>
        <v>3440</v>
      </c>
      <c r="J485" s="4" t="s">
        <v>61</v>
      </c>
      <c r="K485" s="4" t="s">
        <v>62</v>
      </c>
      <c r="L485" s="146"/>
    </row>
    <row r="486" spans="1:12" x14ac:dyDescent="0.2">
      <c r="A486" s="145">
        <v>66936</v>
      </c>
      <c r="B486" s="4" t="s">
        <v>944</v>
      </c>
      <c r="C486" s="146" t="s">
        <v>68</v>
      </c>
      <c r="D486" s="146" t="s">
        <v>60</v>
      </c>
      <c r="E486" s="147">
        <v>60</v>
      </c>
      <c r="F486" s="148">
        <v>85</v>
      </c>
      <c r="G486" s="5">
        <f t="shared" si="17"/>
        <v>5100</v>
      </c>
      <c r="H486" s="37">
        <v>0</v>
      </c>
      <c r="I486" s="5">
        <f t="shared" si="16"/>
        <v>5100</v>
      </c>
      <c r="J486" s="4" t="s">
        <v>61</v>
      </c>
      <c r="K486" s="4" t="s">
        <v>62</v>
      </c>
      <c r="L486" s="146"/>
    </row>
    <row r="487" spans="1:12" x14ac:dyDescent="0.2">
      <c r="A487" s="145">
        <v>66936</v>
      </c>
      <c r="B487" s="4" t="s">
        <v>944</v>
      </c>
      <c r="C487" s="146" t="s">
        <v>68</v>
      </c>
      <c r="D487" s="146" t="s">
        <v>60</v>
      </c>
      <c r="E487" s="147">
        <v>2</v>
      </c>
      <c r="F487" s="148">
        <v>1100</v>
      </c>
      <c r="G487" s="5">
        <f t="shared" si="17"/>
        <v>2200</v>
      </c>
      <c r="H487" s="37">
        <v>0</v>
      </c>
      <c r="I487" s="5">
        <f t="shared" si="16"/>
        <v>2200</v>
      </c>
      <c r="J487" s="4" t="s">
        <v>61</v>
      </c>
      <c r="K487" s="4" t="s">
        <v>62</v>
      </c>
      <c r="L487" s="146"/>
    </row>
    <row r="488" spans="1:12" x14ac:dyDescent="0.2">
      <c r="A488" s="145">
        <v>66936</v>
      </c>
      <c r="B488" s="4" t="s">
        <v>945</v>
      </c>
      <c r="C488" s="146" t="s">
        <v>83</v>
      </c>
      <c r="D488" s="146" t="s">
        <v>60</v>
      </c>
      <c r="E488" s="147">
        <v>20</v>
      </c>
      <c r="F488" s="148">
        <v>86</v>
      </c>
      <c r="G488" s="5">
        <f t="shared" si="17"/>
        <v>1720</v>
      </c>
      <c r="H488" s="37">
        <v>0</v>
      </c>
      <c r="I488" s="5">
        <f t="shared" si="16"/>
        <v>1720</v>
      </c>
      <c r="J488" s="4" t="s">
        <v>61</v>
      </c>
      <c r="K488" s="4" t="s">
        <v>62</v>
      </c>
      <c r="L488" s="146"/>
    </row>
    <row r="489" spans="1:12" x14ac:dyDescent="0.2">
      <c r="A489" s="145">
        <v>66936</v>
      </c>
      <c r="B489" s="4" t="s">
        <v>946</v>
      </c>
      <c r="C489" s="146" t="s">
        <v>81</v>
      </c>
      <c r="D489" s="146" t="s">
        <v>60</v>
      </c>
      <c r="E489" s="147">
        <v>3</v>
      </c>
      <c r="F489" s="148">
        <v>86</v>
      </c>
      <c r="G489" s="5">
        <f t="shared" si="17"/>
        <v>258</v>
      </c>
      <c r="H489" s="37">
        <v>0</v>
      </c>
      <c r="I489" s="5">
        <f t="shared" si="16"/>
        <v>258</v>
      </c>
      <c r="J489" s="4" t="s">
        <v>61</v>
      </c>
      <c r="K489" s="4" t="s">
        <v>62</v>
      </c>
      <c r="L489" s="146"/>
    </row>
    <row r="490" spans="1:12" x14ac:dyDescent="0.2">
      <c r="A490" s="145">
        <v>66936</v>
      </c>
      <c r="B490" s="4" t="s">
        <v>947</v>
      </c>
      <c r="C490" s="146" t="s">
        <v>73</v>
      </c>
      <c r="D490" s="146" t="s">
        <v>60</v>
      </c>
      <c r="E490" s="147">
        <v>10</v>
      </c>
      <c r="F490" s="148">
        <v>85</v>
      </c>
      <c r="G490" s="5">
        <f t="shared" si="17"/>
        <v>850</v>
      </c>
      <c r="H490" s="37">
        <v>0</v>
      </c>
      <c r="I490" s="5">
        <f t="shared" si="16"/>
        <v>850</v>
      </c>
      <c r="J490" s="4" t="s">
        <v>61</v>
      </c>
      <c r="K490" s="4" t="s">
        <v>62</v>
      </c>
      <c r="L490" s="146"/>
    </row>
    <row r="491" spans="1:12" x14ac:dyDescent="0.2">
      <c r="A491" s="145">
        <v>66936</v>
      </c>
      <c r="B491" s="4" t="s">
        <v>948</v>
      </c>
      <c r="C491" s="146" t="s">
        <v>77</v>
      </c>
      <c r="D491" s="146" t="s">
        <v>60</v>
      </c>
      <c r="E491" s="147">
        <v>12</v>
      </c>
      <c r="F491" s="148">
        <v>85</v>
      </c>
      <c r="G491" s="5">
        <f t="shared" si="17"/>
        <v>1020</v>
      </c>
      <c r="H491" s="37">
        <v>0</v>
      </c>
      <c r="I491" s="5">
        <f t="shared" si="16"/>
        <v>1020</v>
      </c>
      <c r="J491" s="4" t="s">
        <v>61</v>
      </c>
      <c r="K491" s="4" t="s">
        <v>62</v>
      </c>
      <c r="L491" s="146"/>
    </row>
    <row r="492" spans="1:12" x14ac:dyDescent="0.2">
      <c r="A492" s="145">
        <v>66936</v>
      </c>
      <c r="B492" s="4" t="s">
        <v>949</v>
      </c>
      <c r="C492" s="146" t="s">
        <v>79</v>
      </c>
      <c r="D492" s="146" t="s">
        <v>60</v>
      </c>
      <c r="E492" s="147">
        <v>8</v>
      </c>
      <c r="F492" s="148">
        <v>85</v>
      </c>
      <c r="G492" s="5">
        <f t="shared" si="17"/>
        <v>680</v>
      </c>
      <c r="H492" s="37">
        <v>0</v>
      </c>
      <c r="I492" s="5">
        <f t="shared" si="16"/>
        <v>680</v>
      </c>
      <c r="J492" s="4" t="s">
        <v>61</v>
      </c>
      <c r="K492" s="4" t="s">
        <v>62</v>
      </c>
      <c r="L492" s="146"/>
    </row>
    <row r="493" spans="1:12" x14ac:dyDescent="0.2">
      <c r="A493" s="145">
        <v>66936</v>
      </c>
      <c r="B493" s="4" t="s">
        <v>950</v>
      </c>
      <c r="C493" s="146" t="s">
        <v>66</v>
      </c>
      <c r="D493" s="146" t="s">
        <v>60</v>
      </c>
      <c r="E493" s="147">
        <v>25</v>
      </c>
      <c r="F493" s="148">
        <v>85</v>
      </c>
      <c r="G493" s="5">
        <f t="shared" si="17"/>
        <v>2125</v>
      </c>
      <c r="H493" s="37">
        <v>0</v>
      </c>
      <c r="I493" s="5">
        <f t="shared" si="16"/>
        <v>2125</v>
      </c>
      <c r="J493" s="4" t="s">
        <v>61</v>
      </c>
      <c r="K493" s="4" t="s">
        <v>62</v>
      </c>
      <c r="L493" s="146"/>
    </row>
    <row r="494" spans="1:12" x14ac:dyDescent="0.2">
      <c r="A494" s="145">
        <v>66936</v>
      </c>
      <c r="B494" s="4" t="s">
        <v>951</v>
      </c>
      <c r="C494" s="146" t="s">
        <v>85</v>
      </c>
      <c r="D494" s="146" t="s">
        <v>60</v>
      </c>
      <c r="E494" s="147">
        <v>5</v>
      </c>
      <c r="F494" s="148">
        <v>85</v>
      </c>
      <c r="G494" s="5">
        <f t="shared" si="17"/>
        <v>425</v>
      </c>
      <c r="H494" s="37">
        <v>0</v>
      </c>
      <c r="I494" s="5">
        <f t="shared" si="16"/>
        <v>425</v>
      </c>
      <c r="J494" s="4" t="s">
        <v>61</v>
      </c>
      <c r="K494" s="4" t="s">
        <v>62</v>
      </c>
      <c r="L494" s="146"/>
    </row>
    <row r="495" spans="1:12" x14ac:dyDescent="0.2">
      <c r="A495" s="145">
        <v>66936</v>
      </c>
      <c r="B495" s="4" t="s">
        <v>952</v>
      </c>
      <c r="C495" s="146" t="s">
        <v>87</v>
      </c>
      <c r="D495" s="146" t="s">
        <v>60</v>
      </c>
      <c r="E495" s="147">
        <v>15</v>
      </c>
      <c r="F495" s="148">
        <v>85</v>
      </c>
      <c r="G495" s="5">
        <f t="shared" si="17"/>
        <v>1275</v>
      </c>
      <c r="H495" s="37">
        <v>0</v>
      </c>
      <c r="I495" s="5">
        <f t="shared" si="16"/>
        <v>1275</v>
      </c>
      <c r="J495" s="4" t="s">
        <v>61</v>
      </c>
      <c r="K495" s="4" t="s">
        <v>62</v>
      </c>
      <c r="L495" s="146"/>
    </row>
    <row r="496" spans="1:12" x14ac:dyDescent="0.2">
      <c r="A496" s="145">
        <v>66936</v>
      </c>
      <c r="B496" s="4" t="s">
        <v>953</v>
      </c>
      <c r="C496" s="146" t="s">
        <v>89</v>
      </c>
      <c r="D496" s="146" t="s">
        <v>60</v>
      </c>
      <c r="E496" s="147">
        <v>30</v>
      </c>
      <c r="F496" s="148">
        <v>95</v>
      </c>
      <c r="G496" s="5">
        <f t="shared" si="17"/>
        <v>2850</v>
      </c>
      <c r="H496" s="37">
        <v>0</v>
      </c>
      <c r="I496" s="5">
        <f t="shared" si="16"/>
        <v>2850</v>
      </c>
      <c r="J496" s="4" t="s">
        <v>61</v>
      </c>
      <c r="K496" s="4" t="s">
        <v>62</v>
      </c>
      <c r="L496" s="146"/>
    </row>
    <row r="497" spans="1:12" x14ac:dyDescent="0.2">
      <c r="A497" s="145">
        <v>66936</v>
      </c>
      <c r="B497" s="4" t="s">
        <v>953</v>
      </c>
      <c r="C497" s="146" t="s">
        <v>89</v>
      </c>
      <c r="D497" s="146" t="s">
        <v>60</v>
      </c>
      <c r="E497" s="147">
        <v>12</v>
      </c>
      <c r="F497" s="148">
        <v>85</v>
      </c>
      <c r="G497" s="5">
        <f t="shared" si="17"/>
        <v>1020</v>
      </c>
      <c r="H497" s="37">
        <v>0</v>
      </c>
      <c r="I497" s="5">
        <f t="shared" si="16"/>
        <v>1020</v>
      </c>
      <c r="J497" s="4" t="s">
        <v>61</v>
      </c>
      <c r="K497" s="4" t="s">
        <v>62</v>
      </c>
      <c r="L497" s="146"/>
    </row>
    <row r="498" spans="1:12" s="68" customFormat="1" x14ac:dyDescent="0.2">
      <c r="A498" s="145">
        <v>66937</v>
      </c>
      <c r="B498" s="4" t="s">
        <v>954</v>
      </c>
      <c r="C498" s="146" t="s">
        <v>91</v>
      </c>
      <c r="D498" s="146" t="s">
        <v>60</v>
      </c>
      <c r="E498" s="147">
        <v>35</v>
      </c>
      <c r="F498" s="148">
        <v>84</v>
      </c>
      <c r="G498" s="5">
        <f t="shared" si="17"/>
        <v>2940</v>
      </c>
      <c r="H498" s="37">
        <v>0</v>
      </c>
      <c r="I498" s="5">
        <f t="shared" si="16"/>
        <v>2940</v>
      </c>
      <c r="J498" s="4" t="s">
        <v>61</v>
      </c>
      <c r="K498" s="4" t="s">
        <v>62</v>
      </c>
      <c r="L498" s="149"/>
    </row>
    <row r="499" spans="1:12" x14ac:dyDescent="0.2">
      <c r="A499" s="145">
        <v>66936</v>
      </c>
      <c r="B499" s="4" t="s">
        <v>955</v>
      </c>
      <c r="C499" s="146" t="s">
        <v>91</v>
      </c>
      <c r="D499" s="146" t="s">
        <v>60</v>
      </c>
      <c r="E499" s="147">
        <v>30</v>
      </c>
      <c r="F499" s="148">
        <v>84</v>
      </c>
      <c r="G499" s="5">
        <f t="shared" si="17"/>
        <v>2520</v>
      </c>
      <c r="H499" s="37">
        <v>0</v>
      </c>
      <c r="I499" s="5">
        <f t="shared" si="16"/>
        <v>2520</v>
      </c>
      <c r="J499" s="4" t="s">
        <v>61</v>
      </c>
      <c r="K499" s="4" t="s">
        <v>62</v>
      </c>
      <c r="L499" s="146"/>
    </row>
    <row r="500" spans="1:12" x14ac:dyDescent="0.2">
      <c r="A500" s="145">
        <v>66936</v>
      </c>
      <c r="B500" s="4" t="s">
        <v>956</v>
      </c>
      <c r="C500" s="146" t="s">
        <v>95</v>
      </c>
      <c r="D500" s="146" t="s">
        <v>60</v>
      </c>
      <c r="E500" s="147">
        <v>6</v>
      </c>
      <c r="F500" s="148">
        <v>85</v>
      </c>
      <c r="G500" s="5">
        <f t="shared" si="17"/>
        <v>510</v>
      </c>
      <c r="H500" s="37">
        <v>0</v>
      </c>
      <c r="I500" s="5">
        <f t="shared" si="16"/>
        <v>510</v>
      </c>
      <c r="J500" s="4" t="s">
        <v>61</v>
      </c>
      <c r="K500" s="4" t="s">
        <v>62</v>
      </c>
      <c r="L500" s="146"/>
    </row>
    <row r="501" spans="1:12" x14ac:dyDescent="0.2">
      <c r="A501" s="145">
        <v>66936</v>
      </c>
      <c r="B501" s="4" t="s">
        <v>957</v>
      </c>
      <c r="C501" s="146" t="s">
        <v>71</v>
      </c>
      <c r="D501" s="146" t="s">
        <v>60</v>
      </c>
      <c r="E501" s="147">
        <v>18</v>
      </c>
      <c r="F501" s="148">
        <v>86</v>
      </c>
      <c r="G501" s="5">
        <f t="shared" si="17"/>
        <v>1548</v>
      </c>
      <c r="H501" s="37">
        <v>0</v>
      </c>
      <c r="I501" s="5">
        <f t="shared" si="16"/>
        <v>1548</v>
      </c>
      <c r="J501" s="4" t="s">
        <v>61</v>
      </c>
      <c r="K501" s="4" t="s">
        <v>62</v>
      </c>
      <c r="L501" s="146"/>
    </row>
    <row r="502" spans="1:12" x14ac:dyDescent="0.2">
      <c r="A502" s="145">
        <v>66936</v>
      </c>
      <c r="B502" s="4" t="s">
        <v>958</v>
      </c>
      <c r="C502" s="146" t="s">
        <v>97</v>
      </c>
      <c r="D502" s="146" t="s">
        <v>60</v>
      </c>
      <c r="E502" s="147">
        <v>5</v>
      </c>
      <c r="F502" s="148">
        <v>94</v>
      </c>
      <c r="G502" s="5">
        <f t="shared" si="17"/>
        <v>470</v>
      </c>
      <c r="H502" s="37">
        <v>0</v>
      </c>
      <c r="I502" s="5">
        <f t="shared" si="16"/>
        <v>470</v>
      </c>
      <c r="J502" s="4" t="s">
        <v>61</v>
      </c>
      <c r="K502" s="4" t="s">
        <v>62</v>
      </c>
      <c r="L502" s="146"/>
    </row>
    <row r="503" spans="1:12" x14ac:dyDescent="0.2">
      <c r="A503" s="145">
        <v>66936</v>
      </c>
      <c r="B503" s="4" t="s">
        <v>959</v>
      </c>
      <c r="C503" s="146" t="s">
        <v>211</v>
      </c>
      <c r="D503" s="146" t="s">
        <v>60</v>
      </c>
      <c r="E503" s="36">
        <v>2</v>
      </c>
      <c r="F503" s="5">
        <v>100</v>
      </c>
      <c r="G503" s="5">
        <f t="shared" si="17"/>
        <v>200</v>
      </c>
      <c r="H503" s="37">
        <v>0</v>
      </c>
      <c r="I503" s="5">
        <f t="shared" si="16"/>
        <v>200</v>
      </c>
      <c r="J503" s="4" t="s">
        <v>61</v>
      </c>
      <c r="K503" s="4" t="s">
        <v>62</v>
      </c>
      <c r="L503" s="146"/>
    </row>
    <row r="504" spans="1:12" x14ac:dyDescent="0.2">
      <c r="A504" s="145">
        <v>66937</v>
      </c>
      <c r="B504" s="4" t="s">
        <v>960</v>
      </c>
      <c r="C504" s="146" t="s">
        <v>59</v>
      </c>
      <c r="D504" s="4" t="s">
        <v>60</v>
      </c>
      <c r="E504" s="36">
        <v>60</v>
      </c>
      <c r="F504" s="5">
        <v>85</v>
      </c>
      <c r="G504" s="5">
        <f t="shared" si="17"/>
        <v>5100</v>
      </c>
      <c r="H504" s="37">
        <v>0</v>
      </c>
      <c r="I504" s="5">
        <f t="shared" si="16"/>
        <v>5100</v>
      </c>
      <c r="J504" s="4" t="s">
        <v>61</v>
      </c>
      <c r="K504" s="4" t="s">
        <v>62</v>
      </c>
      <c r="L504" s="146"/>
    </row>
    <row r="505" spans="1:12" x14ac:dyDescent="0.2">
      <c r="A505" s="145">
        <v>66937</v>
      </c>
      <c r="B505" s="4" t="s">
        <v>960</v>
      </c>
      <c r="C505" s="146" t="s">
        <v>59</v>
      </c>
      <c r="D505" s="4" t="s">
        <v>60</v>
      </c>
      <c r="E505" s="36">
        <v>1</v>
      </c>
      <c r="F505" s="5">
        <v>80</v>
      </c>
      <c r="G505" s="5">
        <f t="shared" si="17"/>
        <v>80</v>
      </c>
      <c r="H505" s="37">
        <v>0</v>
      </c>
      <c r="I505" s="5">
        <f t="shared" si="16"/>
        <v>80</v>
      </c>
      <c r="J505" s="4" t="s">
        <v>61</v>
      </c>
      <c r="K505" s="4" t="s">
        <v>62</v>
      </c>
      <c r="L505" s="146"/>
    </row>
    <row r="506" spans="1:12" x14ac:dyDescent="0.2">
      <c r="A506" s="145">
        <v>66937</v>
      </c>
      <c r="B506" s="4" t="s">
        <v>961</v>
      </c>
      <c r="C506" s="146" t="s">
        <v>64</v>
      </c>
      <c r="D506" s="4" t="s">
        <v>60</v>
      </c>
      <c r="E506" s="36">
        <v>45</v>
      </c>
      <c r="F506" s="5">
        <v>85</v>
      </c>
      <c r="G506" s="5">
        <f t="shared" si="17"/>
        <v>3825</v>
      </c>
      <c r="H506" s="37">
        <v>0</v>
      </c>
      <c r="I506" s="5">
        <f t="shared" si="16"/>
        <v>3825</v>
      </c>
      <c r="J506" s="4" t="s">
        <v>61</v>
      </c>
      <c r="K506" s="4" t="s">
        <v>62</v>
      </c>
      <c r="L506" s="146"/>
    </row>
    <row r="507" spans="1:12" x14ac:dyDescent="0.2">
      <c r="A507" s="145">
        <v>66937</v>
      </c>
      <c r="B507" s="4" t="s">
        <v>962</v>
      </c>
      <c r="C507" s="4" t="s">
        <v>73</v>
      </c>
      <c r="D507" s="4" t="s">
        <v>60</v>
      </c>
      <c r="E507" s="36">
        <v>10</v>
      </c>
      <c r="F507" s="5">
        <v>85</v>
      </c>
      <c r="G507" s="5">
        <f t="shared" si="17"/>
        <v>850</v>
      </c>
      <c r="H507" s="37">
        <v>0</v>
      </c>
      <c r="I507" s="5">
        <f t="shared" si="16"/>
        <v>850</v>
      </c>
      <c r="J507" s="4" t="s">
        <v>61</v>
      </c>
      <c r="K507" s="4" t="s">
        <v>62</v>
      </c>
      <c r="L507" s="4"/>
    </row>
    <row r="508" spans="1:12" x14ac:dyDescent="0.2">
      <c r="A508" s="145">
        <v>66937</v>
      </c>
      <c r="B508" s="4" t="s">
        <v>963</v>
      </c>
      <c r="C508" s="4" t="s">
        <v>79</v>
      </c>
      <c r="D508" s="4" t="s">
        <v>60</v>
      </c>
      <c r="E508" s="36">
        <v>8</v>
      </c>
      <c r="F508" s="5">
        <v>85</v>
      </c>
      <c r="G508" s="5">
        <f t="shared" si="17"/>
        <v>680</v>
      </c>
      <c r="H508" s="37">
        <v>0</v>
      </c>
      <c r="I508" s="5">
        <f t="shared" si="16"/>
        <v>680</v>
      </c>
      <c r="J508" s="4" t="s">
        <v>61</v>
      </c>
      <c r="K508" s="4" t="s">
        <v>62</v>
      </c>
      <c r="L508" s="4"/>
    </row>
    <row r="509" spans="1:12" x14ac:dyDescent="0.2">
      <c r="A509" s="145">
        <v>66937</v>
      </c>
      <c r="B509" s="4" t="s">
        <v>964</v>
      </c>
      <c r="C509" s="4" t="s">
        <v>81</v>
      </c>
      <c r="D509" s="4" t="s">
        <v>60</v>
      </c>
      <c r="E509" s="36">
        <v>3</v>
      </c>
      <c r="F509" s="5">
        <v>86</v>
      </c>
      <c r="G509" s="5">
        <f t="shared" si="17"/>
        <v>258</v>
      </c>
      <c r="H509" s="37">
        <v>0</v>
      </c>
      <c r="I509" s="5">
        <f t="shared" si="16"/>
        <v>258</v>
      </c>
      <c r="J509" s="4" t="s">
        <v>61</v>
      </c>
      <c r="K509" s="4" t="s">
        <v>62</v>
      </c>
      <c r="L509" s="4"/>
    </row>
    <row r="510" spans="1:12" x14ac:dyDescent="0.2">
      <c r="A510" s="145">
        <v>66937</v>
      </c>
      <c r="B510" s="4" t="s">
        <v>965</v>
      </c>
      <c r="C510" s="4" t="s">
        <v>85</v>
      </c>
      <c r="D510" s="4" t="s">
        <v>60</v>
      </c>
      <c r="E510" s="36">
        <v>5</v>
      </c>
      <c r="F510" s="5">
        <v>85</v>
      </c>
      <c r="G510" s="5">
        <f t="shared" si="17"/>
        <v>425</v>
      </c>
      <c r="H510" s="37">
        <v>0</v>
      </c>
      <c r="I510" s="5">
        <f t="shared" si="16"/>
        <v>425</v>
      </c>
      <c r="J510" s="4" t="s">
        <v>61</v>
      </c>
      <c r="K510" s="4" t="s">
        <v>62</v>
      </c>
      <c r="L510" s="4"/>
    </row>
    <row r="511" spans="1:12" x14ac:dyDescent="0.2">
      <c r="A511" s="145">
        <v>66937</v>
      </c>
      <c r="B511" s="4" t="s">
        <v>966</v>
      </c>
      <c r="C511" s="4" t="s">
        <v>71</v>
      </c>
      <c r="D511" s="4" t="s">
        <v>60</v>
      </c>
      <c r="E511" s="36">
        <v>15</v>
      </c>
      <c r="F511" s="5">
        <v>86</v>
      </c>
      <c r="G511" s="5">
        <f t="shared" si="17"/>
        <v>1290</v>
      </c>
      <c r="H511" s="37">
        <v>0</v>
      </c>
      <c r="I511" s="5">
        <f t="shared" si="16"/>
        <v>1290</v>
      </c>
      <c r="J511" s="4" t="s">
        <v>61</v>
      </c>
      <c r="K511" s="4" t="s">
        <v>62</v>
      </c>
      <c r="L511" s="4"/>
    </row>
    <row r="512" spans="1:12" x14ac:dyDescent="0.2">
      <c r="A512" s="145">
        <v>66937</v>
      </c>
      <c r="B512" s="4" t="s">
        <v>967</v>
      </c>
      <c r="C512" s="4" t="s">
        <v>75</v>
      </c>
      <c r="D512" s="4" t="s">
        <v>60</v>
      </c>
      <c r="E512" s="36">
        <v>5</v>
      </c>
      <c r="F512" s="5">
        <v>85</v>
      </c>
      <c r="G512" s="5">
        <f t="shared" si="17"/>
        <v>425</v>
      </c>
      <c r="H512" s="37">
        <v>0</v>
      </c>
      <c r="I512" s="5">
        <f t="shared" si="16"/>
        <v>425</v>
      </c>
      <c r="J512" s="4" t="s">
        <v>61</v>
      </c>
      <c r="K512" s="4" t="s">
        <v>62</v>
      </c>
      <c r="L512" s="4"/>
    </row>
    <row r="513" spans="1:12" x14ac:dyDescent="0.2">
      <c r="A513" s="145">
        <v>66937</v>
      </c>
      <c r="B513" s="4" t="s">
        <v>968</v>
      </c>
      <c r="C513" s="4" t="s">
        <v>77</v>
      </c>
      <c r="D513" s="4" t="s">
        <v>60</v>
      </c>
      <c r="E513" s="36">
        <v>12</v>
      </c>
      <c r="F513" s="5">
        <v>85</v>
      </c>
      <c r="G513" s="5">
        <f t="shared" si="17"/>
        <v>1020</v>
      </c>
      <c r="H513" s="37">
        <v>0</v>
      </c>
      <c r="I513" s="5">
        <f t="shared" si="16"/>
        <v>1020</v>
      </c>
      <c r="J513" s="4" t="s">
        <v>61</v>
      </c>
      <c r="K513" s="4" t="s">
        <v>62</v>
      </c>
      <c r="L513" s="4"/>
    </row>
    <row r="514" spans="1:12" x14ac:dyDescent="0.2">
      <c r="A514" s="145">
        <v>66937</v>
      </c>
      <c r="B514" s="4" t="s">
        <v>969</v>
      </c>
      <c r="C514" s="4" t="s">
        <v>83</v>
      </c>
      <c r="D514" s="4" t="s">
        <v>60</v>
      </c>
      <c r="E514" s="36">
        <v>30</v>
      </c>
      <c r="F514" s="5">
        <v>86</v>
      </c>
      <c r="G514" s="5">
        <f t="shared" si="17"/>
        <v>2580</v>
      </c>
      <c r="H514" s="37">
        <v>0</v>
      </c>
      <c r="I514" s="5">
        <f t="shared" si="16"/>
        <v>2580</v>
      </c>
      <c r="J514" s="4" t="s">
        <v>61</v>
      </c>
      <c r="K514" s="4" t="s">
        <v>62</v>
      </c>
      <c r="L514" s="4"/>
    </row>
    <row r="515" spans="1:12" x14ac:dyDescent="0.2">
      <c r="A515" s="145">
        <v>66937</v>
      </c>
      <c r="B515" s="4" t="s">
        <v>970</v>
      </c>
      <c r="C515" s="4" t="s">
        <v>66</v>
      </c>
      <c r="D515" s="4" t="s">
        <v>60</v>
      </c>
      <c r="E515" s="36">
        <v>15</v>
      </c>
      <c r="F515" s="5">
        <v>85</v>
      </c>
      <c r="G515" s="5">
        <f t="shared" si="17"/>
        <v>1275</v>
      </c>
      <c r="H515" s="37">
        <v>0</v>
      </c>
      <c r="I515" s="5">
        <f t="shared" si="16"/>
        <v>1275</v>
      </c>
      <c r="J515" s="4" t="s">
        <v>61</v>
      </c>
      <c r="K515" s="4" t="s">
        <v>62</v>
      </c>
      <c r="L515" s="4"/>
    </row>
    <row r="516" spans="1:12" x14ac:dyDescent="0.2">
      <c r="A516" s="145">
        <v>66937</v>
      </c>
      <c r="B516" s="4" t="s">
        <v>971</v>
      </c>
      <c r="C516" s="4" t="s">
        <v>87</v>
      </c>
      <c r="D516" s="4" t="s">
        <v>60</v>
      </c>
      <c r="E516" s="36">
        <v>15</v>
      </c>
      <c r="F516" s="5">
        <v>85</v>
      </c>
      <c r="G516" s="5">
        <f t="shared" si="17"/>
        <v>1275</v>
      </c>
      <c r="H516" s="37">
        <v>0</v>
      </c>
      <c r="I516" s="5">
        <f t="shared" si="16"/>
        <v>1275</v>
      </c>
      <c r="J516" s="4" t="s">
        <v>61</v>
      </c>
      <c r="K516" s="4" t="s">
        <v>62</v>
      </c>
      <c r="L516" s="4"/>
    </row>
    <row r="517" spans="1:12" x14ac:dyDescent="0.2">
      <c r="A517" s="145">
        <v>66937</v>
      </c>
      <c r="B517" s="4" t="s">
        <v>972</v>
      </c>
      <c r="C517" s="4" t="s">
        <v>68</v>
      </c>
      <c r="D517" s="4" t="s">
        <v>60</v>
      </c>
      <c r="E517" s="36">
        <v>20</v>
      </c>
      <c r="F517" s="5">
        <v>85</v>
      </c>
      <c r="G517" s="5">
        <f t="shared" si="17"/>
        <v>1700</v>
      </c>
      <c r="H517" s="37">
        <v>0</v>
      </c>
      <c r="I517" s="5">
        <f t="shared" si="16"/>
        <v>1700</v>
      </c>
      <c r="J517" s="4" t="s">
        <v>61</v>
      </c>
      <c r="K517" s="4" t="s">
        <v>62</v>
      </c>
      <c r="L517" s="4"/>
    </row>
    <row r="518" spans="1:12" x14ac:dyDescent="0.2">
      <c r="A518" s="145">
        <v>66937</v>
      </c>
      <c r="B518" s="4" t="s">
        <v>972</v>
      </c>
      <c r="C518" s="4" t="s">
        <v>68</v>
      </c>
      <c r="D518" s="4" t="s">
        <v>93</v>
      </c>
      <c r="E518" s="36">
        <v>4</v>
      </c>
      <c r="F518" s="5">
        <v>750</v>
      </c>
      <c r="G518" s="5">
        <f t="shared" si="17"/>
        <v>3000</v>
      </c>
      <c r="H518" s="37">
        <v>0</v>
      </c>
      <c r="I518" s="5">
        <f t="shared" si="16"/>
        <v>3000</v>
      </c>
      <c r="J518" s="4" t="s">
        <v>61</v>
      </c>
      <c r="K518" s="4" t="s">
        <v>62</v>
      </c>
      <c r="L518" s="4"/>
    </row>
    <row r="519" spans="1:12" x14ac:dyDescent="0.2">
      <c r="A519" s="145">
        <v>66937</v>
      </c>
      <c r="B519" s="4" t="s">
        <v>973</v>
      </c>
      <c r="C519" s="4" t="s">
        <v>116</v>
      </c>
      <c r="D519" s="4" t="s">
        <v>60</v>
      </c>
      <c r="E519" s="36">
        <v>35</v>
      </c>
      <c r="F519" s="5">
        <v>85</v>
      </c>
      <c r="G519" s="5">
        <f t="shared" si="17"/>
        <v>2975</v>
      </c>
      <c r="H519" s="37">
        <v>0</v>
      </c>
      <c r="I519" s="5">
        <f t="shared" si="16"/>
        <v>2975</v>
      </c>
      <c r="J519" s="4" t="s">
        <v>61</v>
      </c>
      <c r="K519" s="4" t="s">
        <v>62</v>
      </c>
      <c r="L519" s="4"/>
    </row>
    <row r="520" spans="1:12" x14ac:dyDescent="0.2">
      <c r="A520" s="145">
        <v>66937</v>
      </c>
      <c r="B520" s="4" t="s">
        <v>974</v>
      </c>
      <c r="C520" s="4" t="s">
        <v>118</v>
      </c>
      <c r="D520" s="4" t="s">
        <v>60</v>
      </c>
      <c r="E520" s="36">
        <v>30</v>
      </c>
      <c r="F520" s="5">
        <v>85</v>
      </c>
      <c r="G520" s="5">
        <f t="shared" ref="G520:G581" si="18">IF($E520="","",$E520*$F520)</f>
        <v>2550</v>
      </c>
      <c r="H520" s="37">
        <v>0</v>
      </c>
      <c r="I520" s="5">
        <f t="shared" si="16"/>
        <v>2550</v>
      </c>
      <c r="J520" s="4" t="s">
        <v>61</v>
      </c>
      <c r="K520" s="4" t="s">
        <v>62</v>
      </c>
      <c r="L520" s="4"/>
    </row>
    <row r="521" spans="1:12" x14ac:dyDescent="0.2">
      <c r="A521" s="145">
        <v>66937</v>
      </c>
      <c r="B521" s="4" t="s">
        <v>975</v>
      </c>
      <c r="C521" s="4" t="s">
        <v>89</v>
      </c>
      <c r="D521" s="4" t="s">
        <v>60</v>
      </c>
      <c r="E521" s="36">
        <v>25</v>
      </c>
      <c r="F521" s="5">
        <v>95</v>
      </c>
      <c r="G521" s="5">
        <f t="shared" si="18"/>
        <v>2375</v>
      </c>
      <c r="H521" s="37">
        <v>0</v>
      </c>
      <c r="I521" s="5">
        <f t="shared" si="16"/>
        <v>2375</v>
      </c>
      <c r="J521" s="4" t="s">
        <v>61</v>
      </c>
      <c r="K521" s="4" t="s">
        <v>62</v>
      </c>
      <c r="L521" s="4"/>
    </row>
    <row r="522" spans="1:12" x14ac:dyDescent="0.2">
      <c r="A522" s="145">
        <v>66937</v>
      </c>
      <c r="B522" s="4" t="s">
        <v>976</v>
      </c>
      <c r="C522" s="4" t="s">
        <v>95</v>
      </c>
      <c r="D522" s="4" t="s">
        <v>60</v>
      </c>
      <c r="E522" s="36">
        <v>6</v>
      </c>
      <c r="F522" s="5">
        <v>85</v>
      </c>
      <c r="G522" s="5">
        <f t="shared" si="18"/>
        <v>510</v>
      </c>
      <c r="H522" s="37">
        <v>0</v>
      </c>
      <c r="I522" s="5">
        <f t="shared" si="16"/>
        <v>510</v>
      </c>
      <c r="J522" s="4" t="s">
        <v>61</v>
      </c>
      <c r="K522" s="4" t="s">
        <v>62</v>
      </c>
      <c r="L522" s="4"/>
    </row>
    <row r="523" spans="1:12" x14ac:dyDescent="0.2">
      <c r="A523" s="145">
        <v>66937</v>
      </c>
      <c r="B523" s="4" t="s">
        <v>977</v>
      </c>
      <c r="C523" s="4" t="s">
        <v>97</v>
      </c>
      <c r="D523" s="4" t="s">
        <v>60</v>
      </c>
      <c r="E523" s="36">
        <v>5</v>
      </c>
      <c r="F523" s="5">
        <v>100</v>
      </c>
      <c r="G523" s="5">
        <f t="shared" si="18"/>
        <v>500</v>
      </c>
      <c r="H523" s="37">
        <v>0</v>
      </c>
      <c r="I523" s="5">
        <f t="shared" si="16"/>
        <v>500</v>
      </c>
      <c r="J523" s="4" t="s">
        <v>61</v>
      </c>
      <c r="K523" s="4" t="s">
        <v>62</v>
      </c>
      <c r="L523" s="4"/>
    </row>
    <row r="524" spans="1:12" x14ac:dyDescent="0.2">
      <c r="A524" s="145">
        <v>66937</v>
      </c>
      <c r="B524" s="4" t="s">
        <v>977</v>
      </c>
      <c r="C524" s="4" t="s">
        <v>97</v>
      </c>
      <c r="D524" s="4" t="s">
        <v>92</v>
      </c>
      <c r="E524" s="36">
        <v>1</v>
      </c>
      <c r="F524" s="5">
        <v>1100</v>
      </c>
      <c r="G524" s="5">
        <f t="shared" si="18"/>
        <v>1100</v>
      </c>
      <c r="H524" s="37">
        <v>0</v>
      </c>
      <c r="I524" s="5">
        <f t="shared" si="16"/>
        <v>1100</v>
      </c>
      <c r="J524" s="4" t="s">
        <v>61</v>
      </c>
      <c r="K524" s="4" t="s">
        <v>62</v>
      </c>
      <c r="L524" s="4"/>
    </row>
    <row r="525" spans="1:12" x14ac:dyDescent="0.2">
      <c r="A525" s="145">
        <v>66937</v>
      </c>
      <c r="B525" s="4" t="s">
        <v>978</v>
      </c>
      <c r="C525" s="4" t="s">
        <v>211</v>
      </c>
      <c r="D525" s="4" t="s">
        <v>60</v>
      </c>
      <c r="E525" s="36">
        <v>2</v>
      </c>
      <c r="F525" s="5">
        <v>100</v>
      </c>
      <c r="G525" s="5">
        <f t="shared" si="18"/>
        <v>200</v>
      </c>
      <c r="H525" s="37">
        <v>0</v>
      </c>
      <c r="I525" s="5">
        <f t="shared" si="16"/>
        <v>200</v>
      </c>
      <c r="J525" s="4" t="s">
        <v>61</v>
      </c>
      <c r="K525" s="4" t="s">
        <v>62</v>
      </c>
      <c r="L525" s="4"/>
    </row>
    <row r="526" spans="1:12" x14ac:dyDescent="0.2">
      <c r="A526" s="130">
        <v>66938</v>
      </c>
      <c r="B526" s="4" t="s">
        <v>937</v>
      </c>
      <c r="C526" s="4" t="s">
        <v>89</v>
      </c>
      <c r="D526" s="4" t="s">
        <v>60</v>
      </c>
      <c r="E526" s="36">
        <v>25</v>
      </c>
      <c r="F526" s="5">
        <v>95</v>
      </c>
      <c r="G526" s="5">
        <f>IF($E526="","",$E526*$F526)</f>
        <v>2375</v>
      </c>
      <c r="H526" s="37">
        <v>0</v>
      </c>
      <c r="I526" s="5">
        <f>IF($E526="","",$G526*(1-$H526/100))</f>
        <v>2375</v>
      </c>
      <c r="J526" s="4" t="s">
        <v>61</v>
      </c>
      <c r="K526" s="4" t="s">
        <v>62</v>
      </c>
      <c r="L526" s="4"/>
    </row>
    <row r="527" spans="1:12" x14ac:dyDescent="0.2">
      <c r="A527" s="130">
        <v>66938</v>
      </c>
      <c r="B527" s="4" t="s">
        <v>938</v>
      </c>
      <c r="C527" s="4" t="s">
        <v>934</v>
      </c>
      <c r="D527" s="4" t="s">
        <v>60</v>
      </c>
      <c r="E527" s="36">
        <v>1</v>
      </c>
      <c r="F527" s="5">
        <v>100</v>
      </c>
      <c r="G527" s="5">
        <f>IF($E527="","",$E527*$F527)</f>
        <v>100</v>
      </c>
      <c r="H527" s="37">
        <v>0</v>
      </c>
      <c r="I527" s="5">
        <f>IF($E527="","",$G527*(1-$H527/100))</f>
        <v>100</v>
      </c>
      <c r="J527" s="4" t="s">
        <v>61</v>
      </c>
      <c r="K527" s="4" t="s">
        <v>62</v>
      </c>
      <c r="L527" s="4"/>
    </row>
    <row r="528" spans="1:12" x14ac:dyDescent="0.2">
      <c r="A528" s="130">
        <v>66938</v>
      </c>
      <c r="B528" s="4" t="s">
        <v>939</v>
      </c>
      <c r="C528" s="4" t="s">
        <v>91</v>
      </c>
      <c r="D528" s="4" t="s">
        <v>60</v>
      </c>
      <c r="E528" s="36">
        <v>32</v>
      </c>
      <c r="F528" s="5">
        <v>84</v>
      </c>
      <c r="G528" s="5">
        <f>IF($E528="","",$E528*$F528)</f>
        <v>2688</v>
      </c>
      <c r="H528" s="37">
        <v>0</v>
      </c>
      <c r="I528" s="5">
        <f>IF($E528="","",$G528*(1-$H528/100))</f>
        <v>2688</v>
      </c>
      <c r="J528" s="4" t="s">
        <v>61</v>
      </c>
      <c r="K528" s="4" t="s">
        <v>62</v>
      </c>
      <c r="L528" s="4"/>
    </row>
    <row r="529" spans="1:12" x14ac:dyDescent="0.2">
      <c r="A529" s="130">
        <v>66938</v>
      </c>
      <c r="B529" s="4" t="s">
        <v>940</v>
      </c>
      <c r="C529" s="4" t="s">
        <v>95</v>
      </c>
      <c r="D529" s="4" t="s">
        <v>60</v>
      </c>
      <c r="E529" s="36">
        <v>6</v>
      </c>
      <c r="F529" s="5">
        <v>85</v>
      </c>
      <c r="G529" s="5">
        <f>IF($E529="","",$E529*$F529)</f>
        <v>510</v>
      </c>
      <c r="H529" s="37">
        <v>0</v>
      </c>
      <c r="I529" s="5">
        <f>IF($E529="","",$G529*(1-$H529/100))</f>
        <v>510</v>
      </c>
      <c r="J529" s="4" t="s">
        <v>61</v>
      </c>
      <c r="K529" s="4" t="s">
        <v>62</v>
      </c>
      <c r="L529" s="4"/>
    </row>
    <row r="530" spans="1:12" x14ac:dyDescent="0.2">
      <c r="A530" s="130">
        <v>66938</v>
      </c>
      <c r="B530" s="4" t="s">
        <v>941</v>
      </c>
      <c r="C530" s="4" t="s">
        <v>64</v>
      </c>
      <c r="D530" s="4" t="s">
        <v>60</v>
      </c>
      <c r="E530" s="36">
        <v>50</v>
      </c>
      <c r="F530" s="5">
        <v>85</v>
      </c>
      <c r="G530" s="5">
        <f>IF($E530="","",$E530*$F530)</f>
        <v>4250</v>
      </c>
      <c r="H530" s="37">
        <v>0</v>
      </c>
      <c r="I530" s="5">
        <f>IF($E530="","",$G530*(1-$H530/100))</f>
        <v>4250</v>
      </c>
      <c r="J530" s="4" t="s">
        <v>61</v>
      </c>
      <c r="K530" s="4" t="s">
        <v>62</v>
      </c>
      <c r="L530" s="4"/>
    </row>
    <row r="531" spans="1:12" x14ac:dyDescent="0.2">
      <c r="A531" s="130">
        <v>66938</v>
      </c>
      <c r="B531" s="4" t="s">
        <v>979</v>
      </c>
      <c r="C531" s="4" t="s">
        <v>59</v>
      </c>
      <c r="D531" s="4" t="s">
        <v>60</v>
      </c>
      <c r="E531" s="36">
        <v>60</v>
      </c>
      <c r="F531" s="5">
        <v>85</v>
      </c>
      <c r="G531" s="5">
        <f t="shared" si="18"/>
        <v>5100</v>
      </c>
      <c r="H531" s="37">
        <v>0</v>
      </c>
      <c r="I531" s="5">
        <f t="shared" si="16"/>
        <v>5100</v>
      </c>
      <c r="J531" s="4" t="s">
        <v>61</v>
      </c>
      <c r="K531" s="4" t="s">
        <v>62</v>
      </c>
      <c r="L531" s="4"/>
    </row>
    <row r="532" spans="1:12" x14ac:dyDescent="0.2">
      <c r="A532" s="130">
        <v>66938</v>
      </c>
      <c r="B532" s="4" t="s">
        <v>979</v>
      </c>
      <c r="C532" s="4" t="s">
        <v>59</v>
      </c>
      <c r="D532" s="4" t="s">
        <v>60</v>
      </c>
      <c r="E532" s="36">
        <v>1</v>
      </c>
      <c r="F532" s="5">
        <v>80</v>
      </c>
      <c r="G532" s="5">
        <f t="shared" si="18"/>
        <v>80</v>
      </c>
      <c r="H532" s="37">
        <v>0</v>
      </c>
      <c r="I532" s="5">
        <f t="shared" si="16"/>
        <v>80</v>
      </c>
      <c r="J532" s="4" t="s">
        <v>61</v>
      </c>
      <c r="K532" s="4" t="s">
        <v>62</v>
      </c>
      <c r="L532" s="4"/>
    </row>
    <row r="533" spans="1:12" x14ac:dyDescent="0.2">
      <c r="A533" s="130">
        <v>66938</v>
      </c>
      <c r="B533" s="4" t="s">
        <v>980</v>
      </c>
      <c r="C533" s="146" t="s">
        <v>81</v>
      </c>
      <c r="D533" s="4" t="s">
        <v>60</v>
      </c>
      <c r="E533" s="147">
        <v>3</v>
      </c>
      <c r="F533" s="148">
        <v>86</v>
      </c>
      <c r="G533" s="148">
        <f t="shared" si="18"/>
        <v>258</v>
      </c>
      <c r="H533" s="37">
        <v>0</v>
      </c>
      <c r="I533" s="5">
        <f t="shared" si="16"/>
        <v>258</v>
      </c>
      <c r="J533" s="4" t="s">
        <v>61</v>
      </c>
      <c r="K533" s="4" t="s">
        <v>62</v>
      </c>
      <c r="L533" s="146"/>
    </row>
    <row r="534" spans="1:12" x14ac:dyDescent="0.2">
      <c r="A534" s="130">
        <v>66938</v>
      </c>
      <c r="B534" s="4" t="s">
        <v>981</v>
      </c>
      <c r="C534" s="146" t="s">
        <v>83</v>
      </c>
      <c r="D534" s="4" t="s">
        <v>60</v>
      </c>
      <c r="E534" s="147">
        <v>20</v>
      </c>
      <c r="F534" s="148">
        <v>86</v>
      </c>
      <c r="G534" s="148">
        <f t="shared" si="18"/>
        <v>1720</v>
      </c>
      <c r="H534" s="37">
        <v>0</v>
      </c>
      <c r="I534" s="5">
        <f t="shared" si="16"/>
        <v>1720</v>
      </c>
      <c r="J534" s="4" t="s">
        <v>61</v>
      </c>
      <c r="K534" s="4" t="s">
        <v>62</v>
      </c>
      <c r="L534" s="146"/>
    </row>
    <row r="535" spans="1:12" x14ac:dyDescent="0.2">
      <c r="A535" s="130">
        <v>66938</v>
      </c>
      <c r="B535" s="4" t="s">
        <v>982</v>
      </c>
      <c r="C535" s="146" t="s">
        <v>71</v>
      </c>
      <c r="D535" s="4" t="s">
        <v>60</v>
      </c>
      <c r="E535" s="147">
        <v>15</v>
      </c>
      <c r="F535" s="148">
        <v>86</v>
      </c>
      <c r="G535" s="148">
        <f t="shared" si="18"/>
        <v>1290</v>
      </c>
      <c r="H535" s="37">
        <v>0</v>
      </c>
      <c r="I535" s="5">
        <f t="shared" si="16"/>
        <v>1290</v>
      </c>
      <c r="J535" s="4" t="s">
        <v>61</v>
      </c>
      <c r="K535" s="4" t="s">
        <v>62</v>
      </c>
      <c r="L535" s="146"/>
    </row>
    <row r="536" spans="1:12" x14ac:dyDescent="0.2">
      <c r="A536" s="130">
        <v>66938</v>
      </c>
      <c r="B536" s="4" t="s">
        <v>983</v>
      </c>
      <c r="C536" s="146" t="s">
        <v>64</v>
      </c>
      <c r="D536" s="4" t="s">
        <v>60</v>
      </c>
      <c r="E536" s="147">
        <v>50</v>
      </c>
      <c r="F536" s="148">
        <v>85</v>
      </c>
      <c r="G536" s="148">
        <f t="shared" si="18"/>
        <v>4250</v>
      </c>
      <c r="H536" s="37">
        <v>0</v>
      </c>
      <c r="I536" s="5">
        <f t="shared" si="16"/>
        <v>4250</v>
      </c>
      <c r="J536" s="4" t="s">
        <v>61</v>
      </c>
      <c r="K536" s="4" t="s">
        <v>62</v>
      </c>
      <c r="L536" s="146"/>
    </row>
    <row r="537" spans="1:12" x14ac:dyDescent="0.2">
      <c r="A537" s="130">
        <v>66938</v>
      </c>
      <c r="B537" s="4" t="s">
        <v>984</v>
      </c>
      <c r="C537" s="146" t="s">
        <v>73</v>
      </c>
      <c r="D537" s="4" t="s">
        <v>60</v>
      </c>
      <c r="E537" s="147">
        <v>10</v>
      </c>
      <c r="F537" s="148">
        <v>85</v>
      </c>
      <c r="G537" s="148">
        <f t="shared" si="18"/>
        <v>850</v>
      </c>
      <c r="H537" s="37">
        <v>0</v>
      </c>
      <c r="I537" s="5">
        <f t="shared" si="16"/>
        <v>850</v>
      </c>
      <c r="J537" s="4" t="s">
        <v>61</v>
      </c>
      <c r="K537" s="4" t="s">
        <v>62</v>
      </c>
      <c r="L537" s="146"/>
    </row>
    <row r="538" spans="1:12" x14ac:dyDescent="0.2">
      <c r="A538" s="130">
        <v>66938</v>
      </c>
      <c r="B538" s="4" t="s">
        <v>985</v>
      </c>
      <c r="C538" s="146" t="s">
        <v>75</v>
      </c>
      <c r="D538" s="4" t="s">
        <v>60</v>
      </c>
      <c r="E538" s="147">
        <v>5</v>
      </c>
      <c r="F538" s="148">
        <v>85</v>
      </c>
      <c r="G538" s="148">
        <f t="shared" si="18"/>
        <v>425</v>
      </c>
      <c r="H538" s="37">
        <v>0</v>
      </c>
      <c r="I538" s="5">
        <f t="shared" si="16"/>
        <v>425</v>
      </c>
      <c r="J538" s="4" t="s">
        <v>61</v>
      </c>
      <c r="K538" s="4" t="s">
        <v>62</v>
      </c>
      <c r="L538" s="146"/>
    </row>
    <row r="539" spans="1:12" x14ac:dyDescent="0.2">
      <c r="A539" s="130">
        <v>66938</v>
      </c>
      <c r="B539" s="4" t="s">
        <v>986</v>
      </c>
      <c r="C539" s="146" t="s">
        <v>77</v>
      </c>
      <c r="D539" s="4" t="s">
        <v>60</v>
      </c>
      <c r="E539" s="147">
        <v>12</v>
      </c>
      <c r="F539" s="148">
        <v>85</v>
      </c>
      <c r="G539" s="148">
        <f t="shared" si="18"/>
        <v>1020</v>
      </c>
      <c r="H539" s="37">
        <v>0</v>
      </c>
      <c r="I539" s="5">
        <f t="shared" si="16"/>
        <v>1020</v>
      </c>
      <c r="J539" s="4" t="s">
        <v>61</v>
      </c>
      <c r="K539" s="4" t="s">
        <v>62</v>
      </c>
      <c r="L539" s="146"/>
    </row>
    <row r="540" spans="1:12" x14ac:dyDescent="0.2">
      <c r="A540" s="130">
        <v>66938</v>
      </c>
      <c r="B540" s="4" t="s">
        <v>987</v>
      </c>
      <c r="C540" s="146" t="s">
        <v>79</v>
      </c>
      <c r="D540" s="4" t="s">
        <v>60</v>
      </c>
      <c r="E540" s="147">
        <v>8</v>
      </c>
      <c r="F540" s="148">
        <v>85</v>
      </c>
      <c r="G540" s="148">
        <f t="shared" si="18"/>
        <v>680</v>
      </c>
      <c r="H540" s="37">
        <v>0</v>
      </c>
      <c r="I540" s="5">
        <f t="shared" si="16"/>
        <v>680</v>
      </c>
      <c r="J540" s="4" t="s">
        <v>61</v>
      </c>
      <c r="K540" s="4" t="s">
        <v>62</v>
      </c>
      <c r="L540" s="146"/>
    </row>
    <row r="541" spans="1:12" x14ac:dyDescent="0.2">
      <c r="A541" s="130">
        <v>66938</v>
      </c>
      <c r="B541" s="4" t="s">
        <v>988</v>
      </c>
      <c r="C541" s="146" t="s">
        <v>66</v>
      </c>
      <c r="D541" s="4" t="s">
        <v>60</v>
      </c>
      <c r="E541" s="147">
        <v>20</v>
      </c>
      <c r="F541" s="148">
        <v>85</v>
      </c>
      <c r="G541" s="148">
        <f t="shared" si="18"/>
        <v>1700</v>
      </c>
      <c r="H541" s="37">
        <v>0</v>
      </c>
      <c r="I541" s="5">
        <f t="shared" si="16"/>
        <v>1700</v>
      </c>
      <c r="J541" s="4" t="s">
        <v>61</v>
      </c>
      <c r="K541" s="4" t="s">
        <v>62</v>
      </c>
      <c r="L541" s="146"/>
    </row>
    <row r="542" spans="1:12" x14ac:dyDescent="0.2">
      <c r="A542" s="130">
        <v>66938</v>
      </c>
      <c r="B542" s="4" t="s">
        <v>989</v>
      </c>
      <c r="C542" s="146" t="s">
        <v>68</v>
      </c>
      <c r="D542" s="4" t="s">
        <v>60</v>
      </c>
      <c r="E542" s="147">
        <v>40</v>
      </c>
      <c r="F542" s="148">
        <v>86</v>
      </c>
      <c r="G542" s="148">
        <f t="shared" si="18"/>
        <v>3440</v>
      </c>
      <c r="H542" s="37">
        <v>0</v>
      </c>
      <c r="I542" s="5">
        <f t="shared" si="16"/>
        <v>3440</v>
      </c>
      <c r="J542" s="4" t="s">
        <v>61</v>
      </c>
      <c r="K542" s="4" t="s">
        <v>62</v>
      </c>
      <c r="L542" s="146"/>
    </row>
    <row r="543" spans="1:12" x14ac:dyDescent="0.2">
      <c r="A543" s="130">
        <v>66938</v>
      </c>
      <c r="B543" s="4" t="s">
        <v>989</v>
      </c>
      <c r="C543" s="146" t="s">
        <v>68</v>
      </c>
      <c r="D543" s="4" t="s">
        <v>60</v>
      </c>
      <c r="E543" s="147">
        <v>55</v>
      </c>
      <c r="F543" s="148">
        <v>85</v>
      </c>
      <c r="G543" s="148">
        <f t="shared" si="18"/>
        <v>4675</v>
      </c>
      <c r="H543" s="37">
        <v>0</v>
      </c>
      <c r="I543" s="5">
        <f t="shared" si="16"/>
        <v>4675</v>
      </c>
      <c r="J543" s="4" t="s">
        <v>61</v>
      </c>
      <c r="K543" s="4" t="s">
        <v>62</v>
      </c>
      <c r="L543" s="146"/>
    </row>
    <row r="544" spans="1:12" x14ac:dyDescent="0.2">
      <c r="A544" s="130">
        <v>66938</v>
      </c>
      <c r="B544" s="4" t="s">
        <v>989</v>
      </c>
      <c r="C544" s="146" t="s">
        <v>68</v>
      </c>
      <c r="D544" s="146" t="s">
        <v>69</v>
      </c>
      <c r="E544" s="147">
        <v>1</v>
      </c>
      <c r="F544" s="148">
        <v>80</v>
      </c>
      <c r="G544" s="148">
        <f t="shared" si="18"/>
        <v>80</v>
      </c>
      <c r="H544" s="37">
        <v>0</v>
      </c>
      <c r="I544" s="5">
        <f t="shared" si="16"/>
        <v>80</v>
      </c>
      <c r="J544" s="4" t="s">
        <v>61</v>
      </c>
      <c r="K544" s="4" t="s">
        <v>62</v>
      </c>
      <c r="L544" s="146"/>
    </row>
    <row r="545" spans="1:12" x14ac:dyDescent="0.2">
      <c r="A545" s="130">
        <v>66938</v>
      </c>
      <c r="B545" s="4" t="s">
        <v>990</v>
      </c>
      <c r="C545" s="146" t="s">
        <v>87</v>
      </c>
      <c r="D545" s="146" t="s">
        <v>60</v>
      </c>
      <c r="E545" s="147">
        <v>15</v>
      </c>
      <c r="F545" s="148">
        <v>85</v>
      </c>
      <c r="G545" s="148">
        <f t="shared" si="18"/>
        <v>1275</v>
      </c>
      <c r="H545" s="37">
        <v>0</v>
      </c>
      <c r="I545" s="5">
        <f t="shared" si="16"/>
        <v>1275</v>
      </c>
      <c r="J545" s="4" t="s">
        <v>61</v>
      </c>
      <c r="K545" s="4" t="s">
        <v>62</v>
      </c>
      <c r="L545" s="146"/>
    </row>
    <row r="546" spans="1:12" x14ac:dyDescent="0.2">
      <c r="A546" s="130">
        <v>66938</v>
      </c>
      <c r="B546" s="4" t="s">
        <v>991</v>
      </c>
      <c r="C546" s="146" t="s">
        <v>85</v>
      </c>
      <c r="D546" s="146" t="s">
        <v>60</v>
      </c>
      <c r="E546" s="147">
        <v>5</v>
      </c>
      <c r="F546" s="148">
        <v>85</v>
      </c>
      <c r="G546" s="148">
        <f t="shared" si="18"/>
        <v>425</v>
      </c>
      <c r="H546" s="37">
        <v>0</v>
      </c>
      <c r="I546" s="5">
        <f t="shared" si="16"/>
        <v>425</v>
      </c>
      <c r="J546" s="4" t="s">
        <v>61</v>
      </c>
      <c r="K546" s="4" t="s">
        <v>62</v>
      </c>
      <c r="L546" s="146"/>
    </row>
    <row r="547" spans="1:12" x14ac:dyDescent="0.2">
      <c r="A547" s="130">
        <v>66939</v>
      </c>
      <c r="B547" s="4" t="s">
        <v>992</v>
      </c>
      <c r="C547" s="146" t="s">
        <v>91</v>
      </c>
      <c r="D547" s="146" t="s">
        <v>60</v>
      </c>
      <c r="E547" s="147">
        <v>32</v>
      </c>
      <c r="F547" s="148">
        <v>84</v>
      </c>
      <c r="G547" s="148">
        <f t="shared" si="18"/>
        <v>2688</v>
      </c>
      <c r="H547" s="37">
        <v>0</v>
      </c>
      <c r="I547" s="5">
        <f t="shared" si="16"/>
        <v>2688</v>
      </c>
      <c r="J547" s="4" t="s">
        <v>61</v>
      </c>
      <c r="K547" s="4" t="s">
        <v>62</v>
      </c>
      <c r="L547" s="146"/>
    </row>
    <row r="548" spans="1:12" x14ac:dyDescent="0.2">
      <c r="A548" s="130">
        <v>66939</v>
      </c>
      <c r="B548" s="4" t="s">
        <v>993</v>
      </c>
      <c r="C548" s="146" t="s">
        <v>95</v>
      </c>
      <c r="D548" s="146" t="s">
        <v>60</v>
      </c>
      <c r="E548" s="147">
        <v>6</v>
      </c>
      <c r="F548" s="148">
        <v>85</v>
      </c>
      <c r="G548" s="148">
        <f t="shared" si="18"/>
        <v>510</v>
      </c>
      <c r="H548" s="37">
        <v>0</v>
      </c>
      <c r="I548" s="5">
        <f t="shared" si="16"/>
        <v>510</v>
      </c>
      <c r="J548" s="4" t="s">
        <v>61</v>
      </c>
      <c r="K548" s="4" t="s">
        <v>62</v>
      </c>
      <c r="L548" s="146"/>
    </row>
    <row r="549" spans="1:12" x14ac:dyDescent="0.2">
      <c r="A549" s="130">
        <v>66939</v>
      </c>
      <c r="B549" s="4" t="s">
        <v>994</v>
      </c>
      <c r="C549" s="146" t="s">
        <v>59</v>
      </c>
      <c r="D549" s="146" t="s">
        <v>60</v>
      </c>
      <c r="E549" s="147">
        <v>60</v>
      </c>
      <c r="F549" s="148">
        <v>85</v>
      </c>
      <c r="G549" s="148">
        <f t="shared" si="18"/>
        <v>5100</v>
      </c>
      <c r="H549" s="37">
        <v>0</v>
      </c>
      <c r="I549" s="5">
        <f t="shared" si="16"/>
        <v>5100</v>
      </c>
      <c r="J549" s="4" t="s">
        <v>61</v>
      </c>
      <c r="K549" s="4" t="s">
        <v>62</v>
      </c>
      <c r="L549" s="146"/>
    </row>
    <row r="550" spans="1:12" x14ac:dyDescent="0.2">
      <c r="A550" s="130">
        <v>66939</v>
      </c>
      <c r="B550" s="4" t="s">
        <v>994</v>
      </c>
      <c r="C550" s="146" t="s">
        <v>59</v>
      </c>
      <c r="D550" s="146" t="s">
        <v>69</v>
      </c>
      <c r="E550" s="147">
        <v>1</v>
      </c>
      <c r="F550" s="148">
        <v>80</v>
      </c>
      <c r="G550" s="148">
        <f t="shared" si="18"/>
        <v>80</v>
      </c>
      <c r="H550" s="37">
        <v>0</v>
      </c>
      <c r="I550" s="5">
        <f t="shared" si="16"/>
        <v>80</v>
      </c>
      <c r="J550" s="4" t="s">
        <v>61</v>
      </c>
      <c r="K550" s="4" t="s">
        <v>62</v>
      </c>
      <c r="L550" s="146"/>
    </row>
    <row r="551" spans="1:12" x14ac:dyDescent="0.2">
      <c r="A551" s="130">
        <v>66939</v>
      </c>
      <c r="B551" s="4" t="s">
        <v>995</v>
      </c>
      <c r="C551" s="146" t="s">
        <v>996</v>
      </c>
      <c r="D551" s="146" t="s">
        <v>60</v>
      </c>
      <c r="E551" s="147">
        <v>40</v>
      </c>
      <c r="F551" s="148">
        <v>85</v>
      </c>
      <c r="G551" s="148">
        <f t="shared" si="18"/>
        <v>3400</v>
      </c>
      <c r="H551" s="37">
        <v>0</v>
      </c>
      <c r="I551" s="5">
        <f t="shared" si="16"/>
        <v>3400</v>
      </c>
      <c r="J551" s="4" t="s">
        <v>61</v>
      </c>
      <c r="K551" s="4" t="s">
        <v>62</v>
      </c>
      <c r="L551" s="146"/>
    </row>
    <row r="552" spans="1:12" x14ac:dyDescent="0.2">
      <c r="A552" s="130">
        <v>66939</v>
      </c>
      <c r="B552" s="4" t="s">
        <v>997</v>
      </c>
      <c r="C552" s="146" t="s">
        <v>64</v>
      </c>
      <c r="D552" s="146" t="s">
        <v>60</v>
      </c>
      <c r="E552" s="147">
        <v>60</v>
      </c>
      <c r="F552" s="148">
        <v>85</v>
      </c>
      <c r="G552" s="148">
        <f t="shared" si="18"/>
        <v>5100</v>
      </c>
      <c r="H552" s="37">
        <v>0</v>
      </c>
      <c r="I552" s="5">
        <f t="shared" si="16"/>
        <v>5100</v>
      </c>
      <c r="J552" s="4" t="s">
        <v>61</v>
      </c>
      <c r="K552" s="4" t="s">
        <v>62</v>
      </c>
      <c r="L552" s="146"/>
    </row>
    <row r="553" spans="1:12" x14ac:dyDescent="0.2">
      <c r="A553" s="130">
        <v>66939</v>
      </c>
      <c r="B553" s="4" t="s">
        <v>998</v>
      </c>
      <c r="C553" s="146" t="s">
        <v>66</v>
      </c>
      <c r="D553" s="146" t="s">
        <v>60</v>
      </c>
      <c r="E553" s="147">
        <v>20</v>
      </c>
      <c r="F553" s="148">
        <v>85</v>
      </c>
      <c r="G553" s="148">
        <f t="shared" si="18"/>
        <v>1700</v>
      </c>
      <c r="H553" s="37">
        <v>0</v>
      </c>
      <c r="I553" s="5">
        <f t="shared" si="16"/>
        <v>1700</v>
      </c>
      <c r="J553" s="4" t="s">
        <v>61</v>
      </c>
      <c r="K553" s="4" t="s">
        <v>62</v>
      </c>
      <c r="L553" s="146"/>
    </row>
    <row r="554" spans="1:12" x14ac:dyDescent="0.2">
      <c r="A554" s="130">
        <v>66939</v>
      </c>
      <c r="B554" s="4" t="s">
        <v>999</v>
      </c>
      <c r="C554" s="146" t="s">
        <v>68</v>
      </c>
      <c r="D554" s="146" t="s">
        <v>60</v>
      </c>
      <c r="E554" s="147">
        <v>46</v>
      </c>
      <c r="F554" s="148">
        <v>86</v>
      </c>
      <c r="G554" s="148">
        <f t="shared" si="18"/>
        <v>3956</v>
      </c>
      <c r="H554" s="37">
        <v>0</v>
      </c>
      <c r="I554" s="5">
        <f t="shared" si="16"/>
        <v>3956</v>
      </c>
      <c r="J554" s="4" t="s">
        <v>61</v>
      </c>
      <c r="K554" s="4" t="s">
        <v>62</v>
      </c>
      <c r="L554" s="146"/>
    </row>
    <row r="555" spans="1:12" x14ac:dyDescent="0.2">
      <c r="A555" s="130">
        <v>66939</v>
      </c>
      <c r="B555" s="4" t="s">
        <v>999</v>
      </c>
      <c r="C555" s="146" t="s">
        <v>68</v>
      </c>
      <c r="D555" s="146" t="s">
        <v>60</v>
      </c>
      <c r="E555" s="147">
        <v>36</v>
      </c>
      <c r="F555" s="148">
        <v>85</v>
      </c>
      <c r="G555" s="148">
        <f t="shared" si="18"/>
        <v>3060</v>
      </c>
      <c r="H555" s="37">
        <v>0</v>
      </c>
      <c r="I555" s="5">
        <f t="shared" si="16"/>
        <v>3060</v>
      </c>
      <c r="J555" s="4" t="s">
        <v>61</v>
      </c>
      <c r="K555" s="4" t="s">
        <v>62</v>
      </c>
      <c r="L555" s="146"/>
    </row>
    <row r="556" spans="1:12" x14ac:dyDescent="0.2">
      <c r="A556" s="130">
        <v>66939</v>
      </c>
      <c r="B556" s="4" t="s">
        <v>999</v>
      </c>
      <c r="C556" s="146" t="s">
        <v>68</v>
      </c>
      <c r="D556" s="146" t="s">
        <v>69</v>
      </c>
      <c r="E556" s="147">
        <v>1</v>
      </c>
      <c r="F556" s="148">
        <v>80</v>
      </c>
      <c r="G556" s="148">
        <f t="shared" si="18"/>
        <v>80</v>
      </c>
      <c r="H556" s="37">
        <v>0</v>
      </c>
      <c r="I556" s="5">
        <f t="shared" si="16"/>
        <v>80</v>
      </c>
      <c r="J556" s="4" t="s">
        <v>61</v>
      </c>
      <c r="K556" s="4" t="s">
        <v>62</v>
      </c>
      <c r="L556" s="146"/>
    </row>
    <row r="557" spans="1:12" x14ac:dyDescent="0.2">
      <c r="A557" s="130">
        <v>66939</v>
      </c>
      <c r="B557" s="4" t="s">
        <v>1000</v>
      </c>
      <c r="C557" s="146" t="s">
        <v>85</v>
      </c>
      <c r="D557" s="146" t="s">
        <v>60</v>
      </c>
      <c r="E557" s="147">
        <v>5</v>
      </c>
      <c r="F557" s="148">
        <v>85</v>
      </c>
      <c r="G557" s="148">
        <f t="shared" si="18"/>
        <v>425</v>
      </c>
      <c r="H557" s="37">
        <v>0</v>
      </c>
      <c r="I557" s="5">
        <f t="shared" si="16"/>
        <v>425</v>
      </c>
      <c r="J557" s="4" t="s">
        <v>61</v>
      </c>
      <c r="K557" s="4" t="s">
        <v>62</v>
      </c>
      <c r="L557" s="146"/>
    </row>
    <row r="558" spans="1:12" x14ac:dyDescent="0.2">
      <c r="A558" s="130">
        <v>66939</v>
      </c>
      <c r="B558" s="4" t="s">
        <v>1001</v>
      </c>
      <c r="C558" s="146" t="s">
        <v>87</v>
      </c>
      <c r="D558" s="146" t="s">
        <v>60</v>
      </c>
      <c r="E558" s="147">
        <v>15</v>
      </c>
      <c r="F558" s="148">
        <v>85</v>
      </c>
      <c r="G558" s="148">
        <f t="shared" si="18"/>
        <v>1275</v>
      </c>
      <c r="H558" s="37">
        <v>0</v>
      </c>
      <c r="I558" s="5">
        <f t="shared" si="16"/>
        <v>1275</v>
      </c>
      <c r="J558" s="4" t="s">
        <v>61</v>
      </c>
      <c r="K558" s="4" t="s">
        <v>62</v>
      </c>
      <c r="L558" s="146"/>
    </row>
    <row r="559" spans="1:12" x14ac:dyDescent="0.2">
      <c r="A559" s="130">
        <v>66939</v>
      </c>
      <c r="B559" s="4" t="s">
        <v>1002</v>
      </c>
      <c r="C559" s="146" t="s">
        <v>83</v>
      </c>
      <c r="D559" s="146" t="s">
        <v>60</v>
      </c>
      <c r="E559" s="147">
        <v>10</v>
      </c>
      <c r="F559" s="148">
        <v>86</v>
      </c>
      <c r="G559" s="148">
        <f t="shared" si="18"/>
        <v>860</v>
      </c>
      <c r="H559" s="37">
        <v>0</v>
      </c>
      <c r="I559" s="5">
        <f t="shared" si="16"/>
        <v>860</v>
      </c>
      <c r="J559" s="4" t="s">
        <v>61</v>
      </c>
      <c r="K559" s="4" t="s">
        <v>62</v>
      </c>
      <c r="L559" s="146"/>
    </row>
    <row r="560" spans="1:12" x14ac:dyDescent="0.2">
      <c r="A560" s="130">
        <v>66939</v>
      </c>
      <c r="B560" s="4" t="s">
        <v>1003</v>
      </c>
      <c r="C560" s="146" t="s">
        <v>81</v>
      </c>
      <c r="D560" s="146" t="s">
        <v>60</v>
      </c>
      <c r="E560" s="147">
        <v>3</v>
      </c>
      <c r="F560" s="148">
        <v>86</v>
      </c>
      <c r="G560" s="148">
        <f t="shared" si="18"/>
        <v>258</v>
      </c>
      <c r="H560" s="37">
        <v>0</v>
      </c>
      <c r="I560" s="5">
        <f t="shared" si="16"/>
        <v>258</v>
      </c>
      <c r="J560" s="4" t="s">
        <v>61</v>
      </c>
      <c r="K560" s="4" t="s">
        <v>62</v>
      </c>
      <c r="L560" s="146"/>
    </row>
    <row r="561" spans="1:12" x14ac:dyDescent="0.2">
      <c r="A561" s="130">
        <v>66939</v>
      </c>
      <c r="B561" s="4" t="s">
        <v>1004</v>
      </c>
      <c r="C561" s="146" t="s">
        <v>79</v>
      </c>
      <c r="D561" s="146" t="s">
        <v>60</v>
      </c>
      <c r="E561" s="147">
        <v>8</v>
      </c>
      <c r="F561" s="148">
        <v>85</v>
      </c>
      <c r="G561" s="148">
        <f t="shared" si="18"/>
        <v>680</v>
      </c>
      <c r="H561" s="37">
        <v>0</v>
      </c>
      <c r="I561" s="5">
        <f t="shared" si="16"/>
        <v>680</v>
      </c>
      <c r="J561" s="4" t="s">
        <v>61</v>
      </c>
      <c r="K561" s="4" t="s">
        <v>62</v>
      </c>
      <c r="L561" s="146"/>
    </row>
    <row r="562" spans="1:12" x14ac:dyDescent="0.2">
      <c r="A562" s="130">
        <v>66939</v>
      </c>
      <c r="B562" s="4" t="s">
        <v>1005</v>
      </c>
      <c r="C562" s="146" t="s">
        <v>77</v>
      </c>
      <c r="D562" s="146" t="s">
        <v>60</v>
      </c>
      <c r="E562" s="147">
        <v>12</v>
      </c>
      <c r="F562" s="148">
        <v>85</v>
      </c>
      <c r="G562" s="148">
        <f t="shared" si="18"/>
        <v>1020</v>
      </c>
      <c r="H562" s="37">
        <v>0</v>
      </c>
      <c r="I562" s="5">
        <f t="shared" si="16"/>
        <v>1020</v>
      </c>
      <c r="J562" s="4" t="s">
        <v>61</v>
      </c>
      <c r="K562" s="4" t="s">
        <v>62</v>
      </c>
      <c r="L562" s="146"/>
    </row>
    <row r="563" spans="1:12" x14ac:dyDescent="0.2">
      <c r="A563" s="130">
        <v>66939</v>
      </c>
      <c r="B563" s="4" t="s">
        <v>1006</v>
      </c>
      <c r="C563" s="146" t="s">
        <v>73</v>
      </c>
      <c r="D563" s="146" t="s">
        <v>60</v>
      </c>
      <c r="E563" s="147">
        <v>10</v>
      </c>
      <c r="F563" s="148">
        <v>85</v>
      </c>
      <c r="G563" s="148">
        <f t="shared" si="18"/>
        <v>850</v>
      </c>
      <c r="H563" s="37">
        <v>0</v>
      </c>
      <c r="I563" s="5">
        <f t="shared" si="16"/>
        <v>850</v>
      </c>
      <c r="J563" s="4" t="s">
        <v>61</v>
      </c>
      <c r="K563" s="4" t="s">
        <v>62</v>
      </c>
      <c r="L563" s="146"/>
    </row>
    <row r="564" spans="1:12" x14ac:dyDescent="0.2">
      <c r="A564" s="130">
        <v>66939</v>
      </c>
      <c r="B564" s="4" t="s">
        <v>1007</v>
      </c>
      <c r="C564" s="146" t="s">
        <v>71</v>
      </c>
      <c r="D564" s="146" t="s">
        <v>60</v>
      </c>
      <c r="E564" s="147">
        <v>10</v>
      </c>
      <c r="F564" s="148">
        <v>85</v>
      </c>
      <c r="G564" s="148">
        <f t="shared" si="18"/>
        <v>850</v>
      </c>
      <c r="H564" s="37">
        <v>0</v>
      </c>
      <c r="I564" s="5">
        <f t="shared" si="16"/>
        <v>850</v>
      </c>
      <c r="J564" s="4" t="s">
        <v>61</v>
      </c>
      <c r="K564" s="4" t="s">
        <v>62</v>
      </c>
      <c r="L564" s="146"/>
    </row>
    <row r="565" spans="1:12" x14ac:dyDescent="0.2">
      <c r="A565" s="130">
        <v>66939</v>
      </c>
      <c r="B565" s="4" t="s">
        <v>1007</v>
      </c>
      <c r="C565" s="146" t="s">
        <v>71</v>
      </c>
      <c r="D565" s="146" t="s">
        <v>93</v>
      </c>
      <c r="E565" s="147">
        <v>1</v>
      </c>
      <c r="F565" s="148">
        <v>775</v>
      </c>
      <c r="G565" s="148">
        <f t="shared" si="18"/>
        <v>775</v>
      </c>
      <c r="H565" s="37">
        <v>0</v>
      </c>
      <c r="I565" s="5">
        <f t="shared" si="16"/>
        <v>775</v>
      </c>
      <c r="J565" s="4" t="s">
        <v>61</v>
      </c>
      <c r="K565" s="4" t="s">
        <v>62</v>
      </c>
      <c r="L565" s="146"/>
    </row>
    <row r="566" spans="1:12" x14ac:dyDescent="0.2">
      <c r="A566" s="130">
        <v>66939</v>
      </c>
      <c r="B566" s="4" t="s">
        <v>1008</v>
      </c>
      <c r="C566" s="146" t="s">
        <v>89</v>
      </c>
      <c r="D566" s="146" t="s">
        <v>60</v>
      </c>
      <c r="E566" s="147">
        <v>20</v>
      </c>
      <c r="F566" s="148">
        <v>95</v>
      </c>
      <c r="G566" s="148">
        <f t="shared" si="18"/>
        <v>1900</v>
      </c>
      <c r="H566" s="37">
        <v>0</v>
      </c>
      <c r="I566" s="5">
        <f t="shared" si="16"/>
        <v>1900</v>
      </c>
      <c r="J566" s="4" t="s">
        <v>61</v>
      </c>
      <c r="K566" s="4" t="s">
        <v>62</v>
      </c>
      <c r="L566" s="146"/>
    </row>
    <row r="567" spans="1:12" x14ac:dyDescent="0.2">
      <c r="A567" s="130">
        <v>66939</v>
      </c>
      <c r="B567" s="4" t="s">
        <v>1008</v>
      </c>
      <c r="C567" s="146" t="s">
        <v>89</v>
      </c>
      <c r="D567" s="146" t="s">
        <v>60</v>
      </c>
      <c r="E567" s="147">
        <v>7</v>
      </c>
      <c r="F567" s="148">
        <v>85</v>
      </c>
      <c r="G567" s="148">
        <f t="shared" si="18"/>
        <v>595</v>
      </c>
      <c r="H567" s="37">
        <v>0</v>
      </c>
      <c r="I567" s="5">
        <f t="shared" si="16"/>
        <v>595</v>
      </c>
      <c r="J567" s="4" t="s">
        <v>61</v>
      </c>
      <c r="K567" s="4" t="s">
        <v>62</v>
      </c>
      <c r="L567" s="146"/>
    </row>
    <row r="568" spans="1:12" x14ac:dyDescent="0.2">
      <c r="A568" s="130"/>
      <c r="B568" s="4"/>
      <c r="C568" s="146"/>
      <c r="D568" s="146"/>
      <c r="E568" s="147"/>
      <c r="F568" s="148"/>
      <c r="G568" s="148" t="str">
        <f t="shared" si="18"/>
        <v/>
      </c>
      <c r="H568" s="37">
        <v>0</v>
      </c>
      <c r="I568" s="5" t="str">
        <f t="shared" si="16"/>
        <v/>
      </c>
      <c r="J568" s="4" t="s">
        <v>61</v>
      </c>
      <c r="K568" s="4" t="s">
        <v>62</v>
      </c>
      <c r="L568" s="146"/>
    </row>
    <row r="569" spans="1:12" x14ac:dyDescent="0.2">
      <c r="A569" s="130"/>
      <c r="B569" s="4"/>
      <c r="C569" s="146"/>
      <c r="D569" s="146"/>
      <c r="E569" s="147"/>
      <c r="F569" s="148"/>
      <c r="G569" s="148" t="str">
        <f t="shared" si="18"/>
        <v/>
      </c>
      <c r="H569" s="37">
        <v>0</v>
      </c>
      <c r="I569" s="5" t="str">
        <f t="shared" si="16"/>
        <v/>
      </c>
      <c r="J569" s="4" t="s">
        <v>61</v>
      </c>
      <c r="K569" s="4" t="s">
        <v>62</v>
      </c>
      <c r="L569" s="146"/>
    </row>
    <row r="570" spans="1:12" x14ac:dyDescent="0.2">
      <c r="A570" s="130"/>
      <c r="B570" s="4"/>
      <c r="C570" s="146"/>
      <c r="D570" s="146"/>
      <c r="E570" s="147"/>
      <c r="F570" s="148"/>
      <c r="G570" s="148" t="str">
        <f t="shared" si="18"/>
        <v/>
      </c>
      <c r="H570" s="37">
        <v>0</v>
      </c>
      <c r="I570" s="5" t="str">
        <f t="shared" si="16"/>
        <v/>
      </c>
      <c r="J570" s="4" t="s">
        <v>61</v>
      </c>
      <c r="K570" s="4" t="s">
        <v>62</v>
      </c>
      <c r="L570" s="146"/>
    </row>
    <row r="571" spans="1:12" x14ac:dyDescent="0.2">
      <c r="A571" s="130"/>
      <c r="B571" s="4"/>
      <c r="C571" s="146"/>
      <c r="D571" s="146"/>
      <c r="E571" s="147"/>
      <c r="F571" s="148"/>
      <c r="G571" s="148" t="str">
        <f t="shared" si="18"/>
        <v/>
      </c>
      <c r="H571" s="37">
        <v>0</v>
      </c>
      <c r="I571" s="5" t="str">
        <f t="shared" si="16"/>
        <v/>
      </c>
      <c r="J571" s="4" t="s">
        <v>61</v>
      </c>
      <c r="K571" s="4" t="s">
        <v>62</v>
      </c>
      <c r="L571" s="146"/>
    </row>
    <row r="572" spans="1:12" x14ac:dyDescent="0.2">
      <c r="A572" s="130"/>
      <c r="B572" s="4"/>
      <c r="C572" s="146"/>
      <c r="D572" s="146"/>
      <c r="E572" s="147"/>
      <c r="F572" s="148"/>
      <c r="G572" s="148" t="str">
        <f t="shared" si="18"/>
        <v/>
      </c>
      <c r="H572" s="37">
        <v>0</v>
      </c>
      <c r="I572" s="5" t="str">
        <f t="shared" si="16"/>
        <v/>
      </c>
      <c r="J572" s="4" t="s">
        <v>61</v>
      </c>
      <c r="K572" s="4" t="s">
        <v>62</v>
      </c>
      <c r="L572" s="146"/>
    </row>
    <row r="573" spans="1:12" x14ac:dyDescent="0.2">
      <c r="A573" s="130"/>
      <c r="B573" s="4"/>
      <c r="C573" s="146"/>
      <c r="D573" s="146"/>
      <c r="E573" s="147"/>
      <c r="F573" s="148"/>
      <c r="G573" s="148" t="str">
        <f t="shared" si="18"/>
        <v/>
      </c>
      <c r="H573" s="37">
        <v>0</v>
      </c>
      <c r="I573" s="5" t="str">
        <f t="shared" si="16"/>
        <v/>
      </c>
      <c r="J573" s="4" t="s">
        <v>61</v>
      </c>
      <c r="K573" s="4" t="s">
        <v>62</v>
      </c>
      <c r="L573" s="146"/>
    </row>
    <row r="574" spans="1:12" s="68" customFormat="1" x14ac:dyDescent="0.2">
      <c r="A574" s="130"/>
      <c r="B574" s="4"/>
      <c r="C574" s="149"/>
      <c r="D574" s="149"/>
      <c r="E574" s="150"/>
      <c r="F574" s="151"/>
      <c r="G574" s="148" t="str">
        <f t="shared" si="18"/>
        <v/>
      </c>
      <c r="H574" s="37">
        <v>0</v>
      </c>
      <c r="I574" s="5" t="str">
        <f t="shared" si="16"/>
        <v/>
      </c>
      <c r="J574" s="4" t="s">
        <v>61</v>
      </c>
      <c r="K574" s="4" t="s">
        <v>62</v>
      </c>
      <c r="L574" s="149"/>
    </row>
    <row r="575" spans="1:12" s="68" customFormat="1" x14ac:dyDescent="0.2">
      <c r="A575" s="130"/>
      <c r="B575" s="4"/>
      <c r="C575" s="149"/>
      <c r="D575" s="149"/>
      <c r="E575" s="150"/>
      <c r="F575" s="151"/>
      <c r="G575" s="148" t="str">
        <f t="shared" si="18"/>
        <v/>
      </c>
      <c r="H575" s="37">
        <v>0</v>
      </c>
      <c r="I575" s="5" t="str">
        <f t="shared" si="16"/>
        <v/>
      </c>
      <c r="J575" s="4" t="s">
        <v>61</v>
      </c>
      <c r="K575" s="4" t="s">
        <v>62</v>
      </c>
      <c r="L575" s="149"/>
    </row>
    <row r="576" spans="1:12" x14ac:dyDescent="0.2">
      <c r="A576" s="145"/>
      <c r="B576" s="146"/>
      <c r="C576" s="146"/>
      <c r="D576" s="146"/>
      <c r="E576" s="147"/>
      <c r="F576" s="148"/>
      <c r="G576" s="148" t="str">
        <f t="shared" si="18"/>
        <v/>
      </c>
      <c r="H576" s="37">
        <v>0</v>
      </c>
      <c r="I576" s="5" t="str">
        <f t="shared" si="16"/>
        <v/>
      </c>
      <c r="J576" s="4" t="s">
        <v>61</v>
      </c>
      <c r="K576" s="4" t="s">
        <v>62</v>
      </c>
      <c r="L576" s="146"/>
    </row>
    <row r="577" spans="1:12" x14ac:dyDescent="0.2">
      <c r="A577" s="145"/>
      <c r="B577" s="146"/>
      <c r="C577" s="146"/>
      <c r="D577" s="146"/>
      <c r="E577" s="147"/>
      <c r="F577" s="148"/>
      <c r="G577" s="148" t="str">
        <f t="shared" si="18"/>
        <v/>
      </c>
      <c r="H577" s="37">
        <v>0</v>
      </c>
      <c r="I577" s="5" t="str">
        <f t="shared" si="16"/>
        <v/>
      </c>
      <c r="J577" s="4" t="s">
        <v>61</v>
      </c>
      <c r="K577" s="4" t="s">
        <v>62</v>
      </c>
      <c r="L577" s="146"/>
    </row>
    <row r="578" spans="1:12" x14ac:dyDescent="0.2">
      <c r="A578" s="145"/>
      <c r="B578" s="146"/>
      <c r="C578" s="146"/>
      <c r="D578" s="146"/>
      <c r="E578" s="147"/>
      <c r="F578" s="148"/>
      <c r="G578" s="148" t="str">
        <f t="shared" si="18"/>
        <v/>
      </c>
      <c r="H578" s="37">
        <v>0</v>
      </c>
      <c r="I578" s="5" t="str">
        <f t="shared" si="16"/>
        <v/>
      </c>
      <c r="J578" s="4" t="s">
        <v>61</v>
      </c>
      <c r="K578" s="4" t="s">
        <v>62</v>
      </c>
      <c r="L578" s="146"/>
    </row>
    <row r="579" spans="1:12" x14ac:dyDescent="0.2">
      <c r="A579" s="145"/>
      <c r="B579" s="146"/>
      <c r="C579" s="146"/>
      <c r="D579" s="146"/>
      <c r="E579" s="147"/>
      <c r="F579" s="148"/>
      <c r="G579" s="148" t="str">
        <f t="shared" si="18"/>
        <v/>
      </c>
      <c r="H579" s="37">
        <v>0</v>
      </c>
      <c r="I579" s="5" t="str">
        <f t="shared" si="16"/>
        <v/>
      </c>
      <c r="J579" s="4" t="s">
        <v>61</v>
      </c>
      <c r="K579" s="4" t="s">
        <v>62</v>
      </c>
      <c r="L579" s="146"/>
    </row>
    <row r="580" spans="1:12" x14ac:dyDescent="0.2">
      <c r="A580" s="130"/>
      <c r="B580" s="4"/>
      <c r="C580" s="4"/>
      <c r="D580" s="4"/>
      <c r="E580" s="36"/>
      <c r="F580" s="5"/>
      <c r="G580" s="148" t="str">
        <f t="shared" si="18"/>
        <v/>
      </c>
      <c r="H580" s="37">
        <v>0</v>
      </c>
      <c r="I580" s="5" t="str">
        <f t="shared" si="16"/>
        <v/>
      </c>
      <c r="J580" s="4" t="s">
        <v>61</v>
      </c>
      <c r="K580" s="4" t="s">
        <v>62</v>
      </c>
      <c r="L580" s="4"/>
    </row>
    <row r="581" spans="1:12" x14ac:dyDescent="0.2">
      <c r="A581" s="130"/>
      <c r="B581" s="4"/>
      <c r="C581" s="4"/>
      <c r="D581" s="4"/>
      <c r="E581" s="36"/>
      <c r="F581" s="5"/>
      <c r="G581" s="148" t="str">
        <f t="shared" si="18"/>
        <v/>
      </c>
      <c r="H581" s="37">
        <v>0</v>
      </c>
      <c r="I581" s="5" t="str">
        <f t="shared" si="16"/>
        <v/>
      </c>
      <c r="J581" s="4" t="s">
        <v>61</v>
      </c>
      <c r="K581" s="4" t="s">
        <v>62</v>
      </c>
      <c r="L581" s="4"/>
    </row>
    <row r="582" spans="1:12" ht="24" customHeight="1" x14ac:dyDescent="0.2">
      <c r="A582" s="38"/>
      <c r="B582" s="38"/>
      <c r="C582" s="39" t="s">
        <v>47</v>
      </c>
      <c r="D582" s="38"/>
      <c r="E582" s="74">
        <f>SUBTOTAL(9,E3:E581)</f>
        <v>10033.9</v>
      </c>
      <c r="F582" s="38"/>
      <c r="G582" s="40">
        <f>SUBTOTAL(9,G3:G581)</f>
        <v>948329.98750000005</v>
      </c>
      <c r="H582" s="40"/>
      <c r="I582" s="40">
        <f>SUBTOTAL(9,I3:I581)</f>
        <v>947867.13750000007</v>
      </c>
      <c r="J582" s="40"/>
      <c r="K582" s="40"/>
      <c r="L582" s="40"/>
    </row>
  </sheetData>
  <autoFilter ref="A2:L581" xr:uid="{00000000-0009-0000-0000-000003000000}"/>
  <mergeCells count="1">
    <mergeCell ref="A1:L1"/>
  </mergeCells>
  <conditionalFormatting sqref="A3:B481 A3:L581">
    <cfRule type="expression" dxfId="21" priority="2">
      <formula>AND($A3&lt;&gt;"",MOD(ROW(),2)=0)</formula>
    </cfRule>
  </conditionalFormatting>
  <conditionalFormatting sqref="B1:B1048576">
    <cfRule type="duplicateValues" dxfId="20" priority="1"/>
  </conditionalFormatting>
  <conditionalFormatting sqref="K3:K581">
    <cfRule type="cellIs" dxfId="19" priority="4" operator="equal">
      <formula>"Paid"</formula>
    </cfRule>
    <cfRule type="cellIs" dxfId="18" priority="5" operator="equal">
      <formula>"Unpaid"</formula>
    </cfRule>
    <cfRule type="cellIs" dxfId="17" priority="6" operator="equal">
      <formula>"Partial"</formula>
    </cfRule>
  </conditionalFormatting>
  <printOptions horizontalCentered="1"/>
  <pageMargins left="0.75" right="0.75" top="1" bottom="1" header="0.5" footer="0.5"/>
  <pageSetup scale="78" fitToHeight="0" orientation="landscape" r:id="rId1"/>
  <headerFooter>
    <oddHeader>&amp;C&amp;"Calibri,Bold"&amp;12 &amp;K1F3864[Your Dairy Plant Name]</oddHeader>
    <oddFooter>&amp;LPrinted &amp;D&amp;RPage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0000000}">
          <x14:formula1>
            <xm:f>Settings!$H$16:$H$24</xm:f>
          </x14:formula1>
          <xm:sqref>D3:D502</xm:sqref>
        </x14:dataValidation>
        <x14:dataValidation type="list" allowBlank="1" xr:uid="{00000000-0002-0000-0300-000001000000}">
          <x14:formula1>
            <xm:f>Settings!$F$16:$F$22</xm:f>
          </x14:formula1>
          <xm:sqref>J3:J502</xm:sqref>
        </x14:dataValidation>
        <x14:dataValidation type="list" allowBlank="1" xr:uid="{00000000-0002-0000-0300-000002000000}">
          <x14:formula1>
            <xm:f>Settings!$I$16:$I$24</xm:f>
          </x14:formula1>
          <xm:sqref>K3:K502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8F00"/>
    <pageSetUpPr fitToPage="1"/>
  </sheetPr>
  <dimension ref="A1:R635"/>
  <sheetViews>
    <sheetView showGridLines="0" workbookViewId="0">
      <pane ySplit="2" topLeftCell="A109" activePane="bottomLeft" state="frozen"/>
      <selection pane="bottomLeft" activeCell="H131" sqref="H131"/>
    </sheetView>
  </sheetViews>
  <sheetFormatPr baseColWidth="10" defaultColWidth="8.83203125" defaultRowHeight="15" x14ac:dyDescent="0.2"/>
  <cols>
    <col min="1" max="1" width="11.5" bestFit="1" customWidth="1"/>
    <col min="3" max="3" width="22" customWidth="1"/>
    <col min="9" max="9" width="10.33203125" bestFit="1" customWidth="1"/>
    <col min="10" max="10" width="10" bestFit="1" customWidth="1"/>
    <col min="12" max="12" width="14.1640625" bestFit="1" customWidth="1"/>
    <col min="13" max="13" width="12" bestFit="1" customWidth="1"/>
    <col min="14" max="14" width="14.1640625" bestFit="1" customWidth="1"/>
    <col min="17" max="17" width="18" customWidth="1"/>
    <col min="18" max="18" width="14.6640625" bestFit="1" customWidth="1"/>
  </cols>
  <sheetData>
    <row r="1" spans="1:18" ht="32" customHeight="1" x14ac:dyDescent="0.2">
      <c r="A1" s="155" t="s">
        <v>429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</row>
    <row r="2" spans="1:18" ht="28" customHeight="1" x14ac:dyDescent="0.2">
      <c r="A2" s="3" t="s">
        <v>11</v>
      </c>
      <c r="B2" s="3" t="s">
        <v>430</v>
      </c>
      <c r="C2" s="3" t="s">
        <v>431</v>
      </c>
      <c r="D2" s="3" t="s">
        <v>52</v>
      </c>
      <c r="E2" s="3" t="s">
        <v>432</v>
      </c>
      <c r="F2" s="3" t="s">
        <v>433</v>
      </c>
      <c r="G2" s="3" t="s">
        <v>434</v>
      </c>
      <c r="H2" s="3" t="s">
        <v>435</v>
      </c>
      <c r="I2" s="3" t="s">
        <v>436</v>
      </c>
      <c r="J2" s="3" t="s">
        <v>437</v>
      </c>
      <c r="K2" s="3" t="s">
        <v>53</v>
      </c>
      <c r="L2" s="3" t="s">
        <v>17</v>
      </c>
      <c r="M2" s="3" t="s">
        <v>438</v>
      </c>
      <c r="N2" s="3" t="s">
        <v>14</v>
      </c>
      <c r="O2" s="3" t="s">
        <v>56</v>
      </c>
      <c r="P2" s="3" t="s">
        <v>15</v>
      </c>
      <c r="Q2" s="3" t="s">
        <v>57</v>
      </c>
    </row>
    <row r="3" spans="1:18" x14ac:dyDescent="0.2">
      <c r="A3" s="130">
        <v>66915</v>
      </c>
      <c r="B3" s="4" t="s">
        <v>860</v>
      </c>
      <c r="C3" s="4" t="s">
        <v>440</v>
      </c>
      <c r="D3" s="4" t="s">
        <v>60</v>
      </c>
      <c r="E3" s="41">
        <v>0</v>
      </c>
      <c r="F3" s="41">
        <v>0</v>
      </c>
      <c r="G3" s="5">
        <v>0</v>
      </c>
      <c r="H3" s="4" t="s">
        <v>453</v>
      </c>
      <c r="I3" s="5">
        <v>70</v>
      </c>
      <c r="J3" s="5">
        <f t="shared" ref="J3:J36" si="0">IF($D3="","",IF($H3="FIXED",$I3,($E3*FAT_MULT)+($F3*SNF_MULT)+$G3))</f>
        <v>70</v>
      </c>
      <c r="K3" s="36">
        <v>236</v>
      </c>
      <c r="L3" s="5">
        <f>IF($K3="","",$K3*$J3)</f>
        <v>16520</v>
      </c>
      <c r="M3" s="5">
        <v>0</v>
      </c>
      <c r="N3" s="5">
        <f t="shared" ref="N3:N36" si="1">IF($K3="","",$L3+$M3)</f>
        <v>16520</v>
      </c>
      <c r="O3" s="69" t="s">
        <v>61</v>
      </c>
      <c r="P3" s="4" t="s">
        <v>62</v>
      </c>
      <c r="Q3" s="4"/>
      <c r="R3" s="7"/>
    </row>
    <row r="4" spans="1:18" ht="30" customHeight="1" x14ac:dyDescent="0.2">
      <c r="A4" s="130">
        <v>66915</v>
      </c>
      <c r="B4" s="4" t="s">
        <v>860</v>
      </c>
      <c r="C4" s="4" t="s">
        <v>440</v>
      </c>
      <c r="D4" s="4" t="s">
        <v>93</v>
      </c>
      <c r="E4" s="41">
        <v>0</v>
      </c>
      <c r="F4" s="41">
        <v>0</v>
      </c>
      <c r="G4" s="5">
        <v>0</v>
      </c>
      <c r="H4" s="4" t="s">
        <v>453</v>
      </c>
      <c r="I4" s="5">
        <v>700</v>
      </c>
      <c r="J4" s="5">
        <f t="shared" si="0"/>
        <v>700</v>
      </c>
      <c r="K4" s="36">
        <v>6.5</v>
      </c>
      <c r="L4" s="5">
        <f t="shared" ref="L4:L36" si="2">IF($K4="","",$K4*$J4)</f>
        <v>4550</v>
      </c>
      <c r="M4" s="5">
        <v>0</v>
      </c>
      <c r="N4" s="5">
        <f t="shared" si="1"/>
        <v>4550</v>
      </c>
      <c r="O4" s="69" t="s">
        <v>61</v>
      </c>
      <c r="P4" s="4" t="s">
        <v>62</v>
      </c>
      <c r="Q4" s="4"/>
    </row>
    <row r="5" spans="1:18" ht="30" customHeight="1" x14ac:dyDescent="0.2">
      <c r="A5" s="130">
        <v>66915</v>
      </c>
      <c r="B5" s="4" t="s">
        <v>860</v>
      </c>
      <c r="C5" s="4" t="s">
        <v>440</v>
      </c>
      <c r="D5" s="4" t="s">
        <v>92</v>
      </c>
      <c r="E5" s="41">
        <v>0</v>
      </c>
      <c r="F5" s="41">
        <v>0</v>
      </c>
      <c r="G5" s="5">
        <v>0</v>
      </c>
      <c r="H5" s="4" t="s">
        <v>453</v>
      </c>
      <c r="I5" s="5">
        <v>950</v>
      </c>
      <c r="J5" s="5">
        <f t="shared" si="0"/>
        <v>950</v>
      </c>
      <c r="K5" s="36">
        <v>18</v>
      </c>
      <c r="L5" s="5">
        <f t="shared" si="2"/>
        <v>17100</v>
      </c>
      <c r="M5" s="5">
        <v>0</v>
      </c>
      <c r="N5" s="5">
        <f t="shared" si="1"/>
        <v>17100</v>
      </c>
      <c r="O5" s="69" t="s">
        <v>61</v>
      </c>
      <c r="P5" s="4" t="s">
        <v>62</v>
      </c>
      <c r="Q5" s="4"/>
    </row>
    <row r="6" spans="1:18" ht="30" customHeight="1" x14ac:dyDescent="0.2">
      <c r="A6" s="130">
        <v>66915</v>
      </c>
      <c r="B6" s="4" t="s">
        <v>860</v>
      </c>
      <c r="C6" s="4" t="s">
        <v>440</v>
      </c>
      <c r="D6" s="4" t="s">
        <v>760</v>
      </c>
      <c r="E6" s="41">
        <v>0</v>
      </c>
      <c r="F6" s="41">
        <v>0</v>
      </c>
      <c r="G6" s="5">
        <v>0</v>
      </c>
      <c r="H6" s="4" t="s">
        <v>453</v>
      </c>
      <c r="I6" s="5">
        <v>720</v>
      </c>
      <c r="J6" s="5">
        <f t="shared" si="0"/>
        <v>720</v>
      </c>
      <c r="K6" s="36">
        <v>1</v>
      </c>
      <c r="L6" s="5">
        <f t="shared" si="2"/>
        <v>720</v>
      </c>
      <c r="M6" s="5">
        <v>0</v>
      </c>
      <c r="N6" s="5">
        <f t="shared" si="1"/>
        <v>720</v>
      </c>
      <c r="O6" s="69" t="s">
        <v>61</v>
      </c>
      <c r="P6" s="4" t="s">
        <v>62</v>
      </c>
      <c r="Q6" s="4"/>
    </row>
    <row r="7" spans="1:18" ht="30" customHeight="1" x14ac:dyDescent="0.2">
      <c r="A7" s="130">
        <v>66915</v>
      </c>
      <c r="B7" s="4" t="s">
        <v>860</v>
      </c>
      <c r="C7" s="4" t="s">
        <v>440</v>
      </c>
      <c r="D7" s="4" t="s">
        <v>861</v>
      </c>
      <c r="E7" s="41">
        <v>0</v>
      </c>
      <c r="F7" s="41">
        <v>0</v>
      </c>
      <c r="G7" s="5">
        <v>0</v>
      </c>
      <c r="H7" s="4" t="s">
        <v>453</v>
      </c>
      <c r="I7" s="5">
        <v>490</v>
      </c>
      <c r="J7" s="5">
        <f t="shared" si="0"/>
        <v>490</v>
      </c>
      <c r="K7" s="36">
        <v>135</v>
      </c>
      <c r="L7" s="5">
        <f t="shared" si="2"/>
        <v>66150</v>
      </c>
      <c r="M7" s="5">
        <v>0</v>
      </c>
      <c r="N7" s="5">
        <f t="shared" si="1"/>
        <v>66150</v>
      </c>
      <c r="O7" s="69" t="s">
        <v>61</v>
      </c>
      <c r="P7" s="4" t="s">
        <v>62</v>
      </c>
      <c r="Q7" s="4"/>
    </row>
    <row r="8" spans="1:18" ht="30" customHeight="1" x14ac:dyDescent="0.2">
      <c r="A8" s="130">
        <v>66915</v>
      </c>
      <c r="B8" s="4" t="s">
        <v>863</v>
      </c>
      <c r="C8" s="4" t="s">
        <v>440</v>
      </c>
      <c r="D8" s="4" t="s">
        <v>862</v>
      </c>
      <c r="E8" s="41">
        <v>0</v>
      </c>
      <c r="F8" s="41">
        <v>0</v>
      </c>
      <c r="G8" s="5">
        <v>0</v>
      </c>
      <c r="H8" s="4" t="s">
        <v>453</v>
      </c>
      <c r="I8" s="5">
        <v>47</v>
      </c>
      <c r="J8" s="5">
        <f t="shared" si="0"/>
        <v>47</v>
      </c>
      <c r="K8" s="36">
        <v>35</v>
      </c>
      <c r="L8" s="5">
        <f t="shared" si="2"/>
        <v>1645</v>
      </c>
      <c r="M8" s="5">
        <v>0</v>
      </c>
      <c r="N8" s="5">
        <f t="shared" si="1"/>
        <v>1645</v>
      </c>
      <c r="O8" s="69" t="s">
        <v>61</v>
      </c>
      <c r="P8" s="4" t="s">
        <v>62</v>
      </c>
      <c r="Q8" s="4"/>
    </row>
    <row r="9" spans="1:18" ht="30" customHeight="1" x14ac:dyDescent="0.2">
      <c r="A9" s="130">
        <v>66915</v>
      </c>
      <c r="B9" s="4" t="s">
        <v>442</v>
      </c>
      <c r="C9" s="4" t="s">
        <v>443</v>
      </c>
      <c r="D9" s="4" t="s">
        <v>444</v>
      </c>
      <c r="E9" s="41">
        <v>5.3</v>
      </c>
      <c r="F9" s="41">
        <v>7.5</v>
      </c>
      <c r="G9" s="5">
        <v>5</v>
      </c>
      <c r="H9" s="4" t="s">
        <v>441</v>
      </c>
      <c r="I9" s="5">
        <v>0</v>
      </c>
      <c r="J9" s="5">
        <f t="shared" si="0"/>
        <v>77.02000000000001</v>
      </c>
      <c r="K9" s="36">
        <v>39.200000000000003</v>
      </c>
      <c r="L9" s="5">
        <f t="shared" si="2"/>
        <v>3019.1840000000007</v>
      </c>
      <c r="M9" s="5">
        <v>0</v>
      </c>
      <c r="N9" s="5">
        <f t="shared" si="1"/>
        <v>3019.1840000000007</v>
      </c>
      <c r="O9" s="69" t="s">
        <v>61</v>
      </c>
      <c r="P9" s="4" t="s">
        <v>62</v>
      </c>
      <c r="Q9" s="4"/>
    </row>
    <row r="10" spans="1:18" x14ac:dyDescent="0.2">
      <c r="A10" s="130">
        <v>66916</v>
      </c>
      <c r="B10" s="4" t="s">
        <v>439</v>
      </c>
      <c r="C10" s="4" t="s">
        <v>443</v>
      </c>
      <c r="D10" s="4" t="s">
        <v>69</v>
      </c>
      <c r="E10" s="41">
        <v>3.44</v>
      </c>
      <c r="F10" s="41">
        <v>7.6</v>
      </c>
      <c r="G10" s="5">
        <v>4.5</v>
      </c>
      <c r="H10" s="4" t="s">
        <v>441</v>
      </c>
      <c r="I10" s="5">
        <v>0</v>
      </c>
      <c r="J10" s="5">
        <f t="shared" si="0"/>
        <v>63.676000000000002</v>
      </c>
      <c r="K10" s="36">
        <v>80.5</v>
      </c>
      <c r="L10" s="5">
        <f t="shared" si="2"/>
        <v>5125.9180000000006</v>
      </c>
      <c r="M10" s="5">
        <v>0</v>
      </c>
      <c r="N10" s="5">
        <f t="shared" si="1"/>
        <v>5125.9180000000006</v>
      </c>
      <c r="O10" s="69" t="s">
        <v>61</v>
      </c>
      <c r="P10" s="4" t="s">
        <v>62</v>
      </c>
      <c r="Q10" s="4"/>
      <c r="R10" s="7"/>
    </row>
    <row r="11" spans="1:18" ht="30" customHeight="1" x14ac:dyDescent="0.2">
      <c r="A11" s="130">
        <v>66916</v>
      </c>
      <c r="B11" s="4" t="s">
        <v>442</v>
      </c>
      <c r="C11" s="4" t="s">
        <v>443</v>
      </c>
      <c r="D11" s="4" t="s">
        <v>444</v>
      </c>
      <c r="E11" s="41">
        <v>5.3</v>
      </c>
      <c r="F11" s="41">
        <v>7.5</v>
      </c>
      <c r="G11" s="5">
        <v>5</v>
      </c>
      <c r="H11" s="4" t="s">
        <v>441</v>
      </c>
      <c r="I11" s="5">
        <v>0</v>
      </c>
      <c r="J11" s="5">
        <f t="shared" si="0"/>
        <v>77.02000000000001</v>
      </c>
      <c r="K11" s="36">
        <v>39.200000000000003</v>
      </c>
      <c r="L11" s="5">
        <f t="shared" si="2"/>
        <v>3019.1840000000007</v>
      </c>
      <c r="M11" s="5">
        <v>0</v>
      </c>
      <c r="N11" s="5">
        <f t="shared" si="1"/>
        <v>3019.1840000000007</v>
      </c>
      <c r="O11" s="69" t="s">
        <v>61</v>
      </c>
      <c r="P11" s="4" t="s">
        <v>62</v>
      </c>
      <c r="Q11" s="4"/>
    </row>
    <row r="12" spans="1:18" x14ac:dyDescent="0.2">
      <c r="A12" s="130">
        <v>66916</v>
      </c>
      <c r="B12" s="4" t="s">
        <v>445</v>
      </c>
      <c r="C12" s="4" t="s">
        <v>446</v>
      </c>
      <c r="D12" s="4" t="s">
        <v>69</v>
      </c>
      <c r="E12" s="41">
        <v>3.6</v>
      </c>
      <c r="F12" s="41">
        <v>7.7</v>
      </c>
      <c r="G12" s="5">
        <v>4.5</v>
      </c>
      <c r="H12" s="4" t="s">
        <v>441</v>
      </c>
      <c r="I12" s="5">
        <v>0</v>
      </c>
      <c r="J12" s="5">
        <f t="shared" si="0"/>
        <v>65.275000000000006</v>
      </c>
      <c r="K12" s="36">
        <v>35.299999999999997</v>
      </c>
      <c r="L12" s="5">
        <f t="shared" si="2"/>
        <v>2304.2075</v>
      </c>
      <c r="M12" s="5">
        <v>0</v>
      </c>
      <c r="N12" s="5">
        <f t="shared" si="1"/>
        <v>2304.2075</v>
      </c>
      <c r="O12" s="69" t="s">
        <v>61</v>
      </c>
      <c r="P12" s="4" t="s">
        <v>62</v>
      </c>
      <c r="Q12" s="4"/>
    </row>
    <row r="13" spans="1:18" x14ac:dyDescent="0.2">
      <c r="A13" s="130">
        <v>66916</v>
      </c>
      <c r="B13" s="4" t="s">
        <v>447</v>
      </c>
      <c r="C13" s="4" t="s">
        <v>448</v>
      </c>
      <c r="D13" s="4" t="s">
        <v>69</v>
      </c>
      <c r="E13" s="41">
        <v>3.6</v>
      </c>
      <c r="F13" s="41">
        <v>7.8</v>
      </c>
      <c r="G13" s="5">
        <v>2</v>
      </c>
      <c r="H13" s="4" t="s">
        <v>441</v>
      </c>
      <c r="I13" s="5">
        <v>0</v>
      </c>
      <c r="J13" s="5">
        <f t="shared" si="0"/>
        <v>63.23</v>
      </c>
      <c r="K13" s="36">
        <v>9.6</v>
      </c>
      <c r="L13" s="5">
        <f t="shared" si="2"/>
        <v>607.00799999999992</v>
      </c>
      <c r="M13" s="5">
        <v>0</v>
      </c>
      <c r="N13" s="5">
        <f t="shared" si="1"/>
        <v>607.00799999999992</v>
      </c>
      <c r="O13" s="69" t="s">
        <v>61</v>
      </c>
      <c r="P13" s="4" t="s">
        <v>62</v>
      </c>
      <c r="Q13" s="4"/>
    </row>
    <row r="14" spans="1:18" x14ac:dyDescent="0.2">
      <c r="A14" s="130">
        <v>66916</v>
      </c>
      <c r="B14" s="4" t="s">
        <v>449</v>
      </c>
      <c r="C14" s="4" t="s">
        <v>450</v>
      </c>
      <c r="D14" s="4" t="s">
        <v>69</v>
      </c>
      <c r="E14" s="41">
        <v>4.66</v>
      </c>
      <c r="F14" s="41">
        <v>8.0399999999999991</v>
      </c>
      <c r="G14" s="5">
        <v>2</v>
      </c>
      <c r="H14" s="4" t="s">
        <v>441</v>
      </c>
      <c r="I14" s="5">
        <v>0</v>
      </c>
      <c r="J14" s="5">
        <f t="shared" si="0"/>
        <v>71.900999999999996</v>
      </c>
      <c r="K14" s="36">
        <v>6.7</v>
      </c>
      <c r="L14" s="5">
        <f t="shared" si="2"/>
        <v>481.73669999999998</v>
      </c>
      <c r="M14" s="5">
        <v>0</v>
      </c>
      <c r="N14" s="5">
        <f t="shared" si="1"/>
        <v>481.73669999999998</v>
      </c>
      <c r="O14" s="69" t="s">
        <v>61</v>
      </c>
      <c r="P14" s="4" t="s">
        <v>62</v>
      </c>
      <c r="Q14" s="4"/>
    </row>
    <row r="15" spans="1:18" ht="30" customHeight="1" x14ac:dyDescent="0.2">
      <c r="A15" s="130">
        <v>66916</v>
      </c>
      <c r="B15" s="4" t="s">
        <v>451</v>
      </c>
      <c r="C15" s="4" t="s">
        <v>452</v>
      </c>
      <c r="D15" s="4" t="s">
        <v>444</v>
      </c>
      <c r="E15" s="41">
        <v>5.9</v>
      </c>
      <c r="F15" s="41">
        <v>0</v>
      </c>
      <c r="G15" s="5">
        <v>15.5</v>
      </c>
      <c r="H15" s="4" t="s">
        <v>453</v>
      </c>
      <c r="I15" s="5">
        <f>G15*E15</f>
        <v>91.45</v>
      </c>
      <c r="J15" s="5">
        <f t="shared" si="0"/>
        <v>91.45</v>
      </c>
      <c r="K15" s="36">
        <v>240</v>
      </c>
      <c r="L15" s="5">
        <f t="shared" si="2"/>
        <v>21948</v>
      </c>
      <c r="M15" s="5">
        <v>0</v>
      </c>
      <c r="N15" s="5">
        <f t="shared" si="1"/>
        <v>21948</v>
      </c>
      <c r="O15" s="69" t="s">
        <v>61</v>
      </c>
      <c r="P15" s="4" t="s">
        <v>62</v>
      </c>
      <c r="Q15" s="4"/>
    </row>
    <row r="16" spans="1:18" x14ac:dyDescent="0.2">
      <c r="A16" s="130">
        <v>66916</v>
      </c>
      <c r="B16" s="4" t="s">
        <v>454</v>
      </c>
      <c r="C16" s="4" t="s">
        <v>455</v>
      </c>
      <c r="D16" s="4" t="s">
        <v>60</v>
      </c>
      <c r="E16" s="41">
        <v>0</v>
      </c>
      <c r="F16" s="41">
        <v>0</v>
      </c>
      <c r="G16" s="5">
        <v>0</v>
      </c>
      <c r="H16" s="4" t="s">
        <v>453</v>
      </c>
      <c r="I16" s="5">
        <v>84</v>
      </c>
      <c r="J16" s="5">
        <f t="shared" si="0"/>
        <v>84</v>
      </c>
      <c r="K16" s="36">
        <v>120</v>
      </c>
      <c r="L16" s="5">
        <f t="shared" si="2"/>
        <v>10080</v>
      </c>
      <c r="M16" s="5">
        <v>0</v>
      </c>
      <c r="N16" s="5">
        <f t="shared" si="1"/>
        <v>10080</v>
      </c>
      <c r="O16" s="69" t="s">
        <v>61</v>
      </c>
      <c r="P16" s="4" t="s">
        <v>62</v>
      </c>
      <c r="Q16" s="4"/>
    </row>
    <row r="17" spans="1:17" x14ac:dyDescent="0.2">
      <c r="A17" s="130">
        <v>66917</v>
      </c>
      <c r="B17" s="4" t="s">
        <v>456</v>
      </c>
      <c r="C17" s="4" t="s">
        <v>443</v>
      </c>
      <c r="D17" s="4" t="s">
        <v>69</v>
      </c>
      <c r="E17" s="41">
        <v>3.5</v>
      </c>
      <c r="F17" s="41">
        <v>7.6</v>
      </c>
      <c r="G17" s="5">
        <v>4.5</v>
      </c>
      <c r="H17" s="4" t="s">
        <v>441</v>
      </c>
      <c r="I17" s="5">
        <v>0</v>
      </c>
      <c r="J17" s="5">
        <f t="shared" si="0"/>
        <v>64.105000000000004</v>
      </c>
      <c r="K17" s="36">
        <v>89.6</v>
      </c>
      <c r="L17" s="5">
        <f t="shared" si="2"/>
        <v>5743.808</v>
      </c>
      <c r="M17" s="5">
        <v>0</v>
      </c>
      <c r="N17" s="5">
        <f t="shared" si="1"/>
        <v>5743.808</v>
      </c>
      <c r="O17" s="69" t="s">
        <v>61</v>
      </c>
      <c r="P17" s="4" t="s">
        <v>62</v>
      </c>
      <c r="Q17" s="4"/>
    </row>
    <row r="18" spans="1:17" ht="30" customHeight="1" x14ac:dyDescent="0.2">
      <c r="A18" s="130">
        <v>66917</v>
      </c>
      <c r="B18" s="4" t="s">
        <v>457</v>
      </c>
      <c r="C18" s="4" t="s">
        <v>443</v>
      </c>
      <c r="D18" s="4" t="s">
        <v>444</v>
      </c>
      <c r="E18" s="41">
        <v>5.36</v>
      </c>
      <c r="F18" s="41">
        <v>7.44</v>
      </c>
      <c r="G18" s="5">
        <v>5</v>
      </c>
      <c r="H18" s="4" t="s">
        <v>441</v>
      </c>
      <c r="I18" s="5">
        <v>0</v>
      </c>
      <c r="J18" s="5">
        <f t="shared" si="0"/>
        <v>77.176000000000016</v>
      </c>
      <c r="K18" s="36">
        <v>36.6</v>
      </c>
      <c r="L18" s="5">
        <f t="shared" si="2"/>
        <v>2824.6416000000008</v>
      </c>
      <c r="M18" s="5">
        <v>0</v>
      </c>
      <c r="N18" s="5">
        <f t="shared" si="1"/>
        <v>2824.6416000000008</v>
      </c>
      <c r="O18" s="69" t="s">
        <v>61</v>
      </c>
      <c r="P18" s="4" t="s">
        <v>62</v>
      </c>
      <c r="Q18" s="4"/>
    </row>
    <row r="19" spans="1:17" x14ac:dyDescent="0.2">
      <c r="A19" s="130">
        <v>66917</v>
      </c>
      <c r="B19" s="4" t="s">
        <v>458</v>
      </c>
      <c r="C19" s="4" t="s">
        <v>446</v>
      </c>
      <c r="D19" s="4" t="s">
        <v>69</v>
      </c>
      <c r="E19" s="41">
        <v>3.7</v>
      </c>
      <c r="F19" s="41">
        <v>7.7</v>
      </c>
      <c r="G19" s="5">
        <v>4.5</v>
      </c>
      <c r="H19" s="4" t="s">
        <v>441</v>
      </c>
      <c r="I19" s="5">
        <v>0</v>
      </c>
      <c r="J19" s="5">
        <f t="shared" si="0"/>
        <v>65.989999999999995</v>
      </c>
      <c r="K19" s="36">
        <v>39</v>
      </c>
      <c r="L19" s="5">
        <f t="shared" si="2"/>
        <v>2573.6099999999997</v>
      </c>
      <c r="M19" s="5">
        <v>0</v>
      </c>
      <c r="N19" s="5">
        <f t="shared" si="1"/>
        <v>2573.6099999999997</v>
      </c>
      <c r="O19" s="69" t="s">
        <v>61</v>
      </c>
      <c r="P19" s="4" t="s">
        <v>62</v>
      </c>
      <c r="Q19" s="4"/>
    </row>
    <row r="20" spans="1:17" x14ac:dyDescent="0.2">
      <c r="A20" s="130">
        <v>66917</v>
      </c>
      <c r="B20" s="4" t="s">
        <v>459</v>
      </c>
      <c r="C20" s="4" t="s">
        <v>448</v>
      </c>
      <c r="D20" s="4" t="s">
        <v>69</v>
      </c>
      <c r="E20" s="41">
        <v>3.66</v>
      </c>
      <c r="F20" s="41">
        <v>7.82</v>
      </c>
      <c r="G20" s="5">
        <v>2</v>
      </c>
      <c r="H20" s="4" t="s">
        <v>441</v>
      </c>
      <c r="I20" s="5">
        <v>0</v>
      </c>
      <c r="J20" s="5">
        <f t="shared" si="0"/>
        <v>63.750000000000007</v>
      </c>
      <c r="K20" s="36">
        <v>9</v>
      </c>
      <c r="L20" s="5">
        <f t="shared" si="2"/>
        <v>573.75000000000011</v>
      </c>
      <c r="M20" s="5">
        <v>0</v>
      </c>
      <c r="N20" s="5">
        <f t="shared" si="1"/>
        <v>573.75000000000011</v>
      </c>
      <c r="O20" s="69" t="s">
        <v>61</v>
      </c>
      <c r="P20" s="4" t="s">
        <v>62</v>
      </c>
      <c r="Q20" s="4"/>
    </row>
    <row r="21" spans="1:17" x14ac:dyDescent="0.2">
      <c r="A21" s="130">
        <v>66917</v>
      </c>
      <c r="B21" s="4" t="s">
        <v>460</v>
      </c>
      <c r="C21" s="4" t="s">
        <v>450</v>
      </c>
      <c r="D21" s="4" t="s">
        <v>69</v>
      </c>
      <c r="E21" s="41">
        <v>4.5</v>
      </c>
      <c r="F21" s="41">
        <v>8.1999999999999993</v>
      </c>
      <c r="G21" s="5">
        <v>2</v>
      </c>
      <c r="H21" s="4" t="s">
        <v>441</v>
      </c>
      <c r="I21" s="5">
        <v>0</v>
      </c>
      <c r="J21" s="5">
        <f t="shared" si="0"/>
        <v>71.484999999999999</v>
      </c>
      <c r="K21" s="36">
        <v>2.7</v>
      </c>
      <c r="L21" s="5">
        <f t="shared" si="2"/>
        <v>193.0095</v>
      </c>
      <c r="M21" s="5">
        <v>0</v>
      </c>
      <c r="N21" s="5">
        <f t="shared" si="1"/>
        <v>193.0095</v>
      </c>
      <c r="O21" s="69" t="s">
        <v>61</v>
      </c>
      <c r="P21" s="4" t="s">
        <v>62</v>
      </c>
      <c r="Q21" s="4"/>
    </row>
    <row r="22" spans="1:17" ht="30" customHeight="1" x14ac:dyDescent="0.2">
      <c r="A22" s="130">
        <v>66917</v>
      </c>
      <c r="B22" s="4" t="s">
        <v>461</v>
      </c>
      <c r="C22" s="4" t="s">
        <v>452</v>
      </c>
      <c r="D22" s="4" t="s">
        <v>444</v>
      </c>
      <c r="E22" s="41">
        <v>5.9</v>
      </c>
      <c r="F22" s="41">
        <v>8.85</v>
      </c>
      <c r="G22" s="5">
        <v>9</v>
      </c>
      <c r="H22" s="4" t="s">
        <v>441</v>
      </c>
      <c r="I22" s="5">
        <v>0</v>
      </c>
      <c r="J22" s="5">
        <f t="shared" si="0"/>
        <v>91.452500000000001</v>
      </c>
      <c r="K22" s="36">
        <v>0</v>
      </c>
      <c r="L22" s="5">
        <f t="shared" si="2"/>
        <v>0</v>
      </c>
      <c r="M22" s="5">
        <v>0</v>
      </c>
      <c r="N22" s="5">
        <f t="shared" si="1"/>
        <v>0</v>
      </c>
      <c r="O22" s="69" t="s">
        <v>61</v>
      </c>
      <c r="P22" s="4" t="s">
        <v>62</v>
      </c>
      <c r="Q22" s="4"/>
    </row>
    <row r="23" spans="1:17" x14ac:dyDescent="0.2">
      <c r="A23" s="130">
        <v>66917</v>
      </c>
      <c r="B23" s="4" t="s">
        <v>462</v>
      </c>
      <c r="C23" s="4" t="s">
        <v>455</v>
      </c>
      <c r="D23" s="4" t="s">
        <v>60</v>
      </c>
      <c r="E23" s="41">
        <v>0</v>
      </c>
      <c r="F23" s="41">
        <v>0</v>
      </c>
      <c r="G23" s="5">
        <v>0</v>
      </c>
      <c r="H23" s="4" t="s">
        <v>453</v>
      </c>
      <c r="I23" s="5">
        <v>84</v>
      </c>
      <c r="J23" s="5">
        <f t="shared" si="0"/>
        <v>84</v>
      </c>
      <c r="K23" s="36">
        <v>80</v>
      </c>
      <c r="L23" s="5">
        <f t="shared" si="2"/>
        <v>6720</v>
      </c>
      <c r="M23" s="5">
        <v>0</v>
      </c>
      <c r="N23" s="5">
        <f t="shared" si="1"/>
        <v>6720</v>
      </c>
      <c r="O23" s="69" t="s">
        <v>61</v>
      </c>
      <c r="P23" s="4" t="s">
        <v>62</v>
      </c>
      <c r="Q23" s="4"/>
    </row>
    <row r="24" spans="1:17" x14ac:dyDescent="0.2">
      <c r="A24" s="130">
        <v>66918</v>
      </c>
      <c r="B24" s="4" t="s">
        <v>463</v>
      </c>
      <c r="C24" s="4" t="s">
        <v>443</v>
      </c>
      <c r="D24" s="4" t="s">
        <v>69</v>
      </c>
      <c r="E24" s="41">
        <v>3.4</v>
      </c>
      <c r="F24" s="41">
        <v>7.6</v>
      </c>
      <c r="G24" s="5">
        <v>4.5</v>
      </c>
      <c r="H24" s="4" t="s">
        <v>441</v>
      </c>
      <c r="I24" s="5">
        <v>0</v>
      </c>
      <c r="J24" s="5">
        <f t="shared" si="0"/>
        <v>63.39</v>
      </c>
      <c r="K24" s="36">
        <v>88</v>
      </c>
      <c r="L24" s="5">
        <f t="shared" si="2"/>
        <v>5578.32</v>
      </c>
      <c r="M24" s="5">
        <v>0</v>
      </c>
      <c r="N24" s="5">
        <f t="shared" si="1"/>
        <v>5578.32</v>
      </c>
      <c r="O24" s="69" t="s">
        <v>61</v>
      </c>
      <c r="P24" s="4" t="s">
        <v>62</v>
      </c>
      <c r="Q24" s="4"/>
    </row>
    <row r="25" spans="1:17" ht="30" customHeight="1" x14ac:dyDescent="0.2">
      <c r="A25" s="130">
        <v>66918</v>
      </c>
      <c r="B25" s="4" t="s">
        <v>464</v>
      </c>
      <c r="C25" s="4" t="s">
        <v>443</v>
      </c>
      <c r="D25" s="4" t="s">
        <v>444</v>
      </c>
      <c r="E25" s="41">
        <v>5.34</v>
      </c>
      <c r="F25" s="41">
        <v>7.5</v>
      </c>
      <c r="G25" s="5">
        <v>5</v>
      </c>
      <c r="H25" s="4" t="s">
        <v>441</v>
      </c>
      <c r="I25" s="5">
        <v>0</v>
      </c>
      <c r="J25" s="5">
        <f t="shared" si="0"/>
        <v>77.305999999999997</v>
      </c>
      <c r="K25" s="36">
        <v>38.6</v>
      </c>
      <c r="L25" s="5">
        <f t="shared" si="2"/>
        <v>2984.0115999999998</v>
      </c>
      <c r="M25" s="5">
        <v>0</v>
      </c>
      <c r="N25" s="5">
        <f t="shared" si="1"/>
        <v>2984.0115999999998</v>
      </c>
      <c r="O25" s="69" t="s">
        <v>61</v>
      </c>
      <c r="P25" s="4" t="s">
        <v>62</v>
      </c>
      <c r="Q25" s="4"/>
    </row>
    <row r="26" spans="1:17" x14ac:dyDescent="0.2">
      <c r="A26" s="130">
        <v>66918</v>
      </c>
      <c r="B26" s="4" t="s">
        <v>465</v>
      </c>
      <c r="C26" s="4" t="s">
        <v>446</v>
      </c>
      <c r="D26" s="4" t="s">
        <v>69</v>
      </c>
      <c r="E26" s="41">
        <v>3.6</v>
      </c>
      <c r="F26" s="41">
        <v>7.7</v>
      </c>
      <c r="G26" s="5">
        <v>4.5</v>
      </c>
      <c r="H26" s="4" t="s">
        <v>441</v>
      </c>
      <c r="I26" s="5">
        <v>0</v>
      </c>
      <c r="J26" s="5">
        <f t="shared" si="0"/>
        <v>65.275000000000006</v>
      </c>
      <c r="K26" s="36">
        <v>37.299999999999997</v>
      </c>
      <c r="L26" s="5">
        <f t="shared" si="2"/>
        <v>2434.7575000000002</v>
      </c>
      <c r="M26" s="5">
        <v>0</v>
      </c>
      <c r="N26" s="5">
        <f t="shared" si="1"/>
        <v>2434.7575000000002</v>
      </c>
      <c r="O26" s="69" t="s">
        <v>61</v>
      </c>
      <c r="P26" s="4" t="s">
        <v>62</v>
      </c>
      <c r="Q26" s="4"/>
    </row>
    <row r="27" spans="1:17" x14ac:dyDescent="0.2">
      <c r="A27" s="130">
        <v>66918</v>
      </c>
      <c r="B27" s="4" t="s">
        <v>466</v>
      </c>
      <c r="C27" s="4" t="s">
        <v>448</v>
      </c>
      <c r="D27" s="4" t="s">
        <v>69</v>
      </c>
      <c r="E27" s="41">
        <v>3.7</v>
      </c>
      <c r="F27" s="41">
        <v>7.85</v>
      </c>
      <c r="G27" s="5">
        <v>2</v>
      </c>
      <c r="H27" s="4" t="s">
        <v>441</v>
      </c>
      <c r="I27" s="5">
        <v>0</v>
      </c>
      <c r="J27" s="5">
        <f t="shared" si="0"/>
        <v>64.172499999999999</v>
      </c>
      <c r="K27" s="36">
        <v>9.9</v>
      </c>
      <c r="L27" s="5">
        <f t="shared" si="2"/>
        <v>635.30775000000006</v>
      </c>
      <c r="M27" s="5">
        <v>0</v>
      </c>
      <c r="N27" s="5">
        <f t="shared" si="1"/>
        <v>635.30775000000006</v>
      </c>
      <c r="O27" s="69" t="s">
        <v>61</v>
      </c>
      <c r="P27" s="4" t="s">
        <v>62</v>
      </c>
      <c r="Q27" s="4"/>
    </row>
    <row r="28" spans="1:17" x14ac:dyDescent="0.2">
      <c r="A28" s="130">
        <v>66918</v>
      </c>
      <c r="B28" s="4" t="s">
        <v>467</v>
      </c>
      <c r="C28" s="4" t="s">
        <v>450</v>
      </c>
      <c r="D28" s="4" t="s">
        <v>69</v>
      </c>
      <c r="E28" s="41">
        <v>4.63</v>
      </c>
      <c r="F28" s="41">
        <v>8.07</v>
      </c>
      <c r="G28" s="5">
        <v>2</v>
      </c>
      <c r="H28" s="4" t="s">
        <v>441</v>
      </c>
      <c r="I28" s="5">
        <v>0</v>
      </c>
      <c r="J28" s="5">
        <f t="shared" si="0"/>
        <v>71.823000000000008</v>
      </c>
      <c r="K28" s="36">
        <v>6.2</v>
      </c>
      <c r="L28" s="5">
        <f t="shared" si="2"/>
        <v>445.30260000000004</v>
      </c>
      <c r="M28" s="5">
        <v>0</v>
      </c>
      <c r="N28" s="5">
        <f t="shared" si="1"/>
        <v>445.30260000000004</v>
      </c>
      <c r="O28" s="69" t="s">
        <v>61</v>
      </c>
      <c r="P28" s="4" t="s">
        <v>62</v>
      </c>
      <c r="Q28" s="4"/>
    </row>
    <row r="29" spans="1:17" ht="30" customHeight="1" x14ac:dyDescent="0.2">
      <c r="A29" s="130">
        <v>66918</v>
      </c>
      <c r="B29" s="4" t="s">
        <v>468</v>
      </c>
      <c r="C29" s="4" t="s">
        <v>452</v>
      </c>
      <c r="D29" s="4" t="s">
        <v>444</v>
      </c>
      <c r="E29" s="41">
        <v>6.3</v>
      </c>
      <c r="F29" s="41">
        <v>0</v>
      </c>
      <c r="G29" s="5">
        <v>15.5</v>
      </c>
      <c r="H29" s="4" t="s">
        <v>453</v>
      </c>
      <c r="I29" s="5">
        <f>G29*E29</f>
        <v>97.649999999999991</v>
      </c>
      <c r="J29" s="5">
        <f t="shared" si="0"/>
        <v>97.649999999999991</v>
      </c>
      <c r="K29" s="36">
        <v>240</v>
      </c>
      <c r="L29" s="5">
        <f t="shared" si="2"/>
        <v>23435.999999999996</v>
      </c>
      <c r="M29" s="5">
        <v>0</v>
      </c>
      <c r="N29" s="5">
        <f t="shared" si="1"/>
        <v>23435.999999999996</v>
      </c>
      <c r="O29" s="69" t="s">
        <v>61</v>
      </c>
      <c r="P29" s="4" t="s">
        <v>62</v>
      </c>
      <c r="Q29" s="4"/>
    </row>
    <row r="30" spans="1:17" x14ac:dyDescent="0.2">
      <c r="A30" s="130">
        <v>66918</v>
      </c>
      <c r="B30" s="4" t="s">
        <v>469</v>
      </c>
      <c r="C30" s="4" t="s">
        <v>455</v>
      </c>
      <c r="D30" s="4" t="s">
        <v>60</v>
      </c>
      <c r="E30" s="41">
        <v>0</v>
      </c>
      <c r="F30" s="41">
        <v>0</v>
      </c>
      <c r="G30" s="5">
        <v>0</v>
      </c>
      <c r="H30" s="4" t="s">
        <v>453</v>
      </c>
      <c r="I30" s="5">
        <v>84</v>
      </c>
      <c r="J30" s="5">
        <f t="shared" si="0"/>
        <v>84</v>
      </c>
      <c r="K30" s="36">
        <v>200</v>
      </c>
      <c r="L30" s="5">
        <f t="shared" si="2"/>
        <v>16800</v>
      </c>
      <c r="M30" s="5">
        <v>0</v>
      </c>
      <c r="N30" s="5">
        <f t="shared" si="1"/>
        <v>16800</v>
      </c>
      <c r="O30" s="69" t="s">
        <v>61</v>
      </c>
      <c r="P30" s="4" t="s">
        <v>62</v>
      </c>
      <c r="Q30" s="4"/>
    </row>
    <row r="31" spans="1:17" x14ac:dyDescent="0.2">
      <c r="A31" s="130">
        <v>66919</v>
      </c>
      <c r="B31" s="4" t="s">
        <v>470</v>
      </c>
      <c r="C31" s="4" t="s">
        <v>443</v>
      </c>
      <c r="D31" s="4" t="s">
        <v>69</v>
      </c>
      <c r="E31" s="41">
        <v>3.46</v>
      </c>
      <c r="F31" s="41">
        <v>7.64</v>
      </c>
      <c r="G31" s="5">
        <v>4.5</v>
      </c>
      <c r="H31" s="4" t="s">
        <v>441</v>
      </c>
      <c r="I31" s="5">
        <v>0</v>
      </c>
      <c r="J31" s="5">
        <f t="shared" si="0"/>
        <v>64.001000000000005</v>
      </c>
      <c r="K31" s="36">
        <v>87.2</v>
      </c>
      <c r="L31" s="5">
        <f t="shared" si="2"/>
        <v>5580.887200000001</v>
      </c>
      <c r="M31" s="5">
        <v>0</v>
      </c>
      <c r="N31" s="5">
        <f t="shared" si="1"/>
        <v>5580.887200000001</v>
      </c>
      <c r="O31" s="69" t="s">
        <v>61</v>
      </c>
      <c r="P31" s="4" t="s">
        <v>62</v>
      </c>
      <c r="Q31" s="4"/>
    </row>
    <row r="32" spans="1:17" ht="30" customHeight="1" x14ac:dyDescent="0.2">
      <c r="A32" s="130">
        <v>66919</v>
      </c>
      <c r="B32" s="4" t="s">
        <v>471</v>
      </c>
      <c r="C32" s="4" t="s">
        <v>443</v>
      </c>
      <c r="D32" s="4" t="s">
        <v>444</v>
      </c>
      <c r="E32" s="41">
        <v>5.34</v>
      </c>
      <c r="F32" s="41">
        <v>7.5</v>
      </c>
      <c r="G32" s="5">
        <v>5</v>
      </c>
      <c r="H32" s="4" t="s">
        <v>441</v>
      </c>
      <c r="I32" s="5">
        <v>0</v>
      </c>
      <c r="J32" s="5">
        <f t="shared" si="0"/>
        <v>77.305999999999997</v>
      </c>
      <c r="K32" s="36">
        <v>38.700000000000003</v>
      </c>
      <c r="L32" s="5">
        <f t="shared" si="2"/>
        <v>2991.7422000000001</v>
      </c>
      <c r="M32" s="5">
        <v>0</v>
      </c>
      <c r="N32" s="5">
        <f t="shared" si="1"/>
        <v>2991.7422000000001</v>
      </c>
      <c r="O32" s="69" t="s">
        <v>61</v>
      </c>
      <c r="P32" s="4" t="s">
        <v>62</v>
      </c>
      <c r="Q32" s="4"/>
    </row>
    <row r="33" spans="1:17" x14ac:dyDescent="0.2">
      <c r="A33" s="130">
        <v>66919</v>
      </c>
      <c r="B33" s="4" t="s">
        <v>472</v>
      </c>
      <c r="C33" s="4" t="s">
        <v>446</v>
      </c>
      <c r="D33" s="4" t="s">
        <v>69</v>
      </c>
      <c r="E33" s="41">
        <v>3.7</v>
      </c>
      <c r="F33" s="41">
        <v>7.7</v>
      </c>
      <c r="G33" s="5">
        <v>4.5</v>
      </c>
      <c r="H33" s="4" t="s">
        <v>441</v>
      </c>
      <c r="I33" s="5">
        <v>0</v>
      </c>
      <c r="J33" s="5">
        <f t="shared" si="0"/>
        <v>65.989999999999995</v>
      </c>
      <c r="K33" s="36">
        <v>28.5</v>
      </c>
      <c r="L33" s="5">
        <f t="shared" si="2"/>
        <v>1880.7149999999999</v>
      </c>
      <c r="M33" s="5">
        <v>0</v>
      </c>
      <c r="N33" s="5">
        <f t="shared" si="1"/>
        <v>1880.7149999999999</v>
      </c>
      <c r="O33" s="69" t="s">
        <v>61</v>
      </c>
      <c r="P33" s="4" t="s">
        <v>62</v>
      </c>
      <c r="Q33" s="4"/>
    </row>
    <row r="34" spans="1:17" x14ac:dyDescent="0.2">
      <c r="A34" s="130">
        <v>66919</v>
      </c>
      <c r="B34" s="4" t="s">
        <v>473</v>
      </c>
      <c r="C34" s="4" t="s">
        <v>448</v>
      </c>
      <c r="D34" s="4" t="s">
        <v>69</v>
      </c>
      <c r="E34" s="41">
        <v>3.65</v>
      </c>
      <c r="F34" s="41">
        <v>7.75</v>
      </c>
      <c r="G34" s="5">
        <v>2</v>
      </c>
      <c r="H34" s="4" t="s">
        <v>441</v>
      </c>
      <c r="I34" s="5">
        <v>0</v>
      </c>
      <c r="J34" s="5">
        <f t="shared" si="0"/>
        <v>63.36</v>
      </c>
      <c r="K34" s="36">
        <v>10.199999999999999</v>
      </c>
      <c r="L34" s="5">
        <f t="shared" si="2"/>
        <v>646.27199999999993</v>
      </c>
      <c r="M34" s="5">
        <v>0</v>
      </c>
      <c r="N34" s="5">
        <f t="shared" si="1"/>
        <v>646.27199999999993</v>
      </c>
      <c r="O34" s="69" t="s">
        <v>61</v>
      </c>
      <c r="P34" s="4" t="s">
        <v>62</v>
      </c>
      <c r="Q34" s="4"/>
    </row>
    <row r="35" spans="1:17" x14ac:dyDescent="0.2">
      <c r="A35" s="130">
        <v>66919</v>
      </c>
      <c r="B35" s="4" t="s">
        <v>474</v>
      </c>
      <c r="C35" s="4" t="s">
        <v>450</v>
      </c>
      <c r="D35" s="4" t="s">
        <v>69</v>
      </c>
      <c r="E35" s="41">
        <v>4.74</v>
      </c>
      <c r="F35" s="41">
        <v>8</v>
      </c>
      <c r="G35" s="5">
        <v>2</v>
      </c>
      <c r="H35" s="4" t="s">
        <v>441</v>
      </c>
      <c r="I35" s="5">
        <v>0</v>
      </c>
      <c r="J35" s="5">
        <f t="shared" si="0"/>
        <v>72.290999999999997</v>
      </c>
      <c r="K35" s="36">
        <v>6.1</v>
      </c>
      <c r="L35" s="5">
        <f t="shared" si="2"/>
        <v>440.97509999999994</v>
      </c>
      <c r="M35" s="5">
        <v>0</v>
      </c>
      <c r="N35" s="5">
        <f t="shared" si="1"/>
        <v>440.97509999999994</v>
      </c>
      <c r="O35" s="69" t="s">
        <v>61</v>
      </c>
      <c r="P35" s="4" t="s">
        <v>62</v>
      </c>
      <c r="Q35" s="4"/>
    </row>
    <row r="36" spans="1:17" ht="30" customHeight="1" x14ac:dyDescent="0.2">
      <c r="A36" s="130">
        <v>66919</v>
      </c>
      <c r="B36" s="4" t="s">
        <v>475</v>
      </c>
      <c r="C36" s="4" t="s">
        <v>452</v>
      </c>
      <c r="D36" s="4" t="s">
        <v>444</v>
      </c>
      <c r="E36" s="41">
        <v>6.3</v>
      </c>
      <c r="F36" s="41">
        <v>0</v>
      </c>
      <c r="G36" s="5">
        <v>15.5</v>
      </c>
      <c r="H36" s="4" t="s">
        <v>453</v>
      </c>
      <c r="I36" s="5">
        <f>G36*E36</f>
        <v>97.649999999999991</v>
      </c>
      <c r="J36" s="5">
        <f t="shared" si="0"/>
        <v>97.649999999999991</v>
      </c>
      <c r="K36" s="36">
        <v>0</v>
      </c>
      <c r="L36" s="5">
        <f t="shared" si="2"/>
        <v>0</v>
      </c>
      <c r="M36" s="5">
        <v>0</v>
      </c>
      <c r="N36" s="5">
        <f t="shared" si="1"/>
        <v>0</v>
      </c>
      <c r="O36" s="69" t="s">
        <v>61</v>
      </c>
      <c r="P36" s="4" t="s">
        <v>62</v>
      </c>
      <c r="Q36" s="4"/>
    </row>
    <row r="37" spans="1:17" x14ac:dyDescent="0.2">
      <c r="A37" s="130">
        <v>66919</v>
      </c>
      <c r="B37" s="4" t="s">
        <v>476</v>
      </c>
      <c r="C37" s="4" t="s">
        <v>455</v>
      </c>
      <c r="D37" s="4" t="s">
        <v>60</v>
      </c>
      <c r="E37" s="41">
        <v>0</v>
      </c>
      <c r="F37" s="41">
        <v>0</v>
      </c>
      <c r="G37" s="5">
        <v>0</v>
      </c>
      <c r="H37" s="4" t="s">
        <v>453</v>
      </c>
      <c r="I37" s="5">
        <v>84</v>
      </c>
      <c r="J37" s="5">
        <f t="shared" ref="J37:J68" si="3">IF($D37="","",IF($H37="FIXED",$I37,($E37*FAT_MULT)+($F37*SNF_MULT)+$G37))</f>
        <v>84</v>
      </c>
      <c r="K37" s="36">
        <v>120</v>
      </c>
      <c r="L37" s="5">
        <f t="shared" ref="L37:L68" si="4">IF($K37="","",$K37*$J37)</f>
        <v>10080</v>
      </c>
      <c r="M37" s="5">
        <v>0</v>
      </c>
      <c r="N37" s="5">
        <f t="shared" ref="N37:N68" si="5">IF($K37="","",$L37+$M37)</f>
        <v>10080</v>
      </c>
      <c r="O37" s="69" t="s">
        <v>61</v>
      </c>
      <c r="P37" s="4" t="s">
        <v>62</v>
      </c>
      <c r="Q37" s="4"/>
    </row>
    <row r="38" spans="1:17" x14ac:dyDescent="0.2">
      <c r="A38" s="130">
        <v>66920</v>
      </c>
      <c r="B38" s="4" t="s">
        <v>477</v>
      </c>
      <c r="C38" s="4" t="s">
        <v>443</v>
      </c>
      <c r="D38" s="4" t="s">
        <v>69</v>
      </c>
      <c r="E38" s="41">
        <v>3.4</v>
      </c>
      <c r="F38" s="41">
        <v>7.66</v>
      </c>
      <c r="G38" s="5">
        <v>4.5</v>
      </c>
      <c r="H38" s="4" t="s">
        <v>441</v>
      </c>
      <c r="I38" s="5">
        <v>0</v>
      </c>
      <c r="J38" s="5">
        <f t="shared" si="3"/>
        <v>63.663000000000004</v>
      </c>
      <c r="K38" s="36">
        <v>81.400000000000006</v>
      </c>
      <c r="L38" s="5">
        <f t="shared" si="4"/>
        <v>5182.168200000001</v>
      </c>
      <c r="M38" s="5">
        <v>0</v>
      </c>
      <c r="N38" s="5">
        <f t="shared" si="5"/>
        <v>5182.168200000001</v>
      </c>
      <c r="O38" s="69" t="s">
        <v>61</v>
      </c>
      <c r="P38" s="4" t="s">
        <v>62</v>
      </c>
      <c r="Q38" s="4"/>
    </row>
    <row r="39" spans="1:17" ht="30" customHeight="1" x14ac:dyDescent="0.2">
      <c r="A39" s="130">
        <v>66920</v>
      </c>
      <c r="B39" s="4" t="s">
        <v>478</v>
      </c>
      <c r="C39" s="4" t="s">
        <v>443</v>
      </c>
      <c r="D39" s="4" t="s">
        <v>444</v>
      </c>
      <c r="E39" s="41">
        <v>5.36</v>
      </c>
      <c r="F39" s="41">
        <v>7.5</v>
      </c>
      <c r="G39" s="5">
        <v>5</v>
      </c>
      <c r="H39" s="4" t="s">
        <v>441</v>
      </c>
      <c r="I39" s="5">
        <v>0</v>
      </c>
      <c r="J39" s="5">
        <f t="shared" si="3"/>
        <v>77.449000000000012</v>
      </c>
      <c r="K39" s="36">
        <v>40.4</v>
      </c>
      <c r="L39" s="5">
        <f t="shared" si="4"/>
        <v>3128.9396000000006</v>
      </c>
      <c r="M39" s="5">
        <v>0</v>
      </c>
      <c r="N39" s="5">
        <f t="shared" si="5"/>
        <v>3128.9396000000006</v>
      </c>
      <c r="O39" s="69" t="s">
        <v>61</v>
      </c>
      <c r="P39" s="4" t="s">
        <v>62</v>
      </c>
      <c r="Q39" s="4"/>
    </row>
    <row r="40" spans="1:17" x14ac:dyDescent="0.2">
      <c r="A40" s="130">
        <v>66920</v>
      </c>
      <c r="B40" s="4" t="s">
        <v>479</v>
      </c>
      <c r="C40" s="4" t="s">
        <v>446</v>
      </c>
      <c r="D40" s="4" t="s">
        <v>69</v>
      </c>
      <c r="E40" s="41">
        <v>3.6</v>
      </c>
      <c r="F40" s="41">
        <v>7.7</v>
      </c>
      <c r="G40" s="5">
        <v>4.5</v>
      </c>
      <c r="H40" s="4" t="s">
        <v>441</v>
      </c>
      <c r="I40" s="5">
        <v>0</v>
      </c>
      <c r="J40" s="5">
        <f t="shared" si="3"/>
        <v>65.275000000000006</v>
      </c>
      <c r="K40" s="36">
        <v>33.299999999999997</v>
      </c>
      <c r="L40" s="5">
        <f t="shared" si="4"/>
        <v>2173.6574999999998</v>
      </c>
      <c r="M40" s="5">
        <v>0</v>
      </c>
      <c r="N40" s="5">
        <f t="shared" si="5"/>
        <v>2173.6574999999998</v>
      </c>
      <c r="O40" s="69" t="s">
        <v>61</v>
      </c>
      <c r="P40" s="4" t="s">
        <v>62</v>
      </c>
      <c r="Q40" s="4"/>
    </row>
    <row r="41" spans="1:17" x14ac:dyDescent="0.2">
      <c r="A41" s="130">
        <v>66920</v>
      </c>
      <c r="B41" s="4" t="s">
        <v>480</v>
      </c>
      <c r="C41" s="4" t="s">
        <v>448</v>
      </c>
      <c r="D41" s="4" t="s">
        <v>69</v>
      </c>
      <c r="E41" s="41">
        <v>3.71</v>
      </c>
      <c r="F41" s="41">
        <v>7.8</v>
      </c>
      <c r="G41" s="5">
        <v>2</v>
      </c>
      <c r="H41" s="4" t="s">
        <v>441</v>
      </c>
      <c r="I41" s="5">
        <v>0</v>
      </c>
      <c r="J41" s="5">
        <f t="shared" si="3"/>
        <v>64.016499999999994</v>
      </c>
      <c r="K41" s="36">
        <v>9.9</v>
      </c>
      <c r="L41" s="5">
        <f t="shared" si="4"/>
        <v>633.76334999999995</v>
      </c>
      <c r="M41" s="5">
        <v>0</v>
      </c>
      <c r="N41" s="5">
        <f t="shared" si="5"/>
        <v>633.76334999999995</v>
      </c>
      <c r="O41" s="69" t="s">
        <v>61</v>
      </c>
      <c r="P41" s="4" t="s">
        <v>62</v>
      </c>
      <c r="Q41" s="4"/>
    </row>
    <row r="42" spans="1:17" x14ac:dyDescent="0.2">
      <c r="A42" s="130">
        <v>66920</v>
      </c>
      <c r="B42" s="4" t="s">
        <v>481</v>
      </c>
      <c r="C42" s="4" t="s">
        <v>450</v>
      </c>
      <c r="D42" s="4" t="s">
        <v>69</v>
      </c>
      <c r="E42" s="41">
        <v>4.6500000000000004</v>
      </c>
      <c r="F42" s="41">
        <v>8.0500000000000007</v>
      </c>
      <c r="G42" s="5">
        <v>2</v>
      </c>
      <c r="H42" s="4" t="s">
        <v>441</v>
      </c>
      <c r="I42" s="5">
        <v>0</v>
      </c>
      <c r="J42" s="5">
        <f t="shared" si="3"/>
        <v>71.875</v>
      </c>
      <c r="K42" s="36">
        <v>5.5</v>
      </c>
      <c r="L42" s="5">
        <f t="shared" si="4"/>
        <v>395.3125</v>
      </c>
      <c r="M42" s="5">
        <v>0</v>
      </c>
      <c r="N42" s="5">
        <f t="shared" si="5"/>
        <v>395.3125</v>
      </c>
      <c r="O42" s="69" t="s">
        <v>61</v>
      </c>
      <c r="P42" s="4" t="s">
        <v>62</v>
      </c>
      <c r="Q42" s="4"/>
    </row>
    <row r="43" spans="1:17" ht="30" customHeight="1" x14ac:dyDescent="0.2">
      <c r="A43" s="130">
        <v>66920</v>
      </c>
      <c r="B43" s="4" t="s">
        <v>482</v>
      </c>
      <c r="C43" s="4" t="s">
        <v>452</v>
      </c>
      <c r="D43" s="4" t="s">
        <v>444</v>
      </c>
      <c r="E43" s="41">
        <v>6.5</v>
      </c>
      <c r="F43" s="41">
        <v>0</v>
      </c>
      <c r="G43" s="5">
        <v>15.5</v>
      </c>
      <c r="H43" s="4" t="s">
        <v>453</v>
      </c>
      <c r="I43" s="5">
        <f>G43*E43</f>
        <v>100.75</v>
      </c>
      <c r="J43" s="5">
        <f t="shared" si="3"/>
        <v>100.75</v>
      </c>
      <c r="K43" s="36">
        <v>240</v>
      </c>
      <c r="L43" s="5">
        <f t="shared" si="4"/>
        <v>24180</v>
      </c>
      <c r="M43" s="5">
        <v>0</v>
      </c>
      <c r="N43" s="5">
        <f t="shared" si="5"/>
        <v>24180</v>
      </c>
      <c r="O43" s="69" t="s">
        <v>61</v>
      </c>
      <c r="P43" s="4" t="s">
        <v>62</v>
      </c>
      <c r="Q43" s="4"/>
    </row>
    <row r="44" spans="1:17" x14ac:dyDescent="0.2">
      <c r="A44" s="130">
        <v>66920</v>
      </c>
      <c r="B44" s="4" t="s">
        <v>483</v>
      </c>
      <c r="C44" s="4" t="s">
        <v>455</v>
      </c>
      <c r="D44" s="4" t="s">
        <v>60</v>
      </c>
      <c r="E44" s="41">
        <v>0</v>
      </c>
      <c r="F44" s="41">
        <v>0</v>
      </c>
      <c r="G44" s="5">
        <v>0</v>
      </c>
      <c r="H44" s="4" t="s">
        <v>453</v>
      </c>
      <c r="I44" s="5">
        <v>84</v>
      </c>
      <c r="J44" s="5">
        <f t="shared" si="3"/>
        <v>84</v>
      </c>
      <c r="K44" s="36">
        <v>80</v>
      </c>
      <c r="L44" s="5">
        <f t="shared" si="4"/>
        <v>6720</v>
      </c>
      <c r="M44" s="5">
        <v>0</v>
      </c>
      <c r="N44" s="5">
        <f t="shared" si="5"/>
        <v>6720</v>
      </c>
      <c r="O44" s="69" t="s">
        <v>61</v>
      </c>
      <c r="P44" s="4" t="s">
        <v>62</v>
      </c>
      <c r="Q44" s="4"/>
    </row>
    <row r="45" spans="1:17" x14ac:dyDescent="0.2">
      <c r="A45" s="130">
        <v>66921</v>
      </c>
      <c r="B45" s="4" t="s">
        <v>484</v>
      </c>
      <c r="C45" s="4" t="s">
        <v>443</v>
      </c>
      <c r="D45" s="4" t="s">
        <v>69</v>
      </c>
      <c r="E45" s="41">
        <v>3.44</v>
      </c>
      <c r="F45" s="41">
        <v>7.6</v>
      </c>
      <c r="G45" s="5">
        <v>4.5</v>
      </c>
      <c r="H45" s="4" t="s">
        <v>441</v>
      </c>
      <c r="I45" s="5">
        <v>0</v>
      </c>
      <c r="J45" s="5">
        <f t="shared" si="3"/>
        <v>63.676000000000002</v>
      </c>
      <c r="K45" s="36">
        <v>88.2</v>
      </c>
      <c r="L45" s="5">
        <f t="shared" si="4"/>
        <v>5616.2232000000004</v>
      </c>
      <c r="M45" s="5">
        <v>0</v>
      </c>
      <c r="N45" s="5">
        <f t="shared" si="5"/>
        <v>5616.2232000000004</v>
      </c>
      <c r="O45" s="69" t="s">
        <v>61</v>
      </c>
      <c r="P45" s="4" t="s">
        <v>62</v>
      </c>
      <c r="Q45" s="4"/>
    </row>
    <row r="46" spans="1:17" ht="30" customHeight="1" x14ac:dyDescent="0.2">
      <c r="A46" s="130">
        <v>66921</v>
      </c>
      <c r="B46" s="4" t="s">
        <v>485</v>
      </c>
      <c r="C46" s="4" t="s">
        <v>443</v>
      </c>
      <c r="D46" s="4" t="s">
        <v>444</v>
      </c>
      <c r="E46" s="41">
        <v>5.3</v>
      </c>
      <c r="F46" s="41">
        <v>7.5</v>
      </c>
      <c r="G46" s="5">
        <v>5</v>
      </c>
      <c r="H46" s="4" t="s">
        <v>441</v>
      </c>
      <c r="I46" s="5">
        <v>0</v>
      </c>
      <c r="J46" s="5">
        <f t="shared" si="3"/>
        <v>77.02000000000001</v>
      </c>
      <c r="K46" s="36">
        <v>41</v>
      </c>
      <c r="L46" s="5">
        <f t="shared" si="4"/>
        <v>3157.8200000000006</v>
      </c>
      <c r="M46" s="5">
        <v>0</v>
      </c>
      <c r="N46" s="5">
        <f t="shared" si="5"/>
        <v>3157.8200000000006</v>
      </c>
      <c r="O46" s="69" t="s">
        <v>61</v>
      </c>
      <c r="P46" s="4" t="s">
        <v>62</v>
      </c>
      <c r="Q46" s="4"/>
    </row>
    <row r="47" spans="1:17" x14ac:dyDescent="0.2">
      <c r="A47" s="130">
        <v>66921</v>
      </c>
      <c r="B47" s="4" t="s">
        <v>486</v>
      </c>
      <c r="C47" s="4" t="s">
        <v>446</v>
      </c>
      <c r="D47" s="4" t="s">
        <v>69</v>
      </c>
      <c r="E47" s="41">
        <v>3.6</v>
      </c>
      <c r="F47" s="41">
        <v>7.7</v>
      </c>
      <c r="G47" s="5">
        <v>4.5</v>
      </c>
      <c r="H47" s="4" t="s">
        <v>441</v>
      </c>
      <c r="I47" s="5">
        <v>0</v>
      </c>
      <c r="J47" s="5">
        <f t="shared" si="3"/>
        <v>65.275000000000006</v>
      </c>
      <c r="K47" s="36">
        <v>30.6</v>
      </c>
      <c r="L47" s="5">
        <f t="shared" si="4"/>
        <v>1997.4150000000002</v>
      </c>
      <c r="M47" s="5">
        <v>0</v>
      </c>
      <c r="N47" s="5">
        <f t="shared" si="5"/>
        <v>1997.4150000000002</v>
      </c>
      <c r="O47" s="69" t="s">
        <v>61</v>
      </c>
      <c r="P47" s="4" t="s">
        <v>62</v>
      </c>
      <c r="Q47" s="4"/>
    </row>
    <row r="48" spans="1:17" x14ac:dyDescent="0.2">
      <c r="A48" s="130">
        <v>66921</v>
      </c>
      <c r="B48" s="4" t="s">
        <v>487</v>
      </c>
      <c r="C48" s="4" t="s">
        <v>448</v>
      </c>
      <c r="D48" s="4" t="s">
        <v>69</v>
      </c>
      <c r="E48" s="41">
        <v>3.7</v>
      </c>
      <c r="F48" s="41">
        <v>7.85</v>
      </c>
      <c r="G48" s="5">
        <v>2</v>
      </c>
      <c r="H48" s="4" t="s">
        <v>441</v>
      </c>
      <c r="I48" s="5">
        <v>0</v>
      </c>
      <c r="J48" s="5">
        <f t="shared" si="3"/>
        <v>64.172499999999999</v>
      </c>
      <c r="K48" s="36">
        <v>8.8000000000000007</v>
      </c>
      <c r="L48" s="5">
        <f t="shared" si="4"/>
        <v>564.71800000000007</v>
      </c>
      <c r="M48" s="5">
        <v>0</v>
      </c>
      <c r="N48" s="5">
        <f t="shared" si="5"/>
        <v>564.71800000000007</v>
      </c>
      <c r="O48" s="69" t="s">
        <v>61</v>
      </c>
      <c r="P48" s="4" t="s">
        <v>62</v>
      </c>
      <c r="Q48" s="4"/>
    </row>
    <row r="49" spans="1:17" x14ac:dyDescent="0.2">
      <c r="A49" s="130">
        <v>66921</v>
      </c>
      <c r="B49" s="4" t="s">
        <v>488</v>
      </c>
      <c r="C49" s="4" t="s">
        <v>450</v>
      </c>
      <c r="D49" s="4" t="s">
        <v>69</v>
      </c>
      <c r="E49" s="41">
        <v>4.6500000000000004</v>
      </c>
      <c r="F49" s="41">
        <v>8.0500000000000007</v>
      </c>
      <c r="G49" s="5">
        <v>2</v>
      </c>
      <c r="H49" s="4" t="s">
        <v>441</v>
      </c>
      <c r="I49" s="5">
        <v>0</v>
      </c>
      <c r="J49" s="5">
        <f t="shared" si="3"/>
        <v>71.875</v>
      </c>
      <c r="K49" s="36">
        <v>5.0999999999999996</v>
      </c>
      <c r="L49" s="5">
        <f t="shared" si="4"/>
        <v>366.5625</v>
      </c>
      <c r="M49" s="5">
        <v>0</v>
      </c>
      <c r="N49" s="5">
        <f t="shared" si="5"/>
        <v>366.5625</v>
      </c>
      <c r="O49" s="69" t="s">
        <v>61</v>
      </c>
      <c r="P49" s="4" t="s">
        <v>62</v>
      </c>
      <c r="Q49" s="4"/>
    </row>
    <row r="50" spans="1:17" ht="30" customHeight="1" x14ac:dyDescent="0.2">
      <c r="A50" s="130">
        <v>66921</v>
      </c>
      <c r="B50" s="4" t="s">
        <v>489</v>
      </c>
      <c r="C50" s="4" t="s">
        <v>452</v>
      </c>
      <c r="D50" s="4" t="s">
        <v>444</v>
      </c>
      <c r="E50" s="41">
        <v>6.5</v>
      </c>
      <c r="F50" s="41">
        <v>0</v>
      </c>
      <c r="G50" s="5">
        <v>15.5</v>
      </c>
      <c r="H50" s="4" t="s">
        <v>453</v>
      </c>
      <c r="I50" s="5">
        <f>G50*E50</f>
        <v>100.75</v>
      </c>
      <c r="J50" s="5">
        <f t="shared" si="3"/>
        <v>100.75</v>
      </c>
      <c r="K50" s="36">
        <v>0</v>
      </c>
      <c r="L50" s="5">
        <f t="shared" si="4"/>
        <v>0</v>
      </c>
      <c r="M50" s="5">
        <v>0</v>
      </c>
      <c r="N50" s="5">
        <f t="shared" si="5"/>
        <v>0</v>
      </c>
      <c r="O50" s="69" t="s">
        <v>61</v>
      </c>
      <c r="P50" s="4" t="s">
        <v>62</v>
      </c>
      <c r="Q50" s="4"/>
    </row>
    <row r="51" spans="1:17" x14ac:dyDescent="0.2">
      <c r="A51" s="130">
        <v>66921</v>
      </c>
      <c r="B51" s="4" t="s">
        <v>490</v>
      </c>
      <c r="C51" s="4" t="s">
        <v>455</v>
      </c>
      <c r="D51" s="4" t="s">
        <v>60</v>
      </c>
      <c r="E51" s="41">
        <v>0</v>
      </c>
      <c r="F51" s="41">
        <v>0</v>
      </c>
      <c r="G51" s="5">
        <v>0</v>
      </c>
      <c r="H51" s="4" t="s">
        <v>453</v>
      </c>
      <c r="I51" s="5">
        <v>84</v>
      </c>
      <c r="J51" s="5">
        <f t="shared" si="3"/>
        <v>84</v>
      </c>
      <c r="K51" s="36">
        <v>80</v>
      </c>
      <c r="L51" s="5">
        <f t="shared" si="4"/>
        <v>6720</v>
      </c>
      <c r="M51" s="5">
        <v>0</v>
      </c>
      <c r="N51" s="5">
        <f t="shared" si="5"/>
        <v>6720</v>
      </c>
      <c r="O51" s="69" t="s">
        <v>61</v>
      </c>
      <c r="P51" s="4" t="s">
        <v>62</v>
      </c>
      <c r="Q51" s="4"/>
    </row>
    <row r="52" spans="1:17" x14ac:dyDescent="0.2">
      <c r="A52" s="130">
        <v>66922</v>
      </c>
      <c r="B52" s="4" t="s">
        <v>491</v>
      </c>
      <c r="C52" s="4" t="s">
        <v>443</v>
      </c>
      <c r="D52" s="4" t="s">
        <v>69</v>
      </c>
      <c r="E52" s="41">
        <v>3.4</v>
      </c>
      <c r="F52" s="41">
        <v>7.6</v>
      </c>
      <c r="G52" s="5">
        <v>4.5</v>
      </c>
      <c r="H52" s="4" t="s">
        <v>441</v>
      </c>
      <c r="I52" s="5">
        <v>0</v>
      </c>
      <c r="J52" s="5">
        <f t="shared" si="3"/>
        <v>63.39</v>
      </c>
      <c r="K52" s="36">
        <v>79.900000000000006</v>
      </c>
      <c r="L52" s="5">
        <f t="shared" si="4"/>
        <v>5064.8610000000008</v>
      </c>
      <c r="M52" s="5">
        <v>0</v>
      </c>
      <c r="N52" s="5">
        <f t="shared" si="5"/>
        <v>5064.8610000000008</v>
      </c>
      <c r="O52" s="69" t="s">
        <v>61</v>
      </c>
      <c r="P52" s="4" t="s">
        <v>62</v>
      </c>
      <c r="Q52" s="4"/>
    </row>
    <row r="53" spans="1:17" ht="30" customHeight="1" x14ac:dyDescent="0.2">
      <c r="A53" s="130">
        <v>66922</v>
      </c>
      <c r="B53" s="4" t="s">
        <v>492</v>
      </c>
      <c r="C53" s="4" t="s">
        <v>443</v>
      </c>
      <c r="D53" s="4" t="s">
        <v>444</v>
      </c>
      <c r="E53" s="41">
        <v>5.3</v>
      </c>
      <c r="F53" s="41">
        <v>7.54</v>
      </c>
      <c r="G53" s="5">
        <v>5</v>
      </c>
      <c r="H53" s="4" t="s">
        <v>441</v>
      </c>
      <c r="I53" s="5">
        <v>0</v>
      </c>
      <c r="J53" s="5">
        <f t="shared" si="3"/>
        <v>77.201999999999998</v>
      </c>
      <c r="K53" s="36">
        <v>38.700000000000003</v>
      </c>
      <c r="L53" s="5">
        <f t="shared" si="4"/>
        <v>2987.7174</v>
      </c>
      <c r="M53" s="5">
        <v>0</v>
      </c>
      <c r="N53" s="5">
        <f t="shared" si="5"/>
        <v>2987.7174</v>
      </c>
      <c r="O53" s="69" t="s">
        <v>61</v>
      </c>
      <c r="P53" s="4" t="s">
        <v>62</v>
      </c>
      <c r="Q53" s="4"/>
    </row>
    <row r="54" spans="1:17" x14ac:dyDescent="0.2">
      <c r="A54" s="130">
        <v>66922</v>
      </c>
      <c r="B54" s="4" t="s">
        <v>493</v>
      </c>
      <c r="C54" s="4" t="s">
        <v>446</v>
      </c>
      <c r="D54" s="4" t="s">
        <v>69</v>
      </c>
      <c r="E54" s="41">
        <v>3.6</v>
      </c>
      <c r="F54" s="41">
        <v>7.8</v>
      </c>
      <c r="G54" s="5">
        <v>4.5</v>
      </c>
      <c r="H54" s="4" t="s">
        <v>441</v>
      </c>
      <c r="I54" s="5">
        <v>0</v>
      </c>
      <c r="J54" s="5">
        <f t="shared" si="3"/>
        <v>65.72999999999999</v>
      </c>
      <c r="K54" s="36">
        <v>26.7</v>
      </c>
      <c r="L54" s="5">
        <f t="shared" si="4"/>
        <v>1754.9909999999998</v>
      </c>
      <c r="M54" s="5">
        <v>0</v>
      </c>
      <c r="N54" s="5">
        <f t="shared" si="5"/>
        <v>1754.9909999999998</v>
      </c>
      <c r="O54" s="69" t="s">
        <v>61</v>
      </c>
      <c r="P54" s="4" t="s">
        <v>62</v>
      </c>
      <c r="Q54" s="4"/>
    </row>
    <row r="55" spans="1:17" x14ac:dyDescent="0.2">
      <c r="A55" s="130">
        <v>66922</v>
      </c>
      <c r="B55" s="4" t="s">
        <v>494</v>
      </c>
      <c r="C55" s="4" t="s">
        <v>448</v>
      </c>
      <c r="D55" s="4" t="s">
        <v>69</v>
      </c>
      <c r="E55" s="41">
        <v>3.67</v>
      </c>
      <c r="F55" s="41">
        <v>7.85</v>
      </c>
      <c r="G55" s="5">
        <v>2</v>
      </c>
      <c r="H55" s="4" t="s">
        <v>441</v>
      </c>
      <c r="I55" s="5">
        <v>0</v>
      </c>
      <c r="J55" s="5">
        <f t="shared" si="3"/>
        <v>63.957999999999998</v>
      </c>
      <c r="K55" s="36">
        <v>9.1999999999999993</v>
      </c>
      <c r="L55" s="5">
        <f t="shared" si="4"/>
        <v>588.41359999999997</v>
      </c>
      <c r="M55" s="5">
        <v>0</v>
      </c>
      <c r="N55" s="5">
        <f t="shared" si="5"/>
        <v>588.41359999999997</v>
      </c>
      <c r="O55" s="69" t="s">
        <v>61</v>
      </c>
      <c r="P55" s="4" t="s">
        <v>62</v>
      </c>
      <c r="Q55" s="4"/>
    </row>
    <row r="56" spans="1:17" x14ac:dyDescent="0.2">
      <c r="A56" s="130">
        <v>66922</v>
      </c>
      <c r="B56" s="4" t="s">
        <v>495</v>
      </c>
      <c r="C56" s="4" t="s">
        <v>450</v>
      </c>
      <c r="D56" s="4" t="s">
        <v>69</v>
      </c>
      <c r="E56" s="41">
        <v>4.6500000000000004</v>
      </c>
      <c r="F56" s="41">
        <v>8</v>
      </c>
      <c r="G56" s="5">
        <v>2</v>
      </c>
      <c r="H56" s="4" t="s">
        <v>441</v>
      </c>
      <c r="I56" s="5">
        <v>0</v>
      </c>
      <c r="J56" s="5">
        <f t="shared" si="3"/>
        <v>71.647500000000008</v>
      </c>
      <c r="K56" s="36">
        <v>5.6</v>
      </c>
      <c r="L56" s="5">
        <f t="shared" si="4"/>
        <v>401.226</v>
      </c>
      <c r="M56" s="5">
        <v>0</v>
      </c>
      <c r="N56" s="5">
        <f t="shared" si="5"/>
        <v>401.226</v>
      </c>
      <c r="O56" s="69" t="s">
        <v>61</v>
      </c>
      <c r="P56" s="4" t="s">
        <v>62</v>
      </c>
      <c r="Q56" s="4"/>
    </row>
    <row r="57" spans="1:17" ht="30" customHeight="1" x14ac:dyDescent="0.2">
      <c r="A57" s="130">
        <v>66922</v>
      </c>
      <c r="B57" s="4" t="s">
        <v>496</v>
      </c>
      <c r="C57" s="4" t="s">
        <v>452</v>
      </c>
      <c r="D57" s="4" t="s">
        <v>444</v>
      </c>
      <c r="E57" s="41">
        <v>6.2</v>
      </c>
      <c r="F57" s="41">
        <v>0</v>
      </c>
      <c r="G57" s="5">
        <v>15.5</v>
      </c>
      <c r="H57" s="4" t="s">
        <v>453</v>
      </c>
      <c r="I57" s="5">
        <f>G57*E57</f>
        <v>96.100000000000009</v>
      </c>
      <c r="J57" s="5">
        <f t="shared" si="3"/>
        <v>96.100000000000009</v>
      </c>
      <c r="K57" s="36">
        <v>240</v>
      </c>
      <c r="L57" s="5">
        <f t="shared" si="4"/>
        <v>23064.000000000004</v>
      </c>
      <c r="M57" s="5">
        <v>0</v>
      </c>
      <c r="N57" s="5">
        <f t="shared" si="5"/>
        <v>23064.000000000004</v>
      </c>
      <c r="O57" s="69" t="s">
        <v>61</v>
      </c>
      <c r="P57" s="4" t="s">
        <v>62</v>
      </c>
      <c r="Q57" s="4"/>
    </row>
    <row r="58" spans="1:17" x14ac:dyDescent="0.2">
      <c r="A58" s="130">
        <v>66922</v>
      </c>
      <c r="B58" s="4" t="s">
        <v>497</v>
      </c>
      <c r="C58" s="4" t="s">
        <v>455</v>
      </c>
      <c r="D58" s="4" t="s">
        <v>60</v>
      </c>
      <c r="E58" s="41">
        <v>0</v>
      </c>
      <c r="F58" s="41">
        <v>0</v>
      </c>
      <c r="G58" s="5">
        <v>0</v>
      </c>
      <c r="H58" s="4" t="s">
        <v>453</v>
      </c>
      <c r="I58" s="5">
        <v>84</v>
      </c>
      <c r="J58" s="5">
        <f t="shared" si="3"/>
        <v>84</v>
      </c>
      <c r="K58" s="36">
        <v>80</v>
      </c>
      <c r="L58" s="5">
        <f t="shared" si="4"/>
        <v>6720</v>
      </c>
      <c r="M58" s="5">
        <v>0</v>
      </c>
      <c r="N58" s="5">
        <f t="shared" si="5"/>
        <v>6720</v>
      </c>
      <c r="O58" s="69" t="s">
        <v>61</v>
      </c>
      <c r="P58" s="4" t="s">
        <v>62</v>
      </c>
      <c r="Q58" s="4"/>
    </row>
    <row r="59" spans="1:17" x14ac:dyDescent="0.2">
      <c r="A59" s="130">
        <v>66923</v>
      </c>
      <c r="B59" s="4" t="s">
        <v>498</v>
      </c>
      <c r="C59" s="4" t="s">
        <v>443</v>
      </c>
      <c r="D59" s="4" t="s">
        <v>69</v>
      </c>
      <c r="E59" s="41">
        <v>3.46</v>
      </c>
      <c r="F59" s="41">
        <v>7.6</v>
      </c>
      <c r="G59" s="5">
        <v>4.5</v>
      </c>
      <c r="H59" s="4" t="s">
        <v>441</v>
      </c>
      <c r="I59" s="5">
        <v>0</v>
      </c>
      <c r="J59" s="5">
        <f t="shared" si="3"/>
        <v>63.819000000000003</v>
      </c>
      <c r="K59" s="36">
        <v>86.7</v>
      </c>
      <c r="L59" s="5">
        <f t="shared" si="4"/>
        <v>5533.1073000000006</v>
      </c>
      <c r="M59" s="5">
        <v>0</v>
      </c>
      <c r="N59" s="5">
        <f t="shared" si="5"/>
        <v>5533.1073000000006</v>
      </c>
      <c r="O59" s="69" t="s">
        <v>61</v>
      </c>
      <c r="P59" s="4" t="s">
        <v>62</v>
      </c>
      <c r="Q59" s="4"/>
    </row>
    <row r="60" spans="1:17" ht="30" customHeight="1" x14ac:dyDescent="0.2">
      <c r="A60" s="130">
        <v>66923</v>
      </c>
      <c r="B60" s="4" t="s">
        <v>499</v>
      </c>
      <c r="C60" s="4" t="s">
        <v>443</v>
      </c>
      <c r="D60" s="4" t="s">
        <v>444</v>
      </c>
      <c r="E60" s="41">
        <v>5.3</v>
      </c>
      <c r="F60" s="41">
        <v>7.5</v>
      </c>
      <c r="G60" s="5">
        <v>5</v>
      </c>
      <c r="H60" s="4" t="s">
        <v>441</v>
      </c>
      <c r="I60" s="5">
        <v>0</v>
      </c>
      <c r="J60" s="5">
        <f t="shared" si="3"/>
        <v>77.02000000000001</v>
      </c>
      <c r="K60" s="36">
        <v>38.200000000000003</v>
      </c>
      <c r="L60" s="5">
        <f t="shared" si="4"/>
        <v>2942.1640000000007</v>
      </c>
      <c r="M60" s="5">
        <v>0</v>
      </c>
      <c r="N60" s="5">
        <f t="shared" si="5"/>
        <v>2942.1640000000007</v>
      </c>
      <c r="O60" s="69" t="s">
        <v>61</v>
      </c>
      <c r="P60" s="4" t="s">
        <v>62</v>
      </c>
      <c r="Q60" s="4"/>
    </row>
    <row r="61" spans="1:17" x14ac:dyDescent="0.2">
      <c r="A61" s="130">
        <v>66923</v>
      </c>
      <c r="B61" s="4" t="s">
        <v>500</v>
      </c>
      <c r="C61" s="4" t="s">
        <v>446</v>
      </c>
      <c r="D61" s="4" t="s">
        <v>69</v>
      </c>
      <c r="E61" s="41">
        <v>3.6</v>
      </c>
      <c r="F61" s="41">
        <v>7.8</v>
      </c>
      <c r="G61" s="5">
        <v>4.5</v>
      </c>
      <c r="H61" s="4" t="s">
        <v>441</v>
      </c>
      <c r="I61" s="5">
        <v>0</v>
      </c>
      <c r="J61" s="5">
        <f t="shared" si="3"/>
        <v>65.72999999999999</v>
      </c>
      <c r="K61" s="36">
        <v>35.700000000000003</v>
      </c>
      <c r="L61" s="5">
        <f t="shared" si="4"/>
        <v>2346.5609999999997</v>
      </c>
      <c r="M61" s="5">
        <v>0</v>
      </c>
      <c r="N61" s="5">
        <f t="shared" si="5"/>
        <v>2346.5609999999997</v>
      </c>
      <c r="O61" s="69" t="s">
        <v>61</v>
      </c>
      <c r="P61" s="4" t="s">
        <v>62</v>
      </c>
      <c r="Q61" s="4"/>
    </row>
    <row r="62" spans="1:17" x14ac:dyDescent="0.2">
      <c r="A62" s="130">
        <v>66923</v>
      </c>
      <c r="B62" s="4" t="s">
        <v>501</v>
      </c>
      <c r="C62" s="4" t="s">
        <v>448</v>
      </c>
      <c r="D62" s="4" t="s">
        <v>69</v>
      </c>
      <c r="E62" s="41">
        <v>3.65</v>
      </c>
      <c r="F62" s="41">
        <v>7.85</v>
      </c>
      <c r="G62" s="5">
        <v>2</v>
      </c>
      <c r="H62" s="4" t="s">
        <v>441</v>
      </c>
      <c r="I62" s="5">
        <v>0</v>
      </c>
      <c r="J62" s="5">
        <f t="shared" si="3"/>
        <v>63.814999999999998</v>
      </c>
      <c r="K62" s="36">
        <v>9.5</v>
      </c>
      <c r="L62" s="5">
        <f t="shared" si="4"/>
        <v>606.24249999999995</v>
      </c>
      <c r="M62" s="5">
        <v>0</v>
      </c>
      <c r="N62" s="5">
        <f t="shared" si="5"/>
        <v>606.24249999999995</v>
      </c>
      <c r="O62" s="69" t="s">
        <v>61</v>
      </c>
      <c r="P62" s="4" t="s">
        <v>62</v>
      </c>
      <c r="Q62" s="4"/>
    </row>
    <row r="63" spans="1:17" x14ac:dyDescent="0.2">
      <c r="A63" s="130">
        <v>66923</v>
      </c>
      <c r="B63" s="4" t="s">
        <v>502</v>
      </c>
      <c r="C63" s="4" t="s">
        <v>450</v>
      </c>
      <c r="D63" s="4" t="s">
        <v>69</v>
      </c>
      <c r="E63" s="41">
        <v>4.6500000000000004</v>
      </c>
      <c r="F63" s="41">
        <v>8.1</v>
      </c>
      <c r="G63" s="5">
        <v>2</v>
      </c>
      <c r="H63" s="4" t="s">
        <v>441</v>
      </c>
      <c r="I63" s="5">
        <v>0</v>
      </c>
      <c r="J63" s="5">
        <f t="shared" si="3"/>
        <v>72.102499999999992</v>
      </c>
      <c r="K63" s="36">
        <v>6</v>
      </c>
      <c r="L63" s="5">
        <f t="shared" si="4"/>
        <v>432.61499999999995</v>
      </c>
      <c r="M63" s="5">
        <v>0</v>
      </c>
      <c r="N63" s="5">
        <f t="shared" si="5"/>
        <v>432.61499999999995</v>
      </c>
      <c r="O63" s="69" t="s">
        <v>61</v>
      </c>
      <c r="P63" s="4" t="s">
        <v>62</v>
      </c>
      <c r="Q63" s="4"/>
    </row>
    <row r="64" spans="1:17" ht="30" customHeight="1" x14ac:dyDescent="0.2">
      <c r="A64" s="130">
        <v>66923</v>
      </c>
      <c r="B64" s="4" t="s">
        <v>503</v>
      </c>
      <c r="C64" s="4" t="s">
        <v>452</v>
      </c>
      <c r="D64" s="4" t="s">
        <v>444</v>
      </c>
      <c r="E64" s="41">
        <v>0</v>
      </c>
      <c r="F64" s="41">
        <v>0</v>
      </c>
      <c r="G64" s="5">
        <v>15.5</v>
      </c>
      <c r="H64" s="4" t="s">
        <v>453</v>
      </c>
      <c r="I64" s="5">
        <f>G64*E64</f>
        <v>0</v>
      </c>
      <c r="J64" s="5">
        <f t="shared" si="3"/>
        <v>0</v>
      </c>
      <c r="K64" s="36">
        <v>0</v>
      </c>
      <c r="L64" s="5">
        <f t="shared" si="4"/>
        <v>0</v>
      </c>
      <c r="M64" s="5">
        <v>0</v>
      </c>
      <c r="N64" s="5">
        <f t="shared" si="5"/>
        <v>0</v>
      </c>
      <c r="O64" s="69" t="s">
        <v>61</v>
      </c>
      <c r="P64" s="4" t="s">
        <v>62</v>
      </c>
      <c r="Q64" s="4"/>
    </row>
    <row r="65" spans="1:17" x14ac:dyDescent="0.2">
      <c r="A65" s="130">
        <v>66923</v>
      </c>
      <c r="B65" s="4" t="s">
        <v>504</v>
      </c>
      <c r="C65" s="4" t="s">
        <v>455</v>
      </c>
      <c r="D65" s="4" t="s">
        <v>60</v>
      </c>
      <c r="E65" s="41">
        <v>0</v>
      </c>
      <c r="F65" s="41">
        <v>0</v>
      </c>
      <c r="G65" s="5">
        <v>0</v>
      </c>
      <c r="H65" s="4" t="s">
        <v>453</v>
      </c>
      <c r="I65" s="5">
        <v>84</v>
      </c>
      <c r="J65" s="5">
        <f t="shared" si="3"/>
        <v>84</v>
      </c>
      <c r="K65" s="36">
        <v>160</v>
      </c>
      <c r="L65" s="5">
        <f t="shared" si="4"/>
        <v>13440</v>
      </c>
      <c r="M65" s="5">
        <v>0</v>
      </c>
      <c r="N65" s="5">
        <f t="shared" si="5"/>
        <v>13440</v>
      </c>
      <c r="O65" s="69" t="s">
        <v>61</v>
      </c>
      <c r="P65" s="4" t="s">
        <v>62</v>
      </c>
      <c r="Q65" s="4"/>
    </row>
    <row r="66" spans="1:17" x14ac:dyDescent="0.2">
      <c r="A66" s="130">
        <v>66924</v>
      </c>
      <c r="B66" s="4" t="s">
        <v>505</v>
      </c>
      <c r="C66" s="4" t="s">
        <v>443</v>
      </c>
      <c r="D66" s="4" t="s">
        <v>69</v>
      </c>
      <c r="E66" s="41">
        <v>3.44</v>
      </c>
      <c r="F66" s="41">
        <v>7.66</v>
      </c>
      <c r="G66" s="5">
        <v>4.5</v>
      </c>
      <c r="H66" s="4" t="s">
        <v>441</v>
      </c>
      <c r="I66" s="5">
        <v>0</v>
      </c>
      <c r="J66" s="5">
        <f t="shared" si="3"/>
        <v>63.948999999999998</v>
      </c>
      <c r="K66" s="36">
        <v>79.5</v>
      </c>
      <c r="L66" s="5">
        <f t="shared" si="4"/>
        <v>5083.9454999999998</v>
      </c>
      <c r="M66" s="5">
        <v>0</v>
      </c>
      <c r="N66" s="5">
        <f t="shared" si="5"/>
        <v>5083.9454999999998</v>
      </c>
      <c r="O66" s="69" t="s">
        <v>61</v>
      </c>
      <c r="P66" s="4" t="s">
        <v>62</v>
      </c>
      <c r="Q66" s="4"/>
    </row>
    <row r="67" spans="1:17" ht="30" customHeight="1" x14ac:dyDescent="0.2">
      <c r="A67" s="130">
        <v>66924</v>
      </c>
      <c r="B67" s="4" t="s">
        <v>506</v>
      </c>
      <c r="C67" s="4" t="s">
        <v>443</v>
      </c>
      <c r="D67" s="4" t="s">
        <v>444</v>
      </c>
      <c r="E67" s="41">
        <v>5.4</v>
      </c>
      <c r="F67" s="41">
        <v>7.45</v>
      </c>
      <c r="G67" s="5">
        <v>5</v>
      </c>
      <c r="H67" s="4" t="s">
        <v>441</v>
      </c>
      <c r="I67" s="5">
        <v>0</v>
      </c>
      <c r="J67" s="5">
        <f t="shared" si="3"/>
        <v>77.507500000000007</v>
      </c>
      <c r="K67" s="36">
        <v>41.3</v>
      </c>
      <c r="L67" s="5">
        <f t="shared" si="4"/>
        <v>3201.0597499999999</v>
      </c>
      <c r="M67" s="5">
        <v>0</v>
      </c>
      <c r="N67" s="5">
        <f t="shared" si="5"/>
        <v>3201.0597499999999</v>
      </c>
      <c r="O67" s="69" t="s">
        <v>61</v>
      </c>
      <c r="P67" s="4" t="s">
        <v>62</v>
      </c>
      <c r="Q67" s="4"/>
    </row>
    <row r="68" spans="1:17" x14ac:dyDescent="0.2">
      <c r="A68" s="130">
        <v>66924</v>
      </c>
      <c r="B68" s="4" t="s">
        <v>507</v>
      </c>
      <c r="C68" s="4" t="s">
        <v>446</v>
      </c>
      <c r="D68" s="4" t="s">
        <v>69</v>
      </c>
      <c r="E68" s="41">
        <v>3.6</v>
      </c>
      <c r="F68" s="41">
        <v>7.7</v>
      </c>
      <c r="G68" s="5">
        <v>4.5</v>
      </c>
      <c r="H68" s="4" t="s">
        <v>441</v>
      </c>
      <c r="I68" s="5">
        <v>0</v>
      </c>
      <c r="J68" s="5">
        <f t="shared" si="3"/>
        <v>65.275000000000006</v>
      </c>
      <c r="K68" s="36">
        <v>32</v>
      </c>
      <c r="L68" s="5">
        <f t="shared" si="4"/>
        <v>2088.8000000000002</v>
      </c>
      <c r="M68" s="5">
        <v>0</v>
      </c>
      <c r="N68" s="5">
        <f t="shared" si="5"/>
        <v>2088.8000000000002</v>
      </c>
      <c r="O68" s="69" t="s">
        <v>61</v>
      </c>
      <c r="P68" s="4" t="s">
        <v>62</v>
      </c>
      <c r="Q68" s="4"/>
    </row>
    <row r="69" spans="1:17" x14ac:dyDescent="0.2">
      <c r="A69" s="130">
        <v>66924</v>
      </c>
      <c r="B69" s="4" t="s">
        <v>508</v>
      </c>
      <c r="C69" s="4" t="s">
        <v>448</v>
      </c>
      <c r="D69" s="4" t="s">
        <v>69</v>
      </c>
      <c r="E69" s="41">
        <v>3.76</v>
      </c>
      <c r="F69" s="41">
        <v>7.8</v>
      </c>
      <c r="G69" s="5">
        <v>2</v>
      </c>
      <c r="H69" s="4" t="s">
        <v>441</v>
      </c>
      <c r="I69" s="5">
        <v>0</v>
      </c>
      <c r="J69" s="5">
        <f t="shared" ref="J69:J100" si="6">IF($D69="","",IF($H69="FIXED",$I69,($E69*FAT_MULT)+($F69*SNF_MULT)+$G69))</f>
        <v>64.373999999999995</v>
      </c>
      <c r="K69" s="36">
        <v>9.3000000000000007</v>
      </c>
      <c r="L69" s="5">
        <f t="shared" ref="L69:L100" si="7">IF($K69="","",$K69*$J69)</f>
        <v>598.67819999999995</v>
      </c>
      <c r="M69" s="5">
        <v>0</v>
      </c>
      <c r="N69" s="5">
        <f t="shared" ref="N69:N100" si="8">IF($K69="","",$L69+$M69)</f>
        <v>598.67819999999995</v>
      </c>
      <c r="O69" s="69" t="s">
        <v>61</v>
      </c>
      <c r="P69" s="4" t="s">
        <v>62</v>
      </c>
      <c r="Q69" s="4"/>
    </row>
    <row r="70" spans="1:17" x14ac:dyDescent="0.2">
      <c r="A70" s="130">
        <v>66924</v>
      </c>
      <c r="B70" s="4" t="s">
        <v>509</v>
      </c>
      <c r="C70" s="4" t="s">
        <v>450</v>
      </c>
      <c r="D70" s="4" t="s">
        <v>69</v>
      </c>
      <c r="E70" s="41">
        <v>4.6500000000000004</v>
      </c>
      <c r="F70" s="41">
        <v>8.0500000000000007</v>
      </c>
      <c r="G70" s="5">
        <v>2</v>
      </c>
      <c r="H70" s="4" t="s">
        <v>441</v>
      </c>
      <c r="I70" s="5">
        <v>0</v>
      </c>
      <c r="J70" s="5">
        <f t="shared" si="6"/>
        <v>71.875</v>
      </c>
      <c r="K70" s="36">
        <v>6</v>
      </c>
      <c r="L70" s="5">
        <f t="shared" si="7"/>
        <v>431.25</v>
      </c>
      <c r="M70" s="5">
        <v>0</v>
      </c>
      <c r="N70" s="5">
        <f t="shared" si="8"/>
        <v>431.25</v>
      </c>
      <c r="O70" s="69" t="s">
        <v>61</v>
      </c>
      <c r="P70" s="4" t="s">
        <v>62</v>
      </c>
      <c r="Q70" s="4"/>
    </row>
    <row r="71" spans="1:17" ht="30" customHeight="1" x14ac:dyDescent="0.2">
      <c r="A71" s="130">
        <v>66924</v>
      </c>
      <c r="B71" s="4" t="s">
        <v>510</v>
      </c>
      <c r="C71" s="4" t="s">
        <v>452</v>
      </c>
      <c r="D71" s="4" t="s">
        <v>444</v>
      </c>
      <c r="E71" s="41">
        <v>6.3</v>
      </c>
      <c r="F71" s="41">
        <v>0</v>
      </c>
      <c r="G71" s="5">
        <v>15.5</v>
      </c>
      <c r="H71" s="4" t="s">
        <v>453</v>
      </c>
      <c r="I71" s="5">
        <f>G71*E71</f>
        <v>97.649999999999991</v>
      </c>
      <c r="J71" s="5">
        <f t="shared" si="6"/>
        <v>97.649999999999991</v>
      </c>
      <c r="K71" s="36">
        <v>240</v>
      </c>
      <c r="L71" s="5">
        <f t="shared" si="7"/>
        <v>23435.999999999996</v>
      </c>
      <c r="M71" s="5">
        <v>0</v>
      </c>
      <c r="N71" s="5">
        <f t="shared" si="8"/>
        <v>23435.999999999996</v>
      </c>
      <c r="O71" s="69" t="s">
        <v>61</v>
      </c>
      <c r="P71" s="4" t="s">
        <v>62</v>
      </c>
      <c r="Q71" s="4"/>
    </row>
    <row r="72" spans="1:17" x14ac:dyDescent="0.2">
      <c r="A72" s="130">
        <v>66924</v>
      </c>
      <c r="B72" s="4" t="s">
        <v>511</v>
      </c>
      <c r="C72" s="4" t="s">
        <v>455</v>
      </c>
      <c r="D72" s="4" t="s">
        <v>60</v>
      </c>
      <c r="E72" s="41">
        <v>0</v>
      </c>
      <c r="F72" s="41">
        <v>0</v>
      </c>
      <c r="G72" s="5">
        <v>0</v>
      </c>
      <c r="H72" s="4" t="s">
        <v>453</v>
      </c>
      <c r="I72" s="5">
        <v>84</v>
      </c>
      <c r="J72" s="5">
        <f t="shared" si="6"/>
        <v>84</v>
      </c>
      <c r="K72" s="36">
        <v>160</v>
      </c>
      <c r="L72" s="5">
        <f t="shared" si="7"/>
        <v>13440</v>
      </c>
      <c r="M72" s="5">
        <v>0</v>
      </c>
      <c r="N72" s="5">
        <f t="shared" si="8"/>
        <v>13440</v>
      </c>
      <c r="O72" s="69" t="s">
        <v>61</v>
      </c>
      <c r="P72" s="4" t="s">
        <v>62</v>
      </c>
      <c r="Q72" s="4"/>
    </row>
    <row r="73" spans="1:17" x14ac:dyDescent="0.2">
      <c r="A73" s="130">
        <v>66925</v>
      </c>
      <c r="B73" s="4" t="s">
        <v>512</v>
      </c>
      <c r="C73" s="4" t="s">
        <v>443</v>
      </c>
      <c r="D73" s="4" t="s">
        <v>69</v>
      </c>
      <c r="E73" s="41">
        <v>3.4</v>
      </c>
      <c r="F73" s="41">
        <v>7.6</v>
      </c>
      <c r="G73" s="5">
        <v>4.5</v>
      </c>
      <c r="H73" s="4" t="s">
        <v>441</v>
      </c>
      <c r="I73" s="5">
        <v>0</v>
      </c>
      <c r="J73" s="5">
        <f t="shared" si="6"/>
        <v>63.39</v>
      </c>
      <c r="K73" s="36">
        <v>84.4</v>
      </c>
      <c r="L73" s="5">
        <f t="shared" si="7"/>
        <v>5350.116</v>
      </c>
      <c r="M73" s="5">
        <v>0</v>
      </c>
      <c r="N73" s="5">
        <f t="shared" si="8"/>
        <v>5350.116</v>
      </c>
      <c r="O73" s="69" t="s">
        <v>61</v>
      </c>
      <c r="P73" s="4" t="s">
        <v>62</v>
      </c>
      <c r="Q73" s="4"/>
    </row>
    <row r="74" spans="1:17" ht="30" customHeight="1" x14ac:dyDescent="0.2">
      <c r="A74" s="130">
        <v>66925</v>
      </c>
      <c r="B74" s="4" t="s">
        <v>513</v>
      </c>
      <c r="C74" s="4" t="s">
        <v>443</v>
      </c>
      <c r="D74" s="4" t="s">
        <v>444</v>
      </c>
      <c r="E74" s="41">
        <v>5.34</v>
      </c>
      <c r="F74" s="41">
        <v>7.5</v>
      </c>
      <c r="G74" s="5">
        <v>5</v>
      </c>
      <c r="H74" s="4" t="s">
        <v>441</v>
      </c>
      <c r="I74" s="5">
        <v>0</v>
      </c>
      <c r="J74" s="5">
        <f t="shared" si="6"/>
        <v>77.305999999999997</v>
      </c>
      <c r="K74" s="36">
        <v>37.700000000000003</v>
      </c>
      <c r="L74" s="5">
        <f t="shared" si="7"/>
        <v>2914.4362000000001</v>
      </c>
      <c r="M74" s="5">
        <v>0</v>
      </c>
      <c r="N74" s="5">
        <f t="shared" si="8"/>
        <v>2914.4362000000001</v>
      </c>
      <c r="O74" s="69" t="s">
        <v>61</v>
      </c>
      <c r="P74" s="4" t="s">
        <v>62</v>
      </c>
      <c r="Q74" s="4"/>
    </row>
    <row r="75" spans="1:17" x14ac:dyDescent="0.2">
      <c r="A75" s="130">
        <v>66925</v>
      </c>
      <c r="B75" s="4" t="s">
        <v>514</v>
      </c>
      <c r="C75" s="4" t="s">
        <v>446</v>
      </c>
      <c r="D75" s="4" t="s">
        <v>69</v>
      </c>
      <c r="E75" s="41">
        <v>3.7</v>
      </c>
      <c r="F75" s="41">
        <v>7.7</v>
      </c>
      <c r="G75" s="5">
        <v>4.5</v>
      </c>
      <c r="H75" s="4" t="s">
        <v>441</v>
      </c>
      <c r="I75" s="5">
        <v>0</v>
      </c>
      <c r="J75" s="5">
        <f t="shared" si="6"/>
        <v>65.989999999999995</v>
      </c>
      <c r="K75" s="36">
        <v>30</v>
      </c>
      <c r="L75" s="5">
        <f t="shared" si="7"/>
        <v>1979.6999999999998</v>
      </c>
      <c r="M75" s="5">
        <v>0</v>
      </c>
      <c r="N75" s="5">
        <f t="shared" si="8"/>
        <v>1979.6999999999998</v>
      </c>
      <c r="O75" s="69" t="s">
        <v>61</v>
      </c>
      <c r="P75" s="4" t="s">
        <v>62</v>
      </c>
      <c r="Q75" s="4"/>
    </row>
    <row r="76" spans="1:17" x14ac:dyDescent="0.2">
      <c r="A76" s="130">
        <v>66925</v>
      </c>
      <c r="B76" s="4" t="s">
        <v>515</v>
      </c>
      <c r="C76" s="4" t="s">
        <v>448</v>
      </c>
      <c r="D76" s="4" t="s">
        <v>69</v>
      </c>
      <c r="E76" s="41">
        <v>3.72</v>
      </c>
      <c r="F76" s="41">
        <v>7.8</v>
      </c>
      <c r="G76" s="5">
        <v>2</v>
      </c>
      <c r="H76" s="4" t="s">
        <v>441</v>
      </c>
      <c r="I76" s="5">
        <v>0</v>
      </c>
      <c r="J76" s="5">
        <f t="shared" si="6"/>
        <v>64.087999999999994</v>
      </c>
      <c r="K76" s="36">
        <v>8.8000000000000007</v>
      </c>
      <c r="L76" s="5">
        <f t="shared" si="7"/>
        <v>563.97439999999995</v>
      </c>
      <c r="M76" s="5">
        <v>0</v>
      </c>
      <c r="N76" s="5">
        <f t="shared" si="8"/>
        <v>563.97439999999995</v>
      </c>
      <c r="O76" s="69" t="s">
        <v>61</v>
      </c>
      <c r="P76" s="4" t="s">
        <v>62</v>
      </c>
      <c r="Q76" s="4"/>
    </row>
    <row r="77" spans="1:17" x14ac:dyDescent="0.2">
      <c r="A77" s="130">
        <v>66925</v>
      </c>
      <c r="B77" s="4" t="s">
        <v>516</v>
      </c>
      <c r="C77" s="4" t="s">
        <v>450</v>
      </c>
      <c r="D77" s="4" t="s">
        <v>69</v>
      </c>
      <c r="E77" s="41">
        <v>4.7</v>
      </c>
      <c r="F77" s="41">
        <v>8.0500000000000007</v>
      </c>
      <c r="G77" s="5">
        <v>2</v>
      </c>
      <c r="H77" s="4" t="s">
        <v>441</v>
      </c>
      <c r="I77" s="5">
        <v>0</v>
      </c>
      <c r="J77" s="5">
        <f t="shared" si="6"/>
        <v>72.232500000000016</v>
      </c>
      <c r="K77" s="36">
        <v>6.2</v>
      </c>
      <c r="L77" s="5">
        <f t="shared" si="7"/>
        <v>447.84150000000011</v>
      </c>
      <c r="M77" s="5">
        <v>0</v>
      </c>
      <c r="N77" s="5">
        <f t="shared" si="8"/>
        <v>447.84150000000011</v>
      </c>
      <c r="O77" s="69" t="s">
        <v>61</v>
      </c>
      <c r="P77" s="4" t="s">
        <v>62</v>
      </c>
      <c r="Q77" s="4"/>
    </row>
    <row r="78" spans="1:17" ht="30" customHeight="1" x14ac:dyDescent="0.2">
      <c r="A78" s="130">
        <v>66925</v>
      </c>
      <c r="B78" s="4" t="s">
        <v>517</v>
      </c>
      <c r="C78" s="4" t="s">
        <v>452</v>
      </c>
      <c r="D78" s="4" t="s">
        <v>444</v>
      </c>
      <c r="E78" s="41">
        <v>0</v>
      </c>
      <c r="F78" s="41">
        <v>0</v>
      </c>
      <c r="G78" s="5">
        <v>15.5</v>
      </c>
      <c r="H78" s="4" t="s">
        <v>453</v>
      </c>
      <c r="I78" s="5">
        <f>G78*E78</f>
        <v>0</v>
      </c>
      <c r="J78" s="5">
        <f t="shared" si="6"/>
        <v>0</v>
      </c>
      <c r="K78" s="36">
        <v>0</v>
      </c>
      <c r="L78" s="5">
        <f t="shared" si="7"/>
        <v>0</v>
      </c>
      <c r="M78" s="5">
        <v>0</v>
      </c>
      <c r="N78" s="5">
        <f t="shared" si="8"/>
        <v>0</v>
      </c>
      <c r="O78" s="69" t="s">
        <v>61</v>
      </c>
      <c r="P78" s="4" t="s">
        <v>62</v>
      </c>
      <c r="Q78" s="4"/>
    </row>
    <row r="79" spans="1:17" x14ac:dyDescent="0.2">
      <c r="A79" s="130">
        <v>66925</v>
      </c>
      <c r="B79" s="4" t="s">
        <v>518</v>
      </c>
      <c r="C79" s="4" t="s">
        <v>455</v>
      </c>
      <c r="D79" s="4" t="s">
        <v>60</v>
      </c>
      <c r="E79" s="41">
        <v>0</v>
      </c>
      <c r="F79" s="41">
        <v>0</v>
      </c>
      <c r="G79" s="5">
        <v>0</v>
      </c>
      <c r="H79" s="4" t="s">
        <v>453</v>
      </c>
      <c r="I79" s="5">
        <v>84</v>
      </c>
      <c r="J79" s="5">
        <f t="shared" si="6"/>
        <v>84</v>
      </c>
      <c r="K79" s="36">
        <v>200</v>
      </c>
      <c r="L79" s="5">
        <f t="shared" si="7"/>
        <v>16800</v>
      </c>
      <c r="M79" s="5">
        <v>0</v>
      </c>
      <c r="N79" s="5">
        <f t="shared" si="8"/>
        <v>16800</v>
      </c>
      <c r="O79" s="69" t="s">
        <v>61</v>
      </c>
      <c r="P79" s="4" t="s">
        <v>62</v>
      </c>
      <c r="Q79" s="4"/>
    </row>
    <row r="80" spans="1:17" x14ac:dyDescent="0.2">
      <c r="A80" s="130">
        <v>66926</v>
      </c>
      <c r="B80" s="4" t="s">
        <v>519</v>
      </c>
      <c r="C80" s="4" t="s">
        <v>443</v>
      </c>
      <c r="D80" s="4" t="s">
        <v>69</v>
      </c>
      <c r="E80" s="41">
        <v>3.4</v>
      </c>
      <c r="F80" s="41">
        <v>7.6</v>
      </c>
      <c r="G80" s="5">
        <v>4.5</v>
      </c>
      <c r="H80" s="4" t="s">
        <v>441</v>
      </c>
      <c r="I80" s="5">
        <v>0</v>
      </c>
      <c r="J80" s="5">
        <f t="shared" si="6"/>
        <v>63.39</v>
      </c>
      <c r="K80" s="36">
        <v>79.400000000000006</v>
      </c>
      <c r="L80" s="5">
        <f t="shared" si="7"/>
        <v>5033.1660000000002</v>
      </c>
      <c r="M80" s="5">
        <v>0</v>
      </c>
      <c r="N80" s="5">
        <f t="shared" si="8"/>
        <v>5033.1660000000002</v>
      </c>
      <c r="O80" s="69" t="s">
        <v>61</v>
      </c>
      <c r="P80" s="4" t="s">
        <v>62</v>
      </c>
      <c r="Q80" s="4"/>
    </row>
    <row r="81" spans="1:17" ht="30" customHeight="1" x14ac:dyDescent="0.2">
      <c r="A81" s="130">
        <v>66926</v>
      </c>
      <c r="B81" s="4" t="s">
        <v>520</v>
      </c>
      <c r="C81" s="4" t="s">
        <v>443</v>
      </c>
      <c r="D81" s="4" t="s">
        <v>444</v>
      </c>
      <c r="E81" s="41">
        <v>5.3</v>
      </c>
      <c r="F81" s="41">
        <v>7.6</v>
      </c>
      <c r="G81" s="5">
        <v>5</v>
      </c>
      <c r="H81" s="4" t="s">
        <v>441</v>
      </c>
      <c r="I81" s="5">
        <v>0</v>
      </c>
      <c r="J81" s="5">
        <f t="shared" si="6"/>
        <v>77.474999999999994</v>
      </c>
      <c r="K81" s="36">
        <v>38.299999999999997</v>
      </c>
      <c r="L81" s="5">
        <f t="shared" si="7"/>
        <v>2967.2924999999996</v>
      </c>
      <c r="M81" s="5">
        <v>0</v>
      </c>
      <c r="N81" s="5">
        <f t="shared" si="8"/>
        <v>2967.2924999999996</v>
      </c>
      <c r="O81" s="69" t="s">
        <v>61</v>
      </c>
      <c r="P81" s="4" t="s">
        <v>62</v>
      </c>
      <c r="Q81" s="4"/>
    </row>
    <row r="82" spans="1:17" x14ac:dyDescent="0.2">
      <c r="A82" s="130">
        <v>66926</v>
      </c>
      <c r="B82" s="4" t="s">
        <v>521</v>
      </c>
      <c r="C82" s="4" t="s">
        <v>446</v>
      </c>
      <c r="D82" s="4" t="s">
        <v>69</v>
      </c>
      <c r="E82" s="41">
        <v>3.6</v>
      </c>
      <c r="F82" s="41">
        <v>7.8</v>
      </c>
      <c r="G82" s="5">
        <v>4.5</v>
      </c>
      <c r="H82" s="4" t="s">
        <v>441</v>
      </c>
      <c r="I82" s="5">
        <v>0</v>
      </c>
      <c r="J82" s="5">
        <f t="shared" si="6"/>
        <v>65.72999999999999</v>
      </c>
      <c r="K82" s="36">
        <v>29.5</v>
      </c>
      <c r="L82" s="5">
        <f t="shared" si="7"/>
        <v>1939.0349999999996</v>
      </c>
      <c r="M82" s="5">
        <v>0</v>
      </c>
      <c r="N82" s="5">
        <f t="shared" si="8"/>
        <v>1939.0349999999996</v>
      </c>
      <c r="O82" s="69" t="s">
        <v>61</v>
      </c>
      <c r="P82" s="4" t="s">
        <v>62</v>
      </c>
      <c r="Q82" s="4"/>
    </row>
    <row r="83" spans="1:17" x14ac:dyDescent="0.2">
      <c r="A83" s="130">
        <v>66926</v>
      </c>
      <c r="B83" s="4" t="s">
        <v>522</v>
      </c>
      <c r="C83" s="4" t="s">
        <v>448</v>
      </c>
      <c r="D83" s="4" t="s">
        <v>69</v>
      </c>
      <c r="E83" s="41">
        <v>3.65</v>
      </c>
      <c r="F83" s="41">
        <v>7.8</v>
      </c>
      <c r="G83" s="5">
        <v>2</v>
      </c>
      <c r="H83" s="4" t="s">
        <v>441</v>
      </c>
      <c r="I83" s="5">
        <v>0</v>
      </c>
      <c r="J83" s="5">
        <f t="shared" si="6"/>
        <v>63.587499999999991</v>
      </c>
      <c r="K83" s="36">
        <v>7.8</v>
      </c>
      <c r="L83" s="5">
        <f t="shared" si="7"/>
        <v>495.9824999999999</v>
      </c>
      <c r="M83" s="5">
        <v>0</v>
      </c>
      <c r="N83" s="5">
        <f t="shared" si="8"/>
        <v>495.9824999999999</v>
      </c>
      <c r="O83" s="69" t="s">
        <v>61</v>
      </c>
      <c r="P83" s="4" t="s">
        <v>62</v>
      </c>
      <c r="Q83" s="4"/>
    </row>
    <row r="84" spans="1:17" x14ac:dyDescent="0.2">
      <c r="A84" s="130">
        <v>66926</v>
      </c>
      <c r="B84" s="4" t="s">
        <v>523</v>
      </c>
      <c r="C84" s="4" t="s">
        <v>450</v>
      </c>
      <c r="D84" s="4" t="s">
        <v>69</v>
      </c>
      <c r="E84" s="41">
        <v>4.6500000000000004</v>
      </c>
      <c r="F84" s="41">
        <v>8.0500000000000007</v>
      </c>
      <c r="G84" s="5">
        <v>2</v>
      </c>
      <c r="H84" s="4" t="s">
        <v>441</v>
      </c>
      <c r="I84" s="5">
        <v>0</v>
      </c>
      <c r="J84" s="5">
        <f t="shared" si="6"/>
        <v>71.875</v>
      </c>
      <c r="K84" s="36">
        <v>6.3</v>
      </c>
      <c r="L84" s="5">
        <f t="shared" si="7"/>
        <v>452.8125</v>
      </c>
      <c r="M84" s="5">
        <v>0</v>
      </c>
      <c r="N84" s="5">
        <f t="shared" si="8"/>
        <v>452.8125</v>
      </c>
      <c r="O84" s="69" t="s">
        <v>61</v>
      </c>
      <c r="P84" s="4" t="s">
        <v>62</v>
      </c>
      <c r="Q84" s="4"/>
    </row>
    <row r="85" spans="1:17" ht="30" customHeight="1" x14ac:dyDescent="0.2">
      <c r="A85" s="130">
        <v>66926</v>
      </c>
      <c r="B85" s="4" t="s">
        <v>524</v>
      </c>
      <c r="C85" s="4" t="s">
        <v>452</v>
      </c>
      <c r="D85" s="4" t="s">
        <v>444</v>
      </c>
      <c r="E85" s="41">
        <v>6.3</v>
      </c>
      <c r="F85" s="41">
        <v>0</v>
      </c>
      <c r="G85" s="5">
        <v>15.5</v>
      </c>
      <c r="H85" s="4" t="s">
        <v>453</v>
      </c>
      <c r="I85" s="5">
        <f>G85*E85</f>
        <v>97.649999999999991</v>
      </c>
      <c r="J85" s="5">
        <f t="shared" si="6"/>
        <v>97.649999999999991</v>
      </c>
      <c r="K85" s="36">
        <v>240</v>
      </c>
      <c r="L85" s="5">
        <f t="shared" si="7"/>
        <v>23435.999999999996</v>
      </c>
      <c r="M85" s="5">
        <v>0</v>
      </c>
      <c r="N85" s="5">
        <f t="shared" si="8"/>
        <v>23435.999999999996</v>
      </c>
      <c r="O85" s="69" t="s">
        <v>61</v>
      </c>
      <c r="P85" s="4" t="s">
        <v>62</v>
      </c>
      <c r="Q85" s="4"/>
    </row>
    <row r="86" spans="1:17" x14ac:dyDescent="0.2">
      <c r="A86" s="130">
        <v>66926</v>
      </c>
      <c r="B86" s="4" t="s">
        <v>525</v>
      </c>
      <c r="C86" s="4" t="s">
        <v>455</v>
      </c>
      <c r="D86" s="4" t="s">
        <v>60</v>
      </c>
      <c r="E86" s="41">
        <v>0</v>
      </c>
      <c r="F86" s="41">
        <v>0</v>
      </c>
      <c r="G86" s="5">
        <v>0</v>
      </c>
      <c r="H86" s="4" t="s">
        <v>453</v>
      </c>
      <c r="I86" s="5">
        <v>84</v>
      </c>
      <c r="J86" s="5">
        <f t="shared" si="6"/>
        <v>84</v>
      </c>
      <c r="K86" s="36">
        <v>0</v>
      </c>
      <c r="L86" s="5">
        <f t="shared" si="7"/>
        <v>0</v>
      </c>
      <c r="M86" s="5">
        <v>0</v>
      </c>
      <c r="N86" s="5">
        <f t="shared" si="8"/>
        <v>0</v>
      </c>
      <c r="O86" s="69" t="s">
        <v>61</v>
      </c>
      <c r="P86" s="4" t="s">
        <v>62</v>
      </c>
      <c r="Q86" s="4"/>
    </row>
    <row r="87" spans="1:17" ht="30" x14ac:dyDescent="0.2">
      <c r="A87" s="130">
        <v>66916</v>
      </c>
      <c r="B87" s="4" t="s">
        <v>526</v>
      </c>
      <c r="C87" s="4" t="s">
        <v>527</v>
      </c>
      <c r="D87" s="4" t="s">
        <v>444</v>
      </c>
      <c r="E87" s="41">
        <v>0</v>
      </c>
      <c r="F87" s="41">
        <v>0</v>
      </c>
      <c r="G87" s="5">
        <v>0</v>
      </c>
      <c r="H87" s="4" t="s">
        <v>453</v>
      </c>
      <c r="I87" s="5">
        <v>75</v>
      </c>
      <c r="J87" s="5">
        <f t="shared" si="6"/>
        <v>75</v>
      </c>
      <c r="K87" s="36">
        <v>40</v>
      </c>
      <c r="L87" s="5">
        <f t="shared" si="7"/>
        <v>3000</v>
      </c>
      <c r="M87" s="5">
        <v>0</v>
      </c>
      <c r="N87" s="5">
        <f t="shared" si="8"/>
        <v>3000</v>
      </c>
      <c r="O87" s="69" t="s">
        <v>61</v>
      </c>
      <c r="P87" s="4" t="s">
        <v>62</v>
      </c>
      <c r="Q87" s="4"/>
    </row>
    <row r="88" spans="1:17" x14ac:dyDescent="0.2">
      <c r="A88" s="130">
        <v>66927</v>
      </c>
      <c r="B88" s="4" t="s">
        <v>529</v>
      </c>
      <c r="C88" s="4" t="s">
        <v>443</v>
      </c>
      <c r="D88" s="4" t="s">
        <v>69</v>
      </c>
      <c r="E88" s="41">
        <v>3.46</v>
      </c>
      <c r="F88" s="41">
        <v>7.6</v>
      </c>
      <c r="G88" s="5">
        <v>4.5</v>
      </c>
      <c r="H88" s="4" t="s">
        <v>441</v>
      </c>
      <c r="I88" s="5">
        <v>0</v>
      </c>
      <c r="J88" s="5">
        <f t="shared" si="6"/>
        <v>63.819000000000003</v>
      </c>
      <c r="K88" s="36">
        <v>79.7</v>
      </c>
      <c r="L88" s="5">
        <f t="shared" si="7"/>
        <v>5086.3743000000004</v>
      </c>
      <c r="M88" s="5">
        <v>0</v>
      </c>
      <c r="N88" s="5">
        <f t="shared" si="8"/>
        <v>5086.3743000000004</v>
      </c>
      <c r="O88" s="69" t="s">
        <v>61</v>
      </c>
      <c r="P88" s="4" t="s">
        <v>62</v>
      </c>
      <c r="Q88" s="4"/>
    </row>
    <row r="89" spans="1:17" ht="30" customHeight="1" x14ac:dyDescent="0.2">
      <c r="A89" s="130">
        <v>66927</v>
      </c>
      <c r="B89" s="4" t="s">
        <v>530</v>
      </c>
      <c r="C89" s="4" t="s">
        <v>443</v>
      </c>
      <c r="D89" s="4" t="s">
        <v>444</v>
      </c>
      <c r="E89" s="41">
        <v>5.36</v>
      </c>
      <c r="F89" s="41">
        <v>7.54</v>
      </c>
      <c r="G89" s="5">
        <v>5</v>
      </c>
      <c r="H89" s="4" t="s">
        <v>441</v>
      </c>
      <c r="I89" s="5">
        <v>0</v>
      </c>
      <c r="J89" s="5">
        <f t="shared" si="6"/>
        <v>77.631</v>
      </c>
      <c r="K89" s="36">
        <v>37.1</v>
      </c>
      <c r="L89" s="5">
        <f t="shared" si="7"/>
        <v>2880.1101000000003</v>
      </c>
      <c r="M89" s="5">
        <v>0</v>
      </c>
      <c r="N89" s="5">
        <f t="shared" si="8"/>
        <v>2880.1101000000003</v>
      </c>
      <c r="O89" s="69" t="s">
        <v>61</v>
      </c>
      <c r="P89" s="4" t="s">
        <v>62</v>
      </c>
      <c r="Q89" s="4"/>
    </row>
    <row r="90" spans="1:17" x14ac:dyDescent="0.2">
      <c r="A90" s="130">
        <v>66927</v>
      </c>
      <c r="B90" s="4" t="s">
        <v>531</v>
      </c>
      <c r="C90" s="4" t="s">
        <v>446</v>
      </c>
      <c r="D90" s="4" t="s">
        <v>69</v>
      </c>
      <c r="E90" s="41">
        <v>3.6</v>
      </c>
      <c r="F90" s="41">
        <v>7.8</v>
      </c>
      <c r="G90" s="5">
        <v>4.5</v>
      </c>
      <c r="H90" s="4" t="s">
        <v>441</v>
      </c>
      <c r="I90" s="5">
        <v>0</v>
      </c>
      <c r="J90" s="5">
        <f t="shared" si="6"/>
        <v>65.72999999999999</v>
      </c>
      <c r="K90" s="36">
        <v>29.5</v>
      </c>
      <c r="L90" s="5">
        <f t="shared" si="7"/>
        <v>1939.0349999999996</v>
      </c>
      <c r="M90" s="5">
        <v>0</v>
      </c>
      <c r="N90" s="5">
        <f t="shared" si="8"/>
        <v>1939.0349999999996</v>
      </c>
      <c r="O90" s="69" t="s">
        <v>61</v>
      </c>
      <c r="P90" s="4" t="s">
        <v>62</v>
      </c>
      <c r="Q90" s="4"/>
    </row>
    <row r="91" spans="1:17" x14ac:dyDescent="0.2">
      <c r="A91" s="130">
        <v>66927</v>
      </c>
      <c r="B91" s="4" t="s">
        <v>532</v>
      </c>
      <c r="C91" s="4" t="s">
        <v>448</v>
      </c>
      <c r="D91" s="4" t="s">
        <v>69</v>
      </c>
      <c r="E91" s="41">
        <v>3.7</v>
      </c>
      <c r="F91" s="41">
        <v>7.8</v>
      </c>
      <c r="G91" s="5">
        <v>2</v>
      </c>
      <c r="H91" s="4" t="s">
        <v>441</v>
      </c>
      <c r="I91" s="5">
        <v>0</v>
      </c>
      <c r="J91" s="5">
        <f t="shared" si="6"/>
        <v>63.944999999999993</v>
      </c>
      <c r="K91" s="36">
        <v>9.6999999999999993</v>
      </c>
      <c r="L91" s="5">
        <f t="shared" si="7"/>
        <v>620.26649999999984</v>
      </c>
      <c r="M91" s="5">
        <v>0</v>
      </c>
      <c r="N91" s="5">
        <f t="shared" si="8"/>
        <v>620.26649999999984</v>
      </c>
      <c r="O91" s="69" t="s">
        <v>61</v>
      </c>
      <c r="P91" s="4" t="s">
        <v>62</v>
      </c>
      <c r="Q91" s="4"/>
    </row>
    <row r="92" spans="1:17" x14ac:dyDescent="0.2">
      <c r="A92" s="130">
        <v>66927</v>
      </c>
      <c r="B92" s="4" t="s">
        <v>533</v>
      </c>
      <c r="C92" s="4" t="s">
        <v>450</v>
      </c>
      <c r="D92" s="4" t="s">
        <v>69</v>
      </c>
      <c r="E92" s="41">
        <v>4.6500000000000004</v>
      </c>
      <c r="F92" s="41">
        <v>8.0500000000000007</v>
      </c>
      <c r="G92" s="5">
        <v>2</v>
      </c>
      <c r="H92" s="4" t="s">
        <v>441</v>
      </c>
      <c r="I92" s="5">
        <v>0</v>
      </c>
      <c r="J92" s="5">
        <f t="shared" si="6"/>
        <v>71.875</v>
      </c>
      <c r="K92" s="36">
        <v>6.3</v>
      </c>
      <c r="L92" s="5">
        <f t="shared" si="7"/>
        <v>452.8125</v>
      </c>
      <c r="M92" s="5">
        <v>0</v>
      </c>
      <c r="N92" s="5">
        <f t="shared" si="8"/>
        <v>452.8125</v>
      </c>
      <c r="O92" s="69" t="s">
        <v>61</v>
      </c>
      <c r="P92" s="4" t="s">
        <v>62</v>
      </c>
      <c r="Q92" s="4"/>
    </row>
    <row r="93" spans="1:17" ht="30" customHeight="1" x14ac:dyDescent="0.2">
      <c r="A93" s="130">
        <v>66927</v>
      </c>
      <c r="B93" s="4" t="s">
        <v>534</v>
      </c>
      <c r="C93" s="4" t="s">
        <v>452</v>
      </c>
      <c r="D93" s="4" t="s">
        <v>444</v>
      </c>
      <c r="E93" s="41">
        <v>0</v>
      </c>
      <c r="F93" s="41">
        <v>0</v>
      </c>
      <c r="G93" s="5">
        <v>15.5</v>
      </c>
      <c r="H93" s="4" t="s">
        <v>453</v>
      </c>
      <c r="I93" s="5">
        <f>G93*E93</f>
        <v>0</v>
      </c>
      <c r="J93" s="5">
        <f t="shared" si="6"/>
        <v>0</v>
      </c>
      <c r="K93" s="36">
        <v>0</v>
      </c>
      <c r="L93" s="5">
        <f t="shared" si="7"/>
        <v>0</v>
      </c>
      <c r="M93" s="5">
        <v>0</v>
      </c>
      <c r="N93" s="5">
        <f t="shared" si="8"/>
        <v>0</v>
      </c>
      <c r="O93" s="69" t="s">
        <v>61</v>
      </c>
      <c r="P93" s="4" t="s">
        <v>62</v>
      </c>
      <c r="Q93" s="4"/>
    </row>
    <row r="94" spans="1:17" x14ac:dyDescent="0.2">
      <c r="A94" s="130">
        <v>66927</v>
      </c>
      <c r="B94" s="4" t="s">
        <v>535</v>
      </c>
      <c r="C94" s="4" t="s">
        <v>455</v>
      </c>
      <c r="D94" s="4" t="s">
        <v>60</v>
      </c>
      <c r="E94" s="41">
        <v>0</v>
      </c>
      <c r="F94" s="41">
        <v>0</v>
      </c>
      <c r="G94" s="5">
        <v>0</v>
      </c>
      <c r="H94" s="4" t="s">
        <v>453</v>
      </c>
      <c r="I94" s="5">
        <v>84</v>
      </c>
      <c r="J94" s="5">
        <f t="shared" si="6"/>
        <v>84</v>
      </c>
      <c r="K94" s="36">
        <v>160</v>
      </c>
      <c r="L94" s="5">
        <f t="shared" si="7"/>
        <v>13440</v>
      </c>
      <c r="M94" s="5">
        <v>0</v>
      </c>
      <c r="N94" s="5">
        <f t="shared" si="8"/>
        <v>13440</v>
      </c>
      <c r="O94" s="69" t="s">
        <v>61</v>
      </c>
      <c r="P94" s="4" t="s">
        <v>62</v>
      </c>
      <c r="Q94" s="4"/>
    </row>
    <row r="95" spans="1:17" ht="30" x14ac:dyDescent="0.2">
      <c r="A95" s="130">
        <v>66927</v>
      </c>
      <c r="B95" s="4" t="s">
        <v>536</v>
      </c>
      <c r="C95" s="4" t="s">
        <v>527</v>
      </c>
      <c r="D95" s="4" t="s">
        <v>444</v>
      </c>
      <c r="E95" s="41">
        <v>0</v>
      </c>
      <c r="F95" s="41">
        <v>0</v>
      </c>
      <c r="G95" s="5">
        <v>0</v>
      </c>
      <c r="H95" s="4" t="s">
        <v>453</v>
      </c>
      <c r="I95" s="5">
        <v>75</v>
      </c>
      <c r="J95" s="5">
        <f t="shared" si="6"/>
        <v>75</v>
      </c>
      <c r="K95" s="36">
        <v>80</v>
      </c>
      <c r="L95" s="5">
        <f t="shared" si="7"/>
        <v>6000</v>
      </c>
      <c r="M95" s="5">
        <v>0</v>
      </c>
      <c r="N95" s="5">
        <f t="shared" si="8"/>
        <v>6000</v>
      </c>
      <c r="O95" s="69" t="s">
        <v>61</v>
      </c>
      <c r="P95" s="4" t="s">
        <v>62</v>
      </c>
      <c r="Q95" s="4"/>
    </row>
    <row r="96" spans="1:17" x14ac:dyDescent="0.2">
      <c r="A96" s="130">
        <v>66928</v>
      </c>
      <c r="B96" s="4" t="s">
        <v>537</v>
      </c>
      <c r="C96" s="4" t="s">
        <v>443</v>
      </c>
      <c r="D96" s="4" t="s">
        <v>69</v>
      </c>
      <c r="E96" s="41">
        <v>3.4</v>
      </c>
      <c r="F96" s="41">
        <v>7.66</v>
      </c>
      <c r="G96" s="5">
        <v>4.5</v>
      </c>
      <c r="H96" s="4" t="s">
        <v>441</v>
      </c>
      <c r="I96" s="5">
        <v>0</v>
      </c>
      <c r="J96" s="5">
        <f t="shared" si="6"/>
        <v>63.663000000000004</v>
      </c>
      <c r="K96" s="36">
        <v>78.5</v>
      </c>
      <c r="L96" s="5">
        <f t="shared" si="7"/>
        <v>4997.5455000000002</v>
      </c>
      <c r="M96" s="5">
        <v>0</v>
      </c>
      <c r="N96" s="5">
        <f t="shared" si="8"/>
        <v>4997.5455000000002</v>
      </c>
      <c r="O96" s="69" t="s">
        <v>61</v>
      </c>
      <c r="P96" s="4" t="s">
        <v>62</v>
      </c>
      <c r="Q96" s="4"/>
    </row>
    <row r="97" spans="1:17" ht="30" customHeight="1" x14ac:dyDescent="0.2">
      <c r="A97" s="130">
        <v>66928</v>
      </c>
      <c r="B97" s="4" t="s">
        <v>538</v>
      </c>
      <c r="C97" s="4" t="s">
        <v>443</v>
      </c>
      <c r="D97" s="4" t="s">
        <v>444</v>
      </c>
      <c r="E97" s="41">
        <v>5.3</v>
      </c>
      <c r="F97" s="41">
        <v>7.5</v>
      </c>
      <c r="G97" s="5">
        <v>5</v>
      </c>
      <c r="H97" s="4" t="s">
        <v>441</v>
      </c>
      <c r="I97" s="5">
        <v>0</v>
      </c>
      <c r="J97" s="5">
        <f t="shared" si="6"/>
        <v>77.02000000000001</v>
      </c>
      <c r="K97" s="36">
        <v>38.9</v>
      </c>
      <c r="L97" s="5">
        <f t="shared" si="7"/>
        <v>2996.0780000000004</v>
      </c>
      <c r="M97" s="5">
        <v>0</v>
      </c>
      <c r="N97" s="5">
        <f t="shared" si="8"/>
        <v>2996.0780000000004</v>
      </c>
      <c r="O97" s="69" t="s">
        <v>61</v>
      </c>
      <c r="P97" s="4" t="s">
        <v>62</v>
      </c>
      <c r="Q97" s="4"/>
    </row>
    <row r="98" spans="1:17" x14ac:dyDescent="0.2">
      <c r="A98" s="130">
        <v>66928</v>
      </c>
      <c r="B98" s="4" t="s">
        <v>539</v>
      </c>
      <c r="C98" s="4" t="s">
        <v>446</v>
      </c>
      <c r="D98" s="4" t="s">
        <v>69</v>
      </c>
      <c r="E98" s="41">
        <v>3.6</v>
      </c>
      <c r="F98" s="41">
        <v>7.7</v>
      </c>
      <c r="G98" s="5">
        <v>4.5</v>
      </c>
      <c r="H98" s="4" t="s">
        <v>441</v>
      </c>
      <c r="I98" s="5">
        <v>0</v>
      </c>
      <c r="J98" s="5">
        <f t="shared" si="6"/>
        <v>65.275000000000006</v>
      </c>
      <c r="K98" s="36">
        <v>30.6</v>
      </c>
      <c r="L98" s="5">
        <f t="shared" si="7"/>
        <v>1997.4150000000002</v>
      </c>
      <c r="M98" s="5">
        <v>0</v>
      </c>
      <c r="N98" s="5">
        <f t="shared" si="8"/>
        <v>1997.4150000000002</v>
      </c>
      <c r="O98" s="69" t="s">
        <v>61</v>
      </c>
      <c r="P98" s="4" t="s">
        <v>62</v>
      </c>
      <c r="Q98" s="4"/>
    </row>
    <row r="99" spans="1:17" x14ac:dyDescent="0.2">
      <c r="A99" s="130">
        <v>66928</v>
      </c>
      <c r="B99" s="4" t="s">
        <v>540</v>
      </c>
      <c r="C99" s="4" t="s">
        <v>448</v>
      </c>
      <c r="D99" s="4" t="s">
        <v>69</v>
      </c>
      <c r="E99" s="41">
        <v>3.7</v>
      </c>
      <c r="F99" s="41">
        <v>7.86</v>
      </c>
      <c r="G99" s="5">
        <v>2</v>
      </c>
      <c r="H99" s="4" t="s">
        <v>441</v>
      </c>
      <c r="I99" s="5">
        <v>0</v>
      </c>
      <c r="J99" s="5">
        <f t="shared" si="6"/>
        <v>64.218000000000004</v>
      </c>
      <c r="K99" s="36">
        <v>8.9</v>
      </c>
      <c r="L99" s="73">
        <f t="shared" si="7"/>
        <v>571.54020000000003</v>
      </c>
      <c r="M99" s="5">
        <v>0</v>
      </c>
      <c r="N99" s="5">
        <f t="shared" si="8"/>
        <v>571.54020000000003</v>
      </c>
      <c r="O99" s="69" t="s">
        <v>61</v>
      </c>
      <c r="P99" s="4" t="s">
        <v>62</v>
      </c>
      <c r="Q99" s="4"/>
    </row>
    <row r="100" spans="1:17" x14ac:dyDescent="0.2">
      <c r="A100" s="130">
        <v>66928</v>
      </c>
      <c r="B100" s="4" t="s">
        <v>541</v>
      </c>
      <c r="C100" s="4" t="s">
        <v>450</v>
      </c>
      <c r="D100" s="4" t="s">
        <v>69</v>
      </c>
      <c r="E100" s="41">
        <v>4.6500000000000004</v>
      </c>
      <c r="F100" s="41">
        <v>8.0500000000000007</v>
      </c>
      <c r="G100" s="5">
        <v>2</v>
      </c>
      <c r="H100" s="4" t="s">
        <v>441</v>
      </c>
      <c r="I100" s="5">
        <v>0</v>
      </c>
      <c r="J100" s="5">
        <f t="shared" si="6"/>
        <v>71.875</v>
      </c>
      <c r="K100" s="36">
        <v>6.2</v>
      </c>
      <c r="L100" s="5">
        <f t="shared" si="7"/>
        <v>445.625</v>
      </c>
      <c r="M100" s="5">
        <v>0</v>
      </c>
      <c r="N100" s="5">
        <f t="shared" si="8"/>
        <v>445.625</v>
      </c>
      <c r="O100" s="69" t="s">
        <v>61</v>
      </c>
      <c r="P100" s="4" t="s">
        <v>62</v>
      </c>
      <c r="Q100" s="4"/>
    </row>
    <row r="101" spans="1:17" ht="30" customHeight="1" x14ac:dyDescent="0.2">
      <c r="A101" s="130">
        <v>66928</v>
      </c>
      <c r="B101" s="4" t="s">
        <v>542</v>
      </c>
      <c r="C101" s="4" t="s">
        <v>452</v>
      </c>
      <c r="D101" s="4" t="s">
        <v>444</v>
      </c>
      <c r="E101" s="41">
        <v>5.4</v>
      </c>
      <c r="F101" s="41">
        <v>0</v>
      </c>
      <c r="G101" s="5">
        <v>15.5</v>
      </c>
      <c r="H101" s="4" t="s">
        <v>453</v>
      </c>
      <c r="I101" s="5">
        <f>G101*E101</f>
        <v>83.7</v>
      </c>
      <c r="J101" s="5">
        <f t="shared" ref="J101:J135" si="9">IF($D101="","",IF($H101="FIXED",$I101,($E101*FAT_MULT)+($F101*SNF_MULT)+$G101))</f>
        <v>83.7</v>
      </c>
      <c r="K101" s="36">
        <v>240</v>
      </c>
      <c r="L101" s="5">
        <f t="shared" ref="L101:L135" si="10">IF($K101="","",$K101*$J101)</f>
        <v>20088</v>
      </c>
      <c r="M101" s="5">
        <v>0</v>
      </c>
      <c r="N101" s="5">
        <f t="shared" ref="N101:N135" si="11">IF($K101="","",$L101+$M101)</f>
        <v>20088</v>
      </c>
      <c r="O101" s="69" t="s">
        <v>61</v>
      </c>
      <c r="P101" s="4" t="s">
        <v>62</v>
      </c>
      <c r="Q101" s="4"/>
    </row>
    <row r="102" spans="1:17" x14ac:dyDescent="0.2">
      <c r="A102" s="130">
        <v>66928</v>
      </c>
      <c r="B102" s="4" t="s">
        <v>543</v>
      </c>
      <c r="C102" s="4" t="s">
        <v>455</v>
      </c>
      <c r="D102" s="4" t="s">
        <v>60</v>
      </c>
      <c r="E102" s="41">
        <v>0</v>
      </c>
      <c r="F102" s="41">
        <v>0</v>
      </c>
      <c r="G102" s="5">
        <v>0</v>
      </c>
      <c r="H102" s="4" t="s">
        <v>453</v>
      </c>
      <c r="I102" s="5">
        <v>84</v>
      </c>
      <c r="J102" s="5">
        <f t="shared" si="9"/>
        <v>84</v>
      </c>
      <c r="K102" s="36">
        <v>160</v>
      </c>
      <c r="L102" s="5">
        <f t="shared" si="10"/>
        <v>13440</v>
      </c>
      <c r="M102" s="5">
        <v>0</v>
      </c>
      <c r="N102" s="5">
        <f t="shared" si="11"/>
        <v>13440</v>
      </c>
      <c r="O102" s="69" t="s">
        <v>61</v>
      </c>
      <c r="P102" s="4" t="s">
        <v>62</v>
      </c>
      <c r="Q102" s="4"/>
    </row>
    <row r="103" spans="1:17" ht="30" x14ac:dyDescent="0.2">
      <c r="A103" s="130">
        <v>66928</v>
      </c>
      <c r="B103" s="4" t="s">
        <v>544</v>
      </c>
      <c r="C103" s="4" t="s">
        <v>527</v>
      </c>
      <c r="D103" s="4" t="s">
        <v>444</v>
      </c>
      <c r="E103" s="41">
        <v>0</v>
      </c>
      <c r="F103" s="41">
        <v>0</v>
      </c>
      <c r="G103" s="5">
        <v>0</v>
      </c>
      <c r="H103" s="4" t="s">
        <v>453</v>
      </c>
      <c r="I103" s="5">
        <v>75</v>
      </c>
      <c r="J103" s="5">
        <f t="shared" si="9"/>
        <v>75</v>
      </c>
      <c r="K103" s="36">
        <v>150</v>
      </c>
      <c r="L103" s="5">
        <f t="shared" si="10"/>
        <v>11250</v>
      </c>
      <c r="M103" s="5">
        <v>0</v>
      </c>
      <c r="N103" s="5">
        <f t="shared" si="11"/>
        <v>11250</v>
      </c>
      <c r="O103" s="69" t="s">
        <v>61</v>
      </c>
      <c r="P103" s="4" t="s">
        <v>62</v>
      </c>
      <c r="Q103" s="4"/>
    </row>
    <row r="104" spans="1:17" x14ac:dyDescent="0.2">
      <c r="A104" s="130">
        <v>66929</v>
      </c>
      <c r="B104" s="4" t="s">
        <v>545</v>
      </c>
      <c r="C104" s="4" t="s">
        <v>443</v>
      </c>
      <c r="D104" s="4" t="s">
        <v>69</v>
      </c>
      <c r="E104" s="41">
        <v>0</v>
      </c>
      <c r="F104" s="41">
        <v>0</v>
      </c>
      <c r="G104" s="5">
        <v>4.5</v>
      </c>
      <c r="H104" s="4" t="s">
        <v>441</v>
      </c>
      <c r="I104" s="5">
        <v>0</v>
      </c>
      <c r="J104" s="5">
        <f t="shared" si="9"/>
        <v>4.5</v>
      </c>
      <c r="K104" s="36">
        <v>0</v>
      </c>
      <c r="L104" s="5">
        <f t="shared" si="10"/>
        <v>0</v>
      </c>
      <c r="M104" s="5">
        <v>0</v>
      </c>
      <c r="N104" s="5">
        <f t="shared" si="11"/>
        <v>0</v>
      </c>
      <c r="O104" s="69" t="s">
        <v>61</v>
      </c>
      <c r="P104" s="4" t="s">
        <v>62</v>
      </c>
      <c r="Q104" s="4"/>
    </row>
    <row r="105" spans="1:17" ht="30" customHeight="1" x14ac:dyDescent="0.2">
      <c r="A105" s="130">
        <v>66929</v>
      </c>
      <c r="B105" s="4" t="s">
        <v>546</v>
      </c>
      <c r="C105" s="4" t="s">
        <v>443</v>
      </c>
      <c r="D105" s="4" t="s">
        <v>444</v>
      </c>
      <c r="E105" s="41">
        <v>0</v>
      </c>
      <c r="F105" s="41">
        <v>0</v>
      </c>
      <c r="G105" s="5">
        <v>5</v>
      </c>
      <c r="H105" s="4" t="s">
        <v>441</v>
      </c>
      <c r="I105" s="5">
        <v>0</v>
      </c>
      <c r="J105" s="5">
        <f t="shared" si="9"/>
        <v>5</v>
      </c>
      <c r="K105" s="36">
        <v>0</v>
      </c>
      <c r="L105" s="5">
        <f t="shared" si="10"/>
        <v>0</v>
      </c>
      <c r="M105" s="5">
        <v>0</v>
      </c>
      <c r="N105" s="5">
        <f t="shared" si="11"/>
        <v>0</v>
      </c>
      <c r="O105" s="69" t="s">
        <v>61</v>
      </c>
      <c r="P105" s="4" t="s">
        <v>62</v>
      </c>
      <c r="Q105" s="4"/>
    </row>
    <row r="106" spans="1:17" x14ac:dyDescent="0.2">
      <c r="A106" s="130">
        <v>66929</v>
      </c>
      <c r="B106" s="4" t="s">
        <v>547</v>
      </c>
      <c r="C106" s="4" t="s">
        <v>446</v>
      </c>
      <c r="D106" s="4" t="s">
        <v>69</v>
      </c>
      <c r="E106" s="41">
        <v>3.7</v>
      </c>
      <c r="F106" s="41">
        <v>7.7</v>
      </c>
      <c r="G106" s="5">
        <v>4.5</v>
      </c>
      <c r="H106" s="4" t="s">
        <v>441</v>
      </c>
      <c r="I106" s="5">
        <v>0</v>
      </c>
      <c r="J106" s="5">
        <f t="shared" si="9"/>
        <v>65.989999999999995</v>
      </c>
      <c r="K106" s="36">
        <v>32</v>
      </c>
      <c r="L106" s="5">
        <f t="shared" si="10"/>
        <v>2111.6799999999998</v>
      </c>
      <c r="M106" s="5">
        <v>0</v>
      </c>
      <c r="N106" s="5">
        <f t="shared" si="11"/>
        <v>2111.6799999999998</v>
      </c>
      <c r="O106" s="69" t="s">
        <v>61</v>
      </c>
      <c r="P106" s="4" t="s">
        <v>62</v>
      </c>
      <c r="Q106" s="4"/>
    </row>
    <row r="107" spans="1:17" x14ac:dyDescent="0.2">
      <c r="A107" s="130">
        <v>66929</v>
      </c>
      <c r="B107" s="4" t="s">
        <v>548</v>
      </c>
      <c r="C107" s="4" t="s">
        <v>448</v>
      </c>
      <c r="D107" s="4" t="s">
        <v>69</v>
      </c>
      <c r="E107" s="41">
        <v>3.71</v>
      </c>
      <c r="F107" s="41">
        <v>7.86</v>
      </c>
      <c r="G107" s="5">
        <v>2</v>
      </c>
      <c r="H107" s="4" t="s">
        <v>441</v>
      </c>
      <c r="I107" s="5">
        <v>0</v>
      </c>
      <c r="J107" s="5">
        <f t="shared" si="9"/>
        <v>64.289500000000004</v>
      </c>
      <c r="K107" s="36">
        <v>8.9</v>
      </c>
      <c r="L107" s="5">
        <f t="shared" si="10"/>
        <v>572.17655000000002</v>
      </c>
      <c r="M107" s="5">
        <v>0</v>
      </c>
      <c r="N107" s="5">
        <f t="shared" si="11"/>
        <v>572.17655000000002</v>
      </c>
      <c r="O107" s="69" t="s">
        <v>61</v>
      </c>
      <c r="P107" s="4" t="s">
        <v>62</v>
      </c>
      <c r="Q107" s="4"/>
    </row>
    <row r="108" spans="1:17" x14ac:dyDescent="0.2">
      <c r="A108" s="130">
        <v>66929</v>
      </c>
      <c r="B108" s="4" t="s">
        <v>549</v>
      </c>
      <c r="C108" s="4" t="s">
        <v>450</v>
      </c>
      <c r="D108" s="4" t="s">
        <v>69</v>
      </c>
      <c r="E108" s="41">
        <v>4.6500000000000004</v>
      </c>
      <c r="F108" s="41">
        <v>8.11</v>
      </c>
      <c r="G108" s="5">
        <v>2</v>
      </c>
      <c r="H108" s="4" t="s">
        <v>441</v>
      </c>
      <c r="I108" s="5">
        <v>0</v>
      </c>
      <c r="J108" s="5">
        <f t="shared" si="9"/>
        <v>72.147999999999996</v>
      </c>
      <c r="K108" s="36">
        <v>5.8</v>
      </c>
      <c r="L108" s="5">
        <f t="shared" si="10"/>
        <v>418.45839999999998</v>
      </c>
      <c r="M108" s="5">
        <v>0</v>
      </c>
      <c r="N108" s="5">
        <f t="shared" si="11"/>
        <v>418.45839999999998</v>
      </c>
      <c r="O108" s="69" t="s">
        <v>61</v>
      </c>
      <c r="P108" s="4" t="s">
        <v>62</v>
      </c>
      <c r="Q108" s="4"/>
    </row>
    <row r="109" spans="1:17" ht="30" customHeight="1" x14ac:dyDescent="0.2">
      <c r="A109" s="130">
        <v>66929</v>
      </c>
      <c r="B109" s="4" t="s">
        <v>550</v>
      </c>
      <c r="C109" s="4" t="s">
        <v>452</v>
      </c>
      <c r="D109" s="4" t="s">
        <v>444</v>
      </c>
      <c r="E109" s="41">
        <v>0</v>
      </c>
      <c r="F109" s="41">
        <v>0</v>
      </c>
      <c r="G109" s="5">
        <v>15.5</v>
      </c>
      <c r="H109" s="4" t="s">
        <v>453</v>
      </c>
      <c r="I109" s="5">
        <f>G109*E109</f>
        <v>0</v>
      </c>
      <c r="J109" s="5">
        <f t="shared" si="9"/>
        <v>0</v>
      </c>
      <c r="K109" s="36">
        <v>0</v>
      </c>
      <c r="L109" s="5">
        <f t="shared" si="10"/>
        <v>0</v>
      </c>
      <c r="M109" s="5">
        <v>0</v>
      </c>
      <c r="N109" s="5">
        <f t="shared" si="11"/>
        <v>0</v>
      </c>
      <c r="O109" s="69" t="s">
        <v>61</v>
      </c>
      <c r="P109" s="4" t="s">
        <v>62</v>
      </c>
      <c r="Q109" s="4"/>
    </row>
    <row r="110" spans="1:17" x14ac:dyDescent="0.2">
      <c r="A110" s="130">
        <v>66929</v>
      </c>
      <c r="B110" s="4" t="s">
        <v>551</v>
      </c>
      <c r="C110" s="4" t="s">
        <v>455</v>
      </c>
      <c r="D110" s="4" t="s">
        <v>60</v>
      </c>
      <c r="E110" s="41">
        <v>0</v>
      </c>
      <c r="F110" s="41">
        <v>0</v>
      </c>
      <c r="G110" s="5">
        <v>0</v>
      </c>
      <c r="H110" s="4" t="s">
        <v>453</v>
      </c>
      <c r="I110" s="5">
        <v>84</v>
      </c>
      <c r="J110" s="5">
        <f t="shared" si="9"/>
        <v>84</v>
      </c>
      <c r="K110" s="36">
        <v>0</v>
      </c>
      <c r="L110" s="5">
        <f t="shared" si="10"/>
        <v>0</v>
      </c>
      <c r="M110" s="5">
        <v>0</v>
      </c>
      <c r="N110" s="5">
        <f t="shared" si="11"/>
        <v>0</v>
      </c>
      <c r="O110" s="69" t="s">
        <v>61</v>
      </c>
      <c r="P110" s="4" t="s">
        <v>62</v>
      </c>
      <c r="Q110" s="4"/>
    </row>
    <row r="111" spans="1:17" ht="30" x14ac:dyDescent="0.2">
      <c r="A111" s="130">
        <v>66929</v>
      </c>
      <c r="B111" s="4" t="s">
        <v>552</v>
      </c>
      <c r="C111" s="4" t="s">
        <v>527</v>
      </c>
      <c r="D111" s="4" t="s">
        <v>444</v>
      </c>
      <c r="E111" s="41">
        <v>0</v>
      </c>
      <c r="F111" s="41">
        <v>0</v>
      </c>
      <c r="G111" s="5">
        <v>0</v>
      </c>
      <c r="H111" s="4" t="s">
        <v>453</v>
      </c>
      <c r="I111" s="5">
        <v>75</v>
      </c>
      <c r="J111" s="5">
        <f t="shared" si="9"/>
        <v>75</v>
      </c>
      <c r="K111" s="36">
        <v>120</v>
      </c>
      <c r="L111" s="5">
        <f t="shared" si="10"/>
        <v>9000</v>
      </c>
      <c r="M111" s="5">
        <v>0</v>
      </c>
      <c r="N111" s="5">
        <f t="shared" si="11"/>
        <v>9000</v>
      </c>
      <c r="O111" s="69" t="s">
        <v>61</v>
      </c>
      <c r="P111" s="4" t="s">
        <v>62</v>
      </c>
      <c r="Q111" s="4"/>
    </row>
    <row r="112" spans="1:17" x14ac:dyDescent="0.2">
      <c r="A112" s="130">
        <v>66930</v>
      </c>
      <c r="B112" s="4" t="s">
        <v>553</v>
      </c>
      <c r="C112" s="4" t="s">
        <v>443</v>
      </c>
      <c r="D112" s="4" t="s">
        <v>69</v>
      </c>
      <c r="E112" s="41">
        <v>3.4</v>
      </c>
      <c r="F112" s="41">
        <v>7.6</v>
      </c>
      <c r="G112" s="5">
        <v>4.5</v>
      </c>
      <c r="H112" s="4" t="s">
        <v>441</v>
      </c>
      <c r="I112" s="5">
        <v>0</v>
      </c>
      <c r="J112" s="5">
        <f t="shared" si="9"/>
        <v>63.39</v>
      </c>
      <c r="K112" s="36">
        <v>74.7</v>
      </c>
      <c r="L112" s="5">
        <f t="shared" si="10"/>
        <v>4735.2330000000002</v>
      </c>
      <c r="M112" s="5">
        <v>0</v>
      </c>
      <c r="N112" s="5">
        <f t="shared" si="11"/>
        <v>4735.2330000000002</v>
      </c>
      <c r="O112" s="69" t="s">
        <v>61</v>
      </c>
      <c r="P112" s="4" t="s">
        <v>62</v>
      </c>
      <c r="Q112" s="4"/>
    </row>
    <row r="113" spans="1:17" ht="30" customHeight="1" x14ac:dyDescent="0.2">
      <c r="A113" s="130">
        <v>66930</v>
      </c>
      <c r="B113" s="4" t="s">
        <v>554</v>
      </c>
      <c r="C113" s="4" t="s">
        <v>443</v>
      </c>
      <c r="D113" s="4" t="s">
        <v>444</v>
      </c>
      <c r="E113" s="41">
        <v>5.34</v>
      </c>
      <c r="F113" s="41">
        <v>7.5</v>
      </c>
      <c r="G113" s="5">
        <v>5</v>
      </c>
      <c r="H113" s="4" t="s">
        <v>441</v>
      </c>
      <c r="I113" s="5">
        <v>0</v>
      </c>
      <c r="J113" s="5">
        <f t="shared" si="9"/>
        <v>77.305999999999997</v>
      </c>
      <c r="K113" s="36">
        <v>38.799999999999997</v>
      </c>
      <c r="L113" s="5">
        <f t="shared" si="10"/>
        <v>2999.4727999999996</v>
      </c>
      <c r="M113" s="5">
        <v>0</v>
      </c>
      <c r="N113" s="5">
        <f t="shared" si="11"/>
        <v>2999.4727999999996</v>
      </c>
      <c r="O113" s="69" t="s">
        <v>61</v>
      </c>
      <c r="P113" s="4" t="s">
        <v>62</v>
      </c>
      <c r="Q113" s="4"/>
    </row>
    <row r="114" spans="1:17" x14ac:dyDescent="0.2">
      <c r="A114" s="130">
        <v>66930</v>
      </c>
      <c r="B114" s="4" t="s">
        <v>555</v>
      </c>
      <c r="C114" s="4" t="s">
        <v>446</v>
      </c>
      <c r="D114" s="4" t="s">
        <v>69</v>
      </c>
      <c r="E114" s="41">
        <v>3.6</v>
      </c>
      <c r="F114" s="41">
        <v>7.7</v>
      </c>
      <c r="G114" s="5">
        <v>4.5</v>
      </c>
      <c r="H114" s="4" t="s">
        <v>441</v>
      </c>
      <c r="I114" s="5">
        <v>0</v>
      </c>
      <c r="J114" s="5">
        <f t="shared" si="9"/>
        <v>65.275000000000006</v>
      </c>
      <c r="K114" s="36">
        <v>35</v>
      </c>
      <c r="L114" s="5">
        <f t="shared" si="10"/>
        <v>2284.625</v>
      </c>
      <c r="M114" s="5">
        <v>0</v>
      </c>
      <c r="N114" s="5">
        <f t="shared" si="11"/>
        <v>2284.625</v>
      </c>
      <c r="O114" s="69" t="s">
        <v>61</v>
      </c>
      <c r="P114" s="4" t="s">
        <v>62</v>
      </c>
      <c r="Q114" s="4"/>
    </row>
    <row r="115" spans="1:17" x14ac:dyDescent="0.2">
      <c r="A115" s="130">
        <v>66930</v>
      </c>
      <c r="B115" s="4" t="s">
        <v>556</v>
      </c>
      <c r="C115" s="4" t="s">
        <v>448</v>
      </c>
      <c r="D115" s="4" t="s">
        <v>69</v>
      </c>
      <c r="E115" s="41">
        <v>3.72</v>
      </c>
      <c r="F115" s="41">
        <v>7.86</v>
      </c>
      <c r="G115" s="5">
        <v>2</v>
      </c>
      <c r="H115" s="4" t="s">
        <v>441</v>
      </c>
      <c r="I115" s="5">
        <v>0</v>
      </c>
      <c r="J115" s="5">
        <f t="shared" si="9"/>
        <v>64.361000000000004</v>
      </c>
      <c r="K115" s="36">
        <v>8.1999999999999993</v>
      </c>
      <c r="L115" s="5">
        <f t="shared" si="10"/>
        <v>527.76019999999994</v>
      </c>
      <c r="M115" s="5">
        <v>0</v>
      </c>
      <c r="N115" s="5">
        <f t="shared" si="11"/>
        <v>527.76019999999994</v>
      </c>
      <c r="O115" s="69" t="s">
        <v>61</v>
      </c>
      <c r="P115" s="4" t="s">
        <v>62</v>
      </c>
      <c r="Q115" s="4"/>
    </row>
    <row r="116" spans="1:17" x14ac:dyDescent="0.2">
      <c r="A116" s="130">
        <v>66930</v>
      </c>
      <c r="B116" s="4" t="s">
        <v>557</v>
      </c>
      <c r="C116" s="4" t="s">
        <v>450</v>
      </c>
      <c r="D116" s="4" t="s">
        <v>69</v>
      </c>
      <c r="E116" s="41">
        <v>4.7</v>
      </c>
      <c r="F116" s="41">
        <v>8.06</v>
      </c>
      <c r="G116" s="5">
        <v>2</v>
      </c>
      <c r="H116" s="4" t="s">
        <v>441</v>
      </c>
      <c r="I116" s="5">
        <v>0</v>
      </c>
      <c r="J116" s="5">
        <f t="shared" si="9"/>
        <v>72.278000000000006</v>
      </c>
      <c r="K116" s="36">
        <v>5.6</v>
      </c>
      <c r="L116" s="5">
        <f t="shared" si="10"/>
        <v>404.7568</v>
      </c>
      <c r="M116" s="5">
        <v>0</v>
      </c>
      <c r="N116" s="5">
        <f t="shared" si="11"/>
        <v>404.7568</v>
      </c>
      <c r="O116" s="69" t="s">
        <v>61</v>
      </c>
      <c r="P116" s="4" t="s">
        <v>62</v>
      </c>
      <c r="Q116" s="4"/>
    </row>
    <row r="117" spans="1:17" ht="30" customHeight="1" x14ac:dyDescent="0.2">
      <c r="A117" s="130">
        <v>66930</v>
      </c>
      <c r="B117" s="4" t="s">
        <v>558</v>
      </c>
      <c r="C117" s="4" t="s">
        <v>452</v>
      </c>
      <c r="D117" s="4" t="s">
        <v>444</v>
      </c>
      <c r="E117" s="41">
        <v>6</v>
      </c>
      <c r="F117" s="41">
        <v>0</v>
      </c>
      <c r="G117" s="5">
        <v>15.5</v>
      </c>
      <c r="H117" s="4" t="s">
        <v>453</v>
      </c>
      <c r="I117" s="5">
        <f>G117*E117</f>
        <v>93</v>
      </c>
      <c r="J117" s="5">
        <f t="shared" si="9"/>
        <v>93</v>
      </c>
      <c r="K117" s="36">
        <v>240</v>
      </c>
      <c r="L117" s="73">
        <f t="shared" si="10"/>
        <v>22320</v>
      </c>
      <c r="M117" s="5">
        <v>0</v>
      </c>
      <c r="N117" s="5">
        <f t="shared" si="11"/>
        <v>22320</v>
      </c>
      <c r="O117" s="69" t="s">
        <v>61</v>
      </c>
      <c r="P117" s="4" t="s">
        <v>62</v>
      </c>
      <c r="Q117" s="4"/>
    </row>
    <row r="118" spans="1:17" x14ac:dyDescent="0.2">
      <c r="A118" s="130">
        <v>66930</v>
      </c>
      <c r="B118" s="4" t="s">
        <v>559</v>
      </c>
      <c r="C118" s="4" t="s">
        <v>455</v>
      </c>
      <c r="D118" s="4" t="s">
        <v>60</v>
      </c>
      <c r="E118" s="41">
        <v>0</v>
      </c>
      <c r="F118" s="41">
        <v>0</v>
      </c>
      <c r="G118" s="5">
        <v>0</v>
      </c>
      <c r="H118" s="4" t="s">
        <v>453</v>
      </c>
      <c r="I118" s="5">
        <v>84</v>
      </c>
      <c r="J118" s="5">
        <f t="shared" si="9"/>
        <v>84</v>
      </c>
      <c r="K118" s="36">
        <v>0</v>
      </c>
      <c r="L118" s="5">
        <f t="shared" si="10"/>
        <v>0</v>
      </c>
      <c r="M118" s="5">
        <v>0</v>
      </c>
      <c r="N118" s="5">
        <f t="shared" si="11"/>
        <v>0</v>
      </c>
      <c r="O118" s="69" t="s">
        <v>61</v>
      </c>
      <c r="P118" s="4" t="s">
        <v>62</v>
      </c>
      <c r="Q118" s="4"/>
    </row>
    <row r="119" spans="1:17" ht="30" x14ac:dyDescent="0.2">
      <c r="A119" s="130">
        <v>66930</v>
      </c>
      <c r="B119" s="4" t="s">
        <v>560</v>
      </c>
      <c r="C119" s="4" t="s">
        <v>527</v>
      </c>
      <c r="D119" s="4" t="s">
        <v>444</v>
      </c>
      <c r="E119" s="41">
        <v>0</v>
      </c>
      <c r="F119" s="41">
        <v>0</v>
      </c>
      <c r="G119" s="5">
        <v>0</v>
      </c>
      <c r="H119" s="4" t="s">
        <v>453</v>
      </c>
      <c r="I119" s="5">
        <v>75</v>
      </c>
      <c r="J119" s="5">
        <f t="shared" si="9"/>
        <v>75</v>
      </c>
      <c r="K119" s="36">
        <v>110</v>
      </c>
      <c r="L119" s="5">
        <f t="shared" si="10"/>
        <v>8250</v>
      </c>
      <c r="M119" s="5">
        <v>0</v>
      </c>
      <c r="N119" s="5">
        <f t="shared" si="11"/>
        <v>8250</v>
      </c>
      <c r="O119" s="69" t="s">
        <v>61</v>
      </c>
      <c r="P119" s="4" t="s">
        <v>62</v>
      </c>
      <c r="Q119" s="4"/>
    </row>
    <row r="120" spans="1:17" x14ac:dyDescent="0.2">
      <c r="A120" s="130">
        <v>66931</v>
      </c>
      <c r="B120" s="4" t="s">
        <v>561</v>
      </c>
      <c r="C120" s="4" t="s">
        <v>443</v>
      </c>
      <c r="D120" s="4" t="s">
        <v>69</v>
      </c>
      <c r="E120" s="41">
        <v>3.46</v>
      </c>
      <c r="F120" s="41">
        <v>7.54</v>
      </c>
      <c r="G120" s="5">
        <v>4.5</v>
      </c>
      <c r="H120" s="4" t="s">
        <v>441</v>
      </c>
      <c r="I120" s="5">
        <v>0</v>
      </c>
      <c r="J120" s="5">
        <f t="shared" si="9"/>
        <v>63.546000000000006</v>
      </c>
      <c r="K120" s="36">
        <v>76</v>
      </c>
      <c r="L120" s="5">
        <f t="shared" si="10"/>
        <v>4829.4960000000001</v>
      </c>
      <c r="M120" s="5">
        <v>0</v>
      </c>
      <c r="N120" s="5">
        <f t="shared" si="11"/>
        <v>4829.4960000000001</v>
      </c>
      <c r="O120" s="69" t="s">
        <v>61</v>
      </c>
      <c r="P120" s="4" t="s">
        <v>62</v>
      </c>
      <c r="Q120" s="4"/>
    </row>
    <row r="121" spans="1:17" ht="30" customHeight="1" x14ac:dyDescent="0.2">
      <c r="A121" s="130">
        <v>66931</v>
      </c>
      <c r="B121" s="4" t="s">
        <v>562</v>
      </c>
      <c r="C121" s="4" t="s">
        <v>443</v>
      </c>
      <c r="D121" s="4" t="s">
        <v>444</v>
      </c>
      <c r="E121" s="41">
        <v>5.3</v>
      </c>
      <c r="F121" s="41">
        <v>7.5</v>
      </c>
      <c r="G121" s="5">
        <v>5</v>
      </c>
      <c r="H121" s="4" t="s">
        <v>441</v>
      </c>
      <c r="I121" s="5">
        <v>0</v>
      </c>
      <c r="J121" s="5">
        <f t="shared" si="9"/>
        <v>77.02000000000001</v>
      </c>
      <c r="K121" s="36">
        <v>40.4</v>
      </c>
      <c r="L121" s="5">
        <f t="shared" si="10"/>
        <v>3111.6080000000002</v>
      </c>
      <c r="M121" s="5">
        <v>0</v>
      </c>
      <c r="N121" s="5">
        <f t="shared" si="11"/>
        <v>3111.6080000000002</v>
      </c>
      <c r="O121" s="69" t="s">
        <v>61</v>
      </c>
      <c r="P121" s="4" t="s">
        <v>62</v>
      </c>
      <c r="Q121" s="4"/>
    </row>
    <row r="122" spans="1:17" x14ac:dyDescent="0.2">
      <c r="A122" s="130">
        <v>66931</v>
      </c>
      <c r="B122" s="4" t="s">
        <v>563</v>
      </c>
      <c r="C122" s="4" t="s">
        <v>446</v>
      </c>
      <c r="D122" s="4" t="s">
        <v>69</v>
      </c>
      <c r="E122" s="41">
        <v>3.7</v>
      </c>
      <c r="F122" s="41">
        <v>7.6</v>
      </c>
      <c r="G122" s="5">
        <v>4.5</v>
      </c>
      <c r="H122" s="4" t="s">
        <v>441</v>
      </c>
      <c r="I122" s="5">
        <v>0</v>
      </c>
      <c r="J122" s="5">
        <f t="shared" si="9"/>
        <v>65.534999999999997</v>
      </c>
      <c r="K122" s="36">
        <v>32</v>
      </c>
      <c r="L122" s="5">
        <f t="shared" si="10"/>
        <v>2097.12</v>
      </c>
      <c r="M122" s="5">
        <v>0</v>
      </c>
      <c r="N122" s="5">
        <f t="shared" si="11"/>
        <v>2097.12</v>
      </c>
      <c r="O122" s="69" t="s">
        <v>61</v>
      </c>
      <c r="P122" s="4" t="s">
        <v>62</v>
      </c>
      <c r="Q122" s="4"/>
    </row>
    <row r="123" spans="1:17" x14ac:dyDescent="0.2">
      <c r="A123" s="130">
        <v>66931</v>
      </c>
      <c r="B123" s="4" t="s">
        <v>564</v>
      </c>
      <c r="C123" s="4" t="s">
        <v>448</v>
      </c>
      <c r="D123" s="4" t="s">
        <v>69</v>
      </c>
      <c r="E123" s="41">
        <v>3.71</v>
      </c>
      <c r="F123" s="41">
        <v>7.8</v>
      </c>
      <c r="G123" s="5">
        <v>2</v>
      </c>
      <c r="H123" s="4" t="s">
        <v>441</v>
      </c>
      <c r="I123" s="5">
        <v>0</v>
      </c>
      <c r="J123" s="5">
        <f t="shared" si="9"/>
        <v>64.016499999999994</v>
      </c>
      <c r="K123" s="36">
        <v>10.1</v>
      </c>
      <c r="L123" s="5">
        <f t="shared" si="10"/>
        <v>646.56664999999987</v>
      </c>
      <c r="M123" s="5">
        <v>0</v>
      </c>
      <c r="N123" s="5">
        <f t="shared" si="11"/>
        <v>646.56664999999987</v>
      </c>
      <c r="O123" s="69" t="s">
        <v>61</v>
      </c>
      <c r="P123" s="4" t="s">
        <v>62</v>
      </c>
      <c r="Q123" s="4"/>
    </row>
    <row r="124" spans="1:17" x14ac:dyDescent="0.2">
      <c r="A124" s="130">
        <v>66931</v>
      </c>
      <c r="B124" s="4" t="s">
        <v>565</v>
      </c>
      <c r="C124" s="4" t="s">
        <v>450</v>
      </c>
      <c r="D124" s="4" t="s">
        <v>69</v>
      </c>
      <c r="E124" s="41">
        <v>4.7</v>
      </c>
      <c r="F124" s="41">
        <v>8.0500000000000007</v>
      </c>
      <c r="G124" s="5">
        <v>2</v>
      </c>
      <c r="H124" s="4" t="s">
        <v>441</v>
      </c>
      <c r="I124" s="5">
        <v>0</v>
      </c>
      <c r="J124" s="5">
        <f t="shared" si="9"/>
        <v>72.232500000000016</v>
      </c>
      <c r="K124" s="36">
        <v>6</v>
      </c>
      <c r="L124" s="5">
        <f t="shared" si="10"/>
        <v>433.3950000000001</v>
      </c>
      <c r="M124" s="5">
        <v>0</v>
      </c>
      <c r="N124" s="5">
        <f t="shared" si="11"/>
        <v>433.3950000000001</v>
      </c>
      <c r="O124" s="69" t="s">
        <v>61</v>
      </c>
      <c r="P124" s="4" t="s">
        <v>62</v>
      </c>
      <c r="Q124" s="4"/>
    </row>
    <row r="125" spans="1:17" ht="30" customHeight="1" x14ac:dyDescent="0.2">
      <c r="A125" s="130">
        <v>66931</v>
      </c>
      <c r="B125" s="4" t="s">
        <v>566</v>
      </c>
      <c r="C125" s="4" t="s">
        <v>452</v>
      </c>
      <c r="D125" s="4" t="s">
        <v>444</v>
      </c>
      <c r="E125" s="41">
        <v>0</v>
      </c>
      <c r="F125" s="41">
        <v>0</v>
      </c>
      <c r="G125" s="5">
        <v>15.5</v>
      </c>
      <c r="H125" s="4" t="s">
        <v>453</v>
      </c>
      <c r="I125" s="5">
        <f>G125*E125</f>
        <v>0</v>
      </c>
      <c r="J125" s="5">
        <f t="shared" si="9"/>
        <v>0</v>
      </c>
      <c r="K125" s="36">
        <v>0</v>
      </c>
      <c r="L125" s="5">
        <f t="shared" si="10"/>
        <v>0</v>
      </c>
      <c r="M125" s="5">
        <v>0</v>
      </c>
      <c r="N125" s="5">
        <f t="shared" si="11"/>
        <v>0</v>
      </c>
      <c r="O125" s="69" t="s">
        <v>61</v>
      </c>
      <c r="P125" s="4" t="s">
        <v>62</v>
      </c>
      <c r="Q125" s="4"/>
    </row>
    <row r="126" spans="1:17" x14ac:dyDescent="0.2">
      <c r="A126" s="130">
        <v>66931</v>
      </c>
      <c r="B126" s="4" t="s">
        <v>567</v>
      </c>
      <c r="C126" s="4" t="s">
        <v>455</v>
      </c>
      <c r="D126" s="4" t="s">
        <v>60</v>
      </c>
      <c r="E126" s="41">
        <v>0</v>
      </c>
      <c r="F126" s="41">
        <v>0</v>
      </c>
      <c r="G126" s="5">
        <v>0</v>
      </c>
      <c r="H126" s="4" t="s">
        <v>453</v>
      </c>
      <c r="I126" s="5">
        <v>84</v>
      </c>
      <c r="J126" s="5">
        <f t="shared" si="9"/>
        <v>84</v>
      </c>
      <c r="K126" s="36">
        <v>0</v>
      </c>
      <c r="L126" s="5">
        <f t="shared" si="10"/>
        <v>0</v>
      </c>
      <c r="M126" s="5">
        <v>0</v>
      </c>
      <c r="N126" s="5">
        <f t="shared" si="11"/>
        <v>0</v>
      </c>
      <c r="O126" s="69" t="s">
        <v>61</v>
      </c>
      <c r="P126" s="4" t="s">
        <v>62</v>
      </c>
      <c r="Q126" s="4"/>
    </row>
    <row r="127" spans="1:17" ht="30" x14ac:dyDescent="0.2">
      <c r="A127" s="130">
        <v>66931</v>
      </c>
      <c r="B127" s="4" t="s">
        <v>568</v>
      </c>
      <c r="C127" s="4" t="s">
        <v>527</v>
      </c>
      <c r="D127" s="4" t="s">
        <v>444</v>
      </c>
      <c r="E127" s="41">
        <v>0</v>
      </c>
      <c r="F127" s="41">
        <v>0</v>
      </c>
      <c r="G127" s="5">
        <v>0</v>
      </c>
      <c r="H127" s="4" t="s">
        <v>453</v>
      </c>
      <c r="I127" s="5">
        <v>75</v>
      </c>
      <c r="J127" s="5">
        <f t="shared" si="9"/>
        <v>75</v>
      </c>
      <c r="K127" s="36">
        <v>40</v>
      </c>
      <c r="L127" s="5">
        <f t="shared" si="10"/>
        <v>3000</v>
      </c>
      <c r="M127" s="5">
        <v>0</v>
      </c>
      <c r="N127" s="5">
        <f t="shared" si="11"/>
        <v>3000</v>
      </c>
      <c r="O127" s="69" t="s">
        <v>61</v>
      </c>
      <c r="P127" s="4" t="s">
        <v>62</v>
      </c>
      <c r="Q127" s="4"/>
    </row>
    <row r="128" spans="1:17" x14ac:dyDescent="0.2">
      <c r="A128" s="143" t="s">
        <v>401</v>
      </c>
      <c r="B128" s="4" t="s">
        <v>569</v>
      </c>
      <c r="C128" s="4" t="s">
        <v>443</v>
      </c>
      <c r="D128" s="4" t="s">
        <v>69</v>
      </c>
      <c r="E128" s="41">
        <v>3.5</v>
      </c>
      <c r="F128" s="41">
        <v>7.6</v>
      </c>
      <c r="G128" s="5">
        <v>4.5</v>
      </c>
      <c r="H128" s="4" t="s">
        <v>441</v>
      </c>
      <c r="I128" s="5">
        <v>0</v>
      </c>
      <c r="J128" s="5">
        <f t="shared" si="9"/>
        <v>64.105000000000004</v>
      </c>
      <c r="K128" s="36">
        <v>40</v>
      </c>
      <c r="L128" s="5">
        <f t="shared" si="10"/>
        <v>2564.2000000000003</v>
      </c>
      <c r="M128" s="5">
        <v>0</v>
      </c>
      <c r="N128" s="5">
        <f t="shared" si="11"/>
        <v>2564.2000000000003</v>
      </c>
      <c r="O128" s="69" t="s">
        <v>61</v>
      </c>
      <c r="P128" s="4" t="s">
        <v>62</v>
      </c>
      <c r="Q128" s="4"/>
    </row>
    <row r="129" spans="1:17" ht="30" customHeight="1" x14ac:dyDescent="0.2">
      <c r="A129" s="132" t="s">
        <v>401</v>
      </c>
      <c r="B129" s="4" t="s">
        <v>570</v>
      </c>
      <c r="C129" s="4" t="s">
        <v>443</v>
      </c>
      <c r="D129" s="4" t="s">
        <v>444</v>
      </c>
      <c r="E129" s="41">
        <v>5.4</v>
      </c>
      <c r="F129" s="41">
        <v>7.5</v>
      </c>
      <c r="G129" s="5">
        <v>5</v>
      </c>
      <c r="H129" s="4" t="s">
        <v>441</v>
      </c>
      <c r="I129" s="5">
        <v>0</v>
      </c>
      <c r="J129" s="5">
        <f t="shared" si="9"/>
        <v>77.735000000000014</v>
      </c>
      <c r="K129" s="36">
        <v>25</v>
      </c>
      <c r="L129" s="5">
        <f t="shared" si="10"/>
        <v>1943.3750000000005</v>
      </c>
      <c r="M129" s="5">
        <v>0</v>
      </c>
      <c r="N129" s="5">
        <f t="shared" si="11"/>
        <v>1943.3750000000005</v>
      </c>
      <c r="O129" s="69" t="s">
        <v>61</v>
      </c>
      <c r="P129" s="4" t="s">
        <v>62</v>
      </c>
      <c r="Q129" s="4"/>
    </row>
    <row r="130" spans="1:17" x14ac:dyDescent="0.2">
      <c r="A130" s="132" t="s">
        <v>401</v>
      </c>
      <c r="B130" s="4" t="s">
        <v>571</v>
      </c>
      <c r="C130" s="4" t="s">
        <v>446</v>
      </c>
      <c r="D130" s="4" t="s">
        <v>69</v>
      </c>
      <c r="E130" s="41">
        <v>3.5</v>
      </c>
      <c r="F130" s="41">
        <v>7.7</v>
      </c>
      <c r="G130" s="5">
        <v>4.5</v>
      </c>
      <c r="H130" s="4" t="s">
        <v>441</v>
      </c>
      <c r="I130" s="5">
        <v>0</v>
      </c>
      <c r="J130" s="5">
        <f t="shared" si="9"/>
        <v>64.56</v>
      </c>
      <c r="K130" s="36">
        <v>31.3</v>
      </c>
      <c r="L130" s="5">
        <f t="shared" si="10"/>
        <v>2020.7280000000001</v>
      </c>
      <c r="M130" s="5">
        <v>0</v>
      </c>
      <c r="N130" s="5">
        <f t="shared" si="11"/>
        <v>2020.7280000000001</v>
      </c>
      <c r="O130" s="69" t="s">
        <v>61</v>
      </c>
      <c r="P130" s="4" t="s">
        <v>62</v>
      </c>
      <c r="Q130" s="4"/>
    </row>
    <row r="131" spans="1:17" x14ac:dyDescent="0.2">
      <c r="A131" s="132" t="s">
        <v>401</v>
      </c>
      <c r="B131" s="4" t="s">
        <v>572</v>
      </c>
      <c r="C131" s="4" t="s">
        <v>448</v>
      </c>
      <c r="D131" s="4" t="s">
        <v>69</v>
      </c>
      <c r="E131" s="41">
        <v>3.72</v>
      </c>
      <c r="F131" s="41">
        <v>7.8</v>
      </c>
      <c r="G131" s="5">
        <v>2</v>
      </c>
      <c r="H131" s="4" t="s">
        <v>441</v>
      </c>
      <c r="I131" s="5">
        <v>0</v>
      </c>
      <c r="J131" s="5">
        <f t="shared" si="9"/>
        <v>64.087999999999994</v>
      </c>
      <c r="K131" s="36">
        <v>9.8000000000000007</v>
      </c>
      <c r="L131" s="5">
        <f t="shared" si="10"/>
        <v>628.06240000000003</v>
      </c>
      <c r="M131" s="5">
        <v>0</v>
      </c>
      <c r="N131" s="5">
        <f t="shared" si="11"/>
        <v>628.06240000000003</v>
      </c>
      <c r="O131" s="69" t="s">
        <v>61</v>
      </c>
      <c r="P131" s="4" t="s">
        <v>62</v>
      </c>
      <c r="Q131" s="4"/>
    </row>
    <row r="132" spans="1:17" x14ac:dyDescent="0.2">
      <c r="A132" s="132" t="s">
        <v>401</v>
      </c>
      <c r="B132" s="4" t="s">
        <v>573</v>
      </c>
      <c r="C132" s="4" t="s">
        <v>450</v>
      </c>
      <c r="D132" s="4" t="s">
        <v>69</v>
      </c>
      <c r="E132" s="41">
        <v>4.6500000000000004</v>
      </c>
      <c r="F132" s="41">
        <v>8.0500000000000007</v>
      </c>
      <c r="G132" s="5">
        <v>2</v>
      </c>
      <c r="H132" s="4" t="s">
        <v>441</v>
      </c>
      <c r="I132" s="5">
        <v>0</v>
      </c>
      <c r="J132" s="5">
        <f t="shared" si="9"/>
        <v>71.875</v>
      </c>
      <c r="K132" s="36">
        <v>6.4</v>
      </c>
      <c r="L132" s="5">
        <f t="shared" si="10"/>
        <v>460</v>
      </c>
      <c r="M132" s="5">
        <v>0</v>
      </c>
      <c r="N132" s="5">
        <f t="shared" si="11"/>
        <v>460</v>
      </c>
      <c r="O132" s="69" t="s">
        <v>61</v>
      </c>
      <c r="P132" s="4" t="s">
        <v>62</v>
      </c>
      <c r="Q132" s="4"/>
    </row>
    <row r="133" spans="1:17" ht="30" customHeight="1" x14ac:dyDescent="0.2">
      <c r="A133" s="132" t="s">
        <v>401</v>
      </c>
      <c r="B133" s="4" t="s">
        <v>574</v>
      </c>
      <c r="C133" s="4" t="s">
        <v>452</v>
      </c>
      <c r="D133" s="4" t="s">
        <v>444</v>
      </c>
      <c r="E133" s="41">
        <v>5.6</v>
      </c>
      <c r="F133" s="41">
        <v>0</v>
      </c>
      <c r="G133" s="5">
        <v>15.5</v>
      </c>
      <c r="H133" s="4" t="s">
        <v>453</v>
      </c>
      <c r="I133" s="5">
        <f>G133*E133</f>
        <v>86.8</v>
      </c>
      <c r="J133" s="5">
        <f t="shared" si="9"/>
        <v>86.8</v>
      </c>
      <c r="K133" s="36">
        <v>240</v>
      </c>
      <c r="L133" s="5">
        <f t="shared" si="10"/>
        <v>20832</v>
      </c>
      <c r="M133" s="5">
        <v>0</v>
      </c>
      <c r="N133" s="5">
        <f t="shared" si="11"/>
        <v>20832</v>
      </c>
      <c r="O133" s="69" t="s">
        <v>61</v>
      </c>
      <c r="P133" s="4" t="s">
        <v>62</v>
      </c>
      <c r="Q133" s="4"/>
    </row>
    <row r="134" spans="1:17" x14ac:dyDescent="0.2">
      <c r="A134" s="132" t="s">
        <v>401</v>
      </c>
      <c r="B134" s="4" t="s">
        <v>575</v>
      </c>
      <c r="C134" s="4" t="s">
        <v>455</v>
      </c>
      <c r="D134" s="4" t="s">
        <v>60</v>
      </c>
      <c r="E134" s="41">
        <v>0</v>
      </c>
      <c r="F134" s="41">
        <v>0</v>
      </c>
      <c r="G134" s="5">
        <v>0</v>
      </c>
      <c r="H134" s="4" t="s">
        <v>453</v>
      </c>
      <c r="I134" s="5">
        <v>84</v>
      </c>
      <c r="J134" s="5">
        <f t="shared" si="9"/>
        <v>84</v>
      </c>
      <c r="K134" s="36">
        <v>200</v>
      </c>
      <c r="L134" s="5">
        <f t="shared" si="10"/>
        <v>16800</v>
      </c>
      <c r="M134" s="5">
        <v>0</v>
      </c>
      <c r="N134" s="5">
        <f t="shared" si="11"/>
        <v>16800</v>
      </c>
      <c r="O134" s="69" t="s">
        <v>61</v>
      </c>
      <c r="P134" s="4" t="s">
        <v>62</v>
      </c>
      <c r="Q134" s="4"/>
    </row>
    <row r="135" spans="1:17" ht="30" x14ac:dyDescent="0.2">
      <c r="A135" s="132" t="s">
        <v>401</v>
      </c>
      <c r="B135" s="4" t="s">
        <v>576</v>
      </c>
      <c r="C135" s="4" t="s">
        <v>527</v>
      </c>
      <c r="D135" s="4" t="s">
        <v>444</v>
      </c>
      <c r="E135" s="41">
        <v>0</v>
      </c>
      <c r="F135" s="41">
        <v>0</v>
      </c>
      <c r="G135" s="5">
        <v>0</v>
      </c>
      <c r="H135" s="4" t="s">
        <v>453</v>
      </c>
      <c r="I135" s="5">
        <v>75</v>
      </c>
      <c r="J135" s="5">
        <f t="shared" si="9"/>
        <v>75</v>
      </c>
      <c r="K135" s="36">
        <v>40</v>
      </c>
      <c r="L135" s="5">
        <f t="shared" si="10"/>
        <v>3000</v>
      </c>
      <c r="M135" s="5">
        <v>0</v>
      </c>
      <c r="N135" s="5">
        <f t="shared" si="11"/>
        <v>3000</v>
      </c>
      <c r="O135" s="69" t="s">
        <v>61</v>
      </c>
      <c r="P135" s="4" t="s">
        <v>62</v>
      </c>
      <c r="Q135" s="4"/>
    </row>
    <row r="136" spans="1:17" x14ac:dyDescent="0.2">
      <c r="A136" s="130"/>
      <c r="B136" s="4"/>
      <c r="C136" s="4"/>
      <c r="D136" s="4"/>
      <c r="E136" s="41"/>
      <c r="F136" s="41"/>
      <c r="G136" s="5"/>
      <c r="H136" s="4"/>
      <c r="I136" s="5"/>
      <c r="J136" s="5"/>
      <c r="K136" s="36"/>
      <c r="L136" s="5"/>
      <c r="M136" s="5"/>
      <c r="N136" s="5"/>
      <c r="O136" s="4"/>
      <c r="P136" s="4"/>
      <c r="Q136" s="4"/>
    </row>
    <row r="137" spans="1:17" x14ac:dyDescent="0.2">
      <c r="A137" s="132"/>
      <c r="B137" s="69"/>
      <c r="C137" s="69"/>
      <c r="D137" s="69"/>
      <c r="E137" s="70"/>
      <c r="F137" s="70"/>
      <c r="G137" s="71"/>
      <c r="H137" s="69"/>
      <c r="I137" s="71"/>
      <c r="J137" s="71"/>
      <c r="K137" s="72"/>
      <c r="L137" s="71"/>
      <c r="M137" s="71"/>
      <c r="N137" s="71"/>
      <c r="O137" s="69"/>
      <c r="P137" s="69"/>
      <c r="Q137" s="69"/>
    </row>
    <row r="138" spans="1:17" s="68" customFormat="1" x14ac:dyDescent="0.2">
      <c r="A138" s="133"/>
      <c r="B138" s="64"/>
      <c r="C138" s="64"/>
      <c r="D138" s="64"/>
      <c r="E138" s="65"/>
      <c r="F138" s="65"/>
      <c r="G138" s="66"/>
      <c r="H138" s="64"/>
      <c r="I138" s="66"/>
      <c r="J138" s="66"/>
      <c r="K138" s="67"/>
      <c r="L138" s="66"/>
      <c r="M138" s="66"/>
      <c r="N138" s="66"/>
      <c r="O138" s="64"/>
      <c r="P138" s="64"/>
      <c r="Q138" s="64"/>
    </row>
    <row r="139" spans="1:17" s="68" customFormat="1" x14ac:dyDescent="0.2">
      <c r="A139" s="133"/>
      <c r="B139" s="64"/>
      <c r="C139" s="64"/>
      <c r="D139" s="64"/>
      <c r="E139" s="65"/>
      <c r="F139" s="65"/>
      <c r="G139" s="66"/>
      <c r="H139" s="64"/>
      <c r="I139" s="66"/>
      <c r="J139" s="66"/>
      <c r="K139" s="67"/>
      <c r="L139" s="66"/>
      <c r="M139" s="66"/>
      <c r="N139" s="66"/>
      <c r="O139" s="64"/>
      <c r="P139" s="64"/>
      <c r="Q139" s="64"/>
    </row>
    <row r="140" spans="1:17" x14ac:dyDescent="0.2">
      <c r="A140" s="130"/>
      <c r="B140" s="4"/>
      <c r="C140" s="4"/>
      <c r="D140" s="4"/>
      <c r="E140" s="41"/>
      <c r="F140" s="41"/>
      <c r="G140" s="5"/>
      <c r="H140" s="4"/>
      <c r="I140" s="5"/>
      <c r="J140" s="5"/>
      <c r="K140" s="36"/>
      <c r="L140" s="5"/>
      <c r="M140" s="5"/>
      <c r="N140" s="5"/>
      <c r="O140" s="4"/>
      <c r="P140" s="4"/>
      <c r="Q140" s="4"/>
    </row>
    <row r="141" spans="1:17" s="68" customFormat="1" x14ac:dyDescent="0.2">
      <c r="A141" s="133"/>
      <c r="B141" s="64"/>
      <c r="C141" s="64"/>
      <c r="D141" s="64"/>
      <c r="E141" s="65"/>
      <c r="F141" s="65"/>
      <c r="G141" s="66"/>
      <c r="H141" s="64"/>
      <c r="I141" s="66"/>
      <c r="J141" s="66"/>
      <c r="K141" s="67"/>
      <c r="L141" s="66"/>
      <c r="M141" s="66"/>
      <c r="N141" s="66"/>
      <c r="O141" s="64"/>
      <c r="P141" s="64"/>
      <c r="Q141" s="64"/>
    </row>
    <row r="142" spans="1:17" x14ac:dyDescent="0.2">
      <c r="A142" s="130"/>
      <c r="B142" s="4"/>
      <c r="C142" s="4"/>
      <c r="D142" s="4"/>
      <c r="E142" s="41"/>
      <c r="F142" s="41"/>
      <c r="G142" s="5"/>
      <c r="H142" s="4"/>
      <c r="I142" s="5"/>
      <c r="J142" s="5"/>
      <c r="K142" s="36"/>
      <c r="L142" s="5"/>
      <c r="M142" s="5"/>
      <c r="N142" s="5"/>
      <c r="O142" s="4"/>
      <c r="P142" s="4"/>
      <c r="Q142" s="4"/>
    </row>
    <row r="143" spans="1:17" x14ac:dyDescent="0.2">
      <c r="A143" s="130"/>
      <c r="B143" s="4"/>
      <c r="C143" s="4"/>
      <c r="D143" s="4"/>
      <c r="E143" s="41"/>
      <c r="F143" s="41"/>
      <c r="G143" s="5"/>
      <c r="H143" s="4"/>
      <c r="I143" s="5"/>
      <c r="J143" s="5"/>
      <c r="K143" s="36"/>
      <c r="L143" s="5"/>
      <c r="M143" s="5"/>
      <c r="N143" s="5"/>
      <c r="O143" s="4"/>
      <c r="P143" s="4"/>
      <c r="Q143" s="4"/>
    </row>
    <row r="144" spans="1:17" x14ac:dyDescent="0.2">
      <c r="A144" s="130"/>
      <c r="B144" s="4"/>
      <c r="C144" s="4"/>
      <c r="D144" s="4"/>
      <c r="E144" s="41"/>
      <c r="F144" s="41"/>
      <c r="G144" s="5"/>
      <c r="H144" s="4"/>
      <c r="I144" s="5"/>
      <c r="J144" s="5"/>
      <c r="K144" s="36"/>
      <c r="L144" s="5"/>
      <c r="M144" s="5"/>
      <c r="N144" s="5"/>
      <c r="O144" s="4"/>
      <c r="P144" s="4"/>
      <c r="Q144" s="4"/>
    </row>
    <row r="145" spans="1:17" x14ac:dyDescent="0.2">
      <c r="A145" s="130"/>
      <c r="B145" s="4"/>
      <c r="C145" s="4"/>
      <c r="D145" s="4"/>
      <c r="E145" s="41"/>
      <c r="F145" s="41"/>
      <c r="G145" s="5"/>
      <c r="H145" s="4"/>
      <c r="I145" s="5"/>
      <c r="J145" s="5"/>
      <c r="K145" s="36"/>
      <c r="L145" s="5"/>
      <c r="M145" s="5"/>
      <c r="N145" s="5"/>
      <c r="O145" s="4"/>
      <c r="P145" s="4"/>
      <c r="Q145" s="4"/>
    </row>
    <row r="146" spans="1:17" x14ac:dyDescent="0.2">
      <c r="A146" s="130"/>
      <c r="B146" s="4"/>
      <c r="C146" s="4"/>
      <c r="D146" s="4"/>
      <c r="E146" s="41"/>
      <c r="F146" s="41"/>
      <c r="G146" s="5"/>
      <c r="H146" s="4"/>
      <c r="I146" s="5"/>
      <c r="J146" s="5"/>
      <c r="K146" s="36"/>
      <c r="L146" s="5"/>
      <c r="M146" s="5"/>
      <c r="N146" s="5"/>
      <c r="O146" s="4"/>
      <c r="P146" s="4"/>
      <c r="Q146" s="4"/>
    </row>
    <row r="147" spans="1:17" x14ac:dyDescent="0.2">
      <c r="A147" s="130"/>
      <c r="B147" s="4"/>
      <c r="C147" s="4"/>
      <c r="D147" s="4"/>
      <c r="E147" s="41"/>
      <c r="F147" s="41"/>
      <c r="G147" s="5"/>
      <c r="H147" s="4"/>
      <c r="I147" s="5"/>
      <c r="J147" s="5"/>
      <c r="K147" s="36"/>
      <c r="L147" s="5"/>
      <c r="M147" s="5"/>
      <c r="N147" s="5"/>
      <c r="O147" s="4"/>
      <c r="P147" s="4"/>
      <c r="Q147" s="4"/>
    </row>
    <row r="148" spans="1:17" x14ac:dyDescent="0.2">
      <c r="A148" s="130"/>
      <c r="B148" s="4"/>
      <c r="C148" s="4"/>
      <c r="D148" s="4"/>
      <c r="E148" s="41"/>
      <c r="F148" s="41"/>
      <c r="G148" s="5"/>
      <c r="H148" s="4"/>
      <c r="I148" s="5"/>
      <c r="J148" s="5"/>
      <c r="K148" s="36"/>
      <c r="L148" s="5"/>
      <c r="M148" s="5"/>
      <c r="N148" s="5"/>
      <c r="O148" s="4"/>
      <c r="P148" s="4"/>
      <c r="Q148" s="4"/>
    </row>
    <row r="149" spans="1:17" x14ac:dyDescent="0.2">
      <c r="A149" s="130"/>
      <c r="B149" s="4"/>
      <c r="C149" s="4"/>
      <c r="D149" s="4"/>
      <c r="E149" s="41"/>
      <c r="F149" s="41"/>
      <c r="G149" s="5"/>
      <c r="H149" s="4"/>
      <c r="I149" s="5"/>
      <c r="J149" s="5"/>
      <c r="K149" s="36"/>
      <c r="L149" s="5"/>
      <c r="M149" s="5"/>
      <c r="N149" s="5"/>
      <c r="O149" s="4"/>
      <c r="P149" s="4"/>
      <c r="Q149" s="4"/>
    </row>
    <row r="150" spans="1:17" x14ac:dyDescent="0.2">
      <c r="A150" s="130"/>
      <c r="B150" s="4"/>
      <c r="C150" s="4"/>
      <c r="D150" s="4"/>
      <c r="E150" s="41"/>
      <c r="F150" s="41"/>
      <c r="G150" s="5"/>
      <c r="H150" s="4"/>
      <c r="I150" s="5"/>
      <c r="J150" s="5"/>
      <c r="K150" s="36"/>
      <c r="L150" s="5"/>
      <c r="M150" s="5"/>
      <c r="N150" s="5"/>
      <c r="O150" s="4"/>
      <c r="P150" s="4"/>
      <c r="Q150" s="4"/>
    </row>
    <row r="151" spans="1:17" x14ac:dyDescent="0.2">
      <c r="A151" s="130"/>
      <c r="B151" s="4"/>
      <c r="C151" s="4"/>
      <c r="D151" s="4"/>
      <c r="E151" s="41"/>
      <c r="F151" s="41"/>
      <c r="G151" s="5"/>
      <c r="H151" s="4"/>
      <c r="I151" s="5"/>
      <c r="J151" s="5"/>
      <c r="K151" s="36"/>
      <c r="L151" s="5"/>
      <c r="M151" s="5"/>
      <c r="N151" s="5"/>
      <c r="O151" s="4"/>
      <c r="P151" s="4"/>
      <c r="Q151" s="4"/>
    </row>
    <row r="152" spans="1:17" x14ac:dyDescent="0.2">
      <c r="A152" s="130"/>
      <c r="B152" s="4"/>
      <c r="C152" s="4"/>
      <c r="D152" s="4"/>
      <c r="E152" s="41"/>
      <c r="F152" s="41"/>
      <c r="G152" s="5"/>
      <c r="H152" s="4"/>
      <c r="I152" s="5"/>
      <c r="J152" s="5"/>
      <c r="K152" s="36"/>
      <c r="L152" s="5"/>
      <c r="M152" s="5"/>
      <c r="N152" s="5"/>
      <c r="O152" s="4"/>
      <c r="P152" s="4"/>
      <c r="Q152" s="4"/>
    </row>
    <row r="153" spans="1:17" x14ac:dyDescent="0.2">
      <c r="A153" s="130"/>
      <c r="B153" s="4"/>
      <c r="C153" s="4"/>
      <c r="D153" s="4"/>
      <c r="E153" s="41"/>
      <c r="F153" s="41"/>
      <c r="G153" s="5"/>
      <c r="H153" s="4"/>
      <c r="I153" s="5"/>
      <c r="J153" s="5"/>
      <c r="K153" s="36"/>
      <c r="L153" s="5"/>
      <c r="M153" s="5"/>
      <c r="N153" s="5"/>
      <c r="O153" s="4"/>
      <c r="P153" s="4"/>
      <c r="Q153" s="4"/>
    </row>
    <row r="154" spans="1:17" x14ac:dyDescent="0.2">
      <c r="A154" s="130"/>
      <c r="B154" s="4"/>
      <c r="C154" s="4"/>
      <c r="D154" s="4"/>
      <c r="E154" s="41"/>
      <c r="F154" s="41"/>
      <c r="G154" s="5"/>
      <c r="H154" s="4"/>
      <c r="I154" s="5"/>
      <c r="J154" s="5" t="str">
        <f t="shared" ref="J154:J217" si="12">IF($D154="","",IF($H154="FIXED",$I154,($E154*FAT_MULT)+($F154*SNF_MULT)+$G154))</f>
        <v/>
      </c>
      <c r="K154" s="36"/>
      <c r="L154" s="5" t="str">
        <f t="shared" ref="L154:L217" si="13">IF($K154="","",$K154*$J154)</f>
        <v/>
      </c>
      <c r="M154" s="5"/>
      <c r="N154" s="5" t="str">
        <f t="shared" ref="N154:N217" si="14">IF($K154="","",$L154+$M154)</f>
        <v/>
      </c>
      <c r="O154" s="4"/>
      <c r="P154" s="4"/>
      <c r="Q154" s="4"/>
    </row>
    <row r="155" spans="1:17" x14ac:dyDescent="0.2">
      <c r="A155" s="130"/>
      <c r="B155" s="4"/>
      <c r="C155" s="4"/>
      <c r="D155" s="4"/>
      <c r="E155" s="41"/>
      <c r="F155" s="41"/>
      <c r="G155" s="5"/>
      <c r="H155" s="4"/>
      <c r="I155" s="5"/>
      <c r="J155" s="5" t="str">
        <f t="shared" si="12"/>
        <v/>
      </c>
      <c r="K155" s="36"/>
      <c r="L155" s="5" t="str">
        <f t="shared" si="13"/>
        <v/>
      </c>
      <c r="M155" s="5"/>
      <c r="N155" s="5" t="str">
        <f t="shared" si="14"/>
        <v/>
      </c>
      <c r="O155" s="4"/>
      <c r="P155" s="4"/>
      <c r="Q155" s="4"/>
    </row>
    <row r="156" spans="1:17" x14ac:dyDescent="0.2">
      <c r="A156" s="130"/>
      <c r="B156" s="4"/>
      <c r="C156" s="4"/>
      <c r="D156" s="4"/>
      <c r="E156" s="41"/>
      <c r="F156" s="41"/>
      <c r="G156" s="5"/>
      <c r="H156" s="4"/>
      <c r="I156" s="5"/>
      <c r="J156" s="5" t="str">
        <f t="shared" si="12"/>
        <v/>
      </c>
      <c r="K156" s="36"/>
      <c r="L156" s="5" t="str">
        <f t="shared" si="13"/>
        <v/>
      </c>
      <c r="M156" s="5"/>
      <c r="N156" s="5" t="str">
        <f t="shared" si="14"/>
        <v/>
      </c>
      <c r="O156" s="4"/>
      <c r="P156" s="4"/>
      <c r="Q156" s="4"/>
    </row>
    <row r="157" spans="1:17" x14ac:dyDescent="0.2">
      <c r="A157" s="130"/>
      <c r="B157" s="4"/>
      <c r="C157" s="4"/>
      <c r="D157" s="4"/>
      <c r="E157" s="41"/>
      <c r="F157" s="41"/>
      <c r="G157" s="5"/>
      <c r="H157" s="4"/>
      <c r="I157" s="5"/>
      <c r="J157" s="5" t="str">
        <f t="shared" si="12"/>
        <v/>
      </c>
      <c r="K157" s="36"/>
      <c r="L157" s="5" t="str">
        <f t="shared" si="13"/>
        <v/>
      </c>
      <c r="M157" s="5"/>
      <c r="N157" s="5" t="str">
        <f t="shared" si="14"/>
        <v/>
      </c>
      <c r="O157" s="4"/>
      <c r="P157" s="4"/>
      <c r="Q157" s="4"/>
    </row>
    <row r="158" spans="1:17" x14ac:dyDescent="0.2">
      <c r="A158" s="130"/>
      <c r="B158" s="4"/>
      <c r="C158" s="4"/>
      <c r="D158" s="4"/>
      <c r="E158" s="41"/>
      <c r="F158" s="41"/>
      <c r="G158" s="5"/>
      <c r="H158" s="4"/>
      <c r="I158" s="5"/>
      <c r="J158" s="5" t="str">
        <f t="shared" si="12"/>
        <v/>
      </c>
      <c r="K158" s="36"/>
      <c r="L158" s="5" t="str">
        <f t="shared" si="13"/>
        <v/>
      </c>
      <c r="M158" s="5"/>
      <c r="N158" s="5" t="str">
        <f t="shared" si="14"/>
        <v/>
      </c>
      <c r="O158" s="4"/>
      <c r="P158" s="4"/>
      <c r="Q158" s="4"/>
    </row>
    <row r="159" spans="1:17" x14ac:dyDescent="0.2">
      <c r="A159" s="130"/>
      <c r="B159" s="4"/>
      <c r="C159" s="4"/>
      <c r="D159" s="4"/>
      <c r="E159" s="41"/>
      <c r="F159" s="41"/>
      <c r="G159" s="5"/>
      <c r="H159" s="4"/>
      <c r="I159" s="5"/>
      <c r="J159" s="5" t="str">
        <f t="shared" si="12"/>
        <v/>
      </c>
      <c r="K159" s="36"/>
      <c r="L159" s="5" t="str">
        <f t="shared" si="13"/>
        <v/>
      </c>
      <c r="M159" s="5"/>
      <c r="N159" s="5" t="str">
        <f t="shared" si="14"/>
        <v/>
      </c>
      <c r="O159" s="4"/>
      <c r="P159" s="4"/>
      <c r="Q159" s="4"/>
    </row>
    <row r="160" spans="1:17" x14ac:dyDescent="0.2">
      <c r="A160" s="130"/>
      <c r="B160" s="4"/>
      <c r="C160" s="4"/>
      <c r="D160" s="4"/>
      <c r="E160" s="41"/>
      <c r="F160" s="41"/>
      <c r="G160" s="5"/>
      <c r="H160" s="4"/>
      <c r="I160" s="5"/>
      <c r="J160" s="5" t="str">
        <f t="shared" si="12"/>
        <v/>
      </c>
      <c r="K160" s="36"/>
      <c r="L160" s="5" t="str">
        <f t="shared" si="13"/>
        <v/>
      </c>
      <c r="M160" s="5"/>
      <c r="N160" s="5" t="str">
        <f t="shared" si="14"/>
        <v/>
      </c>
      <c r="O160" s="4"/>
      <c r="P160" s="4"/>
      <c r="Q160" s="4"/>
    </row>
    <row r="161" spans="1:17" x14ac:dyDescent="0.2">
      <c r="A161" s="130"/>
      <c r="B161" s="4"/>
      <c r="C161" s="4"/>
      <c r="D161" s="4"/>
      <c r="E161" s="41"/>
      <c r="F161" s="41"/>
      <c r="G161" s="5"/>
      <c r="H161" s="4"/>
      <c r="I161" s="5"/>
      <c r="J161" s="5" t="str">
        <f t="shared" si="12"/>
        <v/>
      </c>
      <c r="K161" s="36"/>
      <c r="L161" s="5" t="str">
        <f t="shared" si="13"/>
        <v/>
      </c>
      <c r="M161" s="5"/>
      <c r="N161" s="5" t="str">
        <f t="shared" si="14"/>
        <v/>
      </c>
      <c r="O161" s="4"/>
      <c r="P161" s="4"/>
      <c r="Q161" s="4"/>
    </row>
    <row r="162" spans="1:17" x14ac:dyDescent="0.2">
      <c r="A162" s="130"/>
      <c r="B162" s="4"/>
      <c r="C162" s="4"/>
      <c r="D162" s="4"/>
      <c r="E162" s="41"/>
      <c r="F162" s="41"/>
      <c r="G162" s="5"/>
      <c r="H162" s="4"/>
      <c r="I162" s="5"/>
      <c r="J162" s="5" t="str">
        <f t="shared" si="12"/>
        <v/>
      </c>
      <c r="K162" s="36"/>
      <c r="L162" s="5" t="str">
        <f t="shared" si="13"/>
        <v/>
      </c>
      <c r="M162" s="5"/>
      <c r="N162" s="5" t="str">
        <f t="shared" si="14"/>
        <v/>
      </c>
      <c r="O162" s="4"/>
      <c r="P162" s="4"/>
      <c r="Q162" s="4"/>
    </row>
    <row r="163" spans="1:17" x14ac:dyDescent="0.2">
      <c r="A163" s="130"/>
      <c r="B163" s="4"/>
      <c r="C163" s="4"/>
      <c r="D163" s="4"/>
      <c r="E163" s="41"/>
      <c r="F163" s="41"/>
      <c r="G163" s="5"/>
      <c r="H163" s="4"/>
      <c r="I163" s="5"/>
      <c r="J163" s="5" t="str">
        <f t="shared" si="12"/>
        <v/>
      </c>
      <c r="K163" s="36"/>
      <c r="L163" s="5" t="str">
        <f t="shared" si="13"/>
        <v/>
      </c>
      <c r="M163" s="5"/>
      <c r="N163" s="5" t="str">
        <f t="shared" si="14"/>
        <v/>
      </c>
      <c r="O163" s="4"/>
      <c r="P163" s="4"/>
      <c r="Q163" s="4"/>
    </row>
    <row r="164" spans="1:17" x14ac:dyDescent="0.2">
      <c r="A164" s="130"/>
      <c r="B164" s="4"/>
      <c r="C164" s="4"/>
      <c r="D164" s="4"/>
      <c r="E164" s="41"/>
      <c r="F164" s="41"/>
      <c r="G164" s="5"/>
      <c r="H164" s="4"/>
      <c r="I164" s="5"/>
      <c r="J164" s="5" t="str">
        <f t="shared" si="12"/>
        <v/>
      </c>
      <c r="K164" s="36"/>
      <c r="L164" s="5" t="str">
        <f t="shared" si="13"/>
        <v/>
      </c>
      <c r="M164" s="5"/>
      <c r="N164" s="5" t="str">
        <f t="shared" si="14"/>
        <v/>
      </c>
      <c r="O164" s="4"/>
      <c r="P164" s="4"/>
      <c r="Q164" s="4"/>
    </row>
    <row r="165" spans="1:17" x14ac:dyDescent="0.2">
      <c r="A165" s="130"/>
      <c r="B165" s="4"/>
      <c r="C165" s="4"/>
      <c r="D165" s="4"/>
      <c r="E165" s="41"/>
      <c r="F165" s="41"/>
      <c r="G165" s="5"/>
      <c r="H165" s="4"/>
      <c r="I165" s="5"/>
      <c r="J165" s="5" t="str">
        <f t="shared" si="12"/>
        <v/>
      </c>
      <c r="K165" s="36"/>
      <c r="L165" s="5" t="str">
        <f t="shared" si="13"/>
        <v/>
      </c>
      <c r="M165" s="5"/>
      <c r="N165" s="5" t="str">
        <f t="shared" si="14"/>
        <v/>
      </c>
      <c r="O165" s="4"/>
      <c r="P165" s="4"/>
      <c r="Q165" s="4"/>
    </row>
    <row r="166" spans="1:17" x14ac:dyDescent="0.2">
      <c r="A166" s="130"/>
      <c r="B166" s="4"/>
      <c r="C166" s="4"/>
      <c r="D166" s="4"/>
      <c r="E166" s="41"/>
      <c r="F166" s="41"/>
      <c r="G166" s="5"/>
      <c r="H166" s="4"/>
      <c r="I166" s="5"/>
      <c r="J166" s="5" t="str">
        <f t="shared" si="12"/>
        <v/>
      </c>
      <c r="K166" s="36"/>
      <c r="L166" s="5" t="str">
        <f t="shared" si="13"/>
        <v/>
      </c>
      <c r="M166" s="5"/>
      <c r="N166" s="5" t="str">
        <f t="shared" si="14"/>
        <v/>
      </c>
      <c r="O166" s="4"/>
      <c r="P166" s="4"/>
      <c r="Q166" s="4"/>
    </row>
    <row r="167" spans="1:17" x14ac:dyDescent="0.2">
      <c r="A167" s="130"/>
      <c r="B167" s="4"/>
      <c r="C167" s="4"/>
      <c r="D167" s="4"/>
      <c r="E167" s="41"/>
      <c r="F167" s="41"/>
      <c r="G167" s="5"/>
      <c r="H167" s="4"/>
      <c r="I167" s="5"/>
      <c r="J167" s="5" t="str">
        <f t="shared" si="12"/>
        <v/>
      </c>
      <c r="K167" s="36"/>
      <c r="L167" s="5" t="str">
        <f t="shared" si="13"/>
        <v/>
      </c>
      <c r="M167" s="5"/>
      <c r="N167" s="5" t="str">
        <f t="shared" si="14"/>
        <v/>
      </c>
      <c r="O167" s="4"/>
      <c r="P167" s="4"/>
      <c r="Q167" s="4"/>
    </row>
    <row r="168" spans="1:17" x14ac:dyDescent="0.2">
      <c r="A168" s="130"/>
      <c r="B168" s="4"/>
      <c r="C168" s="4"/>
      <c r="D168" s="4"/>
      <c r="E168" s="41"/>
      <c r="F168" s="41"/>
      <c r="G168" s="5"/>
      <c r="H168" s="4"/>
      <c r="I168" s="5"/>
      <c r="J168" s="5" t="str">
        <f t="shared" si="12"/>
        <v/>
      </c>
      <c r="K168" s="36"/>
      <c r="L168" s="5" t="str">
        <f t="shared" si="13"/>
        <v/>
      </c>
      <c r="M168" s="5"/>
      <c r="N168" s="5" t="str">
        <f t="shared" si="14"/>
        <v/>
      </c>
      <c r="O168" s="4"/>
      <c r="P168" s="4"/>
      <c r="Q168" s="4"/>
    </row>
    <row r="169" spans="1:17" x14ac:dyDescent="0.2">
      <c r="A169" s="130"/>
      <c r="B169" s="4"/>
      <c r="C169" s="4"/>
      <c r="D169" s="4"/>
      <c r="E169" s="41"/>
      <c r="F169" s="41"/>
      <c r="G169" s="5"/>
      <c r="H169" s="4"/>
      <c r="I169" s="5"/>
      <c r="J169" s="5" t="str">
        <f t="shared" si="12"/>
        <v/>
      </c>
      <c r="K169" s="36"/>
      <c r="L169" s="5" t="str">
        <f t="shared" si="13"/>
        <v/>
      </c>
      <c r="M169" s="5"/>
      <c r="N169" s="5" t="str">
        <f t="shared" si="14"/>
        <v/>
      </c>
      <c r="O169" s="4"/>
      <c r="P169" s="4"/>
      <c r="Q169" s="4"/>
    </row>
    <row r="170" spans="1:17" x14ac:dyDescent="0.2">
      <c r="A170" s="130"/>
      <c r="B170" s="4"/>
      <c r="C170" s="4"/>
      <c r="D170" s="4"/>
      <c r="E170" s="41"/>
      <c r="F170" s="41"/>
      <c r="G170" s="5"/>
      <c r="H170" s="4"/>
      <c r="I170" s="5"/>
      <c r="J170" s="5" t="str">
        <f t="shared" si="12"/>
        <v/>
      </c>
      <c r="K170" s="36"/>
      <c r="L170" s="5" t="str">
        <f t="shared" si="13"/>
        <v/>
      </c>
      <c r="M170" s="5"/>
      <c r="N170" s="5" t="str">
        <f t="shared" si="14"/>
        <v/>
      </c>
      <c r="O170" s="4"/>
      <c r="P170" s="4"/>
      <c r="Q170" s="4"/>
    </row>
    <row r="171" spans="1:17" x14ac:dyDescent="0.2">
      <c r="A171" s="130"/>
      <c r="B171" s="4"/>
      <c r="C171" s="4"/>
      <c r="D171" s="4"/>
      <c r="E171" s="41"/>
      <c r="F171" s="41"/>
      <c r="G171" s="5"/>
      <c r="H171" s="4"/>
      <c r="I171" s="5"/>
      <c r="J171" s="5" t="str">
        <f t="shared" si="12"/>
        <v/>
      </c>
      <c r="K171" s="36"/>
      <c r="L171" s="5" t="str">
        <f t="shared" si="13"/>
        <v/>
      </c>
      <c r="M171" s="5"/>
      <c r="N171" s="5" t="str">
        <f t="shared" si="14"/>
        <v/>
      </c>
      <c r="O171" s="4"/>
      <c r="P171" s="4"/>
      <c r="Q171" s="4"/>
    </row>
    <row r="172" spans="1:17" x14ac:dyDescent="0.2">
      <c r="A172" s="130"/>
      <c r="B172" s="4"/>
      <c r="C172" s="4"/>
      <c r="D172" s="4"/>
      <c r="E172" s="41"/>
      <c r="F172" s="41"/>
      <c r="G172" s="5"/>
      <c r="H172" s="4"/>
      <c r="I172" s="5"/>
      <c r="J172" s="5" t="str">
        <f t="shared" si="12"/>
        <v/>
      </c>
      <c r="K172" s="36"/>
      <c r="L172" s="5" t="str">
        <f t="shared" si="13"/>
        <v/>
      </c>
      <c r="M172" s="5"/>
      <c r="N172" s="5" t="str">
        <f t="shared" si="14"/>
        <v/>
      </c>
      <c r="O172" s="4"/>
      <c r="P172" s="4"/>
      <c r="Q172" s="4"/>
    </row>
    <row r="173" spans="1:17" x14ac:dyDescent="0.2">
      <c r="A173" s="130"/>
      <c r="B173" s="4"/>
      <c r="C173" s="4"/>
      <c r="D173" s="4"/>
      <c r="E173" s="41"/>
      <c r="F173" s="41"/>
      <c r="G173" s="5"/>
      <c r="H173" s="4"/>
      <c r="I173" s="5"/>
      <c r="J173" s="5" t="str">
        <f t="shared" si="12"/>
        <v/>
      </c>
      <c r="K173" s="36"/>
      <c r="L173" s="5" t="str">
        <f t="shared" si="13"/>
        <v/>
      </c>
      <c r="M173" s="5"/>
      <c r="N173" s="5" t="str">
        <f t="shared" si="14"/>
        <v/>
      </c>
      <c r="O173" s="4"/>
      <c r="P173" s="4"/>
      <c r="Q173" s="4"/>
    </row>
    <row r="174" spans="1:17" x14ac:dyDescent="0.2">
      <c r="A174" s="130"/>
      <c r="B174" s="4"/>
      <c r="C174" s="4"/>
      <c r="D174" s="4"/>
      <c r="E174" s="41"/>
      <c r="F174" s="41"/>
      <c r="G174" s="5"/>
      <c r="H174" s="4"/>
      <c r="I174" s="5"/>
      <c r="J174" s="5" t="str">
        <f t="shared" si="12"/>
        <v/>
      </c>
      <c r="K174" s="36"/>
      <c r="L174" s="5" t="str">
        <f t="shared" si="13"/>
        <v/>
      </c>
      <c r="M174" s="5"/>
      <c r="N174" s="5" t="str">
        <f t="shared" si="14"/>
        <v/>
      </c>
      <c r="O174" s="4"/>
      <c r="P174" s="4"/>
      <c r="Q174" s="4"/>
    </row>
    <row r="175" spans="1:17" x14ac:dyDescent="0.2">
      <c r="A175" s="130"/>
      <c r="B175" s="4"/>
      <c r="C175" s="4"/>
      <c r="D175" s="4"/>
      <c r="E175" s="41"/>
      <c r="F175" s="41"/>
      <c r="G175" s="5"/>
      <c r="H175" s="4"/>
      <c r="I175" s="5"/>
      <c r="J175" s="5" t="str">
        <f t="shared" si="12"/>
        <v/>
      </c>
      <c r="K175" s="36"/>
      <c r="L175" s="5" t="str">
        <f t="shared" si="13"/>
        <v/>
      </c>
      <c r="M175" s="5"/>
      <c r="N175" s="5" t="str">
        <f t="shared" si="14"/>
        <v/>
      </c>
      <c r="O175" s="4"/>
      <c r="P175" s="4"/>
      <c r="Q175" s="4"/>
    </row>
    <row r="176" spans="1:17" x14ac:dyDescent="0.2">
      <c r="A176" s="130"/>
      <c r="B176" s="4"/>
      <c r="C176" s="4"/>
      <c r="D176" s="4"/>
      <c r="E176" s="41"/>
      <c r="F176" s="41"/>
      <c r="G176" s="5"/>
      <c r="H176" s="4"/>
      <c r="I176" s="5"/>
      <c r="J176" s="5" t="str">
        <f t="shared" si="12"/>
        <v/>
      </c>
      <c r="K176" s="36"/>
      <c r="L176" s="5" t="str">
        <f t="shared" si="13"/>
        <v/>
      </c>
      <c r="M176" s="5"/>
      <c r="N176" s="5" t="str">
        <f t="shared" si="14"/>
        <v/>
      </c>
      <c r="O176" s="4"/>
      <c r="P176" s="4"/>
      <c r="Q176" s="4"/>
    </row>
    <row r="177" spans="1:17" x14ac:dyDescent="0.2">
      <c r="A177" s="130"/>
      <c r="B177" s="4"/>
      <c r="C177" s="4"/>
      <c r="D177" s="4"/>
      <c r="E177" s="41"/>
      <c r="F177" s="41"/>
      <c r="G177" s="5"/>
      <c r="H177" s="4"/>
      <c r="I177" s="5"/>
      <c r="J177" s="5" t="str">
        <f t="shared" si="12"/>
        <v/>
      </c>
      <c r="K177" s="36"/>
      <c r="L177" s="5" t="str">
        <f t="shared" si="13"/>
        <v/>
      </c>
      <c r="M177" s="5"/>
      <c r="N177" s="5" t="str">
        <f t="shared" si="14"/>
        <v/>
      </c>
      <c r="O177" s="4"/>
      <c r="P177" s="4"/>
      <c r="Q177" s="4"/>
    </row>
    <row r="178" spans="1:17" x14ac:dyDescent="0.2">
      <c r="A178" s="130"/>
      <c r="B178" s="4"/>
      <c r="C178" s="4"/>
      <c r="D178" s="4"/>
      <c r="E178" s="41"/>
      <c r="F178" s="41"/>
      <c r="G178" s="5"/>
      <c r="H178" s="4"/>
      <c r="I178" s="5"/>
      <c r="J178" s="5" t="str">
        <f t="shared" si="12"/>
        <v/>
      </c>
      <c r="K178" s="36"/>
      <c r="L178" s="5" t="str">
        <f t="shared" si="13"/>
        <v/>
      </c>
      <c r="M178" s="5"/>
      <c r="N178" s="5" t="str">
        <f t="shared" si="14"/>
        <v/>
      </c>
      <c r="O178" s="4"/>
      <c r="P178" s="4"/>
      <c r="Q178" s="4"/>
    </row>
    <row r="179" spans="1:17" x14ac:dyDescent="0.2">
      <c r="A179" s="130"/>
      <c r="B179" s="4"/>
      <c r="C179" s="4"/>
      <c r="D179" s="4"/>
      <c r="E179" s="41"/>
      <c r="F179" s="41"/>
      <c r="G179" s="5"/>
      <c r="H179" s="4"/>
      <c r="I179" s="5"/>
      <c r="J179" s="5" t="str">
        <f t="shared" si="12"/>
        <v/>
      </c>
      <c r="K179" s="36"/>
      <c r="L179" s="5" t="str">
        <f t="shared" si="13"/>
        <v/>
      </c>
      <c r="M179" s="5"/>
      <c r="N179" s="5" t="str">
        <f t="shared" si="14"/>
        <v/>
      </c>
      <c r="O179" s="4"/>
      <c r="P179" s="4"/>
      <c r="Q179" s="4"/>
    </row>
    <row r="180" spans="1:17" x14ac:dyDescent="0.2">
      <c r="A180" s="130"/>
      <c r="B180" s="4"/>
      <c r="C180" s="4"/>
      <c r="D180" s="4"/>
      <c r="E180" s="41"/>
      <c r="F180" s="41"/>
      <c r="G180" s="5"/>
      <c r="H180" s="4"/>
      <c r="I180" s="5"/>
      <c r="J180" s="5" t="str">
        <f t="shared" si="12"/>
        <v/>
      </c>
      <c r="K180" s="36"/>
      <c r="L180" s="5" t="str">
        <f t="shared" si="13"/>
        <v/>
      </c>
      <c r="M180" s="5"/>
      <c r="N180" s="5" t="str">
        <f t="shared" si="14"/>
        <v/>
      </c>
      <c r="O180" s="4"/>
      <c r="P180" s="4"/>
      <c r="Q180" s="4"/>
    </row>
    <row r="181" spans="1:17" x14ac:dyDescent="0.2">
      <c r="A181" s="130"/>
      <c r="B181" s="4"/>
      <c r="C181" s="4"/>
      <c r="D181" s="4"/>
      <c r="E181" s="41"/>
      <c r="F181" s="41"/>
      <c r="G181" s="5"/>
      <c r="H181" s="4"/>
      <c r="I181" s="5"/>
      <c r="J181" s="5" t="str">
        <f t="shared" si="12"/>
        <v/>
      </c>
      <c r="K181" s="36"/>
      <c r="L181" s="5" t="str">
        <f t="shared" si="13"/>
        <v/>
      </c>
      <c r="M181" s="5"/>
      <c r="N181" s="5" t="str">
        <f t="shared" si="14"/>
        <v/>
      </c>
      <c r="O181" s="4"/>
      <c r="P181" s="4"/>
      <c r="Q181" s="4"/>
    </row>
    <row r="182" spans="1:17" x14ac:dyDescent="0.2">
      <c r="A182" s="130"/>
      <c r="B182" s="4"/>
      <c r="C182" s="4"/>
      <c r="D182" s="4"/>
      <c r="E182" s="41"/>
      <c r="F182" s="41"/>
      <c r="G182" s="5"/>
      <c r="H182" s="4"/>
      <c r="I182" s="5"/>
      <c r="J182" s="5" t="str">
        <f t="shared" si="12"/>
        <v/>
      </c>
      <c r="K182" s="36"/>
      <c r="L182" s="5" t="str">
        <f t="shared" si="13"/>
        <v/>
      </c>
      <c r="M182" s="5"/>
      <c r="N182" s="5" t="str">
        <f t="shared" si="14"/>
        <v/>
      </c>
      <c r="O182" s="4"/>
      <c r="P182" s="4"/>
      <c r="Q182" s="4"/>
    </row>
    <row r="183" spans="1:17" x14ac:dyDescent="0.2">
      <c r="A183" s="130"/>
      <c r="B183" s="4"/>
      <c r="C183" s="4"/>
      <c r="D183" s="4"/>
      <c r="E183" s="41"/>
      <c r="F183" s="41"/>
      <c r="G183" s="5"/>
      <c r="H183" s="4"/>
      <c r="I183" s="5"/>
      <c r="J183" s="5" t="str">
        <f t="shared" si="12"/>
        <v/>
      </c>
      <c r="K183" s="36"/>
      <c r="L183" s="5" t="str">
        <f t="shared" si="13"/>
        <v/>
      </c>
      <c r="M183" s="5"/>
      <c r="N183" s="5" t="str">
        <f t="shared" si="14"/>
        <v/>
      </c>
      <c r="O183" s="4"/>
      <c r="P183" s="4"/>
      <c r="Q183" s="4"/>
    </row>
    <row r="184" spans="1:17" x14ac:dyDescent="0.2">
      <c r="A184" s="130"/>
      <c r="B184" s="4"/>
      <c r="C184" s="4"/>
      <c r="D184" s="4"/>
      <c r="E184" s="41"/>
      <c r="F184" s="41"/>
      <c r="G184" s="5"/>
      <c r="H184" s="4"/>
      <c r="I184" s="5"/>
      <c r="J184" s="5" t="str">
        <f t="shared" si="12"/>
        <v/>
      </c>
      <c r="K184" s="36"/>
      <c r="L184" s="5" t="str">
        <f t="shared" si="13"/>
        <v/>
      </c>
      <c r="M184" s="5"/>
      <c r="N184" s="5" t="str">
        <f t="shared" si="14"/>
        <v/>
      </c>
      <c r="O184" s="4"/>
      <c r="P184" s="4"/>
      <c r="Q184" s="4"/>
    </row>
    <row r="185" spans="1:17" x14ac:dyDescent="0.2">
      <c r="A185" s="130"/>
      <c r="B185" s="4"/>
      <c r="C185" s="4"/>
      <c r="D185" s="4"/>
      <c r="E185" s="41"/>
      <c r="F185" s="41"/>
      <c r="G185" s="5"/>
      <c r="H185" s="4"/>
      <c r="I185" s="5"/>
      <c r="J185" s="5" t="str">
        <f t="shared" si="12"/>
        <v/>
      </c>
      <c r="K185" s="36"/>
      <c r="L185" s="5" t="str">
        <f t="shared" si="13"/>
        <v/>
      </c>
      <c r="M185" s="5"/>
      <c r="N185" s="5" t="str">
        <f t="shared" si="14"/>
        <v/>
      </c>
      <c r="O185" s="4"/>
      <c r="P185" s="4"/>
      <c r="Q185" s="4"/>
    </row>
    <row r="186" spans="1:17" x14ac:dyDescent="0.2">
      <c r="A186" s="130"/>
      <c r="B186" s="4"/>
      <c r="C186" s="4"/>
      <c r="D186" s="4"/>
      <c r="E186" s="41"/>
      <c r="F186" s="41"/>
      <c r="G186" s="5"/>
      <c r="H186" s="4"/>
      <c r="I186" s="5"/>
      <c r="J186" s="5" t="str">
        <f t="shared" si="12"/>
        <v/>
      </c>
      <c r="K186" s="36"/>
      <c r="L186" s="5" t="str">
        <f t="shared" si="13"/>
        <v/>
      </c>
      <c r="M186" s="5"/>
      <c r="N186" s="5" t="str">
        <f t="shared" si="14"/>
        <v/>
      </c>
      <c r="O186" s="4"/>
      <c r="P186" s="4"/>
      <c r="Q186" s="4"/>
    </row>
    <row r="187" spans="1:17" x14ac:dyDescent="0.2">
      <c r="A187" s="130"/>
      <c r="B187" s="4"/>
      <c r="C187" s="4"/>
      <c r="D187" s="4"/>
      <c r="E187" s="41"/>
      <c r="F187" s="41"/>
      <c r="G187" s="5"/>
      <c r="H187" s="4"/>
      <c r="I187" s="5"/>
      <c r="J187" s="5" t="str">
        <f t="shared" si="12"/>
        <v/>
      </c>
      <c r="K187" s="36"/>
      <c r="L187" s="5" t="str">
        <f t="shared" si="13"/>
        <v/>
      </c>
      <c r="M187" s="5"/>
      <c r="N187" s="5" t="str">
        <f t="shared" si="14"/>
        <v/>
      </c>
      <c r="O187" s="4"/>
      <c r="P187" s="4"/>
      <c r="Q187" s="4"/>
    </row>
    <row r="188" spans="1:17" x14ac:dyDescent="0.2">
      <c r="A188" s="130"/>
      <c r="B188" s="4"/>
      <c r="C188" s="4"/>
      <c r="D188" s="4"/>
      <c r="E188" s="41"/>
      <c r="F188" s="41"/>
      <c r="G188" s="5"/>
      <c r="H188" s="4"/>
      <c r="I188" s="5"/>
      <c r="J188" s="5" t="str">
        <f t="shared" si="12"/>
        <v/>
      </c>
      <c r="K188" s="36"/>
      <c r="L188" s="5" t="str">
        <f t="shared" si="13"/>
        <v/>
      </c>
      <c r="M188" s="5"/>
      <c r="N188" s="5" t="str">
        <f t="shared" si="14"/>
        <v/>
      </c>
      <c r="O188" s="4"/>
      <c r="P188" s="4"/>
      <c r="Q188" s="4"/>
    </row>
    <row r="189" spans="1:17" x14ac:dyDescent="0.2">
      <c r="A189" s="130"/>
      <c r="B189" s="4"/>
      <c r="C189" s="4"/>
      <c r="D189" s="4"/>
      <c r="E189" s="41"/>
      <c r="F189" s="41"/>
      <c r="G189" s="5"/>
      <c r="H189" s="4"/>
      <c r="I189" s="5"/>
      <c r="J189" s="5" t="str">
        <f t="shared" si="12"/>
        <v/>
      </c>
      <c r="K189" s="36"/>
      <c r="L189" s="5" t="str">
        <f t="shared" si="13"/>
        <v/>
      </c>
      <c r="M189" s="5"/>
      <c r="N189" s="5" t="str">
        <f t="shared" si="14"/>
        <v/>
      </c>
      <c r="O189" s="4"/>
      <c r="P189" s="4"/>
      <c r="Q189" s="4"/>
    </row>
    <row r="190" spans="1:17" x14ac:dyDescent="0.2">
      <c r="A190" s="130"/>
      <c r="B190" s="4"/>
      <c r="C190" s="4"/>
      <c r="D190" s="4"/>
      <c r="E190" s="41"/>
      <c r="F190" s="41"/>
      <c r="G190" s="5"/>
      <c r="H190" s="4"/>
      <c r="I190" s="5"/>
      <c r="J190" s="5" t="str">
        <f t="shared" si="12"/>
        <v/>
      </c>
      <c r="K190" s="36"/>
      <c r="L190" s="5" t="str">
        <f t="shared" si="13"/>
        <v/>
      </c>
      <c r="M190" s="5"/>
      <c r="N190" s="5" t="str">
        <f t="shared" si="14"/>
        <v/>
      </c>
      <c r="O190" s="4"/>
      <c r="P190" s="4"/>
      <c r="Q190" s="4"/>
    </row>
    <row r="191" spans="1:17" x14ac:dyDescent="0.2">
      <c r="A191" s="130"/>
      <c r="B191" s="4"/>
      <c r="C191" s="4"/>
      <c r="D191" s="4"/>
      <c r="E191" s="41"/>
      <c r="F191" s="41"/>
      <c r="G191" s="5"/>
      <c r="H191" s="4"/>
      <c r="I191" s="5"/>
      <c r="J191" s="5" t="str">
        <f t="shared" si="12"/>
        <v/>
      </c>
      <c r="K191" s="36"/>
      <c r="L191" s="5" t="str">
        <f t="shared" si="13"/>
        <v/>
      </c>
      <c r="M191" s="5"/>
      <c r="N191" s="5" t="str">
        <f t="shared" si="14"/>
        <v/>
      </c>
      <c r="O191" s="4"/>
      <c r="P191" s="4"/>
      <c r="Q191" s="4"/>
    </row>
    <row r="192" spans="1:17" x14ac:dyDescent="0.2">
      <c r="A192" s="130"/>
      <c r="B192" s="4"/>
      <c r="C192" s="4"/>
      <c r="D192" s="4"/>
      <c r="E192" s="41"/>
      <c r="F192" s="41"/>
      <c r="G192" s="5"/>
      <c r="H192" s="4"/>
      <c r="I192" s="5"/>
      <c r="J192" s="5" t="str">
        <f t="shared" si="12"/>
        <v/>
      </c>
      <c r="K192" s="36"/>
      <c r="L192" s="5" t="str">
        <f t="shared" si="13"/>
        <v/>
      </c>
      <c r="M192" s="5"/>
      <c r="N192" s="5" t="str">
        <f t="shared" si="14"/>
        <v/>
      </c>
      <c r="O192" s="4"/>
      <c r="P192" s="4"/>
      <c r="Q192" s="4"/>
    </row>
    <row r="193" spans="1:17" x14ac:dyDescent="0.2">
      <c r="A193" s="130"/>
      <c r="B193" s="4"/>
      <c r="C193" s="4"/>
      <c r="D193" s="4"/>
      <c r="E193" s="41"/>
      <c r="F193" s="41"/>
      <c r="G193" s="5"/>
      <c r="H193" s="4"/>
      <c r="I193" s="5"/>
      <c r="J193" s="5" t="str">
        <f t="shared" si="12"/>
        <v/>
      </c>
      <c r="K193" s="36"/>
      <c r="L193" s="5" t="str">
        <f t="shared" si="13"/>
        <v/>
      </c>
      <c r="M193" s="5"/>
      <c r="N193" s="5" t="str">
        <f t="shared" si="14"/>
        <v/>
      </c>
      <c r="O193" s="4"/>
      <c r="P193" s="4"/>
      <c r="Q193" s="4"/>
    </row>
    <row r="194" spans="1:17" x14ac:dyDescent="0.2">
      <c r="A194" s="130"/>
      <c r="B194" s="4"/>
      <c r="C194" s="4"/>
      <c r="D194" s="4"/>
      <c r="E194" s="41"/>
      <c r="F194" s="41"/>
      <c r="G194" s="5"/>
      <c r="H194" s="4"/>
      <c r="I194" s="5"/>
      <c r="J194" s="5" t="str">
        <f t="shared" si="12"/>
        <v/>
      </c>
      <c r="K194" s="36"/>
      <c r="L194" s="5" t="str">
        <f t="shared" si="13"/>
        <v/>
      </c>
      <c r="M194" s="5"/>
      <c r="N194" s="5" t="str">
        <f t="shared" si="14"/>
        <v/>
      </c>
      <c r="O194" s="4"/>
      <c r="P194" s="4"/>
      <c r="Q194" s="4"/>
    </row>
    <row r="195" spans="1:17" x14ac:dyDescent="0.2">
      <c r="A195" s="130"/>
      <c r="B195" s="4"/>
      <c r="C195" s="4"/>
      <c r="D195" s="4"/>
      <c r="E195" s="41"/>
      <c r="F195" s="41"/>
      <c r="G195" s="5"/>
      <c r="H195" s="4"/>
      <c r="I195" s="5"/>
      <c r="J195" s="5" t="str">
        <f t="shared" si="12"/>
        <v/>
      </c>
      <c r="K195" s="36"/>
      <c r="L195" s="5" t="str">
        <f t="shared" si="13"/>
        <v/>
      </c>
      <c r="M195" s="5"/>
      <c r="N195" s="5" t="str">
        <f t="shared" si="14"/>
        <v/>
      </c>
      <c r="O195" s="4"/>
      <c r="P195" s="4"/>
      <c r="Q195" s="4"/>
    </row>
    <row r="196" spans="1:17" x14ac:dyDescent="0.2">
      <c r="A196" s="130"/>
      <c r="B196" s="4"/>
      <c r="C196" s="4"/>
      <c r="D196" s="4"/>
      <c r="E196" s="41"/>
      <c r="F196" s="41"/>
      <c r="G196" s="5"/>
      <c r="H196" s="4"/>
      <c r="I196" s="5"/>
      <c r="J196" s="5" t="str">
        <f t="shared" si="12"/>
        <v/>
      </c>
      <c r="K196" s="36"/>
      <c r="L196" s="5" t="str">
        <f t="shared" si="13"/>
        <v/>
      </c>
      <c r="M196" s="5"/>
      <c r="N196" s="5" t="str">
        <f t="shared" si="14"/>
        <v/>
      </c>
      <c r="O196" s="4"/>
      <c r="P196" s="4"/>
      <c r="Q196" s="4"/>
    </row>
    <row r="197" spans="1:17" x14ac:dyDescent="0.2">
      <c r="A197" s="130"/>
      <c r="B197" s="4"/>
      <c r="C197" s="4"/>
      <c r="D197" s="4"/>
      <c r="E197" s="41"/>
      <c r="F197" s="41"/>
      <c r="G197" s="5"/>
      <c r="H197" s="4"/>
      <c r="I197" s="5"/>
      <c r="J197" s="5" t="str">
        <f t="shared" si="12"/>
        <v/>
      </c>
      <c r="K197" s="36"/>
      <c r="L197" s="5" t="str">
        <f t="shared" si="13"/>
        <v/>
      </c>
      <c r="M197" s="5"/>
      <c r="N197" s="5" t="str">
        <f t="shared" si="14"/>
        <v/>
      </c>
      <c r="O197" s="4"/>
      <c r="P197" s="4"/>
      <c r="Q197" s="4"/>
    </row>
    <row r="198" spans="1:17" x14ac:dyDescent="0.2">
      <c r="A198" s="130"/>
      <c r="B198" s="4"/>
      <c r="C198" s="4"/>
      <c r="D198" s="4"/>
      <c r="E198" s="41"/>
      <c r="F198" s="41"/>
      <c r="G198" s="5"/>
      <c r="H198" s="4"/>
      <c r="I198" s="5"/>
      <c r="J198" s="5" t="str">
        <f t="shared" si="12"/>
        <v/>
      </c>
      <c r="K198" s="36"/>
      <c r="L198" s="5" t="str">
        <f t="shared" si="13"/>
        <v/>
      </c>
      <c r="M198" s="5"/>
      <c r="N198" s="5" t="str">
        <f t="shared" si="14"/>
        <v/>
      </c>
      <c r="O198" s="4"/>
      <c r="P198" s="4"/>
      <c r="Q198" s="4"/>
    </row>
    <row r="199" spans="1:17" x14ac:dyDescent="0.2">
      <c r="A199" s="130"/>
      <c r="B199" s="4"/>
      <c r="C199" s="4"/>
      <c r="D199" s="4"/>
      <c r="E199" s="41"/>
      <c r="F199" s="41"/>
      <c r="G199" s="5"/>
      <c r="H199" s="4"/>
      <c r="I199" s="5"/>
      <c r="J199" s="5" t="str">
        <f t="shared" si="12"/>
        <v/>
      </c>
      <c r="K199" s="36"/>
      <c r="L199" s="5" t="str">
        <f t="shared" si="13"/>
        <v/>
      </c>
      <c r="M199" s="5"/>
      <c r="N199" s="5" t="str">
        <f t="shared" si="14"/>
        <v/>
      </c>
      <c r="O199" s="4"/>
      <c r="P199" s="4"/>
      <c r="Q199" s="4"/>
    </row>
    <row r="200" spans="1:17" x14ac:dyDescent="0.2">
      <c r="A200" s="130"/>
      <c r="B200" s="4"/>
      <c r="C200" s="4"/>
      <c r="D200" s="4"/>
      <c r="E200" s="41"/>
      <c r="F200" s="41"/>
      <c r="G200" s="5"/>
      <c r="H200" s="4"/>
      <c r="I200" s="5"/>
      <c r="J200" s="5" t="str">
        <f t="shared" si="12"/>
        <v/>
      </c>
      <c r="K200" s="36"/>
      <c r="L200" s="5" t="str">
        <f t="shared" si="13"/>
        <v/>
      </c>
      <c r="M200" s="5"/>
      <c r="N200" s="5" t="str">
        <f t="shared" si="14"/>
        <v/>
      </c>
      <c r="O200" s="4"/>
      <c r="P200" s="4"/>
      <c r="Q200" s="4"/>
    </row>
    <row r="201" spans="1:17" x14ac:dyDescent="0.2">
      <c r="A201" s="130"/>
      <c r="B201" s="4"/>
      <c r="C201" s="4"/>
      <c r="D201" s="4"/>
      <c r="E201" s="41"/>
      <c r="F201" s="41"/>
      <c r="G201" s="5"/>
      <c r="H201" s="4"/>
      <c r="I201" s="5"/>
      <c r="J201" s="5" t="str">
        <f t="shared" si="12"/>
        <v/>
      </c>
      <c r="K201" s="36"/>
      <c r="L201" s="5" t="str">
        <f t="shared" si="13"/>
        <v/>
      </c>
      <c r="M201" s="5"/>
      <c r="N201" s="5" t="str">
        <f t="shared" si="14"/>
        <v/>
      </c>
      <c r="O201" s="4"/>
      <c r="P201" s="4"/>
      <c r="Q201" s="4"/>
    </row>
    <row r="202" spans="1:17" x14ac:dyDescent="0.2">
      <c r="A202" s="130"/>
      <c r="B202" s="4"/>
      <c r="C202" s="4"/>
      <c r="D202" s="4"/>
      <c r="E202" s="41"/>
      <c r="F202" s="41"/>
      <c r="G202" s="5"/>
      <c r="H202" s="4"/>
      <c r="I202" s="5"/>
      <c r="J202" s="5" t="str">
        <f t="shared" si="12"/>
        <v/>
      </c>
      <c r="K202" s="36"/>
      <c r="L202" s="5" t="str">
        <f t="shared" si="13"/>
        <v/>
      </c>
      <c r="M202" s="5"/>
      <c r="N202" s="5" t="str">
        <f t="shared" si="14"/>
        <v/>
      </c>
      <c r="O202" s="4"/>
      <c r="P202" s="4"/>
      <c r="Q202" s="4"/>
    </row>
    <row r="203" spans="1:17" x14ac:dyDescent="0.2">
      <c r="A203" s="130"/>
      <c r="B203" s="4"/>
      <c r="C203" s="4"/>
      <c r="D203" s="4"/>
      <c r="E203" s="41"/>
      <c r="F203" s="41"/>
      <c r="G203" s="5"/>
      <c r="H203" s="4"/>
      <c r="I203" s="5"/>
      <c r="J203" s="5" t="str">
        <f t="shared" si="12"/>
        <v/>
      </c>
      <c r="K203" s="36"/>
      <c r="L203" s="5" t="str">
        <f t="shared" si="13"/>
        <v/>
      </c>
      <c r="M203" s="5"/>
      <c r="N203" s="5" t="str">
        <f t="shared" si="14"/>
        <v/>
      </c>
      <c r="O203" s="4"/>
      <c r="P203" s="4"/>
      <c r="Q203" s="4"/>
    </row>
    <row r="204" spans="1:17" x14ac:dyDescent="0.2">
      <c r="A204" s="130"/>
      <c r="B204" s="4"/>
      <c r="C204" s="4"/>
      <c r="D204" s="4"/>
      <c r="E204" s="41"/>
      <c r="F204" s="41"/>
      <c r="G204" s="5"/>
      <c r="H204" s="4"/>
      <c r="I204" s="5"/>
      <c r="J204" s="5" t="str">
        <f t="shared" si="12"/>
        <v/>
      </c>
      <c r="K204" s="36"/>
      <c r="L204" s="5" t="str">
        <f t="shared" si="13"/>
        <v/>
      </c>
      <c r="M204" s="5"/>
      <c r="N204" s="5" t="str">
        <f t="shared" si="14"/>
        <v/>
      </c>
      <c r="O204" s="4"/>
      <c r="P204" s="4"/>
      <c r="Q204" s="4"/>
    </row>
    <row r="205" spans="1:17" x14ac:dyDescent="0.2">
      <c r="A205" s="130"/>
      <c r="B205" s="4"/>
      <c r="C205" s="4"/>
      <c r="D205" s="4"/>
      <c r="E205" s="41"/>
      <c r="F205" s="41"/>
      <c r="G205" s="5"/>
      <c r="H205" s="4"/>
      <c r="I205" s="5"/>
      <c r="J205" s="5" t="str">
        <f t="shared" si="12"/>
        <v/>
      </c>
      <c r="K205" s="36"/>
      <c r="L205" s="5" t="str">
        <f t="shared" si="13"/>
        <v/>
      </c>
      <c r="M205" s="5"/>
      <c r="N205" s="5" t="str">
        <f t="shared" si="14"/>
        <v/>
      </c>
      <c r="O205" s="4"/>
      <c r="P205" s="4"/>
      <c r="Q205" s="4"/>
    </row>
    <row r="206" spans="1:17" x14ac:dyDescent="0.2">
      <c r="A206" s="130"/>
      <c r="B206" s="4"/>
      <c r="C206" s="4"/>
      <c r="D206" s="4"/>
      <c r="E206" s="41"/>
      <c r="F206" s="41"/>
      <c r="G206" s="5"/>
      <c r="H206" s="4"/>
      <c r="I206" s="5"/>
      <c r="J206" s="5" t="str">
        <f t="shared" si="12"/>
        <v/>
      </c>
      <c r="K206" s="36"/>
      <c r="L206" s="5" t="str">
        <f t="shared" si="13"/>
        <v/>
      </c>
      <c r="M206" s="5"/>
      <c r="N206" s="5" t="str">
        <f t="shared" si="14"/>
        <v/>
      </c>
      <c r="O206" s="4"/>
      <c r="P206" s="4"/>
      <c r="Q206" s="4"/>
    </row>
    <row r="207" spans="1:17" x14ac:dyDescent="0.2">
      <c r="A207" s="130"/>
      <c r="B207" s="4"/>
      <c r="C207" s="4"/>
      <c r="D207" s="4"/>
      <c r="E207" s="41"/>
      <c r="F207" s="41"/>
      <c r="G207" s="5"/>
      <c r="H207" s="4"/>
      <c r="I207" s="5"/>
      <c r="J207" s="5" t="str">
        <f t="shared" si="12"/>
        <v/>
      </c>
      <c r="K207" s="36"/>
      <c r="L207" s="5" t="str">
        <f t="shared" si="13"/>
        <v/>
      </c>
      <c r="M207" s="5"/>
      <c r="N207" s="5" t="str">
        <f t="shared" si="14"/>
        <v/>
      </c>
      <c r="O207" s="4"/>
      <c r="P207" s="4"/>
      <c r="Q207" s="4"/>
    </row>
    <row r="208" spans="1:17" x14ac:dyDescent="0.2">
      <c r="A208" s="130"/>
      <c r="B208" s="4"/>
      <c r="C208" s="4"/>
      <c r="D208" s="4"/>
      <c r="E208" s="41"/>
      <c r="F208" s="41"/>
      <c r="G208" s="5"/>
      <c r="H208" s="4"/>
      <c r="I208" s="5"/>
      <c r="J208" s="5" t="str">
        <f t="shared" si="12"/>
        <v/>
      </c>
      <c r="K208" s="36"/>
      <c r="L208" s="5" t="str">
        <f t="shared" si="13"/>
        <v/>
      </c>
      <c r="M208" s="5"/>
      <c r="N208" s="5" t="str">
        <f t="shared" si="14"/>
        <v/>
      </c>
      <c r="O208" s="4"/>
      <c r="P208" s="4"/>
      <c r="Q208" s="4"/>
    </row>
    <row r="209" spans="1:17" x14ac:dyDescent="0.2">
      <c r="A209" s="130"/>
      <c r="B209" s="4"/>
      <c r="C209" s="4"/>
      <c r="D209" s="4"/>
      <c r="E209" s="41"/>
      <c r="F209" s="41"/>
      <c r="G209" s="5"/>
      <c r="H209" s="4"/>
      <c r="I209" s="5"/>
      <c r="J209" s="5" t="str">
        <f t="shared" si="12"/>
        <v/>
      </c>
      <c r="K209" s="36"/>
      <c r="L209" s="5" t="str">
        <f t="shared" si="13"/>
        <v/>
      </c>
      <c r="M209" s="5"/>
      <c r="N209" s="5" t="str">
        <f t="shared" si="14"/>
        <v/>
      </c>
      <c r="O209" s="4"/>
      <c r="P209" s="4"/>
      <c r="Q209" s="4"/>
    </row>
    <row r="210" spans="1:17" x14ac:dyDescent="0.2">
      <c r="A210" s="130"/>
      <c r="B210" s="4"/>
      <c r="C210" s="4"/>
      <c r="D210" s="4"/>
      <c r="E210" s="41"/>
      <c r="F210" s="41"/>
      <c r="G210" s="5"/>
      <c r="H210" s="4"/>
      <c r="I210" s="5"/>
      <c r="J210" s="5" t="str">
        <f t="shared" si="12"/>
        <v/>
      </c>
      <c r="K210" s="36"/>
      <c r="L210" s="5" t="str">
        <f t="shared" si="13"/>
        <v/>
      </c>
      <c r="M210" s="5"/>
      <c r="N210" s="5" t="str">
        <f t="shared" si="14"/>
        <v/>
      </c>
      <c r="O210" s="4"/>
      <c r="P210" s="4"/>
      <c r="Q210" s="4"/>
    </row>
    <row r="211" spans="1:17" x14ac:dyDescent="0.2">
      <c r="A211" s="130"/>
      <c r="B211" s="4"/>
      <c r="C211" s="4"/>
      <c r="D211" s="4"/>
      <c r="E211" s="41"/>
      <c r="F211" s="41"/>
      <c r="G211" s="5"/>
      <c r="H211" s="4"/>
      <c r="I211" s="5"/>
      <c r="J211" s="5" t="str">
        <f t="shared" si="12"/>
        <v/>
      </c>
      <c r="K211" s="36"/>
      <c r="L211" s="5" t="str">
        <f t="shared" si="13"/>
        <v/>
      </c>
      <c r="M211" s="5"/>
      <c r="N211" s="5" t="str">
        <f t="shared" si="14"/>
        <v/>
      </c>
      <c r="O211" s="4"/>
      <c r="P211" s="4"/>
      <c r="Q211" s="4"/>
    </row>
    <row r="212" spans="1:17" x14ac:dyDescent="0.2">
      <c r="A212" s="130"/>
      <c r="B212" s="4"/>
      <c r="C212" s="4"/>
      <c r="D212" s="4"/>
      <c r="E212" s="41"/>
      <c r="F212" s="41"/>
      <c r="G212" s="5"/>
      <c r="H212" s="4"/>
      <c r="I212" s="5"/>
      <c r="J212" s="5" t="str">
        <f t="shared" si="12"/>
        <v/>
      </c>
      <c r="K212" s="36"/>
      <c r="L212" s="5" t="str">
        <f t="shared" si="13"/>
        <v/>
      </c>
      <c r="M212" s="5"/>
      <c r="N212" s="5" t="str">
        <f t="shared" si="14"/>
        <v/>
      </c>
      <c r="O212" s="4"/>
      <c r="P212" s="4"/>
      <c r="Q212" s="4"/>
    </row>
    <row r="213" spans="1:17" x14ac:dyDescent="0.2">
      <c r="A213" s="130"/>
      <c r="B213" s="4"/>
      <c r="C213" s="4"/>
      <c r="D213" s="4"/>
      <c r="E213" s="41"/>
      <c r="F213" s="41"/>
      <c r="G213" s="5"/>
      <c r="H213" s="4"/>
      <c r="I213" s="5"/>
      <c r="J213" s="5" t="str">
        <f t="shared" si="12"/>
        <v/>
      </c>
      <c r="K213" s="36"/>
      <c r="L213" s="5" t="str">
        <f t="shared" si="13"/>
        <v/>
      </c>
      <c r="M213" s="5"/>
      <c r="N213" s="5" t="str">
        <f t="shared" si="14"/>
        <v/>
      </c>
      <c r="O213" s="4"/>
      <c r="P213" s="4"/>
      <c r="Q213" s="4"/>
    </row>
    <row r="214" spans="1:17" x14ac:dyDescent="0.2">
      <c r="A214" s="130"/>
      <c r="B214" s="4"/>
      <c r="C214" s="4"/>
      <c r="D214" s="4"/>
      <c r="E214" s="41"/>
      <c r="F214" s="41"/>
      <c r="G214" s="5"/>
      <c r="H214" s="4"/>
      <c r="I214" s="5"/>
      <c r="J214" s="5" t="str">
        <f t="shared" si="12"/>
        <v/>
      </c>
      <c r="K214" s="36"/>
      <c r="L214" s="5" t="str">
        <f t="shared" si="13"/>
        <v/>
      </c>
      <c r="M214" s="5"/>
      <c r="N214" s="5" t="str">
        <f t="shared" si="14"/>
        <v/>
      </c>
      <c r="O214" s="4"/>
      <c r="P214" s="4"/>
      <c r="Q214" s="4"/>
    </row>
    <row r="215" spans="1:17" x14ac:dyDescent="0.2">
      <c r="A215" s="130"/>
      <c r="B215" s="4"/>
      <c r="C215" s="4"/>
      <c r="D215" s="4"/>
      <c r="E215" s="41"/>
      <c r="F215" s="41"/>
      <c r="G215" s="5"/>
      <c r="H215" s="4"/>
      <c r="I215" s="5"/>
      <c r="J215" s="5" t="str">
        <f t="shared" si="12"/>
        <v/>
      </c>
      <c r="K215" s="36"/>
      <c r="L215" s="5" t="str">
        <f t="shared" si="13"/>
        <v/>
      </c>
      <c r="M215" s="5"/>
      <c r="N215" s="5" t="str">
        <f t="shared" si="14"/>
        <v/>
      </c>
      <c r="O215" s="4"/>
      <c r="P215" s="4"/>
      <c r="Q215" s="4"/>
    </row>
    <row r="216" spans="1:17" x14ac:dyDescent="0.2">
      <c r="A216" s="130"/>
      <c r="B216" s="4"/>
      <c r="C216" s="4"/>
      <c r="D216" s="4"/>
      <c r="E216" s="41"/>
      <c r="F216" s="41"/>
      <c r="G216" s="5"/>
      <c r="H216" s="4"/>
      <c r="I216" s="5"/>
      <c r="J216" s="5" t="str">
        <f t="shared" si="12"/>
        <v/>
      </c>
      <c r="K216" s="36"/>
      <c r="L216" s="5" t="str">
        <f t="shared" si="13"/>
        <v/>
      </c>
      <c r="M216" s="5"/>
      <c r="N216" s="5" t="str">
        <f t="shared" si="14"/>
        <v/>
      </c>
      <c r="O216" s="4"/>
      <c r="P216" s="4"/>
      <c r="Q216" s="4"/>
    </row>
    <row r="217" spans="1:17" x14ac:dyDescent="0.2">
      <c r="A217" s="130"/>
      <c r="B217" s="4"/>
      <c r="C217" s="4"/>
      <c r="D217" s="4"/>
      <c r="E217" s="41"/>
      <c r="F217" s="41"/>
      <c r="G217" s="5"/>
      <c r="H217" s="4"/>
      <c r="I217" s="5"/>
      <c r="J217" s="5" t="str">
        <f t="shared" si="12"/>
        <v/>
      </c>
      <c r="K217" s="36"/>
      <c r="L217" s="5" t="str">
        <f t="shared" si="13"/>
        <v/>
      </c>
      <c r="M217" s="5"/>
      <c r="N217" s="5" t="str">
        <f t="shared" si="14"/>
        <v/>
      </c>
      <c r="O217" s="4"/>
      <c r="P217" s="4"/>
      <c r="Q217" s="4"/>
    </row>
    <row r="218" spans="1:17" x14ac:dyDescent="0.2">
      <c r="A218" s="130"/>
      <c r="B218" s="4"/>
      <c r="C218" s="4"/>
      <c r="D218" s="4"/>
      <c r="E218" s="41"/>
      <c r="F218" s="41"/>
      <c r="G218" s="5"/>
      <c r="H218" s="4"/>
      <c r="I218" s="5"/>
      <c r="J218" s="5" t="str">
        <f t="shared" ref="J218:J281" si="15">IF($D218="","",IF($H218="FIXED",$I218,($E218*FAT_MULT)+($F218*SNF_MULT)+$G218))</f>
        <v/>
      </c>
      <c r="K218" s="36"/>
      <c r="L218" s="5" t="str">
        <f t="shared" ref="L218:L281" si="16">IF($K218="","",$K218*$J218)</f>
        <v/>
      </c>
      <c r="M218" s="5"/>
      <c r="N218" s="5" t="str">
        <f t="shared" ref="N218:N281" si="17">IF($K218="","",$L218+$M218)</f>
        <v/>
      </c>
      <c r="O218" s="4"/>
      <c r="P218" s="4"/>
      <c r="Q218" s="4"/>
    </row>
    <row r="219" spans="1:17" x14ac:dyDescent="0.2">
      <c r="A219" s="130"/>
      <c r="B219" s="4"/>
      <c r="C219" s="4"/>
      <c r="D219" s="4"/>
      <c r="E219" s="41"/>
      <c r="F219" s="41"/>
      <c r="G219" s="5"/>
      <c r="H219" s="4"/>
      <c r="I219" s="5"/>
      <c r="J219" s="5" t="str">
        <f t="shared" si="15"/>
        <v/>
      </c>
      <c r="K219" s="36"/>
      <c r="L219" s="5" t="str">
        <f t="shared" si="16"/>
        <v/>
      </c>
      <c r="M219" s="5"/>
      <c r="N219" s="5" t="str">
        <f t="shared" si="17"/>
        <v/>
      </c>
      <c r="O219" s="4"/>
      <c r="P219" s="4"/>
      <c r="Q219" s="4"/>
    </row>
    <row r="220" spans="1:17" x14ac:dyDescent="0.2">
      <c r="A220" s="130"/>
      <c r="B220" s="4"/>
      <c r="C220" s="4"/>
      <c r="D220" s="4"/>
      <c r="E220" s="41"/>
      <c r="F220" s="41"/>
      <c r="G220" s="5"/>
      <c r="H220" s="4"/>
      <c r="I220" s="5"/>
      <c r="J220" s="5" t="str">
        <f t="shared" si="15"/>
        <v/>
      </c>
      <c r="K220" s="36"/>
      <c r="L220" s="5" t="str">
        <f t="shared" si="16"/>
        <v/>
      </c>
      <c r="M220" s="5"/>
      <c r="N220" s="5" t="str">
        <f t="shared" si="17"/>
        <v/>
      </c>
      <c r="O220" s="4"/>
      <c r="P220" s="4"/>
      <c r="Q220" s="4"/>
    </row>
    <row r="221" spans="1:17" x14ac:dyDescent="0.2">
      <c r="A221" s="130"/>
      <c r="B221" s="4"/>
      <c r="C221" s="4"/>
      <c r="D221" s="4"/>
      <c r="E221" s="41"/>
      <c r="F221" s="41"/>
      <c r="G221" s="5"/>
      <c r="H221" s="4"/>
      <c r="I221" s="5"/>
      <c r="J221" s="5" t="str">
        <f t="shared" si="15"/>
        <v/>
      </c>
      <c r="K221" s="36"/>
      <c r="L221" s="5" t="str">
        <f t="shared" si="16"/>
        <v/>
      </c>
      <c r="M221" s="5"/>
      <c r="N221" s="5" t="str">
        <f t="shared" si="17"/>
        <v/>
      </c>
      <c r="O221" s="4"/>
      <c r="P221" s="4"/>
      <c r="Q221" s="4"/>
    </row>
    <row r="222" spans="1:17" x14ac:dyDescent="0.2">
      <c r="A222" s="130"/>
      <c r="B222" s="4"/>
      <c r="C222" s="4"/>
      <c r="D222" s="4"/>
      <c r="E222" s="41"/>
      <c r="F222" s="41"/>
      <c r="G222" s="5"/>
      <c r="H222" s="4"/>
      <c r="I222" s="5"/>
      <c r="J222" s="5" t="str">
        <f t="shared" si="15"/>
        <v/>
      </c>
      <c r="K222" s="36"/>
      <c r="L222" s="5" t="str">
        <f t="shared" si="16"/>
        <v/>
      </c>
      <c r="M222" s="5"/>
      <c r="N222" s="5" t="str">
        <f t="shared" si="17"/>
        <v/>
      </c>
      <c r="O222" s="4"/>
      <c r="P222" s="4"/>
      <c r="Q222" s="4"/>
    </row>
    <row r="223" spans="1:17" x14ac:dyDescent="0.2">
      <c r="A223" s="130"/>
      <c r="B223" s="4"/>
      <c r="C223" s="4"/>
      <c r="D223" s="4"/>
      <c r="E223" s="41"/>
      <c r="F223" s="41"/>
      <c r="G223" s="5"/>
      <c r="H223" s="4"/>
      <c r="I223" s="5"/>
      <c r="J223" s="5" t="str">
        <f t="shared" si="15"/>
        <v/>
      </c>
      <c r="K223" s="36"/>
      <c r="L223" s="5" t="str">
        <f t="shared" si="16"/>
        <v/>
      </c>
      <c r="M223" s="5"/>
      <c r="N223" s="5" t="str">
        <f t="shared" si="17"/>
        <v/>
      </c>
      <c r="O223" s="4"/>
      <c r="P223" s="4"/>
      <c r="Q223" s="4"/>
    </row>
    <row r="224" spans="1:17" x14ac:dyDescent="0.2">
      <c r="A224" s="130"/>
      <c r="B224" s="4"/>
      <c r="C224" s="4"/>
      <c r="D224" s="4"/>
      <c r="E224" s="41"/>
      <c r="F224" s="41"/>
      <c r="G224" s="5"/>
      <c r="H224" s="4"/>
      <c r="I224" s="5"/>
      <c r="J224" s="5" t="str">
        <f t="shared" si="15"/>
        <v/>
      </c>
      <c r="K224" s="36"/>
      <c r="L224" s="5" t="str">
        <f t="shared" si="16"/>
        <v/>
      </c>
      <c r="M224" s="5"/>
      <c r="N224" s="5" t="str">
        <f t="shared" si="17"/>
        <v/>
      </c>
      <c r="O224" s="4"/>
      <c r="P224" s="4"/>
      <c r="Q224" s="4"/>
    </row>
    <row r="225" spans="1:17" x14ac:dyDescent="0.2">
      <c r="A225" s="130"/>
      <c r="B225" s="4"/>
      <c r="C225" s="4"/>
      <c r="D225" s="4"/>
      <c r="E225" s="41"/>
      <c r="F225" s="41"/>
      <c r="G225" s="5"/>
      <c r="H225" s="4"/>
      <c r="I225" s="5"/>
      <c r="J225" s="5" t="str">
        <f t="shared" si="15"/>
        <v/>
      </c>
      <c r="K225" s="36"/>
      <c r="L225" s="5" t="str">
        <f t="shared" si="16"/>
        <v/>
      </c>
      <c r="M225" s="5"/>
      <c r="N225" s="5" t="str">
        <f t="shared" si="17"/>
        <v/>
      </c>
      <c r="O225" s="4"/>
      <c r="P225" s="4"/>
      <c r="Q225" s="4"/>
    </row>
    <row r="226" spans="1:17" x14ac:dyDescent="0.2">
      <c r="A226" s="130"/>
      <c r="B226" s="4"/>
      <c r="C226" s="4"/>
      <c r="D226" s="4"/>
      <c r="E226" s="41"/>
      <c r="F226" s="41"/>
      <c r="G226" s="5"/>
      <c r="H226" s="4"/>
      <c r="I226" s="5"/>
      <c r="J226" s="5" t="str">
        <f t="shared" si="15"/>
        <v/>
      </c>
      <c r="K226" s="36"/>
      <c r="L226" s="5" t="str">
        <f t="shared" si="16"/>
        <v/>
      </c>
      <c r="M226" s="5"/>
      <c r="N226" s="5" t="str">
        <f t="shared" si="17"/>
        <v/>
      </c>
      <c r="O226" s="4"/>
      <c r="P226" s="4"/>
      <c r="Q226" s="4"/>
    </row>
    <row r="227" spans="1:17" x14ac:dyDescent="0.2">
      <c r="A227" s="130"/>
      <c r="B227" s="4"/>
      <c r="C227" s="4"/>
      <c r="D227" s="4"/>
      <c r="E227" s="41"/>
      <c r="F227" s="41"/>
      <c r="G227" s="5"/>
      <c r="H227" s="4"/>
      <c r="I227" s="5"/>
      <c r="J227" s="5" t="str">
        <f t="shared" si="15"/>
        <v/>
      </c>
      <c r="K227" s="36"/>
      <c r="L227" s="5" t="str">
        <f t="shared" si="16"/>
        <v/>
      </c>
      <c r="M227" s="5"/>
      <c r="N227" s="5" t="str">
        <f t="shared" si="17"/>
        <v/>
      </c>
      <c r="O227" s="4"/>
      <c r="P227" s="4"/>
      <c r="Q227" s="4"/>
    </row>
    <row r="228" spans="1:17" x14ac:dyDescent="0.2">
      <c r="A228" s="130"/>
      <c r="B228" s="4"/>
      <c r="C228" s="4"/>
      <c r="D228" s="4"/>
      <c r="E228" s="41"/>
      <c r="F228" s="41"/>
      <c r="G228" s="5"/>
      <c r="H228" s="4"/>
      <c r="I228" s="5"/>
      <c r="J228" s="5" t="str">
        <f t="shared" si="15"/>
        <v/>
      </c>
      <c r="K228" s="36"/>
      <c r="L228" s="5" t="str">
        <f t="shared" si="16"/>
        <v/>
      </c>
      <c r="M228" s="5"/>
      <c r="N228" s="5" t="str">
        <f t="shared" si="17"/>
        <v/>
      </c>
      <c r="O228" s="4"/>
      <c r="P228" s="4"/>
      <c r="Q228" s="4"/>
    </row>
    <row r="229" spans="1:17" x14ac:dyDescent="0.2">
      <c r="A229" s="130"/>
      <c r="B229" s="4"/>
      <c r="C229" s="4"/>
      <c r="D229" s="4"/>
      <c r="E229" s="41"/>
      <c r="F229" s="41"/>
      <c r="G229" s="5"/>
      <c r="H229" s="4"/>
      <c r="I229" s="5"/>
      <c r="J229" s="5" t="str">
        <f t="shared" si="15"/>
        <v/>
      </c>
      <c r="K229" s="36"/>
      <c r="L229" s="5" t="str">
        <f t="shared" si="16"/>
        <v/>
      </c>
      <c r="M229" s="5"/>
      <c r="N229" s="5" t="str">
        <f t="shared" si="17"/>
        <v/>
      </c>
      <c r="O229" s="4"/>
      <c r="P229" s="4"/>
      <c r="Q229" s="4"/>
    </row>
    <row r="230" spans="1:17" x14ac:dyDescent="0.2">
      <c r="A230" s="130"/>
      <c r="B230" s="4"/>
      <c r="C230" s="4"/>
      <c r="D230" s="4"/>
      <c r="E230" s="41"/>
      <c r="F230" s="41"/>
      <c r="G230" s="5"/>
      <c r="H230" s="4"/>
      <c r="I230" s="5"/>
      <c r="J230" s="5" t="str">
        <f t="shared" si="15"/>
        <v/>
      </c>
      <c r="K230" s="36"/>
      <c r="L230" s="5" t="str">
        <f t="shared" si="16"/>
        <v/>
      </c>
      <c r="M230" s="5"/>
      <c r="N230" s="5" t="str">
        <f t="shared" si="17"/>
        <v/>
      </c>
      <c r="O230" s="4"/>
      <c r="P230" s="4"/>
      <c r="Q230" s="4"/>
    </row>
    <row r="231" spans="1:17" x14ac:dyDescent="0.2">
      <c r="A231" s="130"/>
      <c r="B231" s="4"/>
      <c r="C231" s="4"/>
      <c r="D231" s="4"/>
      <c r="E231" s="41"/>
      <c r="F231" s="41"/>
      <c r="G231" s="5"/>
      <c r="H231" s="4"/>
      <c r="I231" s="5"/>
      <c r="J231" s="5" t="str">
        <f t="shared" si="15"/>
        <v/>
      </c>
      <c r="K231" s="36"/>
      <c r="L231" s="5" t="str">
        <f t="shared" si="16"/>
        <v/>
      </c>
      <c r="M231" s="5"/>
      <c r="N231" s="5" t="str">
        <f t="shared" si="17"/>
        <v/>
      </c>
      <c r="O231" s="4"/>
      <c r="P231" s="4"/>
      <c r="Q231" s="4"/>
    </row>
    <row r="232" spans="1:17" x14ac:dyDescent="0.2">
      <c r="A232" s="130"/>
      <c r="B232" s="4"/>
      <c r="C232" s="4"/>
      <c r="D232" s="4"/>
      <c r="E232" s="41"/>
      <c r="F232" s="41"/>
      <c r="G232" s="5"/>
      <c r="H232" s="4"/>
      <c r="I232" s="5"/>
      <c r="J232" s="5" t="str">
        <f t="shared" si="15"/>
        <v/>
      </c>
      <c r="K232" s="36"/>
      <c r="L232" s="5" t="str">
        <f t="shared" si="16"/>
        <v/>
      </c>
      <c r="M232" s="5"/>
      <c r="N232" s="5" t="str">
        <f t="shared" si="17"/>
        <v/>
      </c>
      <c r="O232" s="4"/>
      <c r="P232" s="4"/>
      <c r="Q232" s="4"/>
    </row>
    <row r="233" spans="1:17" x14ac:dyDescent="0.2">
      <c r="A233" s="130"/>
      <c r="B233" s="4"/>
      <c r="C233" s="4"/>
      <c r="D233" s="4"/>
      <c r="E233" s="41"/>
      <c r="F233" s="41"/>
      <c r="G233" s="5"/>
      <c r="H233" s="4"/>
      <c r="I233" s="5"/>
      <c r="J233" s="5" t="str">
        <f t="shared" si="15"/>
        <v/>
      </c>
      <c r="K233" s="36"/>
      <c r="L233" s="5" t="str">
        <f t="shared" si="16"/>
        <v/>
      </c>
      <c r="M233" s="5"/>
      <c r="N233" s="5" t="str">
        <f t="shared" si="17"/>
        <v/>
      </c>
      <c r="O233" s="4"/>
      <c r="P233" s="4"/>
      <c r="Q233" s="4"/>
    </row>
    <row r="234" spans="1:17" x14ac:dyDescent="0.2">
      <c r="A234" s="130"/>
      <c r="B234" s="4"/>
      <c r="C234" s="4"/>
      <c r="D234" s="4"/>
      <c r="E234" s="41"/>
      <c r="F234" s="41"/>
      <c r="G234" s="5"/>
      <c r="H234" s="4"/>
      <c r="I234" s="5"/>
      <c r="J234" s="5" t="str">
        <f t="shared" si="15"/>
        <v/>
      </c>
      <c r="K234" s="36"/>
      <c r="L234" s="5" t="str">
        <f t="shared" si="16"/>
        <v/>
      </c>
      <c r="M234" s="5"/>
      <c r="N234" s="5" t="str">
        <f t="shared" si="17"/>
        <v/>
      </c>
      <c r="O234" s="4"/>
      <c r="P234" s="4"/>
      <c r="Q234" s="4"/>
    </row>
    <row r="235" spans="1:17" x14ac:dyDescent="0.2">
      <c r="A235" s="130"/>
      <c r="B235" s="4"/>
      <c r="C235" s="4"/>
      <c r="D235" s="4"/>
      <c r="E235" s="41"/>
      <c r="F235" s="41"/>
      <c r="G235" s="5"/>
      <c r="H235" s="4"/>
      <c r="I235" s="5"/>
      <c r="J235" s="5" t="str">
        <f t="shared" si="15"/>
        <v/>
      </c>
      <c r="K235" s="36"/>
      <c r="L235" s="5" t="str">
        <f t="shared" si="16"/>
        <v/>
      </c>
      <c r="M235" s="5"/>
      <c r="N235" s="5" t="str">
        <f t="shared" si="17"/>
        <v/>
      </c>
      <c r="O235" s="4"/>
      <c r="P235" s="4"/>
      <c r="Q235" s="4"/>
    </row>
    <row r="236" spans="1:17" x14ac:dyDescent="0.2">
      <c r="A236" s="130"/>
      <c r="B236" s="4"/>
      <c r="C236" s="4"/>
      <c r="D236" s="4"/>
      <c r="E236" s="41"/>
      <c r="F236" s="41"/>
      <c r="G236" s="5"/>
      <c r="H236" s="4"/>
      <c r="I236" s="5"/>
      <c r="J236" s="5" t="str">
        <f t="shared" si="15"/>
        <v/>
      </c>
      <c r="K236" s="36"/>
      <c r="L236" s="5" t="str">
        <f t="shared" si="16"/>
        <v/>
      </c>
      <c r="M236" s="5"/>
      <c r="N236" s="5" t="str">
        <f t="shared" si="17"/>
        <v/>
      </c>
      <c r="O236" s="4"/>
      <c r="P236" s="4"/>
      <c r="Q236" s="4"/>
    </row>
    <row r="237" spans="1:17" x14ac:dyDescent="0.2">
      <c r="A237" s="130"/>
      <c r="B237" s="4"/>
      <c r="C237" s="4"/>
      <c r="D237" s="4"/>
      <c r="E237" s="41"/>
      <c r="F237" s="41"/>
      <c r="G237" s="5"/>
      <c r="H237" s="4"/>
      <c r="I237" s="5"/>
      <c r="J237" s="5" t="str">
        <f t="shared" si="15"/>
        <v/>
      </c>
      <c r="K237" s="36"/>
      <c r="L237" s="5" t="str">
        <f t="shared" si="16"/>
        <v/>
      </c>
      <c r="M237" s="5"/>
      <c r="N237" s="5" t="str">
        <f t="shared" si="17"/>
        <v/>
      </c>
      <c r="O237" s="4"/>
      <c r="P237" s="4"/>
      <c r="Q237" s="4"/>
    </row>
    <row r="238" spans="1:17" x14ac:dyDescent="0.2">
      <c r="A238" s="130"/>
      <c r="B238" s="4"/>
      <c r="C238" s="4"/>
      <c r="D238" s="4"/>
      <c r="E238" s="41"/>
      <c r="F238" s="41"/>
      <c r="G238" s="5"/>
      <c r="H238" s="4"/>
      <c r="I238" s="5"/>
      <c r="J238" s="5" t="str">
        <f t="shared" si="15"/>
        <v/>
      </c>
      <c r="K238" s="36"/>
      <c r="L238" s="5" t="str">
        <f t="shared" si="16"/>
        <v/>
      </c>
      <c r="M238" s="5"/>
      <c r="N238" s="5" t="str">
        <f t="shared" si="17"/>
        <v/>
      </c>
      <c r="O238" s="4"/>
      <c r="P238" s="4"/>
      <c r="Q238" s="4"/>
    </row>
    <row r="239" spans="1:17" x14ac:dyDescent="0.2">
      <c r="A239" s="130"/>
      <c r="B239" s="4"/>
      <c r="C239" s="4"/>
      <c r="D239" s="4"/>
      <c r="E239" s="41"/>
      <c r="F239" s="41"/>
      <c r="G239" s="5"/>
      <c r="H239" s="4"/>
      <c r="I239" s="5"/>
      <c r="J239" s="5" t="str">
        <f t="shared" si="15"/>
        <v/>
      </c>
      <c r="K239" s="36"/>
      <c r="L239" s="5" t="str">
        <f t="shared" si="16"/>
        <v/>
      </c>
      <c r="M239" s="5"/>
      <c r="N239" s="5" t="str">
        <f t="shared" si="17"/>
        <v/>
      </c>
      <c r="O239" s="4"/>
      <c r="P239" s="4"/>
      <c r="Q239" s="4"/>
    </row>
    <row r="240" spans="1:17" x14ac:dyDescent="0.2">
      <c r="A240" s="130"/>
      <c r="B240" s="4"/>
      <c r="C240" s="4"/>
      <c r="D240" s="4"/>
      <c r="E240" s="41"/>
      <c r="F240" s="41"/>
      <c r="G240" s="5"/>
      <c r="H240" s="4"/>
      <c r="I240" s="5"/>
      <c r="J240" s="5" t="str">
        <f t="shared" si="15"/>
        <v/>
      </c>
      <c r="K240" s="36"/>
      <c r="L240" s="5" t="str">
        <f t="shared" si="16"/>
        <v/>
      </c>
      <c r="M240" s="5"/>
      <c r="N240" s="5" t="str">
        <f t="shared" si="17"/>
        <v/>
      </c>
      <c r="O240" s="4"/>
      <c r="P240" s="4"/>
      <c r="Q240" s="4"/>
    </row>
    <row r="241" spans="1:17" x14ac:dyDescent="0.2">
      <c r="A241" s="130"/>
      <c r="B241" s="4"/>
      <c r="C241" s="4"/>
      <c r="D241" s="4"/>
      <c r="E241" s="41"/>
      <c r="F241" s="41"/>
      <c r="G241" s="5"/>
      <c r="H241" s="4"/>
      <c r="I241" s="5"/>
      <c r="J241" s="5" t="str">
        <f t="shared" si="15"/>
        <v/>
      </c>
      <c r="K241" s="36"/>
      <c r="L241" s="5" t="str">
        <f t="shared" si="16"/>
        <v/>
      </c>
      <c r="M241" s="5"/>
      <c r="N241" s="5" t="str">
        <f t="shared" si="17"/>
        <v/>
      </c>
      <c r="O241" s="4"/>
      <c r="P241" s="4"/>
      <c r="Q241" s="4"/>
    </row>
    <row r="242" spans="1:17" x14ac:dyDescent="0.2">
      <c r="A242" s="130"/>
      <c r="B242" s="4"/>
      <c r="C242" s="4"/>
      <c r="D242" s="4"/>
      <c r="E242" s="41"/>
      <c r="F242" s="41"/>
      <c r="G242" s="5"/>
      <c r="H242" s="4"/>
      <c r="I242" s="5"/>
      <c r="J242" s="5" t="str">
        <f t="shared" si="15"/>
        <v/>
      </c>
      <c r="K242" s="36"/>
      <c r="L242" s="5" t="str">
        <f t="shared" si="16"/>
        <v/>
      </c>
      <c r="M242" s="5"/>
      <c r="N242" s="5" t="str">
        <f t="shared" si="17"/>
        <v/>
      </c>
      <c r="O242" s="4"/>
      <c r="P242" s="4"/>
      <c r="Q242" s="4"/>
    </row>
    <row r="243" spans="1:17" x14ac:dyDescent="0.2">
      <c r="A243" s="130"/>
      <c r="B243" s="4"/>
      <c r="C243" s="4"/>
      <c r="D243" s="4"/>
      <c r="E243" s="41"/>
      <c r="F243" s="41"/>
      <c r="G243" s="5"/>
      <c r="H243" s="4"/>
      <c r="I243" s="5"/>
      <c r="J243" s="5" t="str">
        <f t="shared" si="15"/>
        <v/>
      </c>
      <c r="K243" s="36"/>
      <c r="L243" s="5" t="str">
        <f t="shared" si="16"/>
        <v/>
      </c>
      <c r="M243" s="5"/>
      <c r="N243" s="5" t="str">
        <f t="shared" si="17"/>
        <v/>
      </c>
      <c r="O243" s="4"/>
      <c r="P243" s="4"/>
      <c r="Q243" s="4"/>
    </row>
    <row r="244" spans="1:17" x14ac:dyDescent="0.2">
      <c r="A244" s="130"/>
      <c r="B244" s="4"/>
      <c r="C244" s="4"/>
      <c r="D244" s="4"/>
      <c r="E244" s="41"/>
      <c r="F244" s="41"/>
      <c r="G244" s="5"/>
      <c r="H244" s="4"/>
      <c r="I244" s="5"/>
      <c r="J244" s="5" t="str">
        <f t="shared" si="15"/>
        <v/>
      </c>
      <c r="K244" s="36"/>
      <c r="L244" s="5" t="str">
        <f t="shared" si="16"/>
        <v/>
      </c>
      <c r="M244" s="5"/>
      <c r="N244" s="5" t="str">
        <f t="shared" si="17"/>
        <v/>
      </c>
      <c r="O244" s="4"/>
      <c r="P244" s="4"/>
      <c r="Q244" s="4"/>
    </row>
    <row r="245" spans="1:17" x14ac:dyDescent="0.2">
      <c r="A245" s="130"/>
      <c r="B245" s="4"/>
      <c r="C245" s="4"/>
      <c r="D245" s="4"/>
      <c r="E245" s="41"/>
      <c r="F245" s="41"/>
      <c r="G245" s="5"/>
      <c r="H245" s="4"/>
      <c r="I245" s="5"/>
      <c r="J245" s="5" t="str">
        <f t="shared" si="15"/>
        <v/>
      </c>
      <c r="K245" s="36"/>
      <c r="L245" s="5" t="str">
        <f t="shared" si="16"/>
        <v/>
      </c>
      <c r="M245" s="5"/>
      <c r="N245" s="5" t="str">
        <f t="shared" si="17"/>
        <v/>
      </c>
      <c r="O245" s="4"/>
      <c r="P245" s="4"/>
      <c r="Q245" s="4"/>
    </row>
    <row r="246" spans="1:17" x14ac:dyDescent="0.2">
      <c r="A246" s="130"/>
      <c r="B246" s="4"/>
      <c r="C246" s="4"/>
      <c r="D246" s="4"/>
      <c r="E246" s="41"/>
      <c r="F246" s="41"/>
      <c r="G246" s="5"/>
      <c r="H246" s="4"/>
      <c r="I246" s="5"/>
      <c r="J246" s="5" t="str">
        <f t="shared" si="15"/>
        <v/>
      </c>
      <c r="K246" s="36"/>
      <c r="L246" s="5" t="str">
        <f t="shared" si="16"/>
        <v/>
      </c>
      <c r="M246" s="5"/>
      <c r="N246" s="5" t="str">
        <f t="shared" si="17"/>
        <v/>
      </c>
      <c r="O246" s="4"/>
      <c r="P246" s="4"/>
      <c r="Q246" s="4"/>
    </row>
    <row r="247" spans="1:17" x14ac:dyDescent="0.2">
      <c r="A247" s="130"/>
      <c r="B247" s="4"/>
      <c r="C247" s="4"/>
      <c r="D247" s="4"/>
      <c r="E247" s="41"/>
      <c r="F247" s="41"/>
      <c r="G247" s="5"/>
      <c r="H247" s="4"/>
      <c r="I247" s="5"/>
      <c r="J247" s="5" t="str">
        <f t="shared" si="15"/>
        <v/>
      </c>
      <c r="K247" s="36"/>
      <c r="L247" s="5" t="str">
        <f t="shared" si="16"/>
        <v/>
      </c>
      <c r="M247" s="5"/>
      <c r="N247" s="5" t="str">
        <f t="shared" si="17"/>
        <v/>
      </c>
      <c r="O247" s="4"/>
      <c r="P247" s="4"/>
      <c r="Q247" s="4"/>
    </row>
    <row r="248" spans="1:17" x14ac:dyDescent="0.2">
      <c r="A248" s="130"/>
      <c r="B248" s="4"/>
      <c r="C248" s="4"/>
      <c r="D248" s="4"/>
      <c r="E248" s="41"/>
      <c r="F248" s="41"/>
      <c r="G248" s="5"/>
      <c r="H248" s="4"/>
      <c r="I248" s="5"/>
      <c r="J248" s="5" t="str">
        <f t="shared" si="15"/>
        <v/>
      </c>
      <c r="K248" s="36"/>
      <c r="L248" s="5" t="str">
        <f t="shared" si="16"/>
        <v/>
      </c>
      <c r="M248" s="5"/>
      <c r="N248" s="5" t="str">
        <f t="shared" si="17"/>
        <v/>
      </c>
      <c r="O248" s="4"/>
      <c r="P248" s="4"/>
      <c r="Q248" s="4"/>
    </row>
    <row r="249" spans="1:17" x14ac:dyDescent="0.2">
      <c r="A249" s="130"/>
      <c r="B249" s="4"/>
      <c r="C249" s="4"/>
      <c r="D249" s="4"/>
      <c r="E249" s="41"/>
      <c r="F249" s="41"/>
      <c r="G249" s="5"/>
      <c r="H249" s="4"/>
      <c r="I249" s="5"/>
      <c r="J249" s="5" t="str">
        <f t="shared" si="15"/>
        <v/>
      </c>
      <c r="K249" s="36"/>
      <c r="L249" s="5" t="str">
        <f t="shared" si="16"/>
        <v/>
      </c>
      <c r="M249" s="5"/>
      <c r="N249" s="5" t="str">
        <f t="shared" si="17"/>
        <v/>
      </c>
      <c r="O249" s="4"/>
      <c r="P249" s="4"/>
      <c r="Q249" s="4"/>
    </row>
    <row r="250" spans="1:17" x14ac:dyDescent="0.2">
      <c r="A250" s="130"/>
      <c r="B250" s="4"/>
      <c r="C250" s="4"/>
      <c r="D250" s="4"/>
      <c r="E250" s="41"/>
      <c r="F250" s="41"/>
      <c r="G250" s="5"/>
      <c r="H250" s="4"/>
      <c r="I250" s="5"/>
      <c r="J250" s="5" t="str">
        <f t="shared" si="15"/>
        <v/>
      </c>
      <c r="K250" s="36"/>
      <c r="L250" s="5" t="str">
        <f t="shared" si="16"/>
        <v/>
      </c>
      <c r="M250" s="5"/>
      <c r="N250" s="5" t="str">
        <f t="shared" si="17"/>
        <v/>
      </c>
      <c r="O250" s="4"/>
      <c r="P250" s="4"/>
      <c r="Q250" s="4"/>
    </row>
    <row r="251" spans="1:17" x14ac:dyDescent="0.2">
      <c r="A251" s="130"/>
      <c r="B251" s="4"/>
      <c r="C251" s="4"/>
      <c r="D251" s="4"/>
      <c r="E251" s="41"/>
      <c r="F251" s="41"/>
      <c r="G251" s="5"/>
      <c r="H251" s="4"/>
      <c r="I251" s="5"/>
      <c r="J251" s="5" t="str">
        <f t="shared" si="15"/>
        <v/>
      </c>
      <c r="K251" s="36"/>
      <c r="L251" s="5" t="str">
        <f t="shared" si="16"/>
        <v/>
      </c>
      <c r="M251" s="5"/>
      <c r="N251" s="5" t="str">
        <f t="shared" si="17"/>
        <v/>
      </c>
      <c r="O251" s="4"/>
      <c r="P251" s="4"/>
      <c r="Q251" s="4"/>
    </row>
    <row r="252" spans="1:17" x14ac:dyDescent="0.2">
      <c r="A252" s="130"/>
      <c r="B252" s="4"/>
      <c r="C252" s="4"/>
      <c r="D252" s="4"/>
      <c r="E252" s="41"/>
      <c r="F252" s="41"/>
      <c r="G252" s="5"/>
      <c r="H252" s="4"/>
      <c r="I252" s="5"/>
      <c r="J252" s="5" t="str">
        <f t="shared" si="15"/>
        <v/>
      </c>
      <c r="K252" s="36"/>
      <c r="L252" s="5" t="str">
        <f t="shared" si="16"/>
        <v/>
      </c>
      <c r="M252" s="5"/>
      <c r="N252" s="5" t="str">
        <f t="shared" si="17"/>
        <v/>
      </c>
      <c r="O252" s="4"/>
      <c r="P252" s="4"/>
      <c r="Q252" s="4"/>
    </row>
    <row r="253" spans="1:17" x14ac:dyDescent="0.2">
      <c r="A253" s="130"/>
      <c r="B253" s="4"/>
      <c r="C253" s="4"/>
      <c r="D253" s="4"/>
      <c r="E253" s="41"/>
      <c r="F253" s="41"/>
      <c r="G253" s="5"/>
      <c r="H253" s="4"/>
      <c r="I253" s="5"/>
      <c r="J253" s="5" t="str">
        <f t="shared" si="15"/>
        <v/>
      </c>
      <c r="K253" s="36"/>
      <c r="L253" s="5" t="str">
        <f t="shared" si="16"/>
        <v/>
      </c>
      <c r="M253" s="5"/>
      <c r="N253" s="5" t="str">
        <f t="shared" si="17"/>
        <v/>
      </c>
      <c r="O253" s="4"/>
      <c r="P253" s="4"/>
      <c r="Q253" s="4"/>
    </row>
    <row r="254" spans="1:17" x14ac:dyDescent="0.2">
      <c r="A254" s="130"/>
      <c r="B254" s="4"/>
      <c r="C254" s="4"/>
      <c r="D254" s="4"/>
      <c r="E254" s="41"/>
      <c r="F254" s="41"/>
      <c r="G254" s="5"/>
      <c r="H254" s="4"/>
      <c r="I254" s="5"/>
      <c r="J254" s="5" t="str">
        <f t="shared" si="15"/>
        <v/>
      </c>
      <c r="K254" s="36"/>
      <c r="L254" s="5" t="str">
        <f t="shared" si="16"/>
        <v/>
      </c>
      <c r="M254" s="5"/>
      <c r="N254" s="5" t="str">
        <f t="shared" si="17"/>
        <v/>
      </c>
      <c r="O254" s="4"/>
      <c r="P254" s="4"/>
      <c r="Q254" s="4"/>
    </row>
    <row r="255" spans="1:17" x14ac:dyDescent="0.2">
      <c r="A255" s="130"/>
      <c r="B255" s="4"/>
      <c r="C255" s="4"/>
      <c r="D255" s="4"/>
      <c r="E255" s="41"/>
      <c r="F255" s="41"/>
      <c r="G255" s="5"/>
      <c r="H255" s="4"/>
      <c r="I255" s="5"/>
      <c r="J255" s="5" t="str">
        <f t="shared" si="15"/>
        <v/>
      </c>
      <c r="K255" s="36"/>
      <c r="L255" s="5" t="str">
        <f t="shared" si="16"/>
        <v/>
      </c>
      <c r="M255" s="5"/>
      <c r="N255" s="5" t="str">
        <f t="shared" si="17"/>
        <v/>
      </c>
      <c r="O255" s="4"/>
      <c r="P255" s="4"/>
      <c r="Q255" s="4"/>
    </row>
    <row r="256" spans="1:17" x14ac:dyDescent="0.2">
      <c r="A256" s="130"/>
      <c r="B256" s="4"/>
      <c r="C256" s="4"/>
      <c r="D256" s="4"/>
      <c r="E256" s="41"/>
      <c r="F256" s="41"/>
      <c r="G256" s="5"/>
      <c r="H256" s="4"/>
      <c r="I256" s="5"/>
      <c r="J256" s="5" t="str">
        <f t="shared" si="15"/>
        <v/>
      </c>
      <c r="K256" s="36"/>
      <c r="L256" s="5" t="str">
        <f t="shared" si="16"/>
        <v/>
      </c>
      <c r="M256" s="5"/>
      <c r="N256" s="5" t="str">
        <f t="shared" si="17"/>
        <v/>
      </c>
      <c r="O256" s="4"/>
      <c r="P256" s="4"/>
      <c r="Q256" s="4"/>
    </row>
    <row r="257" spans="1:17" x14ac:dyDescent="0.2">
      <c r="A257" s="130"/>
      <c r="B257" s="4"/>
      <c r="C257" s="4"/>
      <c r="D257" s="4"/>
      <c r="E257" s="41"/>
      <c r="F257" s="41"/>
      <c r="G257" s="5"/>
      <c r="H257" s="4"/>
      <c r="I257" s="5"/>
      <c r="J257" s="5" t="str">
        <f t="shared" si="15"/>
        <v/>
      </c>
      <c r="K257" s="36"/>
      <c r="L257" s="5" t="str">
        <f t="shared" si="16"/>
        <v/>
      </c>
      <c r="M257" s="5"/>
      <c r="N257" s="5" t="str">
        <f t="shared" si="17"/>
        <v/>
      </c>
      <c r="O257" s="4"/>
      <c r="P257" s="4"/>
      <c r="Q257" s="4"/>
    </row>
    <row r="258" spans="1:17" x14ac:dyDescent="0.2">
      <c r="A258" s="130"/>
      <c r="B258" s="4"/>
      <c r="C258" s="4"/>
      <c r="D258" s="4"/>
      <c r="E258" s="41"/>
      <c r="F258" s="41"/>
      <c r="G258" s="5"/>
      <c r="H258" s="4"/>
      <c r="I258" s="5"/>
      <c r="J258" s="5" t="str">
        <f t="shared" si="15"/>
        <v/>
      </c>
      <c r="K258" s="36"/>
      <c r="L258" s="5" t="str">
        <f t="shared" si="16"/>
        <v/>
      </c>
      <c r="M258" s="5"/>
      <c r="N258" s="5" t="str">
        <f t="shared" si="17"/>
        <v/>
      </c>
      <c r="O258" s="4"/>
      <c r="P258" s="4"/>
      <c r="Q258" s="4"/>
    </row>
    <row r="259" spans="1:17" x14ac:dyDescent="0.2">
      <c r="A259" s="130"/>
      <c r="B259" s="4"/>
      <c r="C259" s="4"/>
      <c r="D259" s="4"/>
      <c r="E259" s="41"/>
      <c r="F259" s="41"/>
      <c r="G259" s="5"/>
      <c r="H259" s="4"/>
      <c r="I259" s="5"/>
      <c r="J259" s="5" t="str">
        <f t="shared" si="15"/>
        <v/>
      </c>
      <c r="K259" s="36"/>
      <c r="L259" s="5" t="str">
        <f t="shared" si="16"/>
        <v/>
      </c>
      <c r="M259" s="5"/>
      <c r="N259" s="5" t="str">
        <f t="shared" si="17"/>
        <v/>
      </c>
      <c r="O259" s="4"/>
      <c r="P259" s="4"/>
      <c r="Q259" s="4"/>
    </row>
    <row r="260" spans="1:17" x14ac:dyDescent="0.2">
      <c r="A260" s="130"/>
      <c r="B260" s="4"/>
      <c r="C260" s="4"/>
      <c r="D260" s="4"/>
      <c r="E260" s="41"/>
      <c r="F260" s="41"/>
      <c r="G260" s="5"/>
      <c r="H260" s="4"/>
      <c r="I260" s="5"/>
      <c r="J260" s="5" t="str">
        <f t="shared" si="15"/>
        <v/>
      </c>
      <c r="K260" s="36"/>
      <c r="L260" s="5" t="str">
        <f t="shared" si="16"/>
        <v/>
      </c>
      <c r="M260" s="5"/>
      <c r="N260" s="5" t="str">
        <f t="shared" si="17"/>
        <v/>
      </c>
      <c r="O260" s="4"/>
      <c r="P260" s="4"/>
      <c r="Q260" s="4"/>
    </row>
    <row r="261" spans="1:17" x14ac:dyDescent="0.2">
      <c r="A261" s="130"/>
      <c r="B261" s="4"/>
      <c r="C261" s="4"/>
      <c r="D261" s="4"/>
      <c r="E261" s="41"/>
      <c r="F261" s="41"/>
      <c r="G261" s="5"/>
      <c r="H261" s="4"/>
      <c r="I261" s="5"/>
      <c r="J261" s="5" t="str">
        <f t="shared" si="15"/>
        <v/>
      </c>
      <c r="K261" s="36"/>
      <c r="L261" s="5" t="str">
        <f t="shared" si="16"/>
        <v/>
      </c>
      <c r="M261" s="5"/>
      <c r="N261" s="5" t="str">
        <f t="shared" si="17"/>
        <v/>
      </c>
      <c r="O261" s="4"/>
      <c r="P261" s="4"/>
      <c r="Q261" s="4"/>
    </row>
    <row r="262" spans="1:17" x14ac:dyDescent="0.2">
      <c r="A262" s="130"/>
      <c r="B262" s="4"/>
      <c r="C262" s="4"/>
      <c r="D262" s="4"/>
      <c r="E262" s="41"/>
      <c r="F262" s="41"/>
      <c r="G262" s="5"/>
      <c r="H262" s="4"/>
      <c r="I262" s="5"/>
      <c r="J262" s="5" t="str">
        <f t="shared" si="15"/>
        <v/>
      </c>
      <c r="K262" s="36"/>
      <c r="L262" s="5" t="str">
        <f t="shared" si="16"/>
        <v/>
      </c>
      <c r="M262" s="5"/>
      <c r="N262" s="5" t="str">
        <f t="shared" si="17"/>
        <v/>
      </c>
      <c r="O262" s="4"/>
      <c r="P262" s="4"/>
      <c r="Q262" s="4"/>
    </row>
    <row r="263" spans="1:17" x14ac:dyDescent="0.2">
      <c r="A263" s="130"/>
      <c r="B263" s="4"/>
      <c r="C263" s="4"/>
      <c r="D263" s="4"/>
      <c r="E263" s="41"/>
      <c r="F263" s="41"/>
      <c r="G263" s="5"/>
      <c r="H263" s="4"/>
      <c r="I263" s="5"/>
      <c r="J263" s="5" t="str">
        <f t="shared" si="15"/>
        <v/>
      </c>
      <c r="K263" s="36"/>
      <c r="L263" s="5" t="str">
        <f t="shared" si="16"/>
        <v/>
      </c>
      <c r="M263" s="5"/>
      <c r="N263" s="5" t="str">
        <f t="shared" si="17"/>
        <v/>
      </c>
      <c r="O263" s="4"/>
      <c r="P263" s="4"/>
      <c r="Q263" s="4"/>
    </row>
    <row r="264" spans="1:17" x14ac:dyDescent="0.2">
      <c r="A264" s="130"/>
      <c r="B264" s="4"/>
      <c r="C264" s="4"/>
      <c r="D264" s="4"/>
      <c r="E264" s="41"/>
      <c r="F264" s="41"/>
      <c r="G264" s="5"/>
      <c r="H264" s="4"/>
      <c r="I264" s="5"/>
      <c r="J264" s="5" t="str">
        <f t="shared" si="15"/>
        <v/>
      </c>
      <c r="K264" s="36"/>
      <c r="L264" s="5" t="str">
        <f t="shared" si="16"/>
        <v/>
      </c>
      <c r="M264" s="5"/>
      <c r="N264" s="5" t="str">
        <f t="shared" si="17"/>
        <v/>
      </c>
      <c r="O264" s="4"/>
      <c r="P264" s="4"/>
      <c r="Q264" s="4"/>
    </row>
    <row r="265" spans="1:17" x14ac:dyDescent="0.2">
      <c r="A265" s="130"/>
      <c r="B265" s="4"/>
      <c r="C265" s="4"/>
      <c r="D265" s="4"/>
      <c r="E265" s="41"/>
      <c r="F265" s="41"/>
      <c r="G265" s="5"/>
      <c r="H265" s="4"/>
      <c r="I265" s="5"/>
      <c r="J265" s="5" t="str">
        <f t="shared" si="15"/>
        <v/>
      </c>
      <c r="K265" s="36"/>
      <c r="L265" s="5" t="str">
        <f t="shared" si="16"/>
        <v/>
      </c>
      <c r="M265" s="5"/>
      <c r="N265" s="5" t="str">
        <f t="shared" si="17"/>
        <v/>
      </c>
      <c r="O265" s="4"/>
      <c r="P265" s="4"/>
      <c r="Q265" s="4"/>
    </row>
    <row r="266" spans="1:17" x14ac:dyDescent="0.2">
      <c r="A266" s="130"/>
      <c r="B266" s="4"/>
      <c r="C266" s="4"/>
      <c r="D266" s="4"/>
      <c r="E266" s="41"/>
      <c r="F266" s="41"/>
      <c r="G266" s="5"/>
      <c r="H266" s="4"/>
      <c r="I266" s="5"/>
      <c r="J266" s="5" t="str">
        <f t="shared" si="15"/>
        <v/>
      </c>
      <c r="K266" s="36"/>
      <c r="L266" s="5" t="str">
        <f t="shared" si="16"/>
        <v/>
      </c>
      <c r="M266" s="5"/>
      <c r="N266" s="5" t="str">
        <f t="shared" si="17"/>
        <v/>
      </c>
      <c r="O266" s="4"/>
      <c r="P266" s="4"/>
      <c r="Q266" s="4"/>
    </row>
    <row r="267" spans="1:17" x14ac:dyDescent="0.2">
      <c r="A267" s="130"/>
      <c r="B267" s="4"/>
      <c r="C267" s="4"/>
      <c r="D267" s="4"/>
      <c r="E267" s="41"/>
      <c r="F267" s="41"/>
      <c r="G267" s="5"/>
      <c r="H267" s="4"/>
      <c r="I267" s="5"/>
      <c r="J267" s="5" t="str">
        <f t="shared" si="15"/>
        <v/>
      </c>
      <c r="K267" s="36"/>
      <c r="L267" s="5" t="str">
        <f t="shared" si="16"/>
        <v/>
      </c>
      <c r="M267" s="5"/>
      <c r="N267" s="5" t="str">
        <f t="shared" si="17"/>
        <v/>
      </c>
      <c r="O267" s="4"/>
      <c r="P267" s="4"/>
      <c r="Q267" s="4"/>
    </row>
    <row r="268" spans="1:17" x14ac:dyDescent="0.2">
      <c r="A268" s="130"/>
      <c r="B268" s="4"/>
      <c r="C268" s="4"/>
      <c r="D268" s="4"/>
      <c r="E268" s="41"/>
      <c r="F268" s="41"/>
      <c r="G268" s="5"/>
      <c r="H268" s="4"/>
      <c r="I268" s="5"/>
      <c r="J268" s="5" t="str">
        <f t="shared" si="15"/>
        <v/>
      </c>
      <c r="K268" s="36"/>
      <c r="L268" s="5" t="str">
        <f t="shared" si="16"/>
        <v/>
      </c>
      <c r="M268" s="5"/>
      <c r="N268" s="5" t="str">
        <f t="shared" si="17"/>
        <v/>
      </c>
      <c r="O268" s="4"/>
      <c r="P268" s="4"/>
      <c r="Q268" s="4"/>
    </row>
    <row r="269" spans="1:17" x14ac:dyDescent="0.2">
      <c r="A269" s="130"/>
      <c r="B269" s="4"/>
      <c r="C269" s="4"/>
      <c r="D269" s="4"/>
      <c r="E269" s="41"/>
      <c r="F269" s="41"/>
      <c r="G269" s="5"/>
      <c r="H269" s="4"/>
      <c r="I269" s="5"/>
      <c r="J269" s="5" t="str">
        <f t="shared" si="15"/>
        <v/>
      </c>
      <c r="K269" s="36"/>
      <c r="L269" s="5" t="str">
        <f t="shared" si="16"/>
        <v/>
      </c>
      <c r="M269" s="5"/>
      <c r="N269" s="5" t="str">
        <f t="shared" si="17"/>
        <v/>
      </c>
      <c r="O269" s="4"/>
      <c r="P269" s="4"/>
      <c r="Q269" s="4"/>
    </row>
    <row r="270" spans="1:17" x14ac:dyDescent="0.2">
      <c r="A270" s="130"/>
      <c r="B270" s="4"/>
      <c r="C270" s="4"/>
      <c r="D270" s="4"/>
      <c r="E270" s="41"/>
      <c r="F270" s="41"/>
      <c r="G270" s="5"/>
      <c r="H270" s="4"/>
      <c r="I270" s="5"/>
      <c r="J270" s="5" t="str">
        <f t="shared" si="15"/>
        <v/>
      </c>
      <c r="K270" s="36"/>
      <c r="L270" s="5" t="str">
        <f t="shared" si="16"/>
        <v/>
      </c>
      <c r="M270" s="5"/>
      <c r="N270" s="5" t="str">
        <f t="shared" si="17"/>
        <v/>
      </c>
      <c r="O270" s="4"/>
      <c r="P270" s="4"/>
      <c r="Q270" s="4"/>
    </row>
    <row r="271" spans="1:17" x14ac:dyDescent="0.2">
      <c r="A271" s="130"/>
      <c r="B271" s="4"/>
      <c r="C271" s="4"/>
      <c r="D271" s="4"/>
      <c r="E271" s="41"/>
      <c r="F271" s="41"/>
      <c r="G271" s="5"/>
      <c r="H271" s="4"/>
      <c r="I271" s="5"/>
      <c r="J271" s="5" t="str">
        <f t="shared" si="15"/>
        <v/>
      </c>
      <c r="K271" s="36"/>
      <c r="L271" s="5" t="str">
        <f t="shared" si="16"/>
        <v/>
      </c>
      <c r="M271" s="5"/>
      <c r="N271" s="5" t="str">
        <f t="shared" si="17"/>
        <v/>
      </c>
      <c r="O271" s="4"/>
      <c r="P271" s="4"/>
      <c r="Q271" s="4"/>
    </row>
    <row r="272" spans="1:17" x14ac:dyDescent="0.2">
      <c r="A272" s="130"/>
      <c r="B272" s="4"/>
      <c r="C272" s="4"/>
      <c r="D272" s="4"/>
      <c r="E272" s="41"/>
      <c r="F272" s="41"/>
      <c r="G272" s="5"/>
      <c r="H272" s="4"/>
      <c r="I272" s="5"/>
      <c r="J272" s="5" t="str">
        <f t="shared" si="15"/>
        <v/>
      </c>
      <c r="K272" s="36"/>
      <c r="L272" s="5" t="str">
        <f t="shared" si="16"/>
        <v/>
      </c>
      <c r="M272" s="5"/>
      <c r="N272" s="5" t="str">
        <f t="shared" si="17"/>
        <v/>
      </c>
      <c r="O272" s="4"/>
      <c r="P272" s="4"/>
      <c r="Q272" s="4"/>
    </row>
    <row r="273" spans="1:17" x14ac:dyDescent="0.2">
      <c r="A273" s="130"/>
      <c r="B273" s="4"/>
      <c r="C273" s="4"/>
      <c r="D273" s="4"/>
      <c r="E273" s="41"/>
      <c r="F273" s="41"/>
      <c r="G273" s="5"/>
      <c r="H273" s="4"/>
      <c r="I273" s="5"/>
      <c r="J273" s="5" t="str">
        <f t="shared" si="15"/>
        <v/>
      </c>
      <c r="K273" s="36"/>
      <c r="L273" s="5" t="str">
        <f t="shared" si="16"/>
        <v/>
      </c>
      <c r="M273" s="5"/>
      <c r="N273" s="5" t="str">
        <f t="shared" si="17"/>
        <v/>
      </c>
      <c r="O273" s="4"/>
      <c r="P273" s="4"/>
      <c r="Q273" s="4"/>
    </row>
    <row r="274" spans="1:17" x14ac:dyDescent="0.2">
      <c r="A274" s="130"/>
      <c r="B274" s="4"/>
      <c r="C274" s="4"/>
      <c r="D274" s="4"/>
      <c r="E274" s="41"/>
      <c r="F274" s="41"/>
      <c r="G274" s="5"/>
      <c r="H274" s="4"/>
      <c r="I274" s="5"/>
      <c r="J274" s="5" t="str">
        <f t="shared" si="15"/>
        <v/>
      </c>
      <c r="K274" s="36"/>
      <c r="L274" s="5" t="str">
        <f t="shared" si="16"/>
        <v/>
      </c>
      <c r="M274" s="5"/>
      <c r="N274" s="5" t="str">
        <f t="shared" si="17"/>
        <v/>
      </c>
      <c r="O274" s="4"/>
      <c r="P274" s="4"/>
      <c r="Q274" s="4"/>
    </row>
    <row r="275" spans="1:17" x14ac:dyDescent="0.2">
      <c r="A275" s="130"/>
      <c r="B275" s="4"/>
      <c r="C275" s="4"/>
      <c r="D275" s="4"/>
      <c r="E275" s="41"/>
      <c r="F275" s="41"/>
      <c r="G275" s="5"/>
      <c r="H275" s="4"/>
      <c r="I275" s="5"/>
      <c r="J275" s="5" t="str">
        <f t="shared" si="15"/>
        <v/>
      </c>
      <c r="K275" s="36"/>
      <c r="L275" s="5" t="str">
        <f t="shared" si="16"/>
        <v/>
      </c>
      <c r="M275" s="5"/>
      <c r="N275" s="5" t="str">
        <f t="shared" si="17"/>
        <v/>
      </c>
      <c r="O275" s="4"/>
      <c r="P275" s="4"/>
      <c r="Q275" s="4"/>
    </row>
    <row r="276" spans="1:17" x14ac:dyDescent="0.2">
      <c r="A276" s="130"/>
      <c r="B276" s="4"/>
      <c r="C276" s="4"/>
      <c r="D276" s="4"/>
      <c r="E276" s="41"/>
      <c r="F276" s="41"/>
      <c r="G276" s="5"/>
      <c r="H276" s="4"/>
      <c r="I276" s="5"/>
      <c r="J276" s="5" t="str">
        <f t="shared" si="15"/>
        <v/>
      </c>
      <c r="K276" s="36"/>
      <c r="L276" s="5" t="str">
        <f t="shared" si="16"/>
        <v/>
      </c>
      <c r="M276" s="5"/>
      <c r="N276" s="5" t="str">
        <f t="shared" si="17"/>
        <v/>
      </c>
      <c r="O276" s="4"/>
      <c r="P276" s="4"/>
      <c r="Q276" s="4"/>
    </row>
    <row r="277" spans="1:17" x14ac:dyDescent="0.2">
      <c r="A277" s="130"/>
      <c r="B277" s="4"/>
      <c r="C277" s="4"/>
      <c r="D277" s="4"/>
      <c r="E277" s="41"/>
      <c r="F277" s="41"/>
      <c r="G277" s="5"/>
      <c r="H277" s="4"/>
      <c r="I277" s="5"/>
      <c r="J277" s="5" t="str">
        <f t="shared" si="15"/>
        <v/>
      </c>
      <c r="K277" s="36"/>
      <c r="L277" s="5" t="str">
        <f t="shared" si="16"/>
        <v/>
      </c>
      <c r="M277" s="5"/>
      <c r="N277" s="5" t="str">
        <f t="shared" si="17"/>
        <v/>
      </c>
      <c r="O277" s="4"/>
      <c r="P277" s="4"/>
      <c r="Q277" s="4"/>
    </row>
    <row r="278" spans="1:17" x14ac:dyDescent="0.2">
      <c r="A278" s="130"/>
      <c r="B278" s="4"/>
      <c r="C278" s="4"/>
      <c r="D278" s="4"/>
      <c r="E278" s="41"/>
      <c r="F278" s="41"/>
      <c r="G278" s="5"/>
      <c r="H278" s="4"/>
      <c r="I278" s="5"/>
      <c r="J278" s="5" t="str">
        <f t="shared" si="15"/>
        <v/>
      </c>
      <c r="K278" s="36"/>
      <c r="L278" s="5" t="str">
        <f t="shared" si="16"/>
        <v/>
      </c>
      <c r="M278" s="5"/>
      <c r="N278" s="5" t="str">
        <f t="shared" si="17"/>
        <v/>
      </c>
      <c r="O278" s="4"/>
      <c r="P278" s="4"/>
      <c r="Q278" s="4"/>
    </row>
    <row r="279" spans="1:17" x14ac:dyDescent="0.2">
      <c r="A279" s="130"/>
      <c r="B279" s="4"/>
      <c r="C279" s="4"/>
      <c r="D279" s="4"/>
      <c r="E279" s="41"/>
      <c r="F279" s="41"/>
      <c r="G279" s="5"/>
      <c r="H279" s="4"/>
      <c r="I279" s="5"/>
      <c r="J279" s="5" t="str">
        <f t="shared" si="15"/>
        <v/>
      </c>
      <c r="K279" s="36"/>
      <c r="L279" s="5" t="str">
        <f t="shared" si="16"/>
        <v/>
      </c>
      <c r="M279" s="5"/>
      <c r="N279" s="5" t="str">
        <f t="shared" si="17"/>
        <v/>
      </c>
      <c r="O279" s="4"/>
      <c r="P279" s="4"/>
      <c r="Q279" s="4"/>
    </row>
    <row r="280" spans="1:17" x14ac:dyDescent="0.2">
      <c r="A280" s="130"/>
      <c r="B280" s="4"/>
      <c r="C280" s="4"/>
      <c r="D280" s="4"/>
      <c r="E280" s="41"/>
      <c r="F280" s="41"/>
      <c r="G280" s="5"/>
      <c r="H280" s="4"/>
      <c r="I280" s="5"/>
      <c r="J280" s="5" t="str">
        <f t="shared" si="15"/>
        <v/>
      </c>
      <c r="K280" s="36"/>
      <c r="L280" s="5" t="str">
        <f t="shared" si="16"/>
        <v/>
      </c>
      <c r="M280" s="5"/>
      <c r="N280" s="5" t="str">
        <f t="shared" si="17"/>
        <v/>
      </c>
      <c r="O280" s="4"/>
      <c r="P280" s="4"/>
      <c r="Q280" s="4"/>
    </row>
    <row r="281" spans="1:17" x14ac:dyDescent="0.2">
      <c r="A281" s="130"/>
      <c r="B281" s="4"/>
      <c r="C281" s="4"/>
      <c r="D281" s="4"/>
      <c r="E281" s="41"/>
      <c r="F281" s="41"/>
      <c r="G281" s="5"/>
      <c r="H281" s="4"/>
      <c r="I281" s="5"/>
      <c r="J281" s="5" t="str">
        <f t="shared" si="15"/>
        <v/>
      </c>
      <c r="K281" s="36"/>
      <c r="L281" s="5" t="str">
        <f t="shared" si="16"/>
        <v/>
      </c>
      <c r="M281" s="5"/>
      <c r="N281" s="5" t="str">
        <f t="shared" si="17"/>
        <v/>
      </c>
      <c r="O281" s="4"/>
      <c r="P281" s="4"/>
      <c r="Q281" s="4"/>
    </row>
    <row r="282" spans="1:17" x14ac:dyDescent="0.2">
      <c r="A282" s="130"/>
      <c r="B282" s="4"/>
      <c r="C282" s="4"/>
      <c r="D282" s="4"/>
      <c r="E282" s="41"/>
      <c r="F282" s="41"/>
      <c r="G282" s="5"/>
      <c r="H282" s="4"/>
      <c r="I282" s="5"/>
      <c r="J282" s="5" t="str">
        <f t="shared" ref="J282:J345" si="18">IF($D282="","",IF($H282="FIXED",$I282,($E282*FAT_MULT)+($F282*SNF_MULT)+$G282))</f>
        <v/>
      </c>
      <c r="K282" s="36"/>
      <c r="L282" s="5" t="str">
        <f t="shared" ref="L282:L345" si="19">IF($K282="","",$K282*$J282)</f>
        <v/>
      </c>
      <c r="M282" s="5"/>
      <c r="N282" s="5" t="str">
        <f t="shared" ref="N282:N345" si="20">IF($K282="","",$L282+$M282)</f>
        <v/>
      </c>
      <c r="O282" s="4"/>
      <c r="P282" s="4"/>
      <c r="Q282" s="4"/>
    </row>
    <row r="283" spans="1:17" x14ac:dyDescent="0.2">
      <c r="A283" s="130"/>
      <c r="B283" s="4"/>
      <c r="C283" s="4"/>
      <c r="D283" s="4"/>
      <c r="E283" s="41"/>
      <c r="F283" s="41"/>
      <c r="G283" s="5"/>
      <c r="H283" s="4"/>
      <c r="I283" s="5"/>
      <c r="J283" s="5" t="str">
        <f t="shared" si="18"/>
        <v/>
      </c>
      <c r="K283" s="36"/>
      <c r="L283" s="5" t="str">
        <f t="shared" si="19"/>
        <v/>
      </c>
      <c r="M283" s="5"/>
      <c r="N283" s="5" t="str">
        <f t="shared" si="20"/>
        <v/>
      </c>
      <c r="O283" s="4"/>
      <c r="P283" s="4"/>
      <c r="Q283" s="4"/>
    </row>
    <row r="284" spans="1:17" x14ac:dyDescent="0.2">
      <c r="A284" s="130"/>
      <c r="B284" s="4"/>
      <c r="C284" s="4"/>
      <c r="D284" s="4"/>
      <c r="E284" s="41"/>
      <c r="F284" s="41"/>
      <c r="G284" s="5"/>
      <c r="H284" s="4"/>
      <c r="I284" s="5"/>
      <c r="J284" s="5" t="str">
        <f t="shared" si="18"/>
        <v/>
      </c>
      <c r="K284" s="36"/>
      <c r="L284" s="5" t="str">
        <f t="shared" si="19"/>
        <v/>
      </c>
      <c r="M284" s="5"/>
      <c r="N284" s="5" t="str">
        <f t="shared" si="20"/>
        <v/>
      </c>
      <c r="O284" s="4"/>
      <c r="P284" s="4"/>
      <c r="Q284" s="4"/>
    </row>
    <row r="285" spans="1:17" x14ac:dyDescent="0.2">
      <c r="A285" s="130"/>
      <c r="B285" s="4"/>
      <c r="C285" s="4"/>
      <c r="D285" s="4"/>
      <c r="E285" s="41"/>
      <c r="F285" s="41"/>
      <c r="G285" s="5"/>
      <c r="H285" s="4"/>
      <c r="I285" s="5"/>
      <c r="J285" s="5" t="str">
        <f t="shared" si="18"/>
        <v/>
      </c>
      <c r="K285" s="36"/>
      <c r="L285" s="5" t="str">
        <f t="shared" si="19"/>
        <v/>
      </c>
      <c r="M285" s="5"/>
      <c r="N285" s="5" t="str">
        <f t="shared" si="20"/>
        <v/>
      </c>
      <c r="O285" s="4"/>
      <c r="P285" s="4"/>
      <c r="Q285" s="4"/>
    </row>
    <row r="286" spans="1:17" x14ac:dyDescent="0.2">
      <c r="A286" s="130"/>
      <c r="B286" s="4"/>
      <c r="C286" s="4"/>
      <c r="D286" s="4"/>
      <c r="E286" s="41"/>
      <c r="F286" s="41"/>
      <c r="G286" s="5"/>
      <c r="H286" s="4"/>
      <c r="I286" s="5"/>
      <c r="J286" s="5" t="str">
        <f t="shared" si="18"/>
        <v/>
      </c>
      <c r="K286" s="36"/>
      <c r="L286" s="5" t="str">
        <f t="shared" si="19"/>
        <v/>
      </c>
      <c r="M286" s="5"/>
      <c r="N286" s="5" t="str">
        <f t="shared" si="20"/>
        <v/>
      </c>
      <c r="O286" s="4"/>
      <c r="P286" s="4"/>
      <c r="Q286" s="4"/>
    </row>
    <row r="287" spans="1:17" x14ac:dyDescent="0.2">
      <c r="A287" s="130"/>
      <c r="B287" s="4"/>
      <c r="C287" s="4"/>
      <c r="D287" s="4"/>
      <c r="E287" s="41"/>
      <c r="F287" s="41"/>
      <c r="G287" s="5"/>
      <c r="H287" s="4"/>
      <c r="I287" s="5"/>
      <c r="J287" s="5" t="str">
        <f t="shared" si="18"/>
        <v/>
      </c>
      <c r="K287" s="36"/>
      <c r="L287" s="5" t="str">
        <f t="shared" si="19"/>
        <v/>
      </c>
      <c r="M287" s="5"/>
      <c r="N287" s="5" t="str">
        <f t="shared" si="20"/>
        <v/>
      </c>
      <c r="O287" s="4"/>
      <c r="P287" s="4"/>
      <c r="Q287" s="4"/>
    </row>
    <row r="288" spans="1:17" x14ac:dyDescent="0.2">
      <c r="A288" s="130"/>
      <c r="B288" s="4"/>
      <c r="C288" s="4"/>
      <c r="D288" s="4"/>
      <c r="E288" s="41"/>
      <c r="F288" s="41"/>
      <c r="G288" s="5"/>
      <c r="H288" s="4"/>
      <c r="I288" s="5"/>
      <c r="J288" s="5" t="str">
        <f t="shared" si="18"/>
        <v/>
      </c>
      <c r="K288" s="36"/>
      <c r="L288" s="5" t="str">
        <f t="shared" si="19"/>
        <v/>
      </c>
      <c r="M288" s="5"/>
      <c r="N288" s="5" t="str">
        <f t="shared" si="20"/>
        <v/>
      </c>
      <c r="O288" s="4"/>
      <c r="P288" s="4"/>
      <c r="Q288" s="4"/>
    </row>
    <row r="289" spans="1:17" x14ac:dyDescent="0.2">
      <c r="A289" s="130"/>
      <c r="B289" s="4"/>
      <c r="C289" s="4"/>
      <c r="D289" s="4"/>
      <c r="E289" s="41"/>
      <c r="F289" s="41"/>
      <c r="G289" s="5"/>
      <c r="H289" s="4"/>
      <c r="I289" s="5"/>
      <c r="J289" s="5" t="str">
        <f t="shared" si="18"/>
        <v/>
      </c>
      <c r="K289" s="36"/>
      <c r="L289" s="5" t="str">
        <f t="shared" si="19"/>
        <v/>
      </c>
      <c r="M289" s="5"/>
      <c r="N289" s="5" t="str">
        <f t="shared" si="20"/>
        <v/>
      </c>
      <c r="O289" s="4"/>
      <c r="P289" s="4"/>
      <c r="Q289" s="4"/>
    </row>
    <row r="290" spans="1:17" x14ac:dyDescent="0.2">
      <c r="A290" s="130"/>
      <c r="B290" s="4"/>
      <c r="C290" s="4"/>
      <c r="D290" s="4"/>
      <c r="E290" s="41"/>
      <c r="F290" s="41"/>
      <c r="G290" s="5"/>
      <c r="H290" s="4"/>
      <c r="I290" s="5"/>
      <c r="J290" s="5" t="str">
        <f t="shared" si="18"/>
        <v/>
      </c>
      <c r="K290" s="36"/>
      <c r="L290" s="5" t="str">
        <f t="shared" si="19"/>
        <v/>
      </c>
      <c r="M290" s="5"/>
      <c r="N290" s="5" t="str">
        <f t="shared" si="20"/>
        <v/>
      </c>
      <c r="O290" s="4"/>
      <c r="P290" s="4"/>
      <c r="Q290" s="4"/>
    </row>
    <row r="291" spans="1:17" x14ac:dyDescent="0.2">
      <c r="A291" s="130"/>
      <c r="B291" s="4"/>
      <c r="C291" s="4"/>
      <c r="D291" s="4"/>
      <c r="E291" s="41"/>
      <c r="F291" s="41"/>
      <c r="G291" s="5"/>
      <c r="H291" s="4"/>
      <c r="I291" s="5"/>
      <c r="J291" s="5" t="str">
        <f t="shared" si="18"/>
        <v/>
      </c>
      <c r="K291" s="36"/>
      <c r="L291" s="5" t="str">
        <f t="shared" si="19"/>
        <v/>
      </c>
      <c r="M291" s="5"/>
      <c r="N291" s="5" t="str">
        <f t="shared" si="20"/>
        <v/>
      </c>
      <c r="O291" s="4"/>
      <c r="P291" s="4"/>
      <c r="Q291" s="4"/>
    </row>
    <row r="292" spans="1:17" x14ac:dyDescent="0.2">
      <c r="A292" s="130"/>
      <c r="B292" s="4"/>
      <c r="C292" s="4"/>
      <c r="D292" s="4"/>
      <c r="E292" s="41"/>
      <c r="F292" s="41"/>
      <c r="G292" s="5"/>
      <c r="H292" s="4"/>
      <c r="I292" s="5"/>
      <c r="J292" s="5" t="str">
        <f t="shared" si="18"/>
        <v/>
      </c>
      <c r="K292" s="36"/>
      <c r="L292" s="5" t="str">
        <f t="shared" si="19"/>
        <v/>
      </c>
      <c r="M292" s="5"/>
      <c r="N292" s="5" t="str">
        <f t="shared" si="20"/>
        <v/>
      </c>
      <c r="O292" s="4"/>
      <c r="P292" s="4"/>
      <c r="Q292" s="4"/>
    </row>
    <row r="293" spans="1:17" x14ac:dyDescent="0.2">
      <c r="A293" s="130"/>
      <c r="B293" s="4"/>
      <c r="C293" s="4"/>
      <c r="D293" s="4"/>
      <c r="E293" s="41"/>
      <c r="F293" s="41"/>
      <c r="G293" s="5"/>
      <c r="H293" s="4"/>
      <c r="I293" s="5"/>
      <c r="J293" s="5" t="str">
        <f t="shared" si="18"/>
        <v/>
      </c>
      <c r="K293" s="36"/>
      <c r="L293" s="5" t="str">
        <f t="shared" si="19"/>
        <v/>
      </c>
      <c r="M293" s="5"/>
      <c r="N293" s="5" t="str">
        <f t="shared" si="20"/>
        <v/>
      </c>
      <c r="O293" s="4"/>
      <c r="P293" s="4"/>
      <c r="Q293" s="4"/>
    </row>
    <row r="294" spans="1:17" x14ac:dyDescent="0.2">
      <c r="A294" s="130"/>
      <c r="B294" s="4"/>
      <c r="C294" s="4"/>
      <c r="D294" s="4"/>
      <c r="E294" s="41"/>
      <c r="F294" s="41"/>
      <c r="G294" s="5"/>
      <c r="H294" s="4"/>
      <c r="I294" s="5"/>
      <c r="J294" s="5" t="str">
        <f t="shared" si="18"/>
        <v/>
      </c>
      <c r="K294" s="36"/>
      <c r="L294" s="5" t="str">
        <f t="shared" si="19"/>
        <v/>
      </c>
      <c r="M294" s="5"/>
      <c r="N294" s="5" t="str">
        <f t="shared" si="20"/>
        <v/>
      </c>
      <c r="O294" s="4"/>
      <c r="P294" s="4"/>
      <c r="Q294" s="4"/>
    </row>
    <row r="295" spans="1:17" x14ac:dyDescent="0.2">
      <c r="A295" s="130"/>
      <c r="B295" s="4"/>
      <c r="C295" s="4"/>
      <c r="D295" s="4"/>
      <c r="E295" s="41"/>
      <c r="F295" s="41"/>
      <c r="G295" s="5"/>
      <c r="H295" s="4"/>
      <c r="I295" s="5"/>
      <c r="J295" s="5" t="str">
        <f t="shared" si="18"/>
        <v/>
      </c>
      <c r="K295" s="36"/>
      <c r="L295" s="5" t="str">
        <f t="shared" si="19"/>
        <v/>
      </c>
      <c r="M295" s="5"/>
      <c r="N295" s="5" t="str">
        <f t="shared" si="20"/>
        <v/>
      </c>
      <c r="O295" s="4"/>
      <c r="P295" s="4"/>
      <c r="Q295" s="4"/>
    </row>
    <row r="296" spans="1:17" x14ac:dyDescent="0.2">
      <c r="A296" s="130"/>
      <c r="B296" s="4"/>
      <c r="C296" s="4"/>
      <c r="D296" s="4"/>
      <c r="E296" s="41"/>
      <c r="F296" s="41"/>
      <c r="G296" s="5"/>
      <c r="H296" s="4"/>
      <c r="I296" s="5"/>
      <c r="J296" s="5" t="str">
        <f t="shared" si="18"/>
        <v/>
      </c>
      <c r="K296" s="36"/>
      <c r="L296" s="5" t="str">
        <f t="shared" si="19"/>
        <v/>
      </c>
      <c r="M296" s="5"/>
      <c r="N296" s="5" t="str">
        <f t="shared" si="20"/>
        <v/>
      </c>
      <c r="O296" s="4"/>
      <c r="P296" s="4"/>
      <c r="Q296" s="4"/>
    </row>
    <row r="297" spans="1:17" x14ac:dyDescent="0.2">
      <c r="A297" s="130"/>
      <c r="B297" s="4"/>
      <c r="C297" s="4"/>
      <c r="D297" s="4"/>
      <c r="E297" s="41"/>
      <c r="F297" s="41"/>
      <c r="G297" s="5"/>
      <c r="H297" s="4"/>
      <c r="I297" s="5"/>
      <c r="J297" s="5" t="str">
        <f t="shared" si="18"/>
        <v/>
      </c>
      <c r="K297" s="36"/>
      <c r="L297" s="5" t="str">
        <f t="shared" si="19"/>
        <v/>
      </c>
      <c r="M297" s="5"/>
      <c r="N297" s="5" t="str">
        <f t="shared" si="20"/>
        <v/>
      </c>
      <c r="O297" s="4"/>
      <c r="P297" s="4"/>
      <c r="Q297" s="4"/>
    </row>
    <row r="298" spans="1:17" x14ac:dyDescent="0.2">
      <c r="A298" s="130"/>
      <c r="B298" s="4"/>
      <c r="C298" s="4"/>
      <c r="D298" s="4"/>
      <c r="E298" s="41"/>
      <c r="F298" s="41"/>
      <c r="G298" s="5"/>
      <c r="H298" s="4"/>
      <c r="I298" s="5"/>
      <c r="J298" s="5" t="str">
        <f t="shared" si="18"/>
        <v/>
      </c>
      <c r="K298" s="36"/>
      <c r="L298" s="5" t="str">
        <f t="shared" si="19"/>
        <v/>
      </c>
      <c r="M298" s="5"/>
      <c r="N298" s="5" t="str">
        <f t="shared" si="20"/>
        <v/>
      </c>
      <c r="O298" s="4"/>
      <c r="P298" s="4"/>
      <c r="Q298" s="4"/>
    </row>
    <row r="299" spans="1:17" x14ac:dyDescent="0.2">
      <c r="A299" s="130"/>
      <c r="B299" s="4"/>
      <c r="C299" s="4"/>
      <c r="D299" s="4"/>
      <c r="E299" s="41"/>
      <c r="F299" s="41"/>
      <c r="G299" s="5"/>
      <c r="H299" s="4"/>
      <c r="I299" s="5"/>
      <c r="J299" s="5" t="str">
        <f t="shared" si="18"/>
        <v/>
      </c>
      <c r="K299" s="36"/>
      <c r="L299" s="5" t="str">
        <f t="shared" si="19"/>
        <v/>
      </c>
      <c r="M299" s="5"/>
      <c r="N299" s="5" t="str">
        <f t="shared" si="20"/>
        <v/>
      </c>
      <c r="O299" s="4"/>
      <c r="P299" s="4"/>
      <c r="Q299" s="4"/>
    </row>
    <row r="300" spans="1:17" x14ac:dyDescent="0.2">
      <c r="A300" s="130"/>
      <c r="B300" s="4"/>
      <c r="C300" s="4"/>
      <c r="D300" s="4"/>
      <c r="E300" s="41"/>
      <c r="F300" s="41"/>
      <c r="G300" s="5"/>
      <c r="H300" s="4"/>
      <c r="I300" s="5"/>
      <c r="J300" s="5" t="str">
        <f t="shared" si="18"/>
        <v/>
      </c>
      <c r="K300" s="36"/>
      <c r="L300" s="5" t="str">
        <f t="shared" si="19"/>
        <v/>
      </c>
      <c r="M300" s="5"/>
      <c r="N300" s="5" t="str">
        <f t="shared" si="20"/>
        <v/>
      </c>
      <c r="O300" s="4"/>
      <c r="P300" s="4"/>
      <c r="Q300" s="4"/>
    </row>
    <row r="301" spans="1:17" x14ac:dyDescent="0.2">
      <c r="A301" s="130"/>
      <c r="B301" s="4"/>
      <c r="C301" s="4"/>
      <c r="D301" s="4"/>
      <c r="E301" s="41"/>
      <c r="F301" s="41"/>
      <c r="G301" s="5"/>
      <c r="H301" s="4"/>
      <c r="I301" s="5"/>
      <c r="J301" s="5" t="str">
        <f t="shared" si="18"/>
        <v/>
      </c>
      <c r="K301" s="36"/>
      <c r="L301" s="5" t="str">
        <f t="shared" si="19"/>
        <v/>
      </c>
      <c r="M301" s="5"/>
      <c r="N301" s="5" t="str">
        <f t="shared" si="20"/>
        <v/>
      </c>
      <c r="O301" s="4"/>
      <c r="P301" s="4"/>
      <c r="Q301" s="4"/>
    </row>
    <row r="302" spans="1:17" x14ac:dyDescent="0.2">
      <c r="A302" s="130"/>
      <c r="B302" s="4"/>
      <c r="C302" s="4"/>
      <c r="D302" s="4"/>
      <c r="E302" s="41"/>
      <c r="F302" s="41"/>
      <c r="G302" s="5"/>
      <c r="H302" s="4"/>
      <c r="I302" s="5"/>
      <c r="J302" s="5" t="str">
        <f t="shared" si="18"/>
        <v/>
      </c>
      <c r="K302" s="36"/>
      <c r="L302" s="5" t="str">
        <f t="shared" si="19"/>
        <v/>
      </c>
      <c r="M302" s="5"/>
      <c r="N302" s="5" t="str">
        <f t="shared" si="20"/>
        <v/>
      </c>
      <c r="O302" s="4"/>
      <c r="P302" s="4"/>
      <c r="Q302" s="4"/>
    </row>
    <row r="303" spans="1:17" x14ac:dyDescent="0.2">
      <c r="A303" s="130"/>
      <c r="B303" s="4"/>
      <c r="C303" s="4"/>
      <c r="D303" s="4"/>
      <c r="E303" s="41"/>
      <c r="F303" s="41"/>
      <c r="G303" s="5"/>
      <c r="H303" s="4"/>
      <c r="I303" s="5"/>
      <c r="J303" s="5" t="str">
        <f t="shared" si="18"/>
        <v/>
      </c>
      <c r="K303" s="36"/>
      <c r="L303" s="5" t="str">
        <f t="shared" si="19"/>
        <v/>
      </c>
      <c r="M303" s="5"/>
      <c r="N303" s="5" t="str">
        <f t="shared" si="20"/>
        <v/>
      </c>
      <c r="O303" s="4"/>
      <c r="P303" s="4"/>
      <c r="Q303" s="4"/>
    </row>
    <row r="304" spans="1:17" x14ac:dyDescent="0.2">
      <c r="A304" s="130"/>
      <c r="B304" s="4"/>
      <c r="C304" s="4"/>
      <c r="D304" s="4"/>
      <c r="E304" s="41"/>
      <c r="F304" s="41"/>
      <c r="G304" s="5"/>
      <c r="H304" s="4"/>
      <c r="I304" s="5"/>
      <c r="J304" s="5" t="str">
        <f t="shared" si="18"/>
        <v/>
      </c>
      <c r="K304" s="36"/>
      <c r="L304" s="5" t="str">
        <f t="shared" si="19"/>
        <v/>
      </c>
      <c r="M304" s="5"/>
      <c r="N304" s="5" t="str">
        <f t="shared" si="20"/>
        <v/>
      </c>
      <c r="O304" s="4"/>
      <c r="P304" s="4"/>
      <c r="Q304" s="4"/>
    </row>
    <row r="305" spans="1:17" x14ac:dyDescent="0.2">
      <c r="A305" s="130"/>
      <c r="B305" s="4"/>
      <c r="C305" s="4"/>
      <c r="D305" s="4"/>
      <c r="E305" s="41"/>
      <c r="F305" s="41"/>
      <c r="G305" s="5"/>
      <c r="H305" s="4"/>
      <c r="I305" s="5"/>
      <c r="J305" s="5" t="str">
        <f t="shared" si="18"/>
        <v/>
      </c>
      <c r="K305" s="36"/>
      <c r="L305" s="5" t="str">
        <f t="shared" si="19"/>
        <v/>
      </c>
      <c r="M305" s="5"/>
      <c r="N305" s="5" t="str">
        <f t="shared" si="20"/>
        <v/>
      </c>
      <c r="O305" s="4"/>
      <c r="P305" s="4"/>
      <c r="Q305" s="4"/>
    </row>
    <row r="306" spans="1:17" x14ac:dyDescent="0.2">
      <c r="A306" s="130"/>
      <c r="B306" s="4"/>
      <c r="C306" s="4"/>
      <c r="D306" s="4"/>
      <c r="E306" s="41"/>
      <c r="F306" s="41"/>
      <c r="G306" s="5"/>
      <c r="H306" s="4"/>
      <c r="I306" s="5"/>
      <c r="J306" s="5" t="str">
        <f t="shared" si="18"/>
        <v/>
      </c>
      <c r="K306" s="36"/>
      <c r="L306" s="5" t="str">
        <f t="shared" si="19"/>
        <v/>
      </c>
      <c r="M306" s="5"/>
      <c r="N306" s="5" t="str">
        <f t="shared" si="20"/>
        <v/>
      </c>
      <c r="O306" s="4"/>
      <c r="P306" s="4"/>
      <c r="Q306" s="4"/>
    </row>
    <row r="307" spans="1:17" x14ac:dyDescent="0.2">
      <c r="A307" s="130"/>
      <c r="B307" s="4"/>
      <c r="C307" s="4"/>
      <c r="D307" s="4"/>
      <c r="E307" s="41"/>
      <c r="F307" s="41"/>
      <c r="G307" s="5"/>
      <c r="H307" s="4"/>
      <c r="I307" s="5"/>
      <c r="J307" s="5" t="str">
        <f t="shared" si="18"/>
        <v/>
      </c>
      <c r="K307" s="36"/>
      <c r="L307" s="5" t="str">
        <f t="shared" si="19"/>
        <v/>
      </c>
      <c r="M307" s="5"/>
      <c r="N307" s="5" t="str">
        <f t="shared" si="20"/>
        <v/>
      </c>
      <c r="O307" s="4"/>
      <c r="P307" s="4"/>
      <c r="Q307" s="4"/>
    </row>
    <row r="308" spans="1:17" x14ac:dyDescent="0.2">
      <c r="A308" s="130"/>
      <c r="B308" s="4"/>
      <c r="C308" s="4"/>
      <c r="D308" s="4"/>
      <c r="E308" s="41"/>
      <c r="F308" s="41"/>
      <c r="G308" s="5"/>
      <c r="H308" s="4"/>
      <c r="I308" s="5"/>
      <c r="J308" s="5" t="str">
        <f t="shared" si="18"/>
        <v/>
      </c>
      <c r="K308" s="36"/>
      <c r="L308" s="5" t="str">
        <f t="shared" si="19"/>
        <v/>
      </c>
      <c r="M308" s="5"/>
      <c r="N308" s="5" t="str">
        <f t="shared" si="20"/>
        <v/>
      </c>
      <c r="O308" s="4"/>
      <c r="P308" s="4"/>
      <c r="Q308" s="4"/>
    </row>
    <row r="309" spans="1:17" x14ac:dyDescent="0.2">
      <c r="A309" s="130"/>
      <c r="B309" s="4"/>
      <c r="C309" s="4"/>
      <c r="D309" s="4"/>
      <c r="E309" s="41"/>
      <c r="F309" s="41"/>
      <c r="G309" s="5"/>
      <c r="H309" s="4"/>
      <c r="I309" s="5"/>
      <c r="J309" s="5" t="str">
        <f t="shared" si="18"/>
        <v/>
      </c>
      <c r="K309" s="36"/>
      <c r="L309" s="5" t="str">
        <f t="shared" si="19"/>
        <v/>
      </c>
      <c r="M309" s="5"/>
      <c r="N309" s="5" t="str">
        <f t="shared" si="20"/>
        <v/>
      </c>
      <c r="O309" s="4"/>
      <c r="P309" s="4"/>
      <c r="Q309" s="4"/>
    </row>
    <row r="310" spans="1:17" x14ac:dyDescent="0.2">
      <c r="A310" s="130"/>
      <c r="B310" s="4"/>
      <c r="C310" s="4"/>
      <c r="D310" s="4"/>
      <c r="E310" s="41"/>
      <c r="F310" s="41"/>
      <c r="G310" s="5"/>
      <c r="H310" s="4"/>
      <c r="I310" s="5"/>
      <c r="J310" s="5" t="str">
        <f t="shared" si="18"/>
        <v/>
      </c>
      <c r="K310" s="36"/>
      <c r="L310" s="5" t="str">
        <f t="shared" si="19"/>
        <v/>
      </c>
      <c r="M310" s="5"/>
      <c r="N310" s="5" t="str">
        <f t="shared" si="20"/>
        <v/>
      </c>
      <c r="O310" s="4"/>
      <c r="P310" s="4"/>
      <c r="Q310" s="4"/>
    </row>
    <row r="311" spans="1:17" x14ac:dyDescent="0.2">
      <c r="A311" s="130"/>
      <c r="B311" s="4"/>
      <c r="C311" s="4"/>
      <c r="D311" s="4"/>
      <c r="E311" s="41"/>
      <c r="F311" s="41"/>
      <c r="G311" s="5"/>
      <c r="H311" s="4"/>
      <c r="I311" s="5"/>
      <c r="J311" s="5" t="str">
        <f t="shared" si="18"/>
        <v/>
      </c>
      <c r="K311" s="36"/>
      <c r="L311" s="5" t="str">
        <f t="shared" si="19"/>
        <v/>
      </c>
      <c r="M311" s="5"/>
      <c r="N311" s="5" t="str">
        <f t="shared" si="20"/>
        <v/>
      </c>
      <c r="O311" s="4"/>
      <c r="P311" s="4"/>
      <c r="Q311" s="4"/>
    </row>
    <row r="312" spans="1:17" x14ac:dyDescent="0.2">
      <c r="A312" s="130"/>
      <c r="B312" s="4"/>
      <c r="C312" s="4"/>
      <c r="D312" s="4"/>
      <c r="E312" s="41"/>
      <c r="F312" s="41"/>
      <c r="G312" s="5"/>
      <c r="H312" s="4"/>
      <c r="I312" s="5"/>
      <c r="J312" s="5" t="str">
        <f t="shared" si="18"/>
        <v/>
      </c>
      <c r="K312" s="36"/>
      <c r="L312" s="5" t="str">
        <f t="shared" si="19"/>
        <v/>
      </c>
      <c r="M312" s="5"/>
      <c r="N312" s="5" t="str">
        <f t="shared" si="20"/>
        <v/>
      </c>
      <c r="O312" s="4"/>
      <c r="P312" s="4"/>
      <c r="Q312" s="4"/>
    </row>
    <row r="313" spans="1:17" x14ac:dyDescent="0.2">
      <c r="A313" s="130"/>
      <c r="B313" s="4"/>
      <c r="C313" s="4"/>
      <c r="D313" s="4"/>
      <c r="E313" s="41"/>
      <c r="F313" s="41"/>
      <c r="G313" s="5"/>
      <c r="H313" s="4"/>
      <c r="I313" s="5"/>
      <c r="J313" s="5" t="str">
        <f t="shared" si="18"/>
        <v/>
      </c>
      <c r="K313" s="36"/>
      <c r="L313" s="5" t="str">
        <f t="shared" si="19"/>
        <v/>
      </c>
      <c r="M313" s="5"/>
      <c r="N313" s="5" t="str">
        <f t="shared" si="20"/>
        <v/>
      </c>
      <c r="O313" s="4"/>
      <c r="P313" s="4"/>
      <c r="Q313" s="4"/>
    </row>
    <row r="314" spans="1:17" x14ac:dyDescent="0.2">
      <c r="A314" s="130"/>
      <c r="B314" s="4"/>
      <c r="C314" s="4"/>
      <c r="D314" s="4"/>
      <c r="E314" s="41"/>
      <c r="F314" s="41"/>
      <c r="G314" s="5"/>
      <c r="H314" s="4"/>
      <c r="I314" s="5"/>
      <c r="J314" s="5" t="str">
        <f t="shared" si="18"/>
        <v/>
      </c>
      <c r="K314" s="36"/>
      <c r="L314" s="5" t="str">
        <f t="shared" si="19"/>
        <v/>
      </c>
      <c r="M314" s="5"/>
      <c r="N314" s="5" t="str">
        <f t="shared" si="20"/>
        <v/>
      </c>
      <c r="O314" s="4"/>
      <c r="P314" s="4"/>
      <c r="Q314" s="4"/>
    </row>
    <row r="315" spans="1:17" x14ac:dyDescent="0.2">
      <c r="A315" s="130"/>
      <c r="B315" s="4"/>
      <c r="C315" s="4"/>
      <c r="D315" s="4"/>
      <c r="E315" s="41"/>
      <c r="F315" s="41"/>
      <c r="G315" s="5"/>
      <c r="H315" s="4"/>
      <c r="I315" s="5"/>
      <c r="J315" s="5" t="str">
        <f t="shared" si="18"/>
        <v/>
      </c>
      <c r="K315" s="36"/>
      <c r="L315" s="5" t="str">
        <f t="shared" si="19"/>
        <v/>
      </c>
      <c r="M315" s="5"/>
      <c r="N315" s="5" t="str">
        <f t="shared" si="20"/>
        <v/>
      </c>
      <c r="O315" s="4"/>
      <c r="P315" s="4"/>
      <c r="Q315" s="4"/>
    </row>
    <row r="316" spans="1:17" x14ac:dyDescent="0.2">
      <c r="A316" s="130"/>
      <c r="B316" s="4"/>
      <c r="C316" s="4"/>
      <c r="D316" s="4"/>
      <c r="E316" s="41"/>
      <c r="F316" s="41"/>
      <c r="G316" s="5"/>
      <c r="H316" s="4"/>
      <c r="I316" s="5"/>
      <c r="J316" s="5" t="str">
        <f t="shared" si="18"/>
        <v/>
      </c>
      <c r="K316" s="36"/>
      <c r="L316" s="5" t="str">
        <f t="shared" si="19"/>
        <v/>
      </c>
      <c r="M316" s="5"/>
      <c r="N316" s="5" t="str">
        <f t="shared" si="20"/>
        <v/>
      </c>
      <c r="O316" s="4"/>
      <c r="P316" s="4"/>
      <c r="Q316" s="4"/>
    </row>
    <row r="317" spans="1:17" x14ac:dyDescent="0.2">
      <c r="A317" s="130"/>
      <c r="B317" s="4"/>
      <c r="C317" s="4"/>
      <c r="D317" s="4"/>
      <c r="E317" s="41"/>
      <c r="F317" s="41"/>
      <c r="G317" s="5"/>
      <c r="H317" s="4"/>
      <c r="I317" s="5"/>
      <c r="J317" s="5" t="str">
        <f t="shared" si="18"/>
        <v/>
      </c>
      <c r="K317" s="36"/>
      <c r="L317" s="5" t="str">
        <f t="shared" si="19"/>
        <v/>
      </c>
      <c r="M317" s="5"/>
      <c r="N317" s="5" t="str">
        <f t="shared" si="20"/>
        <v/>
      </c>
      <c r="O317" s="4"/>
      <c r="P317" s="4"/>
      <c r="Q317" s="4"/>
    </row>
    <row r="318" spans="1:17" x14ac:dyDescent="0.2">
      <c r="A318" s="130"/>
      <c r="B318" s="4"/>
      <c r="C318" s="4"/>
      <c r="D318" s="4"/>
      <c r="E318" s="41"/>
      <c r="F318" s="41"/>
      <c r="G318" s="5"/>
      <c r="H318" s="4"/>
      <c r="I318" s="5"/>
      <c r="J318" s="5" t="str">
        <f t="shared" si="18"/>
        <v/>
      </c>
      <c r="K318" s="36"/>
      <c r="L318" s="5" t="str">
        <f t="shared" si="19"/>
        <v/>
      </c>
      <c r="M318" s="5"/>
      <c r="N318" s="5" t="str">
        <f t="shared" si="20"/>
        <v/>
      </c>
      <c r="O318" s="4"/>
      <c r="P318" s="4"/>
      <c r="Q318" s="4"/>
    </row>
    <row r="319" spans="1:17" x14ac:dyDescent="0.2">
      <c r="A319" s="130"/>
      <c r="B319" s="4"/>
      <c r="C319" s="4"/>
      <c r="D319" s="4"/>
      <c r="E319" s="41"/>
      <c r="F319" s="41"/>
      <c r="G319" s="5"/>
      <c r="H319" s="4"/>
      <c r="I319" s="5"/>
      <c r="J319" s="5" t="str">
        <f t="shared" si="18"/>
        <v/>
      </c>
      <c r="K319" s="36"/>
      <c r="L319" s="5" t="str">
        <f t="shared" si="19"/>
        <v/>
      </c>
      <c r="M319" s="5"/>
      <c r="N319" s="5" t="str">
        <f t="shared" si="20"/>
        <v/>
      </c>
      <c r="O319" s="4"/>
      <c r="P319" s="4"/>
      <c r="Q319" s="4"/>
    </row>
    <row r="320" spans="1:17" x14ac:dyDescent="0.2">
      <c r="A320" s="130"/>
      <c r="B320" s="4"/>
      <c r="C320" s="4"/>
      <c r="D320" s="4"/>
      <c r="E320" s="41"/>
      <c r="F320" s="41"/>
      <c r="G320" s="5"/>
      <c r="H320" s="4"/>
      <c r="I320" s="5"/>
      <c r="J320" s="5" t="str">
        <f t="shared" si="18"/>
        <v/>
      </c>
      <c r="K320" s="36"/>
      <c r="L320" s="5" t="str">
        <f t="shared" si="19"/>
        <v/>
      </c>
      <c r="M320" s="5"/>
      <c r="N320" s="5" t="str">
        <f t="shared" si="20"/>
        <v/>
      </c>
      <c r="O320" s="4"/>
      <c r="P320" s="4"/>
      <c r="Q320" s="4"/>
    </row>
    <row r="321" spans="1:17" x14ac:dyDescent="0.2">
      <c r="A321" s="130"/>
      <c r="B321" s="4"/>
      <c r="C321" s="4"/>
      <c r="D321" s="4"/>
      <c r="E321" s="41"/>
      <c r="F321" s="41"/>
      <c r="G321" s="5"/>
      <c r="H321" s="4"/>
      <c r="I321" s="5"/>
      <c r="J321" s="5" t="str">
        <f t="shared" si="18"/>
        <v/>
      </c>
      <c r="K321" s="36"/>
      <c r="L321" s="5" t="str">
        <f t="shared" si="19"/>
        <v/>
      </c>
      <c r="M321" s="5"/>
      <c r="N321" s="5" t="str">
        <f t="shared" si="20"/>
        <v/>
      </c>
      <c r="O321" s="4"/>
      <c r="P321" s="4"/>
      <c r="Q321" s="4"/>
    </row>
    <row r="322" spans="1:17" x14ac:dyDescent="0.2">
      <c r="A322" s="130"/>
      <c r="B322" s="4"/>
      <c r="C322" s="4"/>
      <c r="D322" s="4"/>
      <c r="E322" s="41"/>
      <c r="F322" s="41"/>
      <c r="G322" s="5"/>
      <c r="H322" s="4"/>
      <c r="I322" s="5"/>
      <c r="J322" s="5" t="str">
        <f t="shared" si="18"/>
        <v/>
      </c>
      <c r="K322" s="36"/>
      <c r="L322" s="5" t="str">
        <f t="shared" si="19"/>
        <v/>
      </c>
      <c r="M322" s="5"/>
      <c r="N322" s="5" t="str">
        <f t="shared" si="20"/>
        <v/>
      </c>
      <c r="O322" s="4"/>
      <c r="P322" s="4"/>
      <c r="Q322" s="4"/>
    </row>
    <row r="323" spans="1:17" x14ac:dyDescent="0.2">
      <c r="A323" s="130"/>
      <c r="B323" s="4"/>
      <c r="C323" s="4"/>
      <c r="D323" s="4"/>
      <c r="E323" s="41"/>
      <c r="F323" s="41"/>
      <c r="G323" s="5"/>
      <c r="H323" s="4"/>
      <c r="I323" s="5"/>
      <c r="J323" s="5" t="str">
        <f t="shared" si="18"/>
        <v/>
      </c>
      <c r="K323" s="36"/>
      <c r="L323" s="5" t="str">
        <f t="shared" si="19"/>
        <v/>
      </c>
      <c r="M323" s="5"/>
      <c r="N323" s="5" t="str">
        <f t="shared" si="20"/>
        <v/>
      </c>
      <c r="O323" s="4"/>
      <c r="P323" s="4"/>
      <c r="Q323" s="4"/>
    </row>
    <row r="324" spans="1:17" x14ac:dyDescent="0.2">
      <c r="A324" s="130"/>
      <c r="B324" s="4"/>
      <c r="C324" s="4"/>
      <c r="D324" s="4"/>
      <c r="E324" s="41"/>
      <c r="F324" s="41"/>
      <c r="G324" s="5"/>
      <c r="H324" s="4"/>
      <c r="I324" s="5"/>
      <c r="J324" s="5" t="str">
        <f t="shared" si="18"/>
        <v/>
      </c>
      <c r="K324" s="36"/>
      <c r="L324" s="5" t="str">
        <f t="shared" si="19"/>
        <v/>
      </c>
      <c r="M324" s="5"/>
      <c r="N324" s="5" t="str">
        <f t="shared" si="20"/>
        <v/>
      </c>
      <c r="O324" s="4"/>
      <c r="P324" s="4"/>
      <c r="Q324" s="4"/>
    </row>
    <row r="325" spans="1:17" x14ac:dyDescent="0.2">
      <c r="A325" s="130"/>
      <c r="B325" s="4"/>
      <c r="C325" s="4"/>
      <c r="D325" s="4"/>
      <c r="E325" s="41"/>
      <c r="F325" s="41"/>
      <c r="G325" s="5"/>
      <c r="H325" s="4"/>
      <c r="I325" s="5"/>
      <c r="J325" s="5" t="str">
        <f t="shared" si="18"/>
        <v/>
      </c>
      <c r="K325" s="36"/>
      <c r="L325" s="5" t="str">
        <f t="shared" si="19"/>
        <v/>
      </c>
      <c r="M325" s="5"/>
      <c r="N325" s="5" t="str">
        <f t="shared" si="20"/>
        <v/>
      </c>
      <c r="O325" s="4"/>
      <c r="P325" s="4"/>
      <c r="Q325" s="4"/>
    </row>
    <row r="326" spans="1:17" x14ac:dyDescent="0.2">
      <c r="A326" s="130"/>
      <c r="B326" s="4"/>
      <c r="C326" s="4"/>
      <c r="D326" s="4"/>
      <c r="E326" s="41"/>
      <c r="F326" s="41"/>
      <c r="G326" s="5"/>
      <c r="H326" s="4"/>
      <c r="I326" s="5"/>
      <c r="J326" s="5" t="str">
        <f t="shared" si="18"/>
        <v/>
      </c>
      <c r="K326" s="36"/>
      <c r="L326" s="5" t="str">
        <f t="shared" si="19"/>
        <v/>
      </c>
      <c r="M326" s="5"/>
      <c r="N326" s="5" t="str">
        <f t="shared" si="20"/>
        <v/>
      </c>
      <c r="O326" s="4"/>
      <c r="P326" s="4"/>
      <c r="Q326" s="4"/>
    </row>
    <row r="327" spans="1:17" x14ac:dyDescent="0.2">
      <c r="A327" s="130"/>
      <c r="B327" s="4"/>
      <c r="C327" s="4"/>
      <c r="D327" s="4"/>
      <c r="E327" s="41"/>
      <c r="F327" s="41"/>
      <c r="G327" s="5"/>
      <c r="H327" s="4"/>
      <c r="I327" s="5"/>
      <c r="J327" s="5" t="str">
        <f t="shared" si="18"/>
        <v/>
      </c>
      <c r="K327" s="36"/>
      <c r="L327" s="5" t="str">
        <f t="shared" si="19"/>
        <v/>
      </c>
      <c r="M327" s="5"/>
      <c r="N327" s="5" t="str">
        <f t="shared" si="20"/>
        <v/>
      </c>
      <c r="O327" s="4"/>
      <c r="P327" s="4"/>
      <c r="Q327" s="4"/>
    </row>
    <row r="328" spans="1:17" x14ac:dyDescent="0.2">
      <c r="A328" s="130"/>
      <c r="B328" s="4"/>
      <c r="C328" s="4"/>
      <c r="D328" s="4"/>
      <c r="E328" s="41"/>
      <c r="F328" s="41"/>
      <c r="G328" s="5"/>
      <c r="H328" s="4"/>
      <c r="I328" s="5"/>
      <c r="J328" s="5" t="str">
        <f t="shared" si="18"/>
        <v/>
      </c>
      <c r="K328" s="36"/>
      <c r="L328" s="5" t="str">
        <f t="shared" si="19"/>
        <v/>
      </c>
      <c r="M328" s="5"/>
      <c r="N328" s="5" t="str">
        <f t="shared" si="20"/>
        <v/>
      </c>
      <c r="O328" s="4"/>
      <c r="P328" s="4"/>
      <c r="Q328" s="4"/>
    </row>
    <row r="329" spans="1:17" x14ac:dyDescent="0.2">
      <c r="A329" s="130"/>
      <c r="B329" s="4"/>
      <c r="C329" s="4"/>
      <c r="D329" s="4"/>
      <c r="E329" s="41"/>
      <c r="F329" s="41"/>
      <c r="G329" s="5"/>
      <c r="H329" s="4"/>
      <c r="I329" s="5"/>
      <c r="J329" s="5" t="str">
        <f t="shared" si="18"/>
        <v/>
      </c>
      <c r="K329" s="36"/>
      <c r="L329" s="5" t="str">
        <f t="shared" si="19"/>
        <v/>
      </c>
      <c r="M329" s="5"/>
      <c r="N329" s="5" t="str">
        <f t="shared" si="20"/>
        <v/>
      </c>
      <c r="O329" s="4"/>
      <c r="P329" s="4"/>
      <c r="Q329" s="4"/>
    </row>
    <row r="330" spans="1:17" x14ac:dyDescent="0.2">
      <c r="A330" s="130"/>
      <c r="B330" s="4"/>
      <c r="C330" s="4"/>
      <c r="D330" s="4"/>
      <c r="E330" s="41"/>
      <c r="F330" s="41"/>
      <c r="G330" s="5"/>
      <c r="H330" s="4"/>
      <c r="I330" s="5"/>
      <c r="J330" s="5" t="str">
        <f t="shared" si="18"/>
        <v/>
      </c>
      <c r="K330" s="36"/>
      <c r="L330" s="5" t="str">
        <f t="shared" si="19"/>
        <v/>
      </c>
      <c r="M330" s="5"/>
      <c r="N330" s="5" t="str">
        <f t="shared" si="20"/>
        <v/>
      </c>
      <c r="O330" s="4"/>
      <c r="P330" s="4"/>
      <c r="Q330" s="4"/>
    </row>
    <row r="331" spans="1:17" x14ac:dyDescent="0.2">
      <c r="A331" s="130"/>
      <c r="B331" s="4"/>
      <c r="C331" s="4"/>
      <c r="D331" s="4"/>
      <c r="E331" s="41"/>
      <c r="F331" s="41"/>
      <c r="G331" s="5"/>
      <c r="H331" s="4"/>
      <c r="I331" s="5"/>
      <c r="J331" s="5" t="str">
        <f t="shared" si="18"/>
        <v/>
      </c>
      <c r="K331" s="36"/>
      <c r="L331" s="5" t="str">
        <f t="shared" si="19"/>
        <v/>
      </c>
      <c r="M331" s="5"/>
      <c r="N331" s="5" t="str">
        <f t="shared" si="20"/>
        <v/>
      </c>
      <c r="O331" s="4"/>
      <c r="P331" s="4"/>
      <c r="Q331" s="4"/>
    </row>
    <row r="332" spans="1:17" x14ac:dyDescent="0.2">
      <c r="A332" s="130"/>
      <c r="B332" s="4"/>
      <c r="C332" s="4"/>
      <c r="D332" s="4"/>
      <c r="E332" s="41"/>
      <c r="F332" s="41"/>
      <c r="G332" s="5"/>
      <c r="H332" s="4"/>
      <c r="I332" s="5"/>
      <c r="J332" s="5" t="str">
        <f t="shared" si="18"/>
        <v/>
      </c>
      <c r="K332" s="36"/>
      <c r="L332" s="5" t="str">
        <f t="shared" si="19"/>
        <v/>
      </c>
      <c r="M332" s="5"/>
      <c r="N332" s="5" t="str">
        <f t="shared" si="20"/>
        <v/>
      </c>
      <c r="O332" s="4"/>
      <c r="P332" s="4"/>
      <c r="Q332" s="4"/>
    </row>
    <row r="333" spans="1:17" x14ac:dyDescent="0.2">
      <c r="A333" s="130"/>
      <c r="B333" s="4"/>
      <c r="C333" s="4"/>
      <c r="D333" s="4"/>
      <c r="E333" s="41"/>
      <c r="F333" s="41"/>
      <c r="G333" s="5"/>
      <c r="H333" s="4"/>
      <c r="I333" s="5"/>
      <c r="J333" s="5" t="str">
        <f t="shared" si="18"/>
        <v/>
      </c>
      <c r="K333" s="36"/>
      <c r="L333" s="5" t="str">
        <f t="shared" si="19"/>
        <v/>
      </c>
      <c r="M333" s="5"/>
      <c r="N333" s="5" t="str">
        <f t="shared" si="20"/>
        <v/>
      </c>
      <c r="O333" s="4"/>
      <c r="P333" s="4"/>
      <c r="Q333" s="4"/>
    </row>
    <row r="334" spans="1:17" x14ac:dyDescent="0.2">
      <c r="A334" s="130"/>
      <c r="B334" s="4"/>
      <c r="C334" s="4"/>
      <c r="D334" s="4"/>
      <c r="E334" s="41"/>
      <c r="F334" s="41"/>
      <c r="G334" s="5"/>
      <c r="H334" s="4"/>
      <c r="I334" s="5"/>
      <c r="J334" s="5" t="str">
        <f t="shared" si="18"/>
        <v/>
      </c>
      <c r="K334" s="36"/>
      <c r="L334" s="5" t="str">
        <f t="shared" si="19"/>
        <v/>
      </c>
      <c r="M334" s="5"/>
      <c r="N334" s="5" t="str">
        <f t="shared" si="20"/>
        <v/>
      </c>
      <c r="O334" s="4"/>
      <c r="P334" s="4"/>
      <c r="Q334" s="4"/>
    </row>
    <row r="335" spans="1:17" x14ac:dyDescent="0.2">
      <c r="A335" s="130"/>
      <c r="B335" s="4"/>
      <c r="C335" s="4"/>
      <c r="D335" s="4"/>
      <c r="E335" s="41"/>
      <c r="F335" s="41"/>
      <c r="G335" s="5"/>
      <c r="H335" s="4"/>
      <c r="I335" s="5"/>
      <c r="J335" s="5" t="str">
        <f t="shared" si="18"/>
        <v/>
      </c>
      <c r="K335" s="36"/>
      <c r="L335" s="5" t="str">
        <f t="shared" si="19"/>
        <v/>
      </c>
      <c r="M335" s="5"/>
      <c r="N335" s="5" t="str">
        <f t="shared" si="20"/>
        <v/>
      </c>
      <c r="O335" s="4"/>
      <c r="P335" s="4"/>
      <c r="Q335" s="4"/>
    </row>
    <row r="336" spans="1:17" x14ac:dyDescent="0.2">
      <c r="A336" s="130"/>
      <c r="B336" s="4"/>
      <c r="C336" s="4"/>
      <c r="D336" s="4"/>
      <c r="E336" s="41"/>
      <c r="F336" s="41"/>
      <c r="G336" s="5"/>
      <c r="H336" s="4"/>
      <c r="I336" s="5"/>
      <c r="J336" s="5" t="str">
        <f t="shared" si="18"/>
        <v/>
      </c>
      <c r="K336" s="36"/>
      <c r="L336" s="5" t="str">
        <f t="shared" si="19"/>
        <v/>
      </c>
      <c r="M336" s="5"/>
      <c r="N336" s="5" t="str">
        <f t="shared" si="20"/>
        <v/>
      </c>
      <c r="O336" s="4"/>
      <c r="P336" s="4"/>
      <c r="Q336" s="4"/>
    </row>
    <row r="337" spans="1:17" x14ac:dyDescent="0.2">
      <c r="A337" s="130"/>
      <c r="B337" s="4"/>
      <c r="C337" s="4"/>
      <c r="D337" s="4"/>
      <c r="E337" s="41"/>
      <c r="F337" s="41"/>
      <c r="G337" s="5"/>
      <c r="H337" s="4"/>
      <c r="I337" s="5"/>
      <c r="J337" s="5" t="str">
        <f t="shared" si="18"/>
        <v/>
      </c>
      <c r="K337" s="36"/>
      <c r="L337" s="5" t="str">
        <f t="shared" si="19"/>
        <v/>
      </c>
      <c r="M337" s="5"/>
      <c r="N337" s="5" t="str">
        <f t="shared" si="20"/>
        <v/>
      </c>
      <c r="O337" s="4"/>
      <c r="P337" s="4"/>
      <c r="Q337" s="4"/>
    </row>
    <row r="338" spans="1:17" x14ac:dyDescent="0.2">
      <c r="A338" s="130"/>
      <c r="B338" s="4"/>
      <c r="C338" s="4"/>
      <c r="D338" s="4"/>
      <c r="E338" s="41"/>
      <c r="F338" s="41"/>
      <c r="G338" s="5"/>
      <c r="H338" s="4"/>
      <c r="I338" s="5"/>
      <c r="J338" s="5" t="str">
        <f t="shared" si="18"/>
        <v/>
      </c>
      <c r="K338" s="36"/>
      <c r="L338" s="5" t="str">
        <f t="shared" si="19"/>
        <v/>
      </c>
      <c r="M338" s="5"/>
      <c r="N338" s="5" t="str">
        <f t="shared" si="20"/>
        <v/>
      </c>
      <c r="O338" s="4"/>
      <c r="P338" s="4"/>
      <c r="Q338" s="4"/>
    </row>
    <row r="339" spans="1:17" x14ac:dyDescent="0.2">
      <c r="A339" s="130"/>
      <c r="B339" s="4"/>
      <c r="C339" s="4"/>
      <c r="D339" s="4"/>
      <c r="E339" s="41"/>
      <c r="F339" s="41"/>
      <c r="G339" s="5"/>
      <c r="H339" s="4"/>
      <c r="I339" s="5"/>
      <c r="J339" s="5" t="str">
        <f t="shared" si="18"/>
        <v/>
      </c>
      <c r="K339" s="36"/>
      <c r="L339" s="5" t="str">
        <f t="shared" si="19"/>
        <v/>
      </c>
      <c r="M339" s="5"/>
      <c r="N339" s="5" t="str">
        <f t="shared" si="20"/>
        <v/>
      </c>
      <c r="O339" s="4"/>
      <c r="P339" s="4"/>
      <c r="Q339" s="4"/>
    </row>
    <row r="340" spans="1:17" x14ac:dyDescent="0.2">
      <c r="A340" s="130"/>
      <c r="B340" s="4"/>
      <c r="C340" s="4"/>
      <c r="D340" s="4"/>
      <c r="E340" s="41"/>
      <c r="F340" s="41"/>
      <c r="G340" s="5"/>
      <c r="H340" s="4"/>
      <c r="I340" s="5"/>
      <c r="J340" s="5" t="str">
        <f t="shared" si="18"/>
        <v/>
      </c>
      <c r="K340" s="36"/>
      <c r="L340" s="5" t="str">
        <f t="shared" si="19"/>
        <v/>
      </c>
      <c r="M340" s="5"/>
      <c r="N340" s="5" t="str">
        <f t="shared" si="20"/>
        <v/>
      </c>
      <c r="O340" s="4"/>
      <c r="P340" s="4"/>
      <c r="Q340" s="4"/>
    </row>
    <row r="341" spans="1:17" x14ac:dyDescent="0.2">
      <c r="A341" s="130"/>
      <c r="B341" s="4"/>
      <c r="C341" s="4"/>
      <c r="D341" s="4"/>
      <c r="E341" s="41"/>
      <c r="F341" s="41"/>
      <c r="G341" s="5"/>
      <c r="H341" s="4"/>
      <c r="I341" s="5"/>
      <c r="J341" s="5" t="str">
        <f t="shared" si="18"/>
        <v/>
      </c>
      <c r="K341" s="36"/>
      <c r="L341" s="5" t="str">
        <f t="shared" si="19"/>
        <v/>
      </c>
      <c r="M341" s="5"/>
      <c r="N341" s="5" t="str">
        <f t="shared" si="20"/>
        <v/>
      </c>
      <c r="O341" s="4"/>
      <c r="P341" s="4"/>
      <c r="Q341" s="4"/>
    </row>
    <row r="342" spans="1:17" x14ac:dyDescent="0.2">
      <c r="A342" s="130"/>
      <c r="B342" s="4"/>
      <c r="C342" s="4"/>
      <c r="D342" s="4"/>
      <c r="E342" s="41"/>
      <c r="F342" s="41"/>
      <c r="G342" s="5"/>
      <c r="H342" s="4"/>
      <c r="I342" s="5"/>
      <c r="J342" s="5" t="str">
        <f t="shared" si="18"/>
        <v/>
      </c>
      <c r="K342" s="36"/>
      <c r="L342" s="5" t="str">
        <f t="shared" si="19"/>
        <v/>
      </c>
      <c r="M342" s="5"/>
      <c r="N342" s="5" t="str">
        <f t="shared" si="20"/>
        <v/>
      </c>
      <c r="O342" s="4"/>
      <c r="P342" s="4"/>
      <c r="Q342" s="4"/>
    </row>
    <row r="343" spans="1:17" x14ac:dyDescent="0.2">
      <c r="A343" s="130"/>
      <c r="B343" s="4"/>
      <c r="C343" s="4"/>
      <c r="D343" s="4"/>
      <c r="E343" s="41"/>
      <c r="F343" s="41"/>
      <c r="G343" s="5"/>
      <c r="H343" s="4"/>
      <c r="I343" s="5"/>
      <c r="J343" s="5" t="str">
        <f t="shared" si="18"/>
        <v/>
      </c>
      <c r="K343" s="36"/>
      <c r="L343" s="5" t="str">
        <f t="shared" si="19"/>
        <v/>
      </c>
      <c r="M343" s="5"/>
      <c r="N343" s="5" t="str">
        <f t="shared" si="20"/>
        <v/>
      </c>
      <c r="O343" s="4"/>
      <c r="P343" s="4"/>
      <c r="Q343" s="4"/>
    </row>
    <row r="344" spans="1:17" x14ac:dyDescent="0.2">
      <c r="A344" s="130"/>
      <c r="B344" s="4"/>
      <c r="C344" s="4"/>
      <c r="D344" s="4"/>
      <c r="E344" s="41"/>
      <c r="F344" s="41"/>
      <c r="G344" s="5"/>
      <c r="H344" s="4"/>
      <c r="I344" s="5"/>
      <c r="J344" s="5" t="str">
        <f t="shared" si="18"/>
        <v/>
      </c>
      <c r="K344" s="36"/>
      <c r="L344" s="5" t="str">
        <f t="shared" si="19"/>
        <v/>
      </c>
      <c r="M344" s="5"/>
      <c r="N344" s="5" t="str">
        <f t="shared" si="20"/>
        <v/>
      </c>
      <c r="O344" s="4"/>
      <c r="P344" s="4"/>
      <c r="Q344" s="4"/>
    </row>
    <row r="345" spans="1:17" x14ac:dyDescent="0.2">
      <c r="A345" s="130"/>
      <c r="B345" s="4"/>
      <c r="C345" s="4"/>
      <c r="D345" s="4"/>
      <c r="E345" s="41"/>
      <c r="F345" s="41"/>
      <c r="G345" s="5"/>
      <c r="H345" s="4"/>
      <c r="I345" s="5"/>
      <c r="J345" s="5" t="str">
        <f t="shared" si="18"/>
        <v/>
      </c>
      <c r="K345" s="36"/>
      <c r="L345" s="5" t="str">
        <f t="shared" si="19"/>
        <v/>
      </c>
      <c r="M345" s="5"/>
      <c r="N345" s="5" t="str">
        <f t="shared" si="20"/>
        <v/>
      </c>
      <c r="O345" s="4"/>
      <c r="P345" s="4"/>
      <c r="Q345" s="4"/>
    </row>
    <row r="346" spans="1:17" x14ac:dyDescent="0.2">
      <c r="A346" s="130"/>
      <c r="B346" s="4"/>
      <c r="C346" s="4"/>
      <c r="D346" s="4"/>
      <c r="E346" s="41"/>
      <c r="F346" s="41"/>
      <c r="G346" s="5"/>
      <c r="H346" s="4"/>
      <c r="I346" s="5"/>
      <c r="J346" s="5" t="str">
        <f t="shared" ref="J346:J409" si="21">IF($D346="","",IF($H346="FIXED",$I346,($E346*FAT_MULT)+($F346*SNF_MULT)+$G346))</f>
        <v/>
      </c>
      <c r="K346" s="36"/>
      <c r="L346" s="5" t="str">
        <f t="shared" ref="L346:L409" si="22">IF($K346="","",$K346*$J346)</f>
        <v/>
      </c>
      <c r="M346" s="5"/>
      <c r="N346" s="5" t="str">
        <f t="shared" ref="N346:N409" si="23">IF($K346="","",$L346+$M346)</f>
        <v/>
      </c>
      <c r="O346" s="4"/>
      <c r="P346" s="4"/>
      <c r="Q346" s="4"/>
    </row>
    <row r="347" spans="1:17" x14ac:dyDescent="0.2">
      <c r="A347" s="130"/>
      <c r="B347" s="4"/>
      <c r="C347" s="4"/>
      <c r="D347" s="4"/>
      <c r="E347" s="41"/>
      <c r="F347" s="41"/>
      <c r="G347" s="5"/>
      <c r="H347" s="4"/>
      <c r="I347" s="5"/>
      <c r="J347" s="5" t="str">
        <f t="shared" si="21"/>
        <v/>
      </c>
      <c r="K347" s="36"/>
      <c r="L347" s="5" t="str">
        <f t="shared" si="22"/>
        <v/>
      </c>
      <c r="M347" s="5"/>
      <c r="N347" s="5" t="str">
        <f t="shared" si="23"/>
        <v/>
      </c>
      <c r="O347" s="4"/>
      <c r="P347" s="4"/>
      <c r="Q347" s="4"/>
    </row>
    <row r="348" spans="1:17" x14ac:dyDescent="0.2">
      <c r="A348" s="130"/>
      <c r="B348" s="4"/>
      <c r="C348" s="4"/>
      <c r="D348" s="4"/>
      <c r="E348" s="41"/>
      <c r="F348" s="41"/>
      <c r="G348" s="5"/>
      <c r="H348" s="4"/>
      <c r="I348" s="5"/>
      <c r="J348" s="5" t="str">
        <f t="shared" si="21"/>
        <v/>
      </c>
      <c r="K348" s="36"/>
      <c r="L348" s="5" t="str">
        <f t="shared" si="22"/>
        <v/>
      </c>
      <c r="M348" s="5"/>
      <c r="N348" s="5" t="str">
        <f t="shared" si="23"/>
        <v/>
      </c>
      <c r="O348" s="4"/>
      <c r="P348" s="4"/>
      <c r="Q348" s="4"/>
    </row>
    <row r="349" spans="1:17" x14ac:dyDescent="0.2">
      <c r="A349" s="130"/>
      <c r="B349" s="4"/>
      <c r="C349" s="4"/>
      <c r="D349" s="4"/>
      <c r="E349" s="41"/>
      <c r="F349" s="41"/>
      <c r="G349" s="5"/>
      <c r="H349" s="4"/>
      <c r="I349" s="5"/>
      <c r="J349" s="5" t="str">
        <f t="shared" si="21"/>
        <v/>
      </c>
      <c r="K349" s="36"/>
      <c r="L349" s="5" t="str">
        <f t="shared" si="22"/>
        <v/>
      </c>
      <c r="M349" s="5"/>
      <c r="N349" s="5" t="str">
        <f t="shared" si="23"/>
        <v/>
      </c>
      <c r="O349" s="4"/>
      <c r="P349" s="4"/>
      <c r="Q349" s="4"/>
    </row>
    <row r="350" spans="1:17" x14ac:dyDescent="0.2">
      <c r="A350" s="130"/>
      <c r="B350" s="4"/>
      <c r="C350" s="4"/>
      <c r="D350" s="4"/>
      <c r="E350" s="41"/>
      <c r="F350" s="41"/>
      <c r="G350" s="5"/>
      <c r="H350" s="4"/>
      <c r="I350" s="5"/>
      <c r="J350" s="5" t="str">
        <f t="shared" si="21"/>
        <v/>
      </c>
      <c r="K350" s="36"/>
      <c r="L350" s="5" t="str">
        <f t="shared" si="22"/>
        <v/>
      </c>
      <c r="M350" s="5"/>
      <c r="N350" s="5" t="str">
        <f t="shared" si="23"/>
        <v/>
      </c>
      <c r="O350" s="4"/>
      <c r="P350" s="4"/>
      <c r="Q350" s="4"/>
    </row>
    <row r="351" spans="1:17" x14ac:dyDescent="0.2">
      <c r="A351" s="130"/>
      <c r="B351" s="4"/>
      <c r="C351" s="4"/>
      <c r="D351" s="4"/>
      <c r="E351" s="41"/>
      <c r="F351" s="41"/>
      <c r="G351" s="5"/>
      <c r="H351" s="4"/>
      <c r="I351" s="5"/>
      <c r="J351" s="5" t="str">
        <f t="shared" si="21"/>
        <v/>
      </c>
      <c r="K351" s="36"/>
      <c r="L351" s="5" t="str">
        <f t="shared" si="22"/>
        <v/>
      </c>
      <c r="M351" s="5"/>
      <c r="N351" s="5" t="str">
        <f t="shared" si="23"/>
        <v/>
      </c>
      <c r="O351" s="4"/>
      <c r="P351" s="4"/>
      <c r="Q351" s="4"/>
    </row>
    <row r="352" spans="1:17" x14ac:dyDescent="0.2">
      <c r="A352" s="130"/>
      <c r="B352" s="4"/>
      <c r="C352" s="4"/>
      <c r="D352" s="4"/>
      <c r="E352" s="41"/>
      <c r="F352" s="41"/>
      <c r="G352" s="5"/>
      <c r="H352" s="4"/>
      <c r="I352" s="5"/>
      <c r="J352" s="5" t="str">
        <f t="shared" si="21"/>
        <v/>
      </c>
      <c r="K352" s="36"/>
      <c r="L352" s="5" t="str">
        <f t="shared" si="22"/>
        <v/>
      </c>
      <c r="M352" s="5"/>
      <c r="N352" s="5" t="str">
        <f t="shared" si="23"/>
        <v/>
      </c>
      <c r="O352" s="4"/>
      <c r="P352" s="4"/>
      <c r="Q352" s="4"/>
    </row>
    <row r="353" spans="1:17" x14ac:dyDescent="0.2">
      <c r="A353" s="130"/>
      <c r="B353" s="4"/>
      <c r="C353" s="4"/>
      <c r="D353" s="4"/>
      <c r="E353" s="41"/>
      <c r="F353" s="41"/>
      <c r="G353" s="5"/>
      <c r="H353" s="4"/>
      <c r="I353" s="5"/>
      <c r="J353" s="5" t="str">
        <f t="shared" si="21"/>
        <v/>
      </c>
      <c r="K353" s="36"/>
      <c r="L353" s="5" t="str">
        <f t="shared" si="22"/>
        <v/>
      </c>
      <c r="M353" s="5"/>
      <c r="N353" s="5" t="str">
        <f t="shared" si="23"/>
        <v/>
      </c>
      <c r="O353" s="4"/>
      <c r="P353" s="4"/>
      <c r="Q353" s="4"/>
    </row>
    <row r="354" spans="1:17" x14ac:dyDescent="0.2">
      <c r="A354" s="130"/>
      <c r="B354" s="4"/>
      <c r="C354" s="4"/>
      <c r="D354" s="4"/>
      <c r="E354" s="41"/>
      <c r="F354" s="41"/>
      <c r="G354" s="5"/>
      <c r="H354" s="4"/>
      <c r="I354" s="5"/>
      <c r="J354" s="5" t="str">
        <f t="shared" si="21"/>
        <v/>
      </c>
      <c r="K354" s="36"/>
      <c r="L354" s="5" t="str">
        <f t="shared" si="22"/>
        <v/>
      </c>
      <c r="M354" s="5"/>
      <c r="N354" s="5" t="str">
        <f t="shared" si="23"/>
        <v/>
      </c>
      <c r="O354" s="4"/>
      <c r="P354" s="4"/>
      <c r="Q354" s="4"/>
    </row>
    <row r="355" spans="1:17" x14ac:dyDescent="0.2">
      <c r="A355" s="130"/>
      <c r="B355" s="4"/>
      <c r="C355" s="4"/>
      <c r="D355" s="4"/>
      <c r="E355" s="41"/>
      <c r="F355" s="41"/>
      <c r="G355" s="5"/>
      <c r="H355" s="4"/>
      <c r="I355" s="5"/>
      <c r="J355" s="5" t="str">
        <f t="shared" si="21"/>
        <v/>
      </c>
      <c r="K355" s="36"/>
      <c r="L355" s="5" t="str">
        <f t="shared" si="22"/>
        <v/>
      </c>
      <c r="M355" s="5"/>
      <c r="N355" s="5" t="str">
        <f t="shared" si="23"/>
        <v/>
      </c>
      <c r="O355" s="4"/>
      <c r="P355" s="4"/>
      <c r="Q355" s="4"/>
    </row>
    <row r="356" spans="1:17" x14ac:dyDescent="0.2">
      <c r="A356" s="130"/>
      <c r="B356" s="4"/>
      <c r="C356" s="4"/>
      <c r="D356" s="4"/>
      <c r="E356" s="41"/>
      <c r="F356" s="41"/>
      <c r="G356" s="5"/>
      <c r="H356" s="4"/>
      <c r="I356" s="5"/>
      <c r="J356" s="5" t="str">
        <f t="shared" si="21"/>
        <v/>
      </c>
      <c r="K356" s="36"/>
      <c r="L356" s="5" t="str">
        <f t="shared" si="22"/>
        <v/>
      </c>
      <c r="M356" s="5"/>
      <c r="N356" s="5" t="str">
        <f t="shared" si="23"/>
        <v/>
      </c>
      <c r="O356" s="4"/>
      <c r="P356" s="4"/>
      <c r="Q356" s="4"/>
    </row>
    <row r="357" spans="1:17" x14ac:dyDescent="0.2">
      <c r="A357" s="130"/>
      <c r="B357" s="4"/>
      <c r="C357" s="4"/>
      <c r="D357" s="4"/>
      <c r="E357" s="41"/>
      <c r="F357" s="41"/>
      <c r="G357" s="5"/>
      <c r="H357" s="4"/>
      <c r="I357" s="5"/>
      <c r="J357" s="5" t="str">
        <f t="shared" si="21"/>
        <v/>
      </c>
      <c r="K357" s="36"/>
      <c r="L357" s="5" t="str">
        <f t="shared" si="22"/>
        <v/>
      </c>
      <c r="M357" s="5"/>
      <c r="N357" s="5" t="str">
        <f t="shared" si="23"/>
        <v/>
      </c>
      <c r="O357" s="4"/>
      <c r="P357" s="4"/>
      <c r="Q357" s="4"/>
    </row>
    <row r="358" spans="1:17" x14ac:dyDescent="0.2">
      <c r="A358" s="130"/>
      <c r="B358" s="4"/>
      <c r="C358" s="4"/>
      <c r="D358" s="4"/>
      <c r="E358" s="41"/>
      <c r="F358" s="41"/>
      <c r="G358" s="5"/>
      <c r="H358" s="4"/>
      <c r="I358" s="5"/>
      <c r="J358" s="5" t="str">
        <f t="shared" si="21"/>
        <v/>
      </c>
      <c r="K358" s="36"/>
      <c r="L358" s="5" t="str">
        <f t="shared" si="22"/>
        <v/>
      </c>
      <c r="M358" s="5"/>
      <c r="N358" s="5" t="str">
        <f t="shared" si="23"/>
        <v/>
      </c>
      <c r="O358" s="4"/>
      <c r="P358" s="4"/>
      <c r="Q358" s="4"/>
    </row>
    <row r="359" spans="1:17" x14ac:dyDescent="0.2">
      <c r="A359" s="130"/>
      <c r="B359" s="4"/>
      <c r="C359" s="4"/>
      <c r="D359" s="4"/>
      <c r="E359" s="41"/>
      <c r="F359" s="41"/>
      <c r="G359" s="5"/>
      <c r="H359" s="4"/>
      <c r="I359" s="5"/>
      <c r="J359" s="5" t="str">
        <f t="shared" si="21"/>
        <v/>
      </c>
      <c r="K359" s="36"/>
      <c r="L359" s="5" t="str">
        <f t="shared" si="22"/>
        <v/>
      </c>
      <c r="M359" s="5"/>
      <c r="N359" s="5" t="str">
        <f t="shared" si="23"/>
        <v/>
      </c>
      <c r="O359" s="4"/>
      <c r="P359" s="4"/>
      <c r="Q359" s="4"/>
    </row>
    <row r="360" spans="1:17" x14ac:dyDescent="0.2">
      <c r="A360" s="130"/>
      <c r="B360" s="4"/>
      <c r="C360" s="4"/>
      <c r="D360" s="4"/>
      <c r="E360" s="41"/>
      <c r="F360" s="41"/>
      <c r="G360" s="5"/>
      <c r="H360" s="4"/>
      <c r="I360" s="5"/>
      <c r="J360" s="5" t="str">
        <f t="shared" si="21"/>
        <v/>
      </c>
      <c r="K360" s="36"/>
      <c r="L360" s="5" t="str">
        <f t="shared" si="22"/>
        <v/>
      </c>
      <c r="M360" s="5"/>
      <c r="N360" s="5" t="str">
        <f t="shared" si="23"/>
        <v/>
      </c>
      <c r="O360" s="4"/>
      <c r="P360" s="4"/>
      <c r="Q360" s="4"/>
    </row>
    <row r="361" spans="1:17" x14ac:dyDescent="0.2">
      <c r="A361" s="130"/>
      <c r="B361" s="4"/>
      <c r="C361" s="4"/>
      <c r="D361" s="4"/>
      <c r="E361" s="41"/>
      <c r="F361" s="41"/>
      <c r="G361" s="5"/>
      <c r="H361" s="4"/>
      <c r="I361" s="5"/>
      <c r="J361" s="5" t="str">
        <f t="shared" si="21"/>
        <v/>
      </c>
      <c r="K361" s="36"/>
      <c r="L361" s="5" t="str">
        <f t="shared" si="22"/>
        <v/>
      </c>
      <c r="M361" s="5"/>
      <c r="N361" s="5" t="str">
        <f t="shared" si="23"/>
        <v/>
      </c>
      <c r="O361" s="4"/>
      <c r="P361" s="4"/>
      <c r="Q361" s="4"/>
    </row>
    <row r="362" spans="1:17" x14ac:dyDescent="0.2">
      <c r="A362" s="130"/>
      <c r="B362" s="4"/>
      <c r="C362" s="4"/>
      <c r="D362" s="4"/>
      <c r="E362" s="41"/>
      <c r="F362" s="41"/>
      <c r="G362" s="5"/>
      <c r="H362" s="4"/>
      <c r="I362" s="5"/>
      <c r="J362" s="5" t="str">
        <f t="shared" si="21"/>
        <v/>
      </c>
      <c r="K362" s="36"/>
      <c r="L362" s="5" t="str">
        <f t="shared" si="22"/>
        <v/>
      </c>
      <c r="M362" s="5"/>
      <c r="N362" s="5" t="str">
        <f t="shared" si="23"/>
        <v/>
      </c>
      <c r="O362" s="4"/>
      <c r="P362" s="4"/>
      <c r="Q362" s="4"/>
    </row>
    <row r="363" spans="1:17" x14ac:dyDescent="0.2">
      <c r="A363" s="130"/>
      <c r="B363" s="4"/>
      <c r="C363" s="4"/>
      <c r="D363" s="4"/>
      <c r="E363" s="41"/>
      <c r="F363" s="41"/>
      <c r="G363" s="5"/>
      <c r="H363" s="4"/>
      <c r="I363" s="5"/>
      <c r="J363" s="5" t="str">
        <f t="shared" si="21"/>
        <v/>
      </c>
      <c r="K363" s="36"/>
      <c r="L363" s="5" t="str">
        <f t="shared" si="22"/>
        <v/>
      </c>
      <c r="M363" s="5"/>
      <c r="N363" s="5" t="str">
        <f t="shared" si="23"/>
        <v/>
      </c>
      <c r="O363" s="4"/>
      <c r="P363" s="4"/>
      <c r="Q363" s="4"/>
    </row>
    <row r="364" spans="1:17" x14ac:dyDescent="0.2">
      <c r="A364" s="130"/>
      <c r="B364" s="4"/>
      <c r="C364" s="4"/>
      <c r="D364" s="4"/>
      <c r="E364" s="41"/>
      <c r="F364" s="41"/>
      <c r="G364" s="5"/>
      <c r="H364" s="4"/>
      <c r="I364" s="5"/>
      <c r="J364" s="5" t="str">
        <f t="shared" si="21"/>
        <v/>
      </c>
      <c r="K364" s="36"/>
      <c r="L364" s="5" t="str">
        <f t="shared" si="22"/>
        <v/>
      </c>
      <c r="M364" s="5"/>
      <c r="N364" s="5" t="str">
        <f t="shared" si="23"/>
        <v/>
      </c>
      <c r="O364" s="4"/>
      <c r="P364" s="4"/>
      <c r="Q364" s="4"/>
    </row>
    <row r="365" spans="1:17" x14ac:dyDescent="0.2">
      <c r="A365" s="130"/>
      <c r="B365" s="4"/>
      <c r="C365" s="4"/>
      <c r="D365" s="4"/>
      <c r="E365" s="41"/>
      <c r="F365" s="41"/>
      <c r="G365" s="5"/>
      <c r="H365" s="4"/>
      <c r="I365" s="5"/>
      <c r="J365" s="5" t="str">
        <f t="shared" si="21"/>
        <v/>
      </c>
      <c r="K365" s="36"/>
      <c r="L365" s="5" t="str">
        <f t="shared" si="22"/>
        <v/>
      </c>
      <c r="M365" s="5"/>
      <c r="N365" s="5" t="str">
        <f t="shared" si="23"/>
        <v/>
      </c>
      <c r="O365" s="4"/>
      <c r="P365" s="4"/>
      <c r="Q365" s="4"/>
    </row>
    <row r="366" spans="1:17" x14ac:dyDescent="0.2">
      <c r="A366" s="130"/>
      <c r="B366" s="4"/>
      <c r="C366" s="4"/>
      <c r="D366" s="4"/>
      <c r="E366" s="41"/>
      <c r="F366" s="41"/>
      <c r="G366" s="5"/>
      <c r="H366" s="4"/>
      <c r="I366" s="5"/>
      <c r="J366" s="5" t="str">
        <f t="shared" si="21"/>
        <v/>
      </c>
      <c r="K366" s="36"/>
      <c r="L366" s="5" t="str">
        <f t="shared" si="22"/>
        <v/>
      </c>
      <c r="M366" s="5"/>
      <c r="N366" s="5" t="str">
        <f t="shared" si="23"/>
        <v/>
      </c>
      <c r="O366" s="4"/>
      <c r="P366" s="4"/>
      <c r="Q366" s="4"/>
    </row>
    <row r="367" spans="1:17" x14ac:dyDescent="0.2">
      <c r="A367" s="130"/>
      <c r="B367" s="4"/>
      <c r="C367" s="4"/>
      <c r="D367" s="4"/>
      <c r="E367" s="41"/>
      <c r="F367" s="41"/>
      <c r="G367" s="5"/>
      <c r="H367" s="4"/>
      <c r="I367" s="5"/>
      <c r="J367" s="5" t="str">
        <f t="shared" si="21"/>
        <v/>
      </c>
      <c r="K367" s="36"/>
      <c r="L367" s="5" t="str">
        <f t="shared" si="22"/>
        <v/>
      </c>
      <c r="M367" s="5"/>
      <c r="N367" s="5" t="str">
        <f t="shared" si="23"/>
        <v/>
      </c>
      <c r="O367" s="4"/>
      <c r="P367" s="4"/>
      <c r="Q367" s="4"/>
    </row>
    <row r="368" spans="1:17" x14ac:dyDescent="0.2">
      <c r="A368" s="130"/>
      <c r="B368" s="4"/>
      <c r="C368" s="4"/>
      <c r="D368" s="4"/>
      <c r="E368" s="41"/>
      <c r="F368" s="41"/>
      <c r="G368" s="5"/>
      <c r="H368" s="4"/>
      <c r="I368" s="5"/>
      <c r="J368" s="5" t="str">
        <f t="shared" si="21"/>
        <v/>
      </c>
      <c r="K368" s="36"/>
      <c r="L368" s="5" t="str">
        <f t="shared" si="22"/>
        <v/>
      </c>
      <c r="M368" s="5"/>
      <c r="N368" s="5" t="str">
        <f t="shared" si="23"/>
        <v/>
      </c>
      <c r="O368" s="4"/>
      <c r="P368" s="4"/>
      <c r="Q368" s="4"/>
    </row>
    <row r="369" spans="1:17" x14ac:dyDescent="0.2">
      <c r="A369" s="130"/>
      <c r="B369" s="4"/>
      <c r="C369" s="4"/>
      <c r="D369" s="4"/>
      <c r="E369" s="41"/>
      <c r="F369" s="41"/>
      <c r="G369" s="5"/>
      <c r="H369" s="4"/>
      <c r="I369" s="5"/>
      <c r="J369" s="5" t="str">
        <f t="shared" si="21"/>
        <v/>
      </c>
      <c r="K369" s="36"/>
      <c r="L369" s="5" t="str">
        <f t="shared" si="22"/>
        <v/>
      </c>
      <c r="M369" s="5"/>
      <c r="N369" s="5" t="str">
        <f t="shared" si="23"/>
        <v/>
      </c>
      <c r="O369" s="4"/>
      <c r="P369" s="4"/>
      <c r="Q369" s="4"/>
    </row>
    <row r="370" spans="1:17" x14ac:dyDescent="0.2">
      <c r="A370" s="130"/>
      <c r="B370" s="4"/>
      <c r="C370" s="4"/>
      <c r="D370" s="4"/>
      <c r="E370" s="41"/>
      <c r="F370" s="41"/>
      <c r="G370" s="5"/>
      <c r="H370" s="4"/>
      <c r="I370" s="5"/>
      <c r="J370" s="5" t="str">
        <f t="shared" si="21"/>
        <v/>
      </c>
      <c r="K370" s="36"/>
      <c r="L370" s="5" t="str">
        <f t="shared" si="22"/>
        <v/>
      </c>
      <c r="M370" s="5"/>
      <c r="N370" s="5" t="str">
        <f t="shared" si="23"/>
        <v/>
      </c>
      <c r="O370" s="4"/>
      <c r="P370" s="4"/>
      <c r="Q370" s="4"/>
    </row>
    <row r="371" spans="1:17" x14ac:dyDescent="0.2">
      <c r="A371" s="130"/>
      <c r="B371" s="4"/>
      <c r="C371" s="4"/>
      <c r="D371" s="4"/>
      <c r="E371" s="41"/>
      <c r="F371" s="41"/>
      <c r="G371" s="5"/>
      <c r="H371" s="4"/>
      <c r="I371" s="5"/>
      <c r="J371" s="5" t="str">
        <f t="shared" si="21"/>
        <v/>
      </c>
      <c r="K371" s="36"/>
      <c r="L371" s="5" t="str">
        <f t="shared" si="22"/>
        <v/>
      </c>
      <c r="M371" s="5"/>
      <c r="N371" s="5" t="str">
        <f t="shared" si="23"/>
        <v/>
      </c>
      <c r="O371" s="4"/>
      <c r="P371" s="4"/>
      <c r="Q371" s="4"/>
    </row>
    <row r="372" spans="1:17" x14ac:dyDescent="0.2">
      <c r="A372" s="130"/>
      <c r="B372" s="4"/>
      <c r="C372" s="4"/>
      <c r="D372" s="4"/>
      <c r="E372" s="41"/>
      <c r="F372" s="41"/>
      <c r="G372" s="5"/>
      <c r="H372" s="4"/>
      <c r="I372" s="5"/>
      <c r="J372" s="5" t="str">
        <f t="shared" si="21"/>
        <v/>
      </c>
      <c r="K372" s="36"/>
      <c r="L372" s="5" t="str">
        <f t="shared" si="22"/>
        <v/>
      </c>
      <c r="M372" s="5"/>
      <c r="N372" s="5" t="str">
        <f t="shared" si="23"/>
        <v/>
      </c>
      <c r="O372" s="4"/>
      <c r="P372" s="4"/>
      <c r="Q372" s="4"/>
    </row>
    <row r="373" spans="1:17" x14ac:dyDescent="0.2">
      <c r="A373" s="130"/>
      <c r="B373" s="4"/>
      <c r="C373" s="4"/>
      <c r="D373" s="4"/>
      <c r="E373" s="41"/>
      <c r="F373" s="41"/>
      <c r="G373" s="5"/>
      <c r="H373" s="4"/>
      <c r="I373" s="5"/>
      <c r="J373" s="5" t="str">
        <f t="shared" si="21"/>
        <v/>
      </c>
      <c r="K373" s="36"/>
      <c r="L373" s="5" t="str">
        <f t="shared" si="22"/>
        <v/>
      </c>
      <c r="M373" s="5"/>
      <c r="N373" s="5" t="str">
        <f t="shared" si="23"/>
        <v/>
      </c>
      <c r="O373" s="4"/>
      <c r="P373" s="4"/>
      <c r="Q373" s="4"/>
    </row>
    <row r="374" spans="1:17" x14ac:dyDescent="0.2">
      <c r="A374" s="130"/>
      <c r="B374" s="4"/>
      <c r="C374" s="4"/>
      <c r="D374" s="4"/>
      <c r="E374" s="41"/>
      <c r="F374" s="41"/>
      <c r="G374" s="5"/>
      <c r="H374" s="4"/>
      <c r="I374" s="5"/>
      <c r="J374" s="5" t="str">
        <f t="shared" si="21"/>
        <v/>
      </c>
      <c r="K374" s="36"/>
      <c r="L374" s="5" t="str">
        <f t="shared" si="22"/>
        <v/>
      </c>
      <c r="M374" s="5"/>
      <c r="N374" s="5" t="str">
        <f t="shared" si="23"/>
        <v/>
      </c>
      <c r="O374" s="4"/>
      <c r="P374" s="4"/>
      <c r="Q374" s="4"/>
    </row>
    <row r="375" spans="1:17" x14ac:dyDescent="0.2">
      <c r="A375" s="130"/>
      <c r="B375" s="4"/>
      <c r="C375" s="4"/>
      <c r="D375" s="4"/>
      <c r="E375" s="41"/>
      <c r="F375" s="41"/>
      <c r="G375" s="5"/>
      <c r="H375" s="4"/>
      <c r="I375" s="5"/>
      <c r="J375" s="5" t="str">
        <f t="shared" si="21"/>
        <v/>
      </c>
      <c r="K375" s="36"/>
      <c r="L375" s="5" t="str">
        <f t="shared" si="22"/>
        <v/>
      </c>
      <c r="M375" s="5"/>
      <c r="N375" s="5" t="str">
        <f t="shared" si="23"/>
        <v/>
      </c>
      <c r="O375" s="4"/>
      <c r="P375" s="4"/>
      <c r="Q375" s="4"/>
    </row>
    <row r="376" spans="1:17" x14ac:dyDescent="0.2">
      <c r="A376" s="130"/>
      <c r="B376" s="4"/>
      <c r="C376" s="4"/>
      <c r="D376" s="4"/>
      <c r="E376" s="41"/>
      <c r="F376" s="41"/>
      <c r="G376" s="5"/>
      <c r="H376" s="4"/>
      <c r="I376" s="5"/>
      <c r="J376" s="5" t="str">
        <f t="shared" si="21"/>
        <v/>
      </c>
      <c r="K376" s="36"/>
      <c r="L376" s="5" t="str">
        <f t="shared" si="22"/>
        <v/>
      </c>
      <c r="M376" s="5"/>
      <c r="N376" s="5" t="str">
        <f t="shared" si="23"/>
        <v/>
      </c>
      <c r="O376" s="4"/>
      <c r="P376" s="4"/>
      <c r="Q376" s="4"/>
    </row>
    <row r="377" spans="1:17" x14ac:dyDescent="0.2">
      <c r="A377" s="130"/>
      <c r="B377" s="4"/>
      <c r="C377" s="4"/>
      <c r="D377" s="4"/>
      <c r="E377" s="41"/>
      <c r="F377" s="41"/>
      <c r="G377" s="5"/>
      <c r="H377" s="4"/>
      <c r="I377" s="5"/>
      <c r="J377" s="5" t="str">
        <f t="shared" si="21"/>
        <v/>
      </c>
      <c r="K377" s="36"/>
      <c r="L377" s="5" t="str">
        <f t="shared" si="22"/>
        <v/>
      </c>
      <c r="M377" s="5"/>
      <c r="N377" s="5" t="str">
        <f t="shared" si="23"/>
        <v/>
      </c>
      <c r="O377" s="4"/>
      <c r="P377" s="4"/>
      <c r="Q377" s="4"/>
    </row>
    <row r="378" spans="1:17" x14ac:dyDescent="0.2">
      <c r="A378" s="130"/>
      <c r="B378" s="4"/>
      <c r="C378" s="4"/>
      <c r="D378" s="4"/>
      <c r="E378" s="41"/>
      <c r="F378" s="41"/>
      <c r="G378" s="5"/>
      <c r="H378" s="4"/>
      <c r="I378" s="5"/>
      <c r="J378" s="5" t="str">
        <f t="shared" si="21"/>
        <v/>
      </c>
      <c r="K378" s="36"/>
      <c r="L378" s="5" t="str">
        <f t="shared" si="22"/>
        <v/>
      </c>
      <c r="M378" s="5"/>
      <c r="N378" s="5" t="str">
        <f t="shared" si="23"/>
        <v/>
      </c>
      <c r="O378" s="4"/>
      <c r="P378" s="4"/>
      <c r="Q378" s="4"/>
    </row>
    <row r="379" spans="1:17" x14ac:dyDescent="0.2">
      <c r="A379" s="130"/>
      <c r="B379" s="4"/>
      <c r="C379" s="4"/>
      <c r="D379" s="4"/>
      <c r="E379" s="41"/>
      <c r="F379" s="41"/>
      <c r="G379" s="5"/>
      <c r="H379" s="4"/>
      <c r="I379" s="5"/>
      <c r="J379" s="5" t="str">
        <f t="shared" si="21"/>
        <v/>
      </c>
      <c r="K379" s="36"/>
      <c r="L379" s="5" t="str">
        <f t="shared" si="22"/>
        <v/>
      </c>
      <c r="M379" s="5"/>
      <c r="N379" s="5" t="str">
        <f t="shared" si="23"/>
        <v/>
      </c>
      <c r="O379" s="4"/>
      <c r="P379" s="4"/>
      <c r="Q379" s="4"/>
    </row>
    <row r="380" spans="1:17" x14ac:dyDescent="0.2">
      <c r="A380" s="130"/>
      <c r="B380" s="4"/>
      <c r="C380" s="4"/>
      <c r="D380" s="4"/>
      <c r="E380" s="41"/>
      <c r="F380" s="41"/>
      <c r="G380" s="5"/>
      <c r="H380" s="4"/>
      <c r="I380" s="5"/>
      <c r="J380" s="5" t="str">
        <f t="shared" si="21"/>
        <v/>
      </c>
      <c r="K380" s="36"/>
      <c r="L380" s="5" t="str">
        <f t="shared" si="22"/>
        <v/>
      </c>
      <c r="M380" s="5"/>
      <c r="N380" s="5" t="str">
        <f t="shared" si="23"/>
        <v/>
      </c>
      <c r="O380" s="4"/>
      <c r="P380" s="4"/>
      <c r="Q380" s="4"/>
    </row>
    <row r="381" spans="1:17" x14ac:dyDescent="0.2">
      <c r="A381" s="130"/>
      <c r="B381" s="4"/>
      <c r="C381" s="4"/>
      <c r="D381" s="4"/>
      <c r="E381" s="41"/>
      <c r="F381" s="41"/>
      <c r="G381" s="5"/>
      <c r="H381" s="4"/>
      <c r="I381" s="5"/>
      <c r="J381" s="5" t="str">
        <f t="shared" si="21"/>
        <v/>
      </c>
      <c r="K381" s="36"/>
      <c r="L381" s="5" t="str">
        <f t="shared" si="22"/>
        <v/>
      </c>
      <c r="M381" s="5"/>
      <c r="N381" s="5" t="str">
        <f t="shared" si="23"/>
        <v/>
      </c>
      <c r="O381" s="4"/>
      <c r="P381" s="4"/>
      <c r="Q381" s="4"/>
    </row>
    <row r="382" spans="1:17" x14ac:dyDescent="0.2">
      <c r="A382" s="130"/>
      <c r="B382" s="4"/>
      <c r="C382" s="4"/>
      <c r="D382" s="4"/>
      <c r="E382" s="41"/>
      <c r="F382" s="41"/>
      <c r="G382" s="5"/>
      <c r="H382" s="4"/>
      <c r="I382" s="5"/>
      <c r="J382" s="5" t="str">
        <f t="shared" si="21"/>
        <v/>
      </c>
      <c r="K382" s="36"/>
      <c r="L382" s="5" t="str">
        <f t="shared" si="22"/>
        <v/>
      </c>
      <c r="M382" s="5"/>
      <c r="N382" s="5" t="str">
        <f t="shared" si="23"/>
        <v/>
      </c>
      <c r="O382" s="4"/>
      <c r="P382" s="4"/>
      <c r="Q382" s="4"/>
    </row>
    <row r="383" spans="1:17" x14ac:dyDescent="0.2">
      <c r="A383" s="130"/>
      <c r="B383" s="4"/>
      <c r="C383" s="4"/>
      <c r="D383" s="4"/>
      <c r="E383" s="41"/>
      <c r="F383" s="41"/>
      <c r="G383" s="5"/>
      <c r="H383" s="4"/>
      <c r="I383" s="5"/>
      <c r="J383" s="5" t="str">
        <f t="shared" si="21"/>
        <v/>
      </c>
      <c r="K383" s="36"/>
      <c r="L383" s="5" t="str">
        <f t="shared" si="22"/>
        <v/>
      </c>
      <c r="M383" s="5"/>
      <c r="N383" s="5" t="str">
        <f t="shared" si="23"/>
        <v/>
      </c>
      <c r="O383" s="4"/>
      <c r="P383" s="4"/>
      <c r="Q383" s="4"/>
    </row>
    <row r="384" spans="1:17" x14ac:dyDescent="0.2">
      <c r="A384" s="130"/>
      <c r="B384" s="4"/>
      <c r="C384" s="4"/>
      <c r="D384" s="4"/>
      <c r="E384" s="41"/>
      <c r="F384" s="41"/>
      <c r="G384" s="5"/>
      <c r="H384" s="4"/>
      <c r="I384" s="5"/>
      <c r="J384" s="5" t="str">
        <f t="shared" si="21"/>
        <v/>
      </c>
      <c r="K384" s="36"/>
      <c r="L384" s="5" t="str">
        <f t="shared" si="22"/>
        <v/>
      </c>
      <c r="M384" s="5"/>
      <c r="N384" s="5" t="str">
        <f t="shared" si="23"/>
        <v/>
      </c>
      <c r="O384" s="4"/>
      <c r="P384" s="4"/>
      <c r="Q384" s="4"/>
    </row>
    <row r="385" spans="1:17" x14ac:dyDescent="0.2">
      <c r="A385" s="130"/>
      <c r="B385" s="4"/>
      <c r="C385" s="4"/>
      <c r="D385" s="4"/>
      <c r="E385" s="41"/>
      <c r="F385" s="41"/>
      <c r="G385" s="5"/>
      <c r="H385" s="4"/>
      <c r="I385" s="5"/>
      <c r="J385" s="5" t="str">
        <f t="shared" si="21"/>
        <v/>
      </c>
      <c r="K385" s="36"/>
      <c r="L385" s="5" t="str">
        <f t="shared" si="22"/>
        <v/>
      </c>
      <c r="M385" s="5"/>
      <c r="N385" s="5" t="str">
        <f t="shared" si="23"/>
        <v/>
      </c>
      <c r="O385" s="4"/>
      <c r="P385" s="4"/>
      <c r="Q385" s="4"/>
    </row>
    <row r="386" spans="1:17" x14ac:dyDescent="0.2">
      <c r="A386" s="130"/>
      <c r="B386" s="4"/>
      <c r="C386" s="4"/>
      <c r="D386" s="4"/>
      <c r="E386" s="41"/>
      <c r="F386" s="41"/>
      <c r="G386" s="5"/>
      <c r="H386" s="4"/>
      <c r="I386" s="5"/>
      <c r="J386" s="5" t="str">
        <f t="shared" si="21"/>
        <v/>
      </c>
      <c r="K386" s="36"/>
      <c r="L386" s="5" t="str">
        <f t="shared" si="22"/>
        <v/>
      </c>
      <c r="M386" s="5"/>
      <c r="N386" s="5" t="str">
        <f t="shared" si="23"/>
        <v/>
      </c>
      <c r="O386" s="4"/>
      <c r="P386" s="4"/>
      <c r="Q386" s="4"/>
    </row>
    <row r="387" spans="1:17" x14ac:dyDescent="0.2">
      <c r="A387" s="130"/>
      <c r="B387" s="4"/>
      <c r="C387" s="4"/>
      <c r="D387" s="4"/>
      <c r="E387" s="41"/>
      <c r="F387" s="41"/>
      <c r="G387" s="5"/>
      <c r="H387" s="4"/>
      <c r="I387" s="5"/>
      <c r="J387" s="5" t="str">
        <f t="shared" si="21"/>
        <v/>
      </c>
      <c r="K387" s="36"/>
      <c r="L387" s="5" t="str">
        <f t="shared" si="22"/>
        <v/>
      </c>
      <c r="M387" s="5"/>
      <c r="N387" s="5" t="str">
        <f t="shared" si="23"/>
        <v/>
      </c>
      <c r="O387" s="4"/>
      <c r="P387" s="4"/>
      <c r="Q387" s="4"/>
    </row>
    <row r="388" spans="1:17" x14ac:dyDescent="0.2">
      <c r="A388" s="130"/>
      <c r="B388" s="4"/>
      <c r="C388" s="4"/>
      <c r="D388" s="4"/>
      <c r="E388" s="41"/>
      <c r="F388" s="41"/>
      <c r="G388" s="5"/>
      <c r="H388" s="4"/>
      <c r="I388" s="5"/>
      <c r="J388" s="5" t="str">
        <f t="shared" si="21"/>
        <v/>
      </c>
      <c r="K388" s="36"/>
      <c r="L388" s="5" t="str">
        <f t="shared" si="22"/>
        <v/>
      </c>
      <c r="M388" s="5"/>
      <c r="N388" s="5" t="str">
        <f t="shared" si="23"/>
        <v/>
      </c>
      <c r="O388" s="4"/>
      <c r="P388" s="4"/>
      <c r="Q388" s="4"/>
    </row>
    <row r="389" spans="1:17" x14ac:dyDescent="0.2">
      <c r="A389" s="130"/>
      <c r="B389" s="4"/>
      <c r="C389" s="4"/>
      <c r="D389" s="4"/>
      <c r="E389" s="41"/>
      <c r="F389" s="41"/>
      <c r="G389" s="5"/>
      <c r="H389" s="4"/>
      <c r="I389" s="5"/>
      <c r="J389" s="5" t="str">
        <f t="shared" si="21"/>
        <v/>
      </c>
      <c r="K389" s="36"/>
      <c r="L389" s="5" t="str">
        <f t="shared" si="22"/>
        <v/>
      </c>
      <c r="M389" s="5"/>
      <c r="N389" s="5" t="str">
        <f t="shared" si="23"/>
        <v/>
      </c>
      <c r="O389" s="4"/>
      <c r="P389" s="4"/>
      <c r="Q389" s="4"/>
    </row>
    <row r="390" spans="1:17" x14ac:dyDescent="0.2">
      <c r="A390" s="130"/>
      <c r="B390" s="4"/>
      <c r="C390" s="4"/>
      <c r="D390" s="4"/>
      <c r="E390" s="41"/>
      <c r="F390" s="41"/>
      <c r="G390" s="5"/>
      <c r="H390" s="4"/>
      <c r="I390" s="5"/>
      <c r="J390" s="5" t="str">
        <f t="shared" si="21"/>
        <v/>
      </c>
      <c r="K390" s="36"/>
      <c r="L390" s="5" t="str">
        <f t="shared" si="22"/>
        <v/>
      </c>
      <c r="M390" s="5"/>
      <c r="N390" s="5" t="str">
        <f t="shared" si="23"/>
        <v/>
      </c>
      <c r="O390" s="4"/>
      <c r="P390" s="4"/>
      <c r="Q390" s="4"/>
    </row>
    <row r="391" spans="1:17" x14ac:dyDescent="0.2">
      <c r="A391" s="130"/>
      <c r="B391" s="4"/>
      <c r="C391" s="4"/>
      <c r="D391" s="4"/>
      <c r="E391" s="41"/>
      <c r="F391" s="41"/>
      <c r="G391" s="5"/>
      <c r="H391" s="4"/>
      <c r="I391" s="5"/>
      <c r="J391" s="5" t="str">
        <f t="shared" si="21"/>
        <v/>
      </c>
      <c r="K391" s="36"/>
      <c r="L391" s="5" t="str">
        <f t="shared" si="22"/>
        <v/>
      </c>
      <c r="M391" s="5"/>
      <c r="N391" s="5" t="str">
        <f t="shared" si="23"/>
        <v/>
      </c>
      <c r="O391" s="4"/>
      <c r="P391" s="4"/>
      <c r="Q391" s="4"/>
    </row>
    <row r="392" spans="1:17" x14ac:dyDescent="0.2">
      <c r="A392" s="130"/>
      <c r="B392" s="4"/>
      <c r="C392" s="4"/>
      <c r="D392" s="4"/>
      <c r="E392" s="41"/>
      <c r="F392" s="41"/>
      <c r="G392" s="5"/>
      <c r="H392" s="4"/>
      <c r="I392" s="5"/>
      <c r="J392" s="5" t="str">
        <f t="shared" si="21"/>
        <v/>
      </c>
      <c r="K392" s="36"/>
      <c r="L392" s="5" t="str">
        <f t="shared" si="22"/>
        <v/>
      </c>
      <c r="M392" s="5"/>
      <c r="N392" s="5" t="str">
        <f t="shared" si="23"/>
        <v/>
      </c>
      <c r="O392" s="4"/>
      <c r="P392" s="4"/>
      <c r="Q392" s="4"/>
    </row>
    <row r="393" spans="1:17" x14ac:dyDescent="0.2">
      <c r="A393" s="130"/>
      <c r="B393" s="4"/>
      <c r="C393" s="4"/>
      <c r="D393" s="4"/>
      <c r="E393" s="41"/>
      <c r="F393" s="41"/>
      <c r="G393" s="5"/>
      <c r="H393" s="4"/>
      <c r="I393" s="5"/>
      <c r="J393" s="5" t="str">
        <f t="shared" si="21"/>
        <v/>
      </c>
      <c r="K393" s="36"/>
      <c r="L393" s="5" t="str">
        <f t="shared" si="22"/>
        <v/>
      </c>
      <c r="M393" s="5"/>
      <c r="N393" s="5" t="str">
        <f t="shared" si="23"/>
        <v/>
      </c>
      <c r="O393" s="4"/>
      <c r="P393" s="4"/>
      <c r="Q393" s="4"/>
    </row>
    <row r="394" spans="1:17" x14ac:dyDescent="0.2">
      <c r="A394" s="130"/>
      <c r="B394" s="4"/>
      <c r="C394" s="4"/>
      <c r="D394" s="4"/>
      <c r="E394" s="41"/>
      <c r="F394" s="41"/>
      <c r="G394" s="5"/>
      <c r="H394" s="4"/>
      <c r="I394" s="5"/>
      <c r="J394" s="5" t="str">
        <f t="shared" si="21"/>
        <v/>
      </c>
      <c r="K394" s="36"/>
      <c r="L394" s="5" t="str">
        <f t="shared" si="22"/>
        <v/>
      </c>
      <c r="M394" s="5"/>
      <c r="N394" s="5" t="str">
        <f t="shared" si="23"/>
        <v/>
      </c>
      <c r="O394" s="4"/>
      <c r="P394" s="4"/>
      <c r="Q394" s="4"/>
    </row>
    <row r="395" spans="1:17" x14ac:dyDescent="0.2">
      <c r="A395" s="130"/>
      <c r="B395" s="4"/>
      <c r="C395" s="4"/>
      <c r="D395" s="4"/>
      <c r="E395" s="41"/>
      <c r="F395" s="41"/>
      <c r="G395" s="5"/>
      <c r="H395" s="4"/>
      <c r="I395" s="5"/>
      <c r="J395" s="5" t="str">
        <f t="shared" si="21"/>
        <v/>
      </c>
      <c r="K395" s="36"/>
      <c r="L395" s="5" t="str">
        <f t="shared" si="22"/>
        <v/>
      </c>
      <c r="M395" s="5"/>
      <c r="N395" s="5" t="str">
        <f t="shared" si="23"/>
        <v/>
      </c>
      <c r="O395" s="4"/>
      <c r="P395" s="4"/>
      <c r="Q395" s="4"/>
    </row>
    <row r="396" spans="1:17" x14ac:dyDescent="0.2">
      <c r="A396" s="130"/>
      <c r="B396" s="4"/>
      <c r="C396" s="4"/>
      <c r="D396" s="4"/>
      <c r="E396" s="41"/>
      <c r="F396" s="41"/>
      <c r="G396" s="5"/>
      <c r="H396" s="4"/>
      <c r="I396" s="5"/>
      <c r="J396" s="5" t="str">
        <f t="shared" si="21"/>
        <v/>
      </c>
      <c r="K396" s="36"/>
      <c r="L396" s="5" t="str">
        <f t="shared" si="22"/>
        <v/>
      </c>
      <c r="M396" s="5"/>
      <c r="N396" s="5" t="str">
        <f t="shared" si="23"/>
        <v/>
      </c>
      <c r="O396" s="4"/>
      <c r="P396" s="4"/>
      <c r="Q396" s="4"/>
    </row>
    <row r="397" spans="1:17" x14ac:dyDescent="0.2">
      <c r="A397" s="130"/>
      <c r="B397" s="4"/>
      <c r="C397" s="4"/>
      <c r="D397" s="4"/>
      <c r="E397" s="41"/>
      <c r="F397" s="41"/>
      <c r="G397" s="5"/>
      <c r="H397" s="4"/>
      <c r="I397" s="5"/>
      <c r="J397" s="5" t="str">
        <f t="shared" si="21"/>
        <v/>
      </c>
      <c r="K397" s="36"/>
      <c r="L397" s="5" t="str">
        <f t="shared" si="22"/>
        <v/>
      </c>
      <c r="M397" s="5"/>
      <c r="N397" s="5" t="str">
        <f t="shared" si="23"/>
        <v/>
      </c>
      <c r="O397" s="4"/>
      <c r="P397" s="4"/>
      <c r="Q397" s="4"/>
    </row>
    <row r="398" spans="1:17" x14ac:dyDescent="0.2">
      <c r="A398" s="130"/>
      <c r="B398" s="4"/>
      <c r="C398" s="4"/>
      <c r="D398" s="4"/>
      <c r="E398" s="41"/>
      <c r="F398" s="41"/>
      <c r="G398" s="5"/>
      <c r="H398" s="4"/>
      <c r="I398" s="5"/>
      <c r="J398" s="5" t="str">
        <f t="shared" si="21"/>
        <v/>
      </c>
      <c r="K398" s="36"/>
      <c r="L398" s="5" t="str">
        <f t="shared" si="22"/>
        <v/>
      </c>
      <c r="M398" s="5"/>
      <c r="N398" s="5" t="str">
        <f t="shared" si="23"/>
        <v/>
      </c>
      <c r="O398" s="4"/>
      <c r="P398" s="4"/>
      <c r="Q398" s="4"/>
    </row>
    <row r="399" spans="1:17" x14ac:dyDescent="0.2">
      <c r="A399" s="130"/>
      <c r="B399" s="4"/>
      <c r="C399" s="4"/>
      <c r="D399" s="4"/>
      <c r="E399" s="41"/>
      <c r="F399" s="41"/>
      <c r="G399" s="5"/>
      <c r="H399" s="4"/>
      <c r="I399" s="5"/>
      <c r="J399" s="5" t="str">
        <f t="shared" si="21"/>
        <v/>
      </c>
      <c r="K399" s="36"/>
      <c r="L399" s="5" t="str">
        <f t="shared" si="22"/>
        <v/>
      </c>
      <c r="M399" s="5"/>
      <c r="N399" s="5" t="str">
        <f t="shared" si="23"/>
        <v/>
      </c>
      <c r="O399" s="4"/>
      <c r="P399" s="4"/>
      <c r="Q399" s="4"/>
    </row>
    <row r="400" spans="1:17" x14ac:dyDescent="0.2">
      <c r="A400" s="130"/>
      <c r="B400" s="4"/>
      <c r="C400" s="4"/>
      <c r="D400" s="4"/>
      <c r="E400" s="41"/>
      <c r="F400" s="41"/>
      <c r="G400" s="5"/>
      <c r="H400" s="4"/>
      <c r="I400" s="5"/>
      <c r="J400" s="5" t="str">
        <f t="shared" si="21"/>
        <v/>
      </c>
      <c r="K400" s="36"/>
      <c r="L400" s="5" t="str">
        <f t="shared" si="22"/>
        <v/>
      </c>
      <c r="M400" s="5"/>
      <c r="N400" s="5" t="str">
        <f t="shared" si="23"/>
        <v/>
      </c>
      <c r="O400" s="4"/>
      <c r="P400" s="4"/>
      <c r="Q400" s="4"/>
    </row>
    <row r="401" spans="1:17" x14ac:dyDescent="0.2">
      <c r="A401" s="130"/>
      <c r="B401" s="4"/>
      <c r="C401" s="4"/>
      <c r="D401" s="4"/>
      <c r="E401" s="41"/>
      <c r="F401" s="41"/>
      <c r="G401" s="5"/>
      <c r="H401" s="4"/>
      <c r="I401" s="5"/>
      <c r="J401" s="5" t="str">
        <f t="shared" si="21"/>
        <v/>
      </c>
      <c r="K401" s="36"/>
      <c r="L401" s="5" t="str">
        <f t="shared" si="22"/>
        <v/>
      </c>
      <c r="M401" s="5"/>
      <c r="N401" s="5" t="str">
        <f t="shared" si="23"/>
        <v/>
      </c>
      <c r="O401" s="4"/>
      <c r="P401" s="4"/>
      <c r="Q401" s="4"/>
    </row>
    <row r="402" spans="1:17" x14ac:dyDescent="0.2">
      <c r="A402" s="130"/>
      <c r="B402" s="4"/>
      <c r="C402" s="4"/>
      <c r="D402" s="4"/>
      <c r="E402" s="41"/>
      <c r="F402" s="41"/>
      <c r="G402" s="5"/>
      <c r="H402" s="4"/>
      <c r="I402" s="5"/>
      <c r="J402" s="5" t="str">
        <f t="shared" si="21"/>
        <v/>
      </c>
      <c r="K402" s="36"/>
      <c r="L402" s="5" t="str">
        <f t="shared" si="22"/>
        <v/>
      </c>
      <c r="M402" s="5"/>
      <c r="N402" s="5" t="str">
        <f t="shared" si="23"/>
        <v/>
      </c>
      <c r="O402" s="4"/>
      <c r="P402" s="4"/>
      <c r="Q402" s="4"/>
    </row>
    <row r="403" spans="1:17" x14ac:dyDescent="0.2">
      <c r="A403" s="130"/>
      <c r="B403" s="4"/>
      <c r="C403" s="4"/>
      <c r="D403" s="4"/>
      <c r="E403" s="41"/>
      <c r="F403" s="41"/>
      <c r="G403" s="5"/>
      <c r="H403" s="4"/>
      <c r="I403" s="5"/>
      <c r="J403" s="5" t="str">
        <f t="shared" si="21"/>
        <v/>
      </c>
      <c r="K403" s="36"/>
      <c r="L403" s="5" t="str">
        <f t="shared" si="22"/>
        <v/>
      </c>
      <c r="M403" s="5"/>
      <c r="N403" s="5" t="str">
        <f t="shared" si="23"/>
        <v/>
      </c>
      <c r="O403" s="4"/>
      <c r="P403" s="4"/>
      <c r="Q403" s="4"/>
    </row>
    <row r="404" spans="1:17" x14ac:dyDescent="0.2">
      <c r="A404" s="130"/>
      <c r="B404" s="4"/>
      <c r="C404" s="4"/>
      <c r="D404" s="4"/>
      <c r="E404" s="41"/>
      <c r="F404" s="41"/>
      <c r="G404" s="5"/>
      <c r="H404" s="4"/>
      <c r="I404" s="5"/>
      <c r="J404" s="5" t="str">
        <f t="shared" si="21"/>
        <v/>
      </c>
      <c r="K404" s="36"/>
      <c r="L404" s="5" t="str">
        <f t="shared" si="22"/>
        <v/>
      </c>
      <c r="M404" s="5"/>
      <c r="N404" s="5" t="str">
        <f t="shared" si="23"/>
        <v/>
      </c>
      <c r="O404" s="4"/>
      <c r="P404" s="4"/>
      <c r="Q404" s="4"/>
    </row>
    <row r="405" spans="1:17" x14ac:dyDescent="0.2">
      <c r="A405" s="130"/>
      <c r="B405" s="4"/>
      <c r="C405" s="4"/>
      <c r="D405" s="4"/>
      <c r="E405" s="41"/>
      <c r="F405" s="41"/>
      <c r="G405" s="5"/>
      <c r="H405" s="4"/>
      <c r="I405" s="5"/>
      <c r="J405" s="5" t="str">
        <f t="shared" si="21"/>
        <v/>
      </c>
      <c r="K405" s="36"/>
      <c r="L405" s="5" t="str">
        <f t="shared" si="22"/>
        <v/>
      </c>
      <c r="M405" s="5"/>
      <c r="N405" s="5" t="str">
        <f t="shared" si="23"/>
        <v/>
      </c>
      <c r="O405" s="4"/>
      <c r="P405" s="4"/>
      <c r="Q405" s="4"/>
    </row>
    <row r="406" spans="1:17" x14ac:dyDescent="0.2">
      <c r="A406" s="130"/>
      <c r="B406" s="4"/>
      <c r="C406" s="4"/>
      <c r="D406" s="4"/>
      <c r="E406" s="41"/>
      <c r="F406" s="41"/>
      <c r="G406" s="5"/>
      <c r="H406" s="4"/>
      <c r="I406" s="5"/>
      <c r="J406" s="5" t="str">
        <f t="shared" si="21"/>
        <v/>
      </c>
      <c r="K406" s="36"/>
      <c r="L406" s="5" t="str">
        <f t="shared" si="22"/>
        <v/>
      </c>
      <c r="M406" s="5"/>
      <c r="N406" s="5" t="str">
        <f t="shared" si="23"/>
        <v/>
      </c>
      <c r="O406" s="4"/>
      <c r="P406" s="4"/>
      <c r="Q406" s="4"/>
    </row>
    <row r="407" spans="1:17" x14ac:dyDescent="0.2">
      <c r="A407" s="130"/>
      <c r="B407" s="4"/>
      <c r="C407" s="4"/>
      <c r="D407" s="4"/>
      <c r="E407" s="41"/>
      <c r="F407" s="41"/>
      <c r="G407" s="5"/>
      <c r="H407" s="4"/>
      <c r="I407" s="5"/>
      <c r="J407" s="5" t="str">
        <f t="shared" si="21"/>
        <v/>
      </c>
      <c r="K407" s="36"/>
      <c r="L407" s="5" t="str">
        <f t="shared" si="22"/>
        <v/>
      </c>
      <c r="M407" s="5"/>
      <c r="N407" s="5" t="str">
        <f t="shared" si="23"/>
        <v/>
      </c>
      <c r="O407" s="4"/>
      <c r="P407" s="4"/>
      <c r="Q407" s="4"/>
    </row>
    <row r="408" spans="1:17" x14ac:dyDescent="0.2">
      <c r="A408" s="130"/>
      <c r="B408" s="4"/>
      <c r="C408" s="4"/>
      <c r="D408" s="4"/>
      <c r="E408" s="41"/>
      <c r="F408" s="41"/>
      <c r="G408" s="5"/>
      <c r="H408" s="4"/>
      <c r="I408" s="5"/>
      <c r="J408" s="5" t="str">
        <f t="shared" si="21"/>
        <v/>
      </c>
      <c r="K408" s="36"/>
      <c r="L408" s="5" t="str">
        <f t="shared" si="22"/>
        <v/>
      </c>
      <c r="M408" s="5"/>
      <c r="N408" s="5" t="str">
        <f t="shared" si="23"/>
        <v/>
      </c>
      <c r="O408" s="4"/>
      <c r="P408" s="4"/>
      <c r="Q408" s="4"/>
    </row>
    <row r="409" spans="1:17" x14ac:dyDescent="0.2">
      <c r="A409" s="130"/>
      <c r="B409" s="4"/>
      <c r="C409" s="4"/>
      <c r="D409" s="4"/>
      <c r="E409" s="41"/>
      <c r="F409" s="41"/>
      <c r="G409" s="5"/>
      <c r="H409" s="4"/>
      <c r="I409" s="5"/>
      <c r="J409" s="5" t="str">
        <f t="shared" si="21"/>
        <v/>
      </c>
      <c r="K409" s="36"/>
      <c r="L409" s="5" t="str">
        <f t="shared" si="22"/>
        <v/>
      </c>
      <c r="M409" s="5"/>
      <c r="N409" s="5" t="str">
        <f t="shared" si="23"/>
        <v/>
      </c>
      <c r="O409" s="4"/>
      <c r="P409" s="4"/>
      <c r="Q409" s="4"/>
    </row>
    <row r="410" spans="1:17" x14ac:dyDescent="0.2">
      <c r="A410" s="130"/>
      <c r="B410" s="4"/>
      <c r="C410" s="4"/>
      <c r="D410" s="4"/>
      <c r="E410" s="41"/>
      <c r="F410" s="41"/>
      <c r="G410" s="5"/>
      <c r="H410" s="4"/>
      <c r="I410" s="5"/>
      <c r="J410" s="5" t="str">
        <f t="shared" ref="J410:J473" si="24">IF($D410="","",IF($H410="FIXED",$I410,($E410*FAT_MULT)+($F410*SNF_MULT)+$G410))</f>
        <v/>
      </c>
      <c r="K410" s="36"/>
      <c r="L410" s="5" t="str">
        <f t="shared" ref="L410:L473" si="25">IF($K410="","",$K410*$J410)</f>
        <v/>
      </c>
      <c r="M410" s="5"/>
      <c r="N410" s="5" t="str">
        <f t="shared" ref="N410:N473" si="26">IF($K410="","",$L410+$M410)</f>
        <v/>
      </c>
      <c r="O410" s="4"/>
      <c r="P410" s="4"/>
      <c r="Q410" s="4"/>
    </row>
    <row r="411" spans="1:17" x14ac:dyDescent="0.2">
      <c r="A411" s="130"/>
      <c r="B411" s="4"/>
      <c r="C411" s="4"/>
      <c r="D411" s="4"/>
      <c r="E411" s="41"/>
      <c r="F411" s="41"/>
      <c r="G411" s="5"/>
      <c r="H411" s="4"/>
      <c r="I411" s="5"/>
      <c r="J411" s="5" t="str">
        <f t="shared" si="24"/>
        <v/>
      </c>
      <c r="K411" s="36"/>
      <c r="L411" s="5" t="str">
        <f t="shared" si="25"/>
        <v/>
      </c>
      <c r="M411" s="5"/>
      <c r="N411" s="5" t="str">
        <f t="shared" si="26"/>
        <v/>
      </c>
      <c r="O411" s="4"/>
      <c r="P411" s="4"/>
      <c r="Q411" s="4"/>
    </row>
    <row r="412" spans="1:17" x14ac:dyDescent="0.2">
      <c r="A412" s="130"/>
      <c r="B412" s="4"/>
      <c r="C412" s="4"/>
      <c r="D412" s="4"/>
      <c r="E412" s="41"/>
      <c r="F412" s="41"/>
      <c r="G412" s="5"/>
      <c r="H412" s="4"/>
      <c r="I412" s="5"/>
      <c r="J412" s="5" t="str">
        <f t="shared" si="24"/>
        <v/>
      </c>
      <c r="K412" s="36"/>
      <c r="L412" s="5" t="str">
        <f t="shared" si="25"/>
        <v/>
      </c>
      <c r="M412" s="5"/>
      <c r="N412" s="5" t="str">
        <f t="shared" si="26"/>
        <v/>
      </c>
      <c r="O412" s="4"/>
      <c r="P412" s="4"/>
      <c r="Q412" s="4"/>
    </row>
    <row r="413" spans="1:17" x14ac:dyDescent="0.2">
      <c r="A413" s="130"/>
      <c r="B413" s="4"/>
      <c r="C413" s="4"/>
      <c r="D413" s="4"/>
      <c r="E413" s="41"/>
      <c r="F413" s="41"/>
      <c r="G413" s="5"/>
      <c r="H413" s="4"/>
      <c r="I413" s="5"/>
      <c r="J413" s="5" t="str">
        <f t="shared" si="24"/>
        <v/>
      </c>
      <c r="K413" s="36"/>
      <c r="L413" s="5" t="str">
        <f t="shared" si="25"/>
        <v/>
      </c>
      <c r="M413" s="5"/>
      <c r="N413" s="5" t="str">
        <f t="shared" si="26"/>
        <v/>
      </c>
      <c r="O413" s="4"/>
      <c r="P413" s="4"/>
      <c r="Q413" s="4"/>
    </row>
    <row r="414" spans="1:17" x14ac:dyDescent="0.2">
      <c r="A414" s="130"/>
      <c r="B414" s="4"/>
      <c r="C414" s="4"/>
      <c r="D414" s="4"/>
      <c r="E414" s="41"/>
      <c r="F414" s="41"/>
      <c r="G414" s="5"/>
      <c r="H414" s="4"/>
      <c r="I414" s="5"/>
      <c r="J414" s="5" t="str">
        <f t="shared" si="24"/>
        <v/>
      </c>
      <c r="K414" s="36"/>
      <c r="L414" s="5" t="str">
        <f t="shared" si="25"/>
        <v/>
      </c>
      <c r="M414" s="5"/>
      <c r="N414" s="5" t="str">
        <f t="shared" si="26"/>
        <v/>
      </c>
      <c r="O414" s="4"/>
      <c r="P414" s="4"/>
      <c r="Q414" s="4"/>
    </row>
    <row r="415" spans="1:17" x14ac:dyDescent="0.2">
      <c r="A415" s="130"/>
      <c r="B415" s="4"/>
      <c r="C415" s="4"/>
      <c r="D415" s="4"/>
      <c r="E415" s="41"/>
      <c r="F415" s="41"/>
      <c r="G415" s="5"/>
      <c r="H415" s="4"/>
      <c r="I415" s="5"/>
      <c r="J415" s="5" t="str">
        <f t="shared" si="24"/>
        <v/>
      </c>
      <c r="K415" s="36"/>
      <c r="L415" s="5" t="str">
        <f t="shared" si="25"/>
        <v/>
      </c>
      <c r="M415" s="5"/>
      <c r="N415" s="5" t="str">
        <f t="shared" si="26"/>
        <v/>
      </c>
      <c r="O415" s="4"/>
      <c r="P415" s="4"/>
      <c r="Q415" s="4"/>
    </row>
    <row r="416" spans="1:17" x14ac:dyDescent="0.2">
      <c r="A416" s="130"/>
      <c r="B416" s="4"/>
      <c r="C416" s="4"/>
      <c r="D416" s="4"/>
      <c r="E416" s="41"/>
      <c r="F416" s="41"/>
      <c r="G416" s="5"/>
      <c r="H416" s="4"/>
      <c r="I416" s="5"/>
      <c r="J416" s="5" t="str">
        <f t="shared" si="24"/>
        <v/>
      </c>
      <c r="K416" s="36"/>
      <c r="L416" s="5" t="str">
        <f t="shared" si="25"/>
        <v/>
      </c>
      <c r="M416" s="5"/>
      <c r="N416" s="5" t="str">
        <f t="shared" si="26"/>
        <v/>
      </c>
      <c r="O416" s="4"/>
      <c r="P416" s="4"/>
      <c r="Q416" s="4"/>
    </row>
    <row r="417" spans="1:17" x14ac:dyDescent="0.2">
      <c r="A417" s="130"/>
      <c r="B417" s="4"/>
      <c r="C417" s="4"/>
      <c r="D417" s="4"/>
      <c r="E417" s="41"/>
      <c r="F417" s="41"/>
      <c r="G417" s="5"/>
      <c r="H417" s="4"/>
      <c r="I417" s="5"/>
      <c r="J417" s="5" t="str">
        <f t="shared" si="24"/>
        <v/>
      </c>
      <c r="K417" s="36"/>
      <c r="L417" s="5" t="str">
        <f t="shared" si="25"/>
        <v/>
      </c>
      <c r="M417" s="5"/>
      <c r="N417" s="5" t="str">
        <f t="shared" si="26"/>
        <v/>
      </c>
      <c r="O417" s="4"/>
      <c r="P417" s="4"/>
      <c r="Q417" s="4"/>
    </row>
    <row r="418" spans="1:17" x14ac:dyDescent="0.2">
      <c r="A418" s="130"/>
      <c r="B418" s="4"/>
      <c r="C418" s="4"/>
      <c r="D418" s="4"/>
      <c r="E418" s="41"/>
      <c r="F418" s="41"/>
      <c r="G418" s="5"/>
      <c r="H418" s="4"/>
      <c r="I418" s="5"/>
      <c r="J418" s="5" t="str">
        <f t="shared" si="24"/>
        <v/>
      </c>
      <c r="K418" s="36"/>
      <c r="L418" s="5" t="str">
        <f t="shared" si="25"/>
        <v/>
      </c>
      <c r="M418" s="5"/>
      <c r="N418" s="5" t="str">
        <f t="shared" si="26"/>
        <v/>
      </c>
      <c r="O418" s="4"/>
      <c r="P418" s="4"/>
      <c r="Q418" s="4"/>
    </row>
    <row r="419" spans="1:17" x14ac:dyDescent="0.2">
      <c r="A419" s="130"/>
      <c r="B419" s="4"/>
      <c r="C419" s="4"/>
      <c r="D419" s="4"/>
      <c r="E419" s="41"/>
      <c r="F419" s="41"/>
      <c r="G419" s="5"/>
      <c r="H419" s="4"/>
      <c r="I419" s="5"/>
      <c r="J419" s="5" t="str">
        <f t="shared" si="24"/>
        <v/>
      </c>
      <c r="K419" s="36"/>
      <c r="L419" s="5" t="str">
        <f t="shared" si="25"/>
        <v/>
      </c>
      <c r="M419" s="5"/>
      <c r="N419" s="5" t="str">
        <f t="shared" si="26"/>
        <v/>
      </c>
      <c r="O419" s="4"/>
      <c r="P419" s="4"/>
      <c r="Q419" s="4"/>
    </row>
    <row r="420" spans="1:17" x14ac:dyDescent="0.2">
      <c r="A420" s="130"/>
      <c r="B420" s="4"/>
      <c r="C420" s="4"/>
      <c r="D420" s="4"/>
      <c r="E420" s="41"/>
      <c r="F420" s="41"/>
      <c r="G420" s="5"/>
      <c r="H420" s="4"/>
      <c r="I420" s="5"/>
      <c r="J420" s="5" t="str">
        <f t="shared" si="24"/>
        <v/>
      </c>
      <c r="K420" s="36"/>
      <c r="L420" s="5" t="str">
        <f t="shared" si="25"/>
        <v/>
      </c>
      <c r="M420" s="5"/>
      <c r="N420" s="5" t="str">
        <f t="shared" si="26"/>
        <v/>
      </c>
      <c r="O420" s="4"/>
      <c r="P420" s="4"/>
      <c r="Q420" s="4"/>
    </row>
    <row r="421" spans="1:17" x14ac:dyDescent="0.2">
      <c r="A421" s="130"/>
      <c r="B421" s="4"/>
      <c r="C421" s="4"/>
      <c r="D421" s="4"/>
      <c r="E421" s="41"/>
      <c r="F421" s="41"/>
      <c r="G421" s="5"/>
      <c r="H421" s="4"/>
      <c r="I421" s="5"/>
      <c r="J421" s="5" t="str">
        <f t="shared" si="24"/>
        <v/>
      </c>
      <c r="K421" s="36"/>
      <c r="L421" s="5" t="str">
        <f t="shared" si="25"/>
        <v/>
      </c>
      <c r="M421" s="5"/>
      <c r="N421" s="5" t="str">
        <f t="shared" si="26"/>
        <v/>
      </c>
      <c r="O421" s="4"/>
      <c r="P421" s="4"/>
      <c r="Q421" s="4"/>
    </row>
    <row r="422" spans="1:17" x14ac:dyDescent="0.2">
      <c r="A422" s="130"/>
      <c r="B422" s="4"/>
      <c r="C422" s="4"/>
      <c r="D422" s="4"/>
      <c r="E422" s="41"/>
      <c r="F422" s="41"/>
      <c r="G422" s="5"/>
      <c r="H422" s="4"/>
      <c r="I422" s="5"/>
      <c r="J422" s="5" t="str">
        <f t="shared" si="24"/>
        <v/>
      </c>
      <c r="K422" s="36"/>
      <c r="L422" s="5" t="str">
        <f t="shared" si="25"/>
        <v/>
      </c>
      <c r="M422" s="5"/>
      <c r="N422" s="5" t="str">
        <f t="shared" si="26"/>
        <v/>
      </c>
      <c r="O422" s="4"/>
      <c r="P422" s="4"/>
      <c r="Q422" s="4"/>
    </row>
    <row r="423" spans="1:17" x14ac:dyDescent="0.2">
      <c r="A423" s="130"/>
      <c r="B423" s="4"/>
      <c r="C423" s="4"/>
      <c r="D423" s="4"/>
      <c r="E423" s="41"/>
      <c r="F423" s="41"/>
      <c r="G423" s="5"/>
      <c r="H423" s="4"/>
      <c r="I423" s="5"/>
      <c r="J423" s="5" t="str">
        <f t="shared" si="24"/>
        <v/>
      </c>
      <c r="K423" s="36"/>
      <c r="L423" s="5" t="str">
        <f t="shared" si="25"/>
        <v/>
      </c>
      <c r="M423" s="5"/>
      <c r="N423" s="5" t="str">
        <f t="shared" si="26"/>
        <v/>
      </c>
      <c r="O423" s="4"/>
      <c r="P423" s="4"/>
      <c r="Q423" s="4"/>
    </row>
    <row r="424" spans="1:17" x14ac:dyDescent="0.2">
      <c r="A424" s="130"/>
      <c r="B424" s="4"/>
      <c r="C424" s="4"/>
      <c r="D424" s="4"/>
      <c r="E424" s="41"/>
      <c r="F424" s="41"/>
      <c r="G424" s="5"/>
      <c r="H424" s="4"/>
      <c r="I424" s="5"/>
      <c r="J424" s="5" t="str">
        <f t="shared" si="24"/>
        <v/>
      </c>
      <c r="K424" s="36"/>
      <c r="L424" s="5" t="str">
        <f t="shared" si="25"/>
        <v/>
      </c>
      <c r="M424" s="5"/>
      <c r="N424" s="5" t="str">
        <f t="shared" si="26"/>
        <v/>
      </c>
      <c r="O424" s="4"/>
      <c r="P424" s="4"/>
      <c r="Q424" s="4"/>
    </row>
    <row r="425" spans="1:17" x14ac:dyDescent="0.2">
      <c r="A425" s="130"/>
      <c r="B425" s="4"/>
      <c r="C425" s="4"/>
      <c r="D425" s="4"/>
      <c r="E425" s="41"/>
      <c r="F425" s="41"/>
      <c r="G425" s="5"/>
      <c r="H425" s="4"/>
      <c r="I425" s="5"/>
      <c r="J425" s="5" t="str">
        <f t="shared" si="24"/>
        <v/>
      </c>
      <c r="K425" s="36"/>
      <c r="L425" s="5" t="str">
        <f t="shared" si="25"/>
        <v/>
      </c>
      <c r="M425" s="5"/>
      <c r="N425" s="5" t="str">
        <f t="shared" si="26"/>
        <v/>
      </c>
      <c r="O425" s="4"/>
      <c r="P425" s="4"/>
      <c r="Q425" s="4"/>
    </row>
    <row r="426" spans="1:17" x14ac:dyDescent="0.2">
      <c r="A426" s="130"/>
      <c r="B426" s="4"/>
      <c r="C426" s="4"/>
      <c r="D426" s="4"/>
      <c r="E426" s="41"/>
      <c r="F426" s="41"/>
      <c r="G426" s="5"/>
      <c r="H426" s="4"/>
      <c r="I426" s="5"/>
      <c r="J426" s="5" t="str">
        <f t="shared" si="24"/>
        <v/>
      </c>
      <c r="K426" s="36"/>
      <c r="L426" s="5" t="str">
        <f t="shared" si="25"/>
        <v/>
      </c>
      <c r="M426" s="5"/>
      <c r="N426" s="5" t="str">
        <f t="shared" si="26"/>
        <v/>
      </c>
      <c r="O426" s="4"/>
      <c r="P426" s="4"/>
      <c r="Q426" s="4"/>
    </row>
    <row r="427" spans="1:17" x14ac:dyDescent="0.2">
      <c r="A427" s="130"/>
      <c r="B427" s="4"/>
      <c r="C427" s="4"/>
      <c r="D427" s="4"/>
      <c r="E427" s="41"/>
      <c r="F427" s="41"/>
      <c r="G427" s="5"/>
      <c r="H427" s="4"/>
      <c r="I427" s="5"/>
      <c r="J427" s="5" t="str">
        <f t="shared" si="24"/>
        <v/>
      </c>
      <c r="K427" s="36"/>
      <c r="L427" s="5" t="str">
        <f t="shared" si="25"/>
        <v/>
      </c>
      <c r="M427" s="5"/>
      <c r="N427" s="5" t="str">
        <f t="shared" si="26"/>
        <v/>
      </c>
      <c r="O427" s="4"/>
      <c r="P427" s="4"/>
      <c r="Q427" s="4"/>
    </row>
    <row r="428" spans="1:17" x14ac:dyDescent="0.2">
      <c r="A428" s="130"/>
      <c r="B428" s="4"/>
      <c r="C428" s="4"/>
      <c r="D428" s="4"/>
      <c r="E428" s="41"/>
      <c r="F428" s="41"/>
      <c r="G428" s="5"/>
      <c r="H428" s="4"/>
      <c r="I428" s="5"/>
      <c r="J428" s="5" t="str">
        <f t="shared" si="24"/>
        <v/>
      </c>
      <c r="K428" s="36"/>
      <c r="L428" s="5" t="str">
        <f t="shared" si="25"/>
        <v/>
      </c>
      <c r="M428" s="5"/>
      <c r="N428" s="5" t="str">
        <f t="shared" si="26"/>
        <v/>
      </c>
      <c r="O428" s="4"/>
      <c r="P428" s="4"/>
      <c r="Q428" s="4"/>
    </row>
    <row r="429" spans="1:17" x14ac:dyDescent="0.2">
      <c r="A429" s="130"/>
      <c r="B429" s="4"/>
      <c r="C429" s="4"/>
      <c r="D429" s="4"/>
      <c r="E429" s="41"/>
      <c r="F429" s="41"/>
      <c r="G429" s="5"/>
      <c r="H429" s="4"/>
      <c r="I429" s="5"/>
      <c r="J429" s="5" t="str">
        <f t="shared" si="24"/>
        <v/>
      </c>
      <c r="K429" s="36"/>
      <c r="L429" s="5" t="str">
        <f t="shared" si="25"/>
        <v/>
      </c>
      <c r="M429" s="5"/>
      <c r="N429" s="5" t="str">
        <f t="shared" si="26"/>
        <v/>
      </c>
      <c r="O429" s="4"/>
      <c r="P429" s="4"/>
      <c r="Q429" s="4"/>
    </row>
    <row r="430" spans="1:17" x14ac:dyDescent="0.2">
      <c r="A430" s="130"/>
      <c r="B430" s="4"/>
      <c r="C430" s="4"/>
      <c r="D430" s="4"/>
      <c r="E430" s="41"/>
      <c r="F430" s="41"/>
      <c r="G430" s="5"/>
      <c r="H430" s="4"/>
      <c r="I430" s="5"/>
      <c r="J430" s="5" t="str">
        <f t="shared" si="24"/>
        <v/>
      </c>
      <c r="K430" s="36"/>
      <c r="L430" s="5" t="str">
        <f t="shared" si="25"/>
        <v/>
      </c>
      <c r="M430" s="5"/>
      <c r="N430" s="5" t="str">
        <f t="shared" si="26"/>
        <v/>
      </c>
      <c r="O430" s="4"/>
      <c r="P430" s="4"/>
      <c r="Q430" s="4"/>
    </row>
    <row r="431" spans="1:17" x14ac:dyDescent="0.2">
      <c r="A431" s="130"/>
      <c r="B431" s="4"/>
      <c r="C431" s="4"/>
      <c r="D431" s="4"/>
      <c r="E431" s="41"/>
      <c r="F431" s="41"/>
      <c r="G431" s="5"/>
      <c r="H431" s="4"/>
      <c r="I431" s="5"/>
      <c r="J431" s="5" t="str">
        <f t="shared" si="24"/>
        <v/>
      </c>
      <c r="K431" s="36"/>
      <c r="L431" s="5" t="str">
        <f t="shared" si="25"/>
        <v/>
      </c>
      <c r="M431" s="5"/>
      <c r="N431" s="5" t="str">
        <f t="shared" si="26"/>
        <v/>
      </c>
      <c r="O431" s="4"/>
      <c r="P431" s="4"/>
      <c r="Q431" s="4"/>
    </row>
    <row r="432" spans="1:17" x14ac:dyDescent="0.2">
      <c r="A432" s="130"/>
      <c r="B432" s="4"/>
      <c r="C432" s="4"/>
      <c r="D432" s="4"/>
      <c r="E432" s="41"/>
      <c r="F432" s="41"/>
      <c r="G432" s="5"/>
      <c r="H432" s="4"/>
      <c r="I432" s="5"/>
      <c r="J432" s="5" t="str">
        <f t="shared" si="24"/>
        <v/>
      </c>
      <c r="K432" s="36"/>
      <c r="L432" s="5" t="str">
        <f t="shared" si="25"/>
        <v/>
      </c>
      <c r="M432" s="5"/>
      <c r="N432" s="5" t="str">
        <f t="shared" si="26"/>
        <v/>
      </c>
      <c r="O432" s="4"/>
      <c r="P432" s="4"/>
      <c r="Q432" s="4"/>
    </row>
    <row r="433" spans="1:17" x14ac:dyDescent="0.2">
      <c r="A433" s="130"/>
      <c r="B433" s="4"/>
      <c r="C433" s="4"/>
      <c r="D433" s="4"/>
      <c r="E433" s="41"/>
      <c r="F433" s="41"/>
      <c r="G433" s="5"/>
      <c r="H433" s="4"/>
      <c r="I433" s="5"/>
      <c r="J433" s="5" t="str">
        <f t="shared" si="24"/>
        <v/>
      </c>
      <c r="K433" s="36"/>
      <c r="L433" s="5" t="str">
        <f t="shared" si="25"/>
        <v/>
      </c>
      <c r="M433" s="5"/>
      <c r="N433" s="5" t="str">
        <f t="shared" si="26"/>
        <v/>
      </c>
      <c r="O433" s="4"/>
      <c r="P433" s="4"/>
      <c r="Q433" s="4"/>
    </row>
    <row r="434" spans="1:17" x14ac:dyDescent="0.2">
      <c r="A434" s="130"/>
      <c r="B434" s="4"/>
      <c r="C434" s="4"/>
      <c r="D434" s="4"/>
      <c r="E434" s="41"/>
      <c r="F434" s="41"/>
      <c r="G434" s="5"/>
      <c r="H434" s="4"/>
      <c r="I434" s="5"/>
      <c r="J434" s="5" t="str">
        <f t="shared" si="24"/>
        <v/>
      </c>
      <c r="K434" s="36"/>
      <c r="L434" s="5" t="str">
        <f t="shared" si="25"/>
        <v/>
      </c>
      <c r="M434" s="5"/>
      <c r="N434" s="5" t="str">
        <f t="shared" si="26"/>
        <v/>
      </c>
      <c r="O434" s="4"/>
      <c r="P434" s="4"/>
      <c r="Q434" s="4"/>
    </row>
    <row r="435" spans="1:17" x14ac:dyDescent="0.2">
      <c r="A435" s="130"/>
      <c r="B435" s="4"/>
      <c r="C435" s="4"/>
      <c r="D435" s="4"/>
      <c r="E435" s="41"/>
      <c r="F435" s="41"/>
      <c r="G435" s="5"/>
      <c r="H435" s="4"/>
      <c r="I435" s="5"/>
      <c r="J435" s="5" t="str">
        <f t="shared" si="24"/>
        <v/>
      </c>
      <c r="K435" s="36"/>
      <c r="L435" s="5" t="str">
        <f t="shared" si="25"/>
        <v/>
      </c>
      <c r="M435" s="5"/>
      <c r="N435" s="5" t="str">
        <f t="shared" si="26"/>
        <v/>
      </c>
      <c r="O435" s="4"/>
      <c r="P435" s="4"/>
      <c r="Q435" s="4"/>
    </row>
    <row r="436" spans="1:17" x14ac:dyDescent="0.2">
      <c r="A436" s="130"/>
      <c r="B436" s="4"/>
      <c r="C436" s="4"/>
      <c r="D436" s="4"/>
      <c r="E436" s="41"/>
      <c r="F436" s="41"/>
      <c r="G436" s="5"/>
      <c r="H436" s="4"/>
      <c r="I436" s="5"/>
      <c r="J436" s="5" t="str">
        <f t="shared" si="24"/>
        <v/>
      </c>
      <c r="K436" s="36"/>
      <c r="L436" s="5" t="str">
        <f t="shared" si="25"/>
        <v/>
      </c>
      <c r="M436" s="5"/>
      <c r="N436" s="5" t="str">
        <f t="shared" si="26"/>
        <v/>
      </c>
      <c r="O436" s="4"/>
      <c r="P436" s="4"/>
      <c r="Q436" s="4"/>
    </row>
    <row r="437" spans="1:17" x14ac:dyDescent="0.2">
      <c r="A437" s="130"/>
      <c r="B437" s="4"/>
      <c r="C437" s="4"/>
      <c r="D437" s="4"/>
      <c r="E437" s="41"/>
      <c r="F437" s="41"/>
      <c r="G437" s="5"/>
      <c r="H437" s="4"/>
      <c r="I437" s="5"/>
      <c r="J437" s="5" t="str">
        <f t="shared" si="24"/>
        <v/>
      </c>
      <c r="K437" s="36"/>
      <c r="L437" s="5" t="str">
        <f t="shared" si="25"/>
        <v/>
      </c>
      <c r="M437" s="5"/>
      <c r="N437" s="5" t="str">
        <f t="shared" si="26"/>
        <v/>
      </c>
      <c r="O437" s="4"/>
      <c r="P437" s="4"/>
      <c r="Q437" s="4"/>
    </row>
    <row r="438" spans="1:17" x14ac:dyDescent="0.2">
      <c r="A438" s="130"/>
      <c r="B438" s="4"/>
      <c r="C438" s="4"/>
      <c r="D438" s="4"/>
      <c r="E438" s="41"/>
      <c r="F438" s="41"/>
      <c r="G438" s="5"/>
      <c r="H438" s="4"/>
      <c r="I438" s="5"/>
      <c r="J438" s="5" t="str">
        <f t="shared" si="24"/>
        <v/>
      </c>
      <c r="K438" s="36"/>
      <c r="L438" s="5" t="str">
        <f t="shared" si="25"/>
        <v/>
      </c>
      <c r="M438" s="5"/>
      <c r="N438" s="5" t="str">
        <f t="shared" si="26"/>
        <v/>
      </c>
      <c r="O438" s="4"/>
      <c r="P438" s="4"/>
      <c r="Q438" s="4"/>
    </row>
    <row r="439" spans="1:17" x14ac:dyDescent="0.2">
      <c r="A439" s="130"/>
      <c r="B439" s="4"/>
      <c r="C439" s="4"/>
      <c r="D439" s="4"/>
      <c r="E439" s="41"/>
      <c r="F439" s="41"/>
      <c r="G439" s="5"/>
      <c r="H439" s="4"/>
      <c r="I439" s="5"/>
      <c r="J439" s="5" t="str">
        <f t="shared" si="24"/>
        <v/>
      </c>
      <c r="K439" s="36"/>
      <c r="L439" s="5" t="str">
        <f t="shared" si="25"/>
        <v/>
      </c>
      <c r="M439" s="5"/>
      <c r="N439" s="5" t="str">
        <f t="shared" si="26"/>
        <v/>
      </c>
      <c r="O439" s="4"/>
      <c r="P439" s="4"/>
      <c r="Q439" s="4"/>
    </row>
    <row r="440" spans="1:17" x14ac:dyDescent="0.2">
      <c r="A440" s="130"/>
      <c r="B440" s="4"/>
      <c r="C440" s="4"/>
      <c r="D440" s="4"/>
      <c r="E440" s="41"/>
      <c r="F440" s="41"/>
      <c r="G440" s="5"/>
      <c r="H440" s="4"/>
      <c r="I440" s="5"/>
      <c r="J440" s="5" t="str">
        <f t="shared" si="24"/>
        <v/>
      </c>
      <c r="K440" s="36"/>
      <c r="L440" s="5" t="str">
        <f t="shared" si="25"/>
        <v/>
      </c>
      <c r="M440" s="5"/>
      <c r="N440" s="5" t="str">
        <f t="shared" si="26"/>
        <v/>
      </c>
      <c r="O440" s="4"/>
      <c r="P440" s="4"/>
      <c r="Q440" s="4"/>
    </row>
    <row r="441" spans="1:17" x14ac:dyDescent="0.2">
      <c r="A441" s="130"/>
      <c r="B441" s="4"/>
      <c r="C441" s="4"/>
      <c r="D441" s="4"/>
      <c r="E441" s="41"/>
      <c r="F441" s="41"/>
      <c r="G441" s="5"/>
      <c r="H441" s="4"/>
      <c r="I441" s="5"/>
      <c r="J441" s="5" t="str">
        <f t="shared" si="24"/>
        <v/>
      </c>
      <c r="K441" s="36"/>
      <c r="L441" s="5" t="str">
        <f t="shared" si="25"/>
        <v/>
      </c>
      <c r="M441" s="5"/>
      <c r="N441" s="5" t="str">
        <f t="shared" si="26"/>
        <v/>
      </c>
      <c r="O441" s="4"/>
      <c r="P441" s="4"/>
      <c r="Q441" s="4"/>
    </row>
    <row r="442" spans="1:17" x14ac:dyDescent="0.2">
      <c r="A442" s="130"/>
      <c r="B442" s="4"/>
      <c r="C442" s="4"/>
      <c r="D442" s="4"/>
      <c r="E442" s="41"/>
      <c r="F442" s="41"/>
      <c r="G442" s="5"/>
      <c r="H442" s="4"/>
      <c r="I442" s="5"/>
      <c r="J442" s="5" t="str">
        <f t="shared" si="24"/>
        <v/>
      </c>
      <c r="K442" s="36"/>
      <c r="L442" s="5" t="str">
        <f t="shared" si="25"/>
        <v/>
      </c>
      <c r="M442" s="5"/>
      <c r="N442" s="5" t="str">
        <f t="shared" si="26"/>
        <v/>
      </c>
      <c r="O442" s="4"/>
      <c r="P442" s="4"/>
      <c r="Q442" s="4"/>
    </row>
    <row r="443" spans="1:17" x14ac:dyDescent="0.2">
      <c r="A443" s="130"/>
      <c r="B443" s="4"/>
      <c r="C443" s="4"/>
      <c r="D443" s="4"/>
      <c r="E443" s="41"/>
      <c r="F443" s="41"/>
      <c r="G443" s="5"/>
      <c r="H443" s="4"/>
      <c r="I443" s="5"/>
      <c r="J443" s="5" t="str">
        <f t="shared" si="24"/>
        <v/>
      </c>
      <c r="K443" s="36"/>
      <c r="L443" s="5" t="str">
        <f t="shared" si="25"/>
        <v/>
      </c>
      <c r="M443" s="5"/>
      <c r="N443" s="5" t="str">
        <f t="shared" si="26"/>
        <v/>
      </c>
      <c r="O443" s="4"/>
      <c r="P443" s="4"/>
      <c r="Q443" s="4"/>
    </row>
    <row r="444" spans="1:17" x14ac:dyDescent="0.2">
      <c r="A444" s="130"/>
      <c r="B444" s="4"/>
      <c r="C444" s="4"/>
      <c r="D444" s="4"/>
      <c r="E444" s="41"/>
      <c r="F444" s="41"/>
      <c r="G444" s="5"/>
      <c r="H444" s="4"/>
      <c r="I444" s="5"/>
      <c r="J444" s="5" t="str">
        <f t="shared" si="24"/>
        <v/>
      </c>
      <c r="K444" s="36"/>
      <c r="L444" s="5" t="str">
        <f t="shared" si="25"/>
        <v/>
      </c>
      <c r="M444" s="5"/>
      <c r="N444" s="5" t="str">
        <f t="shared" si="26"/>
        <v/>
      </c>
      <c r="O444" s="4"/>
      <c r="P444" s="4"/>
      <c r="Q444" s="4"/>
    </row>
    <row r="445" spans="1:17" x14ac:dyDescent="0.2">
      <c r="A445" s="130"/>
      <c r="B445" s="4"/>
      <c r="C445" s="4"/>
      <c r="D445" s="4"/>
      <c r="E445" s="41"/>
      <c r="F445" s="41"/>
      <c r="G445" s="5"/>
      <c r="H445" s="4"/>
      <c r="I445" s="5"/>
      <c r="J445" s="5" t="str">
        <f t="shared" si="24"/>
        <v/>
      </c>
      <c r="K445" s="36"/>
      <c r="L445" s="5" t="str">
        <f t="shared" si="25"/>
        <v/>
      </c>
      <c r="M445" s="5"/>
      <c r="N445" s="5" t="str">
        <f t="shared" si="26"/>
        <v/>
      </c>
      <c r="O445" s="4"/>
      <c r="P445" s="4"/>
      <c r="Q445" s="4"/>
    </row>
    <row r="446" spans="1:17" x14ac:dyDescent="0.2">
      <c r="A446" s="130"/>
      <c r="B446" s="4"/>
      <c r="C446" s="4"/>
      <c r="D446" s="4"/>
      <c r="E446" s="41"/>
      <c r="F446" s="41"/>
      <c r="G446" s="5"/>
      <c r="H446" s="4"/>
      <c r="I446" s="5"/>
      <c r="J446" s="5" t="str">
        <f t="shared" si="24"/>
        <v/>
      </c>
      <c r="K446" s="36"/>
      <c r="L446" s="5" t="str">
        <f t="shared" si="25"/>
        <v/>
      </c>
      <c r="M446" s="5"/>
      <c r="N446" s="5" t="str">
        <f t="shared" si="26"/>
        <v/>
      </c>
      <c r="O446" s="4"/>
      <c r="P446" s="4"/>
      <c r="Q446" s="4"/>
    </row>
    <row r="447" spans="1:17" x14ac:dyDescent="0.2">
      <c r="A447" s="130"/>
      <c r="B447" s="4"/>
      <c r="C447" s="4"/>
      <c r="D447" s="4"/>
      <c r="E447" s="41"/>
      <c r="F447" s="41"/>
      <c r="G447" s="5"/>
      <c r="H447" s="4"/>
      <c r="I447" s="5"/>
      <c r="J447" s="5" t="str">
        <f t="shared" si="24"/>
        <v/>
      </c>
      <c r="K447" s="36"/>
      <c r="L447" s="5" t="str">
        <f t="shared" si="25"/>
        <v/>
      </c>
      <c r="M447" s="5"/>
      <c r="N447" s="5" t="str">
        <f t="shared" si="26"/>
        <v/>
      </c>
      <c r="O447" s="4"/>
      <c r="P447" s="4"/>
      <c r="Q447" s="4"/>
    </row>
    <row r="448" spans="1:17" x14ac:dyDescent="0.2">
      <c r="A448" s="130"/>
      <c r="B448" s="4"/>
      <c r="C448" s="4"/>
      <c r="D448" s="4"/>
      <c r="E448" s="41"/>
      <c r="F448" s="41"/>
      <c r="G448" s="5"/>
      <c r="H448" s="4"/>
      <c r="I448" s="5"/>
      <c r="J448" s="5" t="str">
        <f t="shared" si="24"/>
        <v/>
      </c>
      <c r="K448" s="36"/>
      <c r="L448" s="5" t="str">
        <f t="shared" si="25"/>
        <v/>
      </c>
      <c r="M448" s="5"/>
      <c r="N448" s="5" t="str">
        <f t="shared" si="26"/>
        <v/>
      </c>
      <c r="O448" s="4"/>
      <c r="P448" s="4"/>
      <c r="Q448" s="4"/>
    </row>
    <row r="449" spans="1:17" x14ac:dyDescent="0.2">
      <c r="A449" s="130"/>
      <c r="B449" s="4"/>
      <c r="C449" s="4"/>
      <c r="D449" s="4"/>
      <c r="E449" s="41"/>
      <c r="F449" s="41"/>
      <c r="G449" s="5"/>
      <c r="H449" s="4"/>
      <c r="I449" s="5"/>
      <c r="J449" s="5" t="str">
        <f t="shared" si="24"/>
        <v/>
      </c>
      <c r="K449" s="36"/>
      <c r="L449" s="5" t="str">
        <f t="shared" si="25"/>
        <v/>
      </c>
      <c r="M449" s="5"/>
      <c r="N449" s="5" t="str">
        <f t="shared" si="26"/>
        <v/>
      </c>
      <c r="O449" s="4"/>
      <c r="P449" s="4"/>
      <c r="Q449" s="4"/>
    </row>
    <row r="450" spans="1:17" x14ac:dyDescent="0.2">
      <c r="A450" s="130"/>
      <c r="B450" s="4"/>
      <c r="C450" s="4"/>
      <c r="D450" s="4"/>
      <c r="E450" s="41"/>
      <c r="F450" s="41"/>
      <c r="G450" s="5"/>
      <c r="H450" s="4"/>
      <c r="I450" s="5"/>
      <c r="J450" s="5" t="str">
        <f t="shared" si="24"/>
        <v/>
      </c>
      <c r="K450" s="36"/>
      <c r="L450" s="5" t="str">
        <f t="shared" si="25"/>
        <v/>
      </c>
      <c r="M450" s="5"/>
      <c r="N450" s="5" t="str">
        <f t="shared" si="26"/>
        <v/>
      </c>
      <c r="O450" s="4"/>
      <c r="P450" s="4"/>
      <c r="Q450" s="4"/>
    </row>
    <row r="451" spans="1:17" x14ac:dyDescent="0.2">
      <c r="A451" s="130"/>
      <c r="B451" s="4"/>
      <c r="C451" s="4"/>
      <c r="D451" s="4"/>
      <c r="E451" s="41"/>
      <c r="F451" s="41"/>
      <c r="G451" s="5"/>
      <c r="H451" s="4"/>
      <c r="I451" s="5"/>
      <c r="J451" s="5" t="str">
        <f t="shared" si="24"/>
        <v/>
      </c>
      <c r="K451" s="36"/>
      <c r="L451" s="5" t="str">
        <f t="shared" si="25"/>
        <v/>
      </c>
      <c r="M451" s="5"/>
      <c r="N451" s="5" t="str">
        <f t="shared" si="26"/>
        <v/>
      </c>
      <c r="O451" s="4"/>
      <c r="P451" s="4"/>
      <c r="Q451" s="4"/>
    </row>
    <row r="452" spans="1:17" x14ac:dyDescent="0.2">
      <c r="A452" s="130"/>
      <c r="B452" s="4"/>
      <c r="C452" s="4"/>
      <c r="D452" s="4"/>
      <c r="E452" s="41"/>
      <c r="F452" s="41"/>
      <c r="G452" s="5"/>
      <c r="H452" s="4"/>
      <c r="I452" s="5"/>
      <c r="J452" s="5" t="str">
        <f t="shared" si="24"/>
        <v/>
      </c>
      <c r="K452" s="36"/>
      <c r="L452" s="5" t="str">
        <f t="shared" si="25"/>
        <v/>
      </c>
      <c r="M452" s="5"/>
      <c r="N452" s="5" t="str">
        <f t="shared" si="26"/>
        <v/>
      </c>
      <c r="O452" s="4"/>
      <c r="P452" s="4"/>
      <c r="Q452" s="4"/>
    </row>
    <row r="453" spans="1:17" x14ac:dyDescent="0.2">
      <c r="A453" s="130"/>
      <c r="B453" s="4"/>
      <c r="C453" s="4"/>
      <c r="D453" s="4"/>
      <c r="E453" s="41"/>
      <c r="F453" s="41"/>
      <c r="G453" s="5"/>
      <c r="H453" s="4"/>
      <c r="I453" s="5"/>
      <c r="J453" s="5" t="str">
        <f t="shared" si="24"/>
        <v/>
      </c>
      <c r="K453" s="36"/>
      <c r="L453" s="5" t="str">
        <f t="shared" si="25"/>
        <v/>
      </c>
      <c r="M453" s="5"/>
      <c r="N453" s="5" t="str">
        <f t="shared" si="26"/>
        <v/>
      </c>
      <c r="O453" s="4"/>
      <c r="P453" s="4"/>
      <c r="Q453" s="4"/>
    </row>
    <row r="454" spans="1:17" x14ac:dyDescent="0.2">
      <c r="A454" s="130"/>
      <c r="B454" s="4"/>
      <c r="C454" s="4"/>
      <c r="D454" s="4"/>
      <c r="E454" s="41"/>
      <c r="F454" s="41"/>
      <c r="G454" s="5"/>
      <c r="H454" s="4"/>
      <c r="I454" s="5"/>
      <c r="J454" s="5" t="str">
        <f t="shared" si="24"/>
        <v/>
      </c>
      <c r="K454" s="36"/>
      <c r="L454" s="5" t="str">
        <f t="shared" si="25"/>
        <v/>
      </c>
      <c r="M454" s="5"/>
      <c r="N454" s="5" t="str">
        <f t="shared" si="26"/>
        <v/>
      </c>
      <c r="O454" s="4"/>
      <c r="P454" s="4"/>
      <c r="Q454" s="4"/>
    </row>
    <row r="455" spans="1:17" x14ac:dyDescent="0.2">
      <c r="A455" s="130"/>
      <c r="B455" s="4"/>
      <c r="C455" s="4"/>
      <c r="D455" s="4"/>
      <c r="E455" s="41"/>
      <c r="F455" s="41"/>
      <c r="G455" s="5"/>
      <c r="H455" s="4"/>
      <c r="I455" s="5"/>
      <c r="J455" s="5" t="str">
        <f t="shared" si="24"/>
        <v/>
      </c>
      <c r="K455" s="36"/>
      <c r="L455" s="5" t="str">
        <f t="shared" si="25"/>
        <v/>
      </c>
      <c r="M455" s="5"/>
      <c r="N455" s="5" t="str">
        <f t="shared" si="26"/>
        <v/>
      </c>
      <c r="O455" s="4"/>
      <c r="P455" s="4"/>
      <c r="Q455" s="4"/>
    </row>
    <row r="456" spans="1:17" x14ac:dyDescent="0.2">
      <c r="A456" s="130"/>
      <c r="B456" s="4"/>
      <c r="C456" s="4"/>
      <c r="D456" s="4"/>
      <c r="E456" s="41"/>
      <c r="F456" s="41"/>
      <c r="G456" s="5"/>
      <c r="H456" s="4"/>
      <c r="I456" s="5"/>
      <c r="J456" s="5" t="str">
        <f t="shared" si="24"/>
        <v/>
      </c>
      <c r="K456" s="36"/>
      <c r="L456" s="5" t="str">
        <f t="shared" si="25"/>
        <v/>
      </c>
      <c r="M456" s="5"/>
      <c r="N456" s="5" t="str">
        <f t="shared" si="26"/>
        <v/>
      </c>
      <c r="O456" s="4"/>
      <c r="P456" s="4"/>
      <c r="Q456" s="4"/>
    </row>
    <row r="457" spans="1:17" x14ac:dyDescent="0.2">
      <c r="A457" s="130"/>
      <c r="B457" s="4"/>
      <c r="C457" s="4"/>
      <c r="D457" s="4"/>
      <c r="E457" s="41"/>
      <c r="F457" s="41"/>
      <c r="G457" s="5"/>
      <c r="H457" s="4"/>
      <c r="I457" s="5"/>
      <c r="J457" s="5" t="str">
        <f t="shared" si="24"/>
        <v/>
      </c>
      <c r="K457" s="36"/>
      <c r="L457" s="5" t="str">
        <f t="shared" si="25"/>
        <v/>
      </c>
      <c r="M457" s="5"/>
      <c r="N457" s="5" t="str">
        <f t="shared" si="26"/>
        <v/>
      </c>
      <c r="O457" s="4"/>
      <c r="P457" s="4"/>
      <c r="Q457" s="4"/>
    </row>
    <row r="458" spans="1:17" x14ac:dyDescent="0.2">
      <c r="A458" s="130"/>
      <c r="B458" s="4"/>
      <c r="C458" s="4"/>
      <c r="D458" s="4"/>
      <c r="E458" s="41"/>
      <c r="F458" s="41"/>
      <c r="G458" s="5"/>
      <c r="H458" s="4"/>
      <c r="I458" s="5"/>
      <c r="J458" s="5" t="str">
        <f t="shared" si="24"/>
        <v/>
      </c>
      <c r="K458" s="36"/>
      <c r="L458" s="5" t="str">
        <f t="shared" si="25"/>
        <v/>
      </c>
      <c r="M458" s="5"/>
      <c r="N458" s="5" t="str">
        <f t="shared" si="26"/>
        <v/>
      </c>
      <c r="O458" s="4"/>
      <c r="P458" s="4"/>
      <c r="Q458" s="4"/>
    </row>
    <row r="459" spans="1:17" x14ac:dyDescent="0.2">
      <c r="A459" s="130"/>
      <c r="B459" s="4"/>
      <c r="C459" s="4"/>
      <c r="D459" s="4"/>
      <c r="E459" s="41"/>
      <c r="F459" s="41"/>
      <c r="G459" s="5"/>
      <c r="H459" s="4"/>
      <c r="I459" s="5"/>
      <c r="J459" s="5" t="str">
        <f t="shared" si="24"/>
        <v/>
      </c>
      <c r="K459" s="36"/>
      <c r="L459" s="5" t="str">
        <f t="shared" si="25"/>
        <v/>
      </c>
      <c r="M459" s="5"/>
      <c r="N459" s="5" t="str">
        <f t="shared" si="26"/>
        <v/>
      </c>
      <c r="O459" s="4"/>
      <c r="P459" s="4"/>
      <c r="Q459" s="4"/>
    </row>
    <row r="460" spans="1:17" x14ac:dyDescent="0.2">
      <c r="A460" s="130"/>
      <c r="B460" s="4"/>
      <c r="C460" s="4"/>
      <c r="D460" s="4"/>
      <c r="E460" s="41"/>
      <c r="F460" s="41"/>
      <c r="G460" s="5"/>
      <c r="H460" s="4"/>
      <c r="I460" s="5"/>
      <c r="J460" s="5" t="str">
        <f t="shared" si="24"/>
        <v/>
      </c>
      <c r="K460" s="36"/>
      <c r="L460" s="5" t="str">
        <f t="shared" si="25"/>
        <v/>
      </c>
      <c r="M460" s="5"/>
      <c r="N460" s="5" t="str">
        <f t="shared" si="26"/>
        <v/>
      </c>
      <c r="O460" s="4"/>
      <c r="P460" s="4"/>
      <c r="Q460" s="4"/>
    </row>
    <row r="461" spans="1:17" x14ac:dyDescent="0.2">
      <c r="A461" s="130"/>
      <c r="B461" s="4"/>
      <c r="C461" s="4"/>
      <c r="D461" s="4"/>
      <c r="E461" s="41"/>
      <c r="F461" s="41"/>
      <c r="G461" s="5"/>
      <c r="H461" s="4"/>
      <c r="I461" s="5"/>
      <c r="J461" s="5" t="str">
        <f t="shared" si="24"/>
        <v/>
      </c>
      <c r="K461" s="36"/>
      <c r="L461" s="5" t="str">
        <f t="shared" si="25"/>
        <v/>
      </c>
      <c r="M461" s="5"/>
      <c r="N461" s="5" t="str">
        <f t="shared" si="26"/>
        <v/>
      </c>
      <c r="O461" s="4"/>
      <c r="P461" s="4"/>
      <c r="Q461" s="4"/>
    </row>
    <row r="462" spans="1:17" x14ac:dyDescent="0.2">
      <c r="A462" s="130"/>
      <c r="B462" s="4"/>
      <c r="C462" s="4"/>
      <c r="D462" s="4"/>
      <c r="E462" s="41"/>
      <c r="F462" s="41"/>
      <c r="G462" s="5"/>
      <c r="H462" s="4"/>
      <c r="I462" s="5"/>
      <c r="J462" s="5" t="str">
        <f t="shared" si="24"/>
        <v/>
      </c>
      <c r="K462" s="36"/>
      <c r="L462" s="5" t="str">
        <f t="shared" si="25"/>
        <v/>
      </c>
      <c r="M462" s="5"/>
      <c r="N462" s="5" t="str">
        <f t="shared" si="26"/>
        <v/>
      </c>
      <c r="O462" s="4"/>
      <c r="P462" s="4"/>
      <c r="Q462" s="4"/>
    </row>
    <row r="463" spans="1:17" x14ac:dyDescent="0.2">
      <c r="A463" s="130"/>
      <c r="B463" s="4"/>
      <c r="C463" s="4"/>
      <c r="D463" s="4"/>
      <c r="E463" s="41"/>
      <c r="F463" s="41"/>
      <c r="G463" s="5"/>
      <c r="H463" s="4"/>
      <c r="I463" s="5"/>
      <c r="J463" s="5" t="str">
        <f t="shared" si="24"/>
        <v/>
      </c>
      <c r="K463" s="36"/>
      <c r="L463" s="5" t="str">
        <f t="shared" si="25"/>
        <v/>
      </c>
      <c r="M463" s="5"/>
      <c r="N463" s="5" t="str">
        <f t="shared" si="26"/>
        <v/>
      </c>
      <c r="O463" s="4"/>
      <c r="P463" s="4"/>
      <c r="Q463" s="4"/>
    </row>
    <row r="464" spans="1:17" x14ac:dyDescent="0.2">
      <c r="A464" s="130"/>
      <c r="B464" s="4"/>
      <c r="C464" s="4"/>
      <c r="D464" s="4"/>
      <c r="E464" s="41"/>
      <c r="F464" s="41"/>
      <c r="G464" s="5"/>
      <c r="H464" s="4"/>
      <c r="I464" s="5"/>
      <c r="J464" s="5" t="str">
        <f t="shared" si="24"/>
        <v/>
      </c>
      <c r="K464" s="36"/>
      <c r="L464" s="5" t="str">
        <f t="shared" si="25"/>
        <v/>
      </c>
      <c r="M464" s="5"/>
      <c r="N464" s="5" t="str">
        <f t="shared" si="26"/>
        <v/>
      </c>
      <c r="O464" s="4"/>
      <c r="P464" s="4"/>
      <c r="Q464" s="4"/>
    </row>
    <row r="465" spans="1:17" x14ac:dyDescent="0.2">
      <c r="A465" s="130"/>
      <c r="B465" s="4"/>
      <c r="C465" s="4"/>
      <c r="D465" s="4"/>
      <c r="E465" s="41"/>
      <c r="F465" s="41"/>
      <c r="G465" s="5"/>
      <c r="H465" s="4"/>
      <c r="I465" s="5"/>
      <c r="J465" s="5" t="str">
        <f t="shared" si="24"/>
        <v/>
      </c>
      <c r="K465" s="36"/>
      <c r="L465" s="5" t="str">
        <f t="shared" si="25"/>
        <v/>
      </c>
      <c r="M465" s="5"/>
      <c r="N465" s="5" t="str">
        <f t="shared" si="26"/>
        <v/>
      </c>
      <c r="O465" s="4"/>
      <c r="P465" s="4"/>
      <c r="Q465" s="4"/>
    </row>
    <row r="466" spans="1:17" x14ac:dyDescent="0.2">
      <c r="A466" s="130"/>
      <c r="B466" s="4"/>
      <c r="C466" s="4"/>
      <c r="D466" s="4"/>
      <c r="E466" s="41"/>
      <c r="F466" s="41"/>
      <c r="G466" s="5"/>
      <c r="H466" s="4"/>
      <c r="I466" s="5"/>
      <c r="J466" s="5" t="str">
        <f t="shared" si="24"/>
        <v/>
      </c>
      <c r="K466" s="36"/>
      <c r="L466" s="5" t="str">
        <f t="shared" si="25"/>
        <v/>
      </c>
      <c r="M466" s="5"/>
      <c r="N466" s="5" t="str">
        <f t="shared" si="26"/>
        <v/>
      </c>
      <c r="O466" s="4"/>
      <c r="P466" s="4"/>
      <c r="Q466" s="4"/>
    </row>
    <row r="467" spans="1:17" x14ac:dyDescent="0.2">
      <c r="A467" s="130"/>
      <c r="B467" s="4"/>
      <c r="C467" s="4"/>
      <c r="D467" s="4"/>
      <c r="E467" s="41"/>
      <c r="F467" s="41"/>
      <c r="G467" s="5"/>
      <c r="H467" s="4"/>
      <c r="I467" s="5"/>
      <c r="J467" s="5" t="str">
        <f t="shared" si="24"/>
        <v/>
      </c>
      <c r="K467" s="36"/>
      <c r="L467" s="5" t="str">
        <f t="shared" si="25"/>
        <v/>
      </c>
      <c r="M467" s="5"/>
      <c r="N467" s="5" t="str">
        <f t="shared" si="26"/>
        <v/>
      </c>
      <c r="O467" s="4"/>
      <c r="P467" s="4"/>
      <c r="Q467" s="4"/>
    </row>
    <row r="468" spans="1:17" x14ac:dyDescent="0.2">
      <c r="A468" s="130"/>
      <c r="B468" s="4"/>
      <c r="C468" s="4"/>
      <c r="D468" s="4"/>
      <c r="E468" s="41"/>
      <c r="F468" s="41"/>
      <c r="G468" s="5"/>
      <c r="H468" s="4"/>
      <c r="I468" s="5"/>
      <c r="J468" s="5" t="str">
        <f t="shared" si="24"/>
        <v/>
      </c>
      <c r="K468" s="36"/>
      <c r="L468" s="5" t="str">
        <f t="shared" si="25"/>
        <v/>
      </c>
      <c r="M468" s="5"/>
      <c r="N468" s="5" t="str">
        <f t="shared" si="26"/>
        <v/>
      </c>
      <c r="O468" s="4"/>
      <c r="P468" s="4"/>
      <c r="Q468" s="4"/>
    </row>
    <row r="469" spans="1:17" x14ac:dyDescent="0.2">
      <c r="A469" s="130"/>
      <c r="B469" s="4"/>
      <c r="C469" s="4"/>
      <c r="D469" s="4"/>
      <c r="E469" s="41"/>
      <c r="F469" s="41"/>
      <c r="G469" s="5"/>
      <c r="H469" s="4"/>
      <c r="I469" s="5"/>
      <c r="J469" s="5" t="str">
        <f t="shared" si="24"/>
        <v/>
      </c>
      <c r="K469" s="36"/>
      <c r="L469" s="5" t="str">
        <f t="shared" si="25"/>
        <v/>
      </c>
      <c r="M469" s="5"/>
      <c r="N469" s="5" t="str">
        <f t="shared" si="26"/>
        <v/>
      </c>
      <c r="O469" s="4"/>
      <c r="P469" s="4"/>
      <c r="Q469" s="4"/>
    </row>
    <row r="470" spans="1:17" x14ac:dyDescent="0.2">
      <c r="A470" s="130"/>
      <c r="B470" s="4"/>
      <c r="C470" s="4"/>
      <c r="D470" s="4"/>
      <c r="E470" s="41"/>
      <c r="F470" s="41"/>
      <c r="G470" s="5"/>
      <c r="H470" s="4"/>
      <c r="I470" s="5"/>
      <c r="J470" s="5" t="str">
        <f t="shared" si="24"/>
        <v/>
      </c>
      <c r="K470" s="36"/>
      <c r="L470" s="5" t="str">
        <f t="shared" si="25"/>
        <v/>
      </c>
      <c r="M470" s="5"/>
      <c r="N470" s="5" t="str">
        <f t="shared" si="26"/>
        <v/>
      </c>
      <c r="O470" s="4"/>
      <c r="P470" s="4"/>
      <c r="Q470" s="4"/>
    </row>
    <row r="471" spans="1:17" x14ac:dyDescent="0.2">
      <c r="A471" s="130"/>
      <c r="B471" s="4"/>
      <c r="C471" s="4"/>
      <c r="D471" s="4"/>
      <c r="E471" s="41"/>
      <c r="F471" s="41"/>
      <c r="G471" s="5"/>
      <c r="H471" s="4"/>
      <c r="I471" s="5"/>
      <c r="J471" s="5" t="str">
        <f t="shared" si="24"/>
        <v/>
      </c>
      <c r="K471" s="36"/>
      <c r="L471" s="5" t="str">
        <f t="shared" si="25"/>
        <v/>
      </c>
      <c r="M471" s="5"/>
      <c r="N471" s="5" t="str">
        <f t="shared" si="26"/>
        <v/>
      </c>
      <c r="O471" s="4"/>
      <c r="P471" s="4"/>
      <c r="Q471" s="4"/>
    </row>
    <row r="472" spans="1:17" x14ac:dyDescent="0.2">
      <c r="A472" s="130"/>
      <c r="B472" s="4"/>
      <c r="C472" s="4"/>
      <c r="D472" s="4"/>
      <c r="E472" s="41"/>
      <c r="F472" s="41"/>
      <c r="G472" s="5"/>
      <c r="H472" s="4"/>
      <c r="I472" s="5"/>
      <c r="J472" s="5" t="str">
        <f t="shared" si="24"/>
        <v/>
      </c>
      <c r="K472" s="36"/>
      <c r="L472" s="5" t="str">
        <f t="shared" si="25"/>
        <v/>
      </c>
      <c r="M472" s="5"/>
      <c r="N472" s="5" t="str">
        <f t="shared" si="26"/>
        <v/>
      </c>
      <c r="O472" s="4"/>
      <c r="P472" s="4"/>
      <c r="Q472" s="4"/>
    </row>
    <row r="473" spans="1:17" x14ac:dyDescent="0.2">
      <c r="A473" s="130"/>
      <c r="B473" s="4"/>
      <c r="C473" s="4"/>
      <c r="D473" s="4"/>
      <c r="E473" s="41"/>
      <c r="F473" s="41"/>
      <c r="G473" s="5"/>
      <c r="H473" s="4"/>
      <c r="I473" s="5"/>
      <c r="J473" s="5" t="str">
        <f t="shared" si="24"/>
        <v/>
      </c>
      <c r="K473" s="36"/>
      <c r="L473" s="5" t="str">
        <f t="shared" si="25"/>
        <v/>
      </c>
      <c r="M473" s="5"/>
      <c r="N473" s="5" t="str">
        <f t="shared" si="26"/>
        <v/>
      </c>
      <c r="O473" s="4"/>
      <c r="P473" s="4"/>
      <c r="Q473" s="4"/>
    </row>
    <row r="474" spans="1:17" x14ac:dyDescent="0.2">
      <c r="A474" s="130"/>
      <c r="B474" s="4"/>
      <c r="C474" s="4"/>
      <c r="D474" s="4"/>
      <c r="E474" s="41"/>
      <c r="F474" s="41"/>
      <c r="G474" s="5"/>
      <c r="H474" s="4"/>
      <c r="I474" s="5"/>
      <c r="J474" s="5" t="str">
        <f t="shared" ref="J474:J537" si="27">IF($D474="","",IF($H474="FIXED",$I474,($E474*FAT_MULT)+($F474*SNF_MULT)+$G474))</f>
        <v/>
      </c>
      <c r="K474" s="36"/>
      <c r="L474" s="5" t="str">
        <f t="shared" ref="L474:L537" si="28">IF($K474="","",$K474*$J474)</f>
        <v/>
      </c>
      <c r="M474" s="5"/>
      <c r="N474" s="5" t="str">
        <f t="shared" ref="N474:N537" si="29">IF($K474="","",$L474+$M474)</f>
        <v/>
      </c>
      <c r="O474" s="4"/>
      <c r="P474" s="4"/>
      <c r="Q474" s="4"/>
    </row>
    <row r="475" spans="1:17" x14ac:dyDescent="0.2">
      <c r="A475" s="130"/>
      <c r="B475" s="4"/>
      <c r="C475" s="4"/>
      <c r="D475" s="4"/>
      <c r="E475" s="41"/>
      <c r="F475" s="41"/>
      <c r="G475" s="5"/>
      <c r="H475" s="4"/>
      <c r="I475" s="5"/>
      <c r="J475" s="5" t="str">
        <f t="shared" si="27"/>
        <v/>
      </c>
      <c r="K475" s="36"/>
      <c r="L475" s="5" t="str">
        <f t="shared" si="28"/>
        <v/>
      </c>
      <c r="M475" s="5"/>
      <c r="N475" s="5" t="str">
        <f t="shared" si="29"/>
        <v/>
      </c>
      <c r="O475" s="4"/>
      <c r="P475" s="4"/>
      <c r="Q475" s="4"/>
    </row>
    <row r="476" spans="1:17" x14ac:dyDescent="0.2">
      <c r="A476" s="130"/>
      <c r="B476" s="4"/>
      <c r="C476" s="4"/>
      <c r="D476" s="4"/>
      <c r="E476" s="41"/>
      <c r="F476" s="41"/>
      <c r="G476" s="5"/>
      <c r="H476" s="4"/>
      <c r="I476" s="5"/>
      <c r="J476" s="5" t="str">
        <f t="shared" si="27"/>
        <v/>
      </c>
      <c r="K476" s="36"/>
      <c r="L476" s="5" t="str">
        <f t="shared" si="28"/>
        <v/>
      </c>
      <c r="M476" s="5"/>
      <c r="N476" s="5" t="str">
        <f t="shared" si="29"/>
        <v/>
      </c>
      <c r="O476" s="4"/>
      <c r="P476" s="4"/>
      <c r="Q476" s="4"/>
    </row>
    <row r="477" spans="1:17" x14ac:dyDescent="0.2">
      <c r="A477" s="130"/>
      <c r="B477" s="4"/>
      <c r="C477" s="4"/>
      <c r="D477" s="4"/>
      <c r="E477" s="41"/>
      <c r="F477" s="41"/>
      <c r="G477" s="5"/>
      <c r="H477" s="4"/>
      <c r="I477" s="5"/>
      <c r="J477" s="5" t="str">
        <f t="shared" si="27"/>
        <v/>
      </c>
      <c r="K477" s="36"/>
      <c r="L477" s="5" t="str">
        <f t="shared" si="28"/>
        <v/>
      </c>
      <c r="M477" s="5"/>
      <c r="N477" s="5" t="str">
        <f t="shared" si="29"/>
        <v/>
      </c>
      <c r="O477" s="4"/>
      <c r="P477" s="4"/>
      <c r="Q477" s="4"/>
    </row>
    <row r="478" spans="1:17" x14ac:dyDescent="0.2">
      <c r="A478" s="130"/>
      <c r="B478" s="4"/>
      <c r="C478" s="4"/>
      <c r="D478" s="4"/>
      <c r="E478" s="41"/>
      <c r="F478" s="41"/>
      <c r="G478" s="5"/>
      <c r="H478" s="4"/>
      <c r="I478" s="5"/>
      <c r="J478" s="5" t="str">
        <f t="shared" si="27"/>
        <v/>
      </c>
      <c r="K478" s="36"/>
      <c r="L478" s="5" t="str">
        <f t="shared" si="28"/>
        <v/>
      </c>
      <c r="M478" s="5"/>
      <c r="N478" s="5" t="str">
        <f t="shared" si="29"/>
        <v/>
      </c>
      <c r="O478" s="4"/>
      <c r="P478" s="4"/>
      <c r="Q478" s="4"/>
    </row>
    <row r="479" spans="1:17" x14ac:dyDescent="0.2">
      <c r="A479" s="130"/>
      <c r="B479" s="4"/>
      <c r="C479" s="4"/>
      <c r="D479" s="4"/>
      <c r="E479" s="41"/>
      <c r="F479" s="41"/>
      <c r="G479" s="5"/>
      <c r="H479" s="4"/>
      <c r="I479" s="5"/>
      <c r="J479" s="5" t="str">
        <f t="shared" si="27"/>
        <v/>
      </c>
      <c r="K479" s="36"/>
      <c r="L479" s="5" t="str">
        <f t="shared" si="28"/>
        <v/>
      </c>
      <c r="M479" s="5"/>
      <c r="N479" s="5" t="str">
        <f t="shared" si="29"/>
        <v/>
      </c>
      <c r="O479" s="4"/>
      <c r="P479" s="4"/>
      <c r="Q479" s="4"/>
    </row>
    <row r="480" spans="1:17" x14ac:dyDescent="0.2">
      <c r="A480" s="130"/>
      <c r="B480" s="4"/>
      <c r="C480" s="4"/>
      <c r="D480" s="4"/>
      <c r="E480" s="41"/>
      <c r="F480" s="41"/>
      <c r="G480" s="5"/>
      <c r="H480" s="4"/>
      <c r="I480" s="5"/>
      <c r="J480" s="5" t="str">
        <f t="shared" si="27"/>
        <v/>
      </c>
      <c r="K480" s="36"/>
      <c r="L480" s="5" t="str">
        <f t="shared" si="28"/>
        <v/>
      </c>
      <c r="M480" s="5"/>
      <c r="N480" s="5" t="str">
        <f t="shared" si="29"/>
        <v/>
      </c>
      <c r="O480" s="4"/>
      <c r="P480" s="4"/>
      <c r="Q480" s="4"/>
    </row>
    <row r="481" spans="1:17" x14ac:dyDescent="0.2">
      <c r="A481" s="130"/>
      <c r="B481" s="4"/>
      <c r="C481" s="4"/>
      <c r="D481" s="4"/>
      <c r="E481" s="41"/>
      <c r="F481" s="41"/>
      <c r="G481" s="5"/>
      <c r="H481" s="4"/>
      <c r="I481" s="5"/>
      <c r="J481" s="5" t="str">
        <f t="shared" si="27"/>
        <v/>
      </c>
      <c r="K481" s="36"/>
      <c r="L481" s="5" t="str">
        <f t="shared" si="28"/>
        <v/>
      </c>
      <c r="M481" s="5"/>
      <c r="N481" s="5" t="str">
        <f t="shared" si="29"/>
        <v/>
      </c>
      <c r="O481" s="4"/>
      <c r="P481" s="4"/>
      <c r="Q481" s="4"/>
    </row>
    <row r="482" spans="1:17" x14ac:dyDescent="0.2">
      <c r="A482" s="130"/>
      <c r="B482" s="4"/>
      <c r="C482" s="4"/>
      <c r="D482" s="4"/>
      <c r="E482" s="41"/>
      <c r="F482" s="41"/>
      <c r="G482" s="5"/>
      <c r="H482" s="4"/>
      <c r="I482" s="5"/>
      <c r="J482" s="5" t="str">
        <f t="shared" si="27"/>
        <v/>
      </c>
      <c r="K482" s="36"/>
      <c r="L482" s="5" t="str">
        <f t="shared" si="28"/>
        <v/>
      </c>
      <c r="M482" s="5"/>
      <c r="N482" s="5" t="str">
        <f t="shared" si="29"/>
        <v/>
      </c>
      <c r="O482" s="4"/>
      <c r="P482" s="4"/>
      <c r="Q482" s="4"/>
    </row>
    <row r="483" spans="1:17" x14ac:dyDescent="0.2">
      <c r="A483" s="130"/>
      <c r="B483" s="4"/>
      <c r="C483" s="4"/>
      <c r="D483" s="4"/>
      <c r="E483" s="41"/>
      <c r="F483" s="41"/>
      <c r="G483" s="5"/>
      <c r="H483" s="4"/>
      <c r="I483" s="5"/>
      <c r="J483" s="5" t="str">
        <f t="shared" si="27"/>
        <v/>
      </c>
      <c r="K483" s="36"/>
      <c r="L483" s="5" t="str">
        <f t="shared" si="28"/>
        <v/>
      </c>
      <c r="M483" s="5"/>
      <c r="N483" s="5" t="str">
        <f t="shared" si="29"/>
        <v/>
      </c>
      <c r="O483" s="4"/>
      <c r="P483" s="4"/>
      <c r="Q483" s="4"/>
    </row>
    <row r="484" spans="1:17" x14ac:dyDescent="0.2">
      <c r="A484" s="130"/>
      <c r="B484" s="4"/>
      <c r="C484" s="4"/>
      <c r="D484" s="4"/>
      <c r="E484" s="41"/>
      <c r="F484" s="41"/>
      <c r="G484" s="5"/>
      <c r="H484" s="4"/>
      <c r="I484" s="5"/>
      <c r="J484" s="5" t="str">
        <f t="shared" si="27"/>
        <v/>
      </c>
      <c r="K484" s="36"/>
      <c r="L484" s="5" t="str">
        <f t="shared" si="28"/>
        <v/>
      </c>
      <c r="M484" s="5"/>
      <c r="N484" s="5" t="str">
        <f t="shared" si="29"/>
        <v/>
      </c>
      <c r="O484" s="4"/>
      <c r="P484" s="4"/>
      <c r="Q484" s="4"/>
    </row>
    <row r="485" spans="1:17" x14ac:dyDescent="0.2">
      <c r="A485" s="130"/>
      <c r="B485" s="4"/>
      <c r="C485" s="4"/>
      <c r="D485" s="4"/>
      <c r="E485" s="41"/>
      <c r="F485" s="41"/>
      <c r="G485" s="5"/>
      <c r="H485" s="4"/>
      <c r="I485" s="5"/>
      <c r="J485" s="5" t="str">
        <f t="shared" si="27"/>
        <v/>
      </c>
      <c r="K485" s="36"/>
      <c r="L485" s="5" t="str">
        <f t="shared" si="28"/>
        <v/>
      </c>
      <c r="M485" s="5"/>
      <c r="N485" s="5" t="str">
        <f t="shared" si="29"/>
        <v/>
      </c>
      <c r="O485" s="4"/>
      <c r="P485" s="4"/>
      <c r="Q485" s="4"/>
    </row>
    <row r="486" spans="1:17" x14ac:dyDescent="0.2">
      <c r="A486" s="130"/>
      <c r="B486" s="4"/>
      <c r="C486" s="4"/>
      <c r="D486" s="4"/>
      <c r="E486" s="41"/>
      <c r="F486" s="41"/>
      <c r="G486" s="5"/>
      <c r="H486" s="4"/>
      <c r="I486" s="5"/>
      <c r="J486" s="5" t="str">
        <f t="shared" si="27"/>
        <v/>
      </c>
      <c r="K486" s="36"/>
      <c r="L486" s="5" t="str">
        <f t="shared" si="28"/>
        <v/>
      </c>
      <c r="M486" s="5"/>
      <c r="N486" s="5" t="str">
        <f t="shared" si="29"/>
        <v/>
      </c>
      <c r="O486" s="4"/>
      <c r="P486" s="4"/>
      <c r="Q486" s="4"/>
    </row>
    <row r="487" spans="1:17" x14ac:dyDescent="0.2">
      <c r="A487" s="130"/>
      <c r="B487" s="4"/>
      <c r="C487" s="4"/>
      <c r="D487" s="4"/>
      <c r="E487" s="41"/>
      <c r="F487" s="41"/>
      <c r="G487" s="5"/>
      <c r="H487" s="4"/>
      <c r="I487" s="5"/>
      <c r="J487" s="5" t="str">
        <f t="shared" si="27"/>
        <v/>
      </c>
      <c r="K487" s="36"/>
      <c r="L487" s="5" t="str">
        <f t="shared" si="28"/>
        <v/>
      </c>
      <c r="M487" s="5"/>
      <c r="N487" s="5" t="str">
        <f t="shared" si="29"/>
        <v/>
      </c>
      <c r="O487" s="4"/>
      <c r="P487" s="4"/>
      <c r="Q487" s="4"/>
    </row>
    <row r="488" spans="1:17" x14ac:dyDescent="0.2">
      <c r="A488" s="130"/>
      <c r="B488" s="4"/>
      <c r="C488" s="4"/>
      <c r="D488" s="4"/>
      <c r="E488" s="41"/>
      <c r="F488" s="41"/>
      <c r="G488" s="5"/>
      <c r="H488" s="4"/>
      <c r="I488" s="5"/>
      <c r="J488" s="5" t="str">
        <f t="shared" si="27"/>
        <v/>
      </c>
      <c r="K488" s="36"/>
      <c r="L488" s="5" t="str">
        <f t="shared" si="28"/>
        <v/>
      </c>
      <c r="M488" s="5"/>
      <c r="N488" s="5" t="str">
        <f t="shared" si="29"/>
        <v/>
      </c>
      <c r="O488" s="4"/>
      <c r="P488" s="4"/>
      <c r="Q488" s="4"/>
    </row>
    <row r="489" spans="1:17" x14ac:dyDescent="0.2">
      <c r="A489" s="130"/>
      <c r="B489" s="4"/>
      <c r="C489" s="4"/>
      <c r="D489" s="4"/>
      <c r="E489" s="41"/>
      <c r="F489" s="41"/>
      <c r="G489" s="5"/>
      <c r="H489" s="4"/>
      <c r="I489" s="5"/>
      <c r="J489" s="5" t="str">
        <f t="shared" si="27"/>
        <v/>
      </c>
      <c r="K489" s="36"/>
      <c r="L489" s="5" t="str">
        <f t="shared" si="28"/>
        <v/>
      </c>
      <c r="M489" s="5"/>
      <c r="N489" s="5" t="str">
        <f t="shared" si="29"/>
        <v/>
      </c>
      <c r="O489" s="4"/>
      <c r="P489" s="4"/>
      <c r="Q489" s="4"/>
    </row>
    <row r="490" spans="1:17" x14ac:dyDescent="0.2">
      <c r="A490" s="130"/>
      <c r="B490" s="4"/>
      <c r="C490" s="4"/>
      <c r="D490" s="4"/>
      <c r="E490" s="41"/>
      <c r="F490" s="41"/>
      <c r="G490" s="5"/>
      <c r="H490" s="4"/>
      <c r="I490" s="5"/>
      <c r="J490" s="5" t="str">
        <f t="shared" si="27"/>
        <v/>
      </c>
      <c r="K490" s="36"/>
      <c r="L490" s="5" t="str">
        <f t="shared" si="28"/>
        <v/>
      </c>
      <c r="M490" s="5"/>
      <c r="N490" s="5" t="str">
        <f t="shared" si="29"/>
        <v/>
      </c>
      <c r="O490" s="4"/>
      <c r="P490" s="4"/>
      <c r="Q490" s="4"/>
    </row>
    <row r="491" spans="1:17" x14ac:dyDescent="0.2">
      <c r="A491" s="130"/>
      <c r="B491" s="4"/>
      <c r="C491" s="4"/>
      <c r="D491" s="4"/>
      <c r="E491" s="41"/>
      <c r="F491" s="41"/>
      <c r="G491" s="5"/>
      <c r="H491" s="4"/>
      <c r="I491" s="5"/>
      <c r="J491" s="5" t="str">
        <f t="shared" si="27"/>
        <v/>
      </c>
      <c r="K491" s="36"/>
      <c r="L491" s="5" t="str">
        <f t="shared" si="28"/>
        <v/>
      </c>
      <c r="M491" s="5"/>
      <c r="N491" s="5" t="str">
        <f t="shared" si="29"/>
        <v/>
      </c>
      <c r="O491" s="4"/>
      <c r="P491" s="4"/>
      <c r="Q491" s="4"/>
    </row>
    <row r="492" spans="1:17" x14ac:dyDescent="0.2">
      <c r="A492" s="130"/>
      <c r="B492" s="4"/>
      <c r="C492" s="4"/>
      <c r="D492" s="4"/>
      <c r="E492" s="41"/>
      <c r="F492" s="41"/>
      <c r="G492" s="5"/>
      <c r="H492" s="4"/>
      <c r="I492" s="5"/>
      <c r="J492" s="5" t="str">
        <f t="shared" si="27"/>
        <v/>
      </c>
      <c r="K492" s="36"/>
      <c r="L492" s="5" t="str">
        <f t="shared" si="28"/>
        <v/>
      </c>
      <c r="M492" s="5"/>
      <c r="N492" s="5" t="str">
        <f t="shared" si="29"/>
        <v/>
      </c>
      <c r="O492" s="4"/>
      <c r="P492" s="4"/>
      <c r="Q492" s="4"/>
    </row>
    <row r="493" spans="1:17" x14ac:dyDescent="0.2">
      <c r="A493" s="130"/>
      <c r="B493" s="4"/>
      <c r="C493" s="4"/>
      <c r="D493" s="4"/>
      <c r="E493" s="41"/>
      <c r="F493" s="41"/>
      <c r="G493" s="5"/>
      <c r="H493" s="4"/>
      <c r="I493" s="5"/>
      <c r="J493" s="5" t="str">
        <f t="shared" si="27"/>
        <v/>
      </c>
      <c r="K493" s="36"/>
      <c r="L493" s="5" t="str">
        <f t="shared" si="28"/>
        <v/>
      </c>
      <c r="M493" s="5"/>
      <c r="N493" s="5" t="str">
        <f t="shared" si="29"/>
        <v/>
      </c>
      <c r="O493" s="4"/>
      <c r="P493" s="4"/>
      <c r="Q493" s="4"/>
    </row>
    <row r="494" spans="1:17" x14ac:dyDescent="0.2">
      <c r="A494" s="130"/>
      <c r="B494" s="4"/>
      <c r="C494" s="4"/>
      <c r="D494" s="4"/>
      <c r="E494" s="41"/>
      <c r="F494" s="41"/>
      <c r="G494" s="5"/>
      <c r="H494" s="4"/>
      <c r="I494" s="5"/>
      <c r="J494" s="5" t="str">
        <f t="shared" si="27"/>
        <v/>
      </c>
      <c r="K494" s="36"/>
      <c r="L494" s="5" t="str">
        <f t="shared" si="28"/>
        <v/>
      </c>
      <c r="M494" s="5"/>
      <c r="N494" s="5" t="str">
        <f t="shared" si="29"/>
        <v/>
      </c>
      <c r="O494" s="4"/>
      <c r="P494" s="4"/>
      <c r="Q494" s="4"/>
    </row>
    <row r="495" spans="1:17" x14ac:dyDescent="0.2">
      <c r="A495" s="130"/>
      <c r="B495" s="4"/>
      <c r="C495" s="4"/>
      <c r="D495" s="4"/>
      <c r="E495" s="41"/>
      <c r="F495" s="41"/>
      <c r="G495" s="5"/>
      <c r="H495" s="4"/>
      <c r="I495" s="5"/>
      <c r="J495" s="5" t="str">
        <f t="shared" si="27"/>
        <v/>
      </c>
      <c r="K495" s="36"/>
      <c r="L495" s="5" t="str">
        <f t="shared" si="28"/>
        <v/>
      </c>
      <c r="M495" s="5"/>
      <c r="N495" s="5" t="str">
        <f t="shared" si="29"/>
        <v/>
      </c>
      <c r="O495" s="4"/>
      <c r="P495" s="4"/>
      <c r="Q495" s="4"/>
    </row>
    <row r="496" spans="1:17" x14ac:dyDescent="0.2">
      <c r="A496" s="130"/>
      <c r="B496" s="4"/>
      <c r="C496" s="4"/>
      <c r="D496" s="4"/>
      <c r="E496" s="41"/>
      <c r="F496" s="41"/>
      <c r="G496" s="5"/>
      <c r="H496" s="4"/>
      <c r="I496" s="5"/>
      <c r="J496" s="5" t="str">
        <f t="shared" si="27"/>
        <v/>
      </c>
      <c r="K496" s="36"/>
      <c r="L496" s="5" t="str">
        <f t="shared" si="28"/>
        <v/>
      </c>
      <c r="M496" s="5"/>
      <c r="N496" s="5" t="str">
        <f t="shared" si="29"/>
        <v/>
      </c>
      <c r="O496" s="4"/>
      <c r="P496" s="4"/>
      <c r="Q496" s="4"/>
    </row>
    <row r="497" spans="1:17" x14ac:dyDescent="0.2">
      <c r="A497" s="130"/>
      <c r="B497" s="4"/>
      <c r="C497" s="4"/>
      <c r="D497" s="4"/>
      <c r="E497" s="41"/>
      <c r="F497" s="41"/>
      <c r="G497" s="5"/>
      <c r="H497" s="4"/>
      <c r="I497" s="5"/>
      <c r="J497" s="5" t="str">
        <f t="shared" si="27"/>
        <v/>
      </c>
      <c r="K497" s="36"/>
      <c r="L497" s="5" t="str">
        <f t="shared" si="28"/>
        <v/>
      </c>
      <c r="M497" s="5"/>
      <c r="N497" s="5" t="str">
        <f t="shared" si="29"/>
        <v/>
      </c>
      <c r="O497" s="4"/>
      <c r="P497" s="4"/>
      <c r="Q497" s="4"/>
    </row>
    <row r="498" spans="1:17" x14ac:dyDescent="0.2">
      <c r="A498" s="130"/>
      <c r="B498" s="4"/>
      <c r="C498" s="4"/>
      <c r="D498" s="4"/>
      <c r="E498" s="41"/>
      <c r="F498" s="41"/>
      <c r="G498" s="5"/>
      <c r="H498" s="4"/>
      <c r="I498" s="5"/>
      <c r="J498" s="5" t="str">
        <f t="shared" si="27"/>
        <v/>
      </c>
      <c r="K498" s="36"/>
      <c r="L498" s="5" t="str">
        <f t="shared" si="28"/>
        <v/>
      </c>
      <c r="M498" s="5"/>
      <c r="N498" s="5" t="str">
        <f t="shared" si="29"/>
        <v/>
      </c>
      <c r="O498" s="4"/>
      <c r="P498" s="4"/>
      <c r="Q498" s="4"/>
    </row>
    <row r="499" spans="1:17" x14ac:dyDescent="0.2">
      <c r="A499" s="130"/>
      <c r="B499" s="4"/>
      <c r="C499" s="4"/>
      <c r="D499" s="4"/>
      <c r="E499" s="41"/>
      <c r="F499" s="41"/>
      <c r="G499" s="5"/>
      <c r="H499" s="4"/>
      <c r="I499" s="5"/>
      <c r="J499" s="5" t="str">
        <f t="shared" si="27"/>
        <v/>
      </c>
      <c r="K499" s="36"/>
      <c r="L499" s="5" t="str">
        <f t="shared" si="28"/>
        <v/>
      </c>
      <c r="M499" s="5"/>
      <c r="N499" s="5" t="str">
        <f t="shared" si="29"/>
        <v/>
      </c>
      <c r="O499" s="4"/>
      <c r="P499" s="4"/>
      <c r="Q499" s="4"/>
    </row>
    <row r="500" spans="1:17" x14ac:dyDescent="0.2">
      <c r="A500" s="130"/>
      <c r="B500" s="4"/>
      <c r="C500" s="4"/>
      <c r="D500" s="4"/>
      <c r="E500" s="41"/>
      <c r="F500" s="41"/>
      <c r="G500" s="5"/>
      <c r="H500" s="4"/>
      <c r="I500" s="5"/>
      <c r="J500" s="5" t="str">
        <f t="shared" si="27"/>
        <v/>
      </c>
      <c r="K500" s="36"/>
      <c r="L500" s="5" t="str">
        <f t="shared" si="28"/>
        <v/>
      </c>
      <c r="M500" s="5"/>
      <c r="N500" s="5" t="str">
        <f t="shared" si="29"/>
        <v/>
      </c>
      <c r="O500" s="4"/>
      <c r="P500" s="4"/>
      <c r="Q500" s="4"/>
    </row>
    <row r="501" spans="1:17" x14ac:dyDescent="0.2">
      <c r="A501" s="130"/>
      <c r="B501" s="4"/>
      <c r="C501" s="4"/>
      <c r="D501" s="4"/>
      <c r="E501" s="41"/>
      <c r="F501" s="41"/>
      <c r="G501" s="5"/>
      <c r="H501" s="4"/>
      <c r="I501" s="5"/>
      <c r="J501" s="5" t="str">
        <f t="shared" si="27"/>
        <v/>
      </c>
      <c r="K501" s="36"/>
      <c r="L501" s="5" t="str">
        <f t="shared" si="28"/>
        <v/>
      </c>
      <c r="M501" s="5"/>
      <c r="N501" s="5" t="str">
        <f t="shared" si="29"/>
        <v/>
      </c>
      <c r="O501" s="4"/>
      <c r="P501" s="4"/>
      <c r="Q501" s="4"/>
    </row>
    <row r="502" spans="1:17" x14ac:dyDescent="0.2">
      <c r="A502" s="130"/>
      <c r="B502" s="4"/>
      <c r="C502" s="4"/>
      <c r="D502" s="4"/>
      <c r="E502" s="41"/>
      <c r="F502" s="41"/>
      <c r="G502" s="5"/>
      <c r="H502" s="4"/>
      <c r="I502" s="5"/>
      <c r="J502" s="5" t="str">
        <f t="shared" si="27"/>
        <v/>
      </c>
      <c r="K502" s="36"/>
      <c r="L502" s="5" t="str">
        <f t="shared" si="28"/>
        <v/>
      </c>
      <c r="M502" s="5"/>
      <c r="N502" s="5" t="str">
        <f t="shared" si="29"/>
        <v/>
      </c>
      <c r="O502" s="4"/>
      <c r="P502" s="4"/>
      <c r="Q502" s="4"/>
    </row>
    <row r="503" spans="1:17" x14ac:dyDescent="0.2">
      <c r="A503" s="130"/>
      <c r="B503" s="4"/>
      <c r="C503" s="4"/>
      <c r="D503" s="4"/>
      <c r="E503" s="41"/>
      <c r="F503" s="41"/>
      <c r="G503" s="5"/>
      <c r="H503" s="4"/>
      <c r="I503" s="5"/>
      <c r="J503" s="5" t="str">
        <f t="shared" si="27"/>
        <v/>
      </c>
      <c r="K503" s="36"/>
      <c r="L503" s="5" t="str">
        <f t="shared" si="28"/>
        <v/>
      </c>
      <c r="M503" s="5"/>
      <c r="N503" s="5" t="str">
        <f t="shared" si="29"/>
        <v/>
      </c>
      <c r="O503" s="4"/>
      <c r="P503" s="4"/>
      <c r="Q503" s="4"/>
    </row>
    <row r="504" spans="1:17" x14ac:dyDescent="0.2">
      <c r="A504" s="130"/>
      <c r="B504" s="4"/>
      <c r="C504" s="4"/>
      <c r="D504" s="4"/>
      <c r="E504" s="41"/>
      <c r="F504" s="41"/>
      <c r="G504" s="5"/>
      <c r="H504" s="4"/>
      <c r="I504" s="5"/>
      <c r="J504" s="5" t="str">
        <f t="shared" si="27"/>
        <v/>
      </c>
      <c r="K504" s="36"/>
      <c r="L504" s="5" t="str">
        <f t="shared" si="28"/>
        <v/>
      </c>
      <c r="M504" s="5"/>
      <c r="N504" s="5" t="str">
        <f t="shared" si="29"/>
        <v/>
      </c>
      <c r="O504" s="4"/>
      <c r="P504" s="4"/>
      <c r="Q504" s="4"/>
    </row>
    <row r="505" spans="1:17" x14ac:dyDescent="0.2">
      <c r="A505" s="130"/>
      <c r="B505" s="4"/>
      <c r="C505" s="4"/>
      <c r="D505" s="4"/>
      <c r="E505" s="41"/>
      <c r="F505" s="41"/>
      <c r="G505" s="5"/>
      <c r="H505" s="4"/>
      <c r="I505" s="5"/>
      <c r="J505" s="5" t="str">
        <f t="shared" si="27"/>
        <v/>
      </c>
      <c r="K505" s="36"/>
      <c r="L505" s="5" t="str">
        <f t="shared" si="28"/>
        <v/>
      </c>
      <c r="M505" s="5"/>
      <c r="N505" s="5" t="str">
        <f t="shared" si="29"/>
        <v/>
      </c>
      <c r="O505" s="4"/>
      <c r="P505" s="4"/>
      <c r="Q505" s="4"/>
    </row>
    <row r="506" spans="1:17" x14ac:dyDescent="0.2">
      <c r="A506" s="130"/>
      <c r="B506" s="4"/>
      <c r="C506" s="4"/>
      <c r="D506" s="4"/>
      <c r="E506" s="41"/>
      <c r="F506" s="41"/>
      <c r="G506" s="5"/>
      <c r="H506" s="4"/>
      <c r="I506" s="5"/>
      <c r="J506" s="5" t="str">
        <f t="shared" si="27"/>
        <v/>
      </c>
      <c r="K506" s="36"/>
      <c r="L506" s="5" t="str">
        <f t="shared" si="28"/>
        <v/>
      </c>
      <c r="M506" s="5"/>
      <c r="N506" s="5" t="str">
        <f t="shared" si="29"/>
        <v/>
      </c>
      <c r="O506" s="4"/>
      <c r="P506" s="4"/>
      <c r="Q506" s="4"/>
    </row>
    <row r="507" spans="1:17" x14ac:dyDescent="0.2">
      <c r="A507" s="130"/>
      <c r="B507" s="4"/>
      <c r="C507" s="4"/>
      <c r="D507" s="4"/>
      <c r="E507" s="41"/>
      <c r="F507" s="41"/>
      <c r="G507" s="5"/>
      <c r="H507" s="4"/>
      <c r="I507" s="5"/>
      <c r="J507" s="5" t="str">
        <f t="shared" si="27"/>
        <v/>
      </c>
      <c r="K507" s="36"/>
      <c r="L507" s="5" t="str">
        <f t="shared" si="28"/>
        <v/>
      </c>
      <c r="M507" s="5"/>
      <c r="N507" s="5" t="str">
        <f t="shared" si="29"/>
        <v/>
      </c>
      <c r="O507" s="4"/>
      <c r="P507" s="4"/>
      <c r="Q507" s="4"/>
    </row>
    <row r="508" spans="1:17" x14ac:dyDescent="0.2">
      <c r="A508" s="130"/>
      <c r="B508" s="4"/>
      <c r="C508" s="4"/>
      <c r="D508" s="4"/>
      <c r="E508" s="41"/>
      <c r="F508" s="41"/>
      <c r="G508" s="5"/>
      <c r="H508" s="4"/>
      <c r="I508" s="5"/>
      <c r="J508" s="5" t="str">
        <f t="shared" si="27"/>
        <v/>
      </c>
      <c r="K508" s="36"/>
      <c r="L508" s="5" t="str">
        <f t="shared" si="28"/>
        <v/>
      </c>
      <c r="M508" s="5"/>
      <c r="N508" s="5" t="str">
        <f t="shared" si="29"/>
        <v/>
      </c>
      <c r="O508" s="4"/>
      <c r="P508" s="4"/>
      <c r="Q508" s="4"/>
    </row>
    <row r="509" spans="1:17" x14ac:dyDescent="0.2">
      <c r="A509" s="130"/>
      <c r="B509" s="4"/>
      <c r="C509" s="4"/>
      <c r="D509" s="4"/>
      <c r="E509" s="41"/>
      <c r="F509" s="41"/>
      <c r="G509" s="5"/>
      <c r="H509" s="4"/>
      <c r="I509" s="5"/>
      <c r="J509" s="5" t="str">
        <f t="shared" si="27"/>
        <v/>
      </c>
      <c r="K509" s="36"/>
      <c r="L509" s="5" t="str">
        <f t="shared" si="28"/>
        <v/>
      </c>
      <c r="M509" s="5"/>
      <c r="N509" s="5" t="str">
        <f t="shared" si="29"/>
        <v/>
      </c>
      <c r="O509" s="4"/>
      <c r="P509" s="4"/>
      <c r="Q509" s="4"/>
    </row>
    <row r="510" spans="1:17" x14ac:dyDescent="0.2">
      <c r="A510" s="130"/>
      <c r="B510" s="4"/>
      <c r="C510" s="4"/>
      <c r="D510" s="4"/>
      <c r="E510" s="41"/>
      <c r="F510" s="41"/>
      <c r="G510" s="5"/>
      <c r="H510" s="4"/>
      <c r="I510" s="5"/>
      <c r="J510" s="5" t="str">
        <f t="shared" si="27"/>
        <v/>
      </c>
      <c r="K510" s="36"/>
      <c r="L510" s="5" t="str">
        <f t="shared" si="28"/>
        <v/>
      </c>
      <c r="M510" s="5"/>
      <c r="N510" s="5" t="str">
        <f t="shared" si="29"/>
        <v/>
      </c>
      <c r="O510" s="4"/>
      <c r="P510" s="4"/>
      <c r="Q510" s="4"/>
    </row>
    <row r="511" spans="1:17" x14ac:dyDescent="0.2">
      <c r="A511" s="130"/>
      <c r="B511" s="4"/>
      <c r="C511" s="4"/>
      <c r="D511" s="4"/>
      <c r="E511" s="41"/>
      <c r="F511" s="41"/>
      <c r="G511" s="5"/>
      <c r="H511" s="4"/>
      <c r="I511" s="5"/>
      <c r="J511" s="5" t="str">
        <f t="shared" si="27"/>
        <v/>
      </c>
      <c r="K511" s="36"/>
      <c r="L511" s="5" t="str">
        <f t="shared" si="28"/>
        <v/>
      </c>
      <c r="M511" s="5"/>
      <c r="N511" s="5" t="str">
        <f t="shared" si="29"/>
        <v/>
      </c>
      <c r="O511" s="4"/>
      <c r="P511" s="4"/>
      <c r="Q511" s="4"/>
    </row>
    <row r="512" spans="1:17" x14ac:dyDescent="0.2">
      <c r="A512" s="130"/>
      <c r="B512" s="4"/>
      <c r="C512" s="4"/>
      <c r="D512" s="4"/>
      <c r="E512" s="41"/>
      <c r="F512" s="41"/>
      <c r="G512" s="5"/>
      <c r="H512" s="4"/>
      <c r="I512" s="5"/>
      <c r="J512" s="5" t="str">
        <f t="shared" si="27"/>
        <v/>
      </c>
      <c r="K512" s="36"/>
      <c r="L512" s="5" t="str">
        <f t="shared" si="28"/>
        <v/>
      </c>
      <c r="M512" s="5"/>
      <c r="N512" s="5" t="str">
        <f t="shared" si="29"/>
        <v/>
      </c>
      <c r="O512" s="4"/>
      <c r="P512" s="4"/>
      <c r="Q512" s="4"/>
    </row>
    <row r="513" spans="1:17" x14ac:dyDescent="0.2">
      <c r="A513" s="130"/>
      <c r="B513" s="4"/>
      <c r="C513" s="4"/>
      <c r="D513" s="4"/>
      <c r="E513" s="41"/>
      <c r="F513" s="41"/>
      <c r="G513" s="5"/>
      <c r="H513" s="4"/>
      <c r="I513" s="5"/>
      <c r="J513" s="5" t="str">
        <f t="shared" si="27"/>
        <v/>
      </c>
      <c r="K513" s="36"/>
      <c r="L513" s="5" t="str">
        <f t="shared" si="28"/>
        <v/>
      </c>
      <c r="M513" s="5"/>
      <c r="N513" s="5" t="str">
        <f t="shared" si="29"/>
        <v/>
      </c>
      <c r="O513" s="4"/>
      <c r="P513" s="4"/>
      <c r="Q513" s="4"/>
    </row>
    <row r="514" spans="1:17" x14ac:dyDescent="0.2">
      <c r="A514" s="130"/>
      <c r="B514" s="4"/>
      <c r="C514" s="4"/>
      <c r="D514" s="4"/>
      <c r="E514" s="41"/>
      <c r="F514" s="41"/>
      <c r="G514" s="5"/>
      <c r="H514" s="4"/>
      <c r="I514" s="5"/>
      <c r="J514" s="5" t="str">
        <f t="shared" si="27"/>
        <v/>
      </c>
      <c r="K514" s="36"/>
      <c r="L514" s="5" t="str">
        <f t="shared" si="28"/>
        <v/>
      </c>
      <c r="M514" s="5"/>
      <c r="N514" s="5" t="str">
        <f t="shared" si="29"/>
        <v/>
      </c>
      <c r="O514" s="4"/>
      <c r="P514" s="4"/>
      <c r="Q514" s="4"/>
    </row>
    <row r="515" spans="1:17" x14ac:dyDescent="0.2">
      <c r="A515" s="130"/>
      <c r="B515" s="4"/>
      <c r="C515" s="4"/>
      <c r="D515" s="4"/>
      <c r="E515" s="41"/>
      <c r="F515" s="41"/>
      <c r="G515" s="5"/>
      <c r="H515" s="4"/>
      <c r="I515" s="5"/>
      <c r="J515" s="5" t="str">
        <f t="shared" si="27"/>
        <v/>
      </c>
      <c r="K515" s="36"/>
      <c r="L515" s="5" t="str">
        <f t="shared" si="28"/>
        <v/>
      </c>
      <c r="M515" s="5"/>
      <c r="N515" s="5" t="str">
        <f t="shared" si="29"/>
        <v/>
      </c>
      <c r="O515" s="4"/>
      <c r="P515" s="4"/>
      <c r="Q515" s="4"/>
    </row>
    <row r="516" spans="1:17" x14ac:dyDescent="0.2">
      <c r="A516" s="130"/>
      <c r="B516" s="4"/>
      <c r="C516" s="4"/>
      <c r="D516" s="4"/>
      <c r="E516" s="41"/>
      <c r="F516" s="41"/>
      <c r="G516" s="5"/>
      <c r="H516" s="4"/>
      <c r="I516" s="5"/>
      <c r="J516" s="5" t="str">
        <f t="shared" si="27"/>
        <v/>
      </c>
      <c r="K516" s="36"/>
      <c r="L516" s="5" t="str">
        <f t="shared" si="28"/>
        <v/>
      </c>
      <c r="M516" s="5"/>
      <c r="N516" s="5" t="str">
        <f t="shared" si="29"/>
        <v/>
      </c>
      <c r="O516" s="4"/>
      <c r="P516" s="4"/>
      <c r="Q516" s="4"/>
    </row>
    <row r="517" spans="1:17" x14ac:dyDescent="0.2">
      <c r="A517" s="130"/>
      <c r="B517" s="4"/>
      <c r="C517" s="4"/>
      <c r="D517" s="4"/>
      <c r="E517" s="41"/>
      <c r="F517" s="41"/>
      <c r="G517" s="5"/>
      <c r="H517" s="4"/>
      <c r="I517" s="5"/>
      <c r="J517" s="5" t="str">
        <f t="shared" si="27"/>
        <v/>
      </c>
      <c r="K517" s="36"/>
      <c r="L517" s="5" t="str">
        <f t="shared" si="28"/>
        <v/>
      </c>
      <c r="M517" s="5"/>
      <c r="N517" s="5" t="str">
        <f t="shared" si="29"/>
        <v/>
      </c>
      <c r="O517" s="4"/>
      <c r="P517" s="4"/>
      <c r="Q517" s="4"/>
    </row>
    <row r="518" spans="1:17" x14ac:dyDescent="0.2">
      <c r="A518" s="130"/>
      <c r="B518" s="4"/>
      <c r="C518" s="4"/>
      <c r="D518" s="4"/>
      <c r="E518" s="41"/>
      <c r="F518" s="41"/>
      <c r="G518" s="5"/>
      <c r="H518" s="4"/>
      <c r="I518" s="5"/>
      <c r="J518" s="5" t="str">
        <f t="shared" si="27"/>
        <v/>
      </c>
      <c r="K518" s="36"/>
      <c r="L518" s="5" t="str">
        <f t="shared" si="28"/>
        <v/>
      </c>
      <c r="M518" s="5"/>
      <c r="N518" s="5" t="str">
        <f t="shared" si="29"/>
        <v/>
      </c>
      <c r="O518" s="4"/>
      <c r="P518" s="4"/>
      <c r="Q518" s="4"/>
    </row>
    <row r="519" spans="1:17" x14ac:dyDescent="0.2">
      <c r="A519" s="130"/>
      <c r="B519" s="4"/>
      <c r="C519" s="4"/>
      <c r="D519" s="4"/>
      <c r="E519" s="41"/>
      <c r="F519" s="41"/>
      <c r="G519" s="5"/>
      <c r="H519" s="4"/>
      <c r="I519" s="5"/>
      <c r="J519" s="5" t="str">
        <f t="shared" si="27"/>
        <v/>
      </c>
      <c r="K519" s="36"/>
      <c r="L519" s="5" t="str">
        <f t="shared" si="28"/>
        <v/>
      </c>
      <c r="M519" s="5"/>
      <c r="N519" s="5" t="str">
        <f t="shared" si="29"/>
        <v/>
      </c>
      <c r="O519" s="4"/>
      <c r="P519" s="4"/>
      <c r="Q519" s="4"/>
    </row>
    <row r="520" spans="1:17" x14ac:dyDescent="0.2">
      <c r="A520" s="130"/>
      <c r="B520" s="4"/>
      <c r="C520" s="4"/>
      <c r="D520" s="4"/>
      <c r="E520" s="41"/>
      <c r="F520" s="41"/>
      <c r="G520" s="5"/>
      <c r="H520" s="4"/>
      <c r="I520" s="5"/>
      <c r="J520" s="5" t="str">
        <f t="shared" si="27"/>
        <v/>
      </c>
      <c r="K520" s="36"/>
      <c r="L520" s="5" t="str">
        <f t="shared" si="28"/>
        <v/>
      </c>
      <c r="M520" s="5"/>
      <c r="N520" s="5" t="str">
        <f t="shared" si="29"/>
        <v/>
      </c>
      <c r="O520" s="4"/>
      <c r="P520" s="4"/>
      <c r="Q520" s="4"/>
    </row>
    <row r="521" spans="1:17" x14ac:dyDescent="0.2">
      <c r="A521" s="130"/>
      <c r="B521" s="4"/>
      <c r="C521" s="4"/>
      <c r="D521" s="4"/>
      <c r="E521" s="41"/>
      <c r="F521" s="41"/>
      <c r="G521" s="5"/>
      <c r="H521" s="4"/>
      <c r="I521" s="5"/>
      <c r="J521" s="5" t="str">
        <f t="shared" si="27"/>
        <v/>
      </c>
      <c r="K521" s="36"/>
      <c r="L521" s="5" t="str">
        <f t="shared" si="28"/>
        <v/>
      </c>
      <c r="M521" s="5"/>
      <c r="N521" s="5" t="str">
        <f t="shared" si="29"/>
        <v/>
      </c>
      <c r="O521" s="4"/>
      <c r="P521" s="4"/>
      <c r="Q521" s="4"/>
    </row>
    <row r="522" spans="1:17" x14ac:dyDescent="0.2">
      <c r="A522" s="130"/>
      <c r="B522" s="4"/>
      <c r="C522" s="4"/>
      <c r="D522" s="4"/>
      <c r="E522" s="41"/>
      <c r="F522" s="41"/>
      <c r="G522" s="5"/>
      <c r="H522" s="4"/>
      <c r="I522" s="5"/>
      <c r="J522" s="5" t="str">
        <f t="shared" si="27"/>
        <v/>
      </c>
      <c r="K522" s="36"/>
      <c r="L522" s="5" t="str">
        <f t="shared" si="28"/>
        <v/>
      </c>
      <c r="M522" s="5"/>
      <c r="N522" s="5" t="str">
        <f t="shared" si="29"/>
        <v/>
      </c>
      <c r="O522" s="4"/>
      <c r="P522" s="4"/>
      <c r="Q522" s="4"/>
    </row>
    <row r="523" spans="1:17" x14ac:dyDescent="0.2">
      <c r="A523" s="130"/>
      <c r="B523" s="4"/>
      <c r="C523" s="4"/>
      <c r="D523" s="4"/>
      <c r="E523" s="41"/>
      <c r="F523" s="41"/>
      <c r="G523" s="5"/>
      <c r="H523" s="4"/>
      <c r="I523" s="5"/>
      <c r="J523" s="5" t="str">
        <f t="shared" si="27"/>
        <v/>
      </c>
      <c r="K523" s="36"/>
      <c r="L523" s="5" t="str">
        <f t="shared" si="28"/>
        <v/>
      </c>
      <c r="M523" s="5"/>
      <c r="N523" s="5" t="str">
        <f t="shared" si="29"/>
        <v/>
      </c>
      <c r="O523" s="4"/>
      <c r="P523" s="4"/>
      <c r="Q523" s="4"/>
    </row>
    <row r="524" spans="1:17" x14ac:dyDescent="0.2">
      <c r="A524" s="130"/>
      <c r="B524" s="4"/>
      <c r="C524" s="4"/>
      <c r="D524" s="4"/>
      <c r="E524" s="41"/>
      <c r="F524" s="41"/>
      <c r="G524" s="5"/>
      <c r="H524" s="4"/>
      <c r="I524" s="5"/>
      <c r="J524" s="5" t="str">
        <f t="shared" si="27"/>
        <v/>
      </c>
      <c r="K524" s="36"/>
      <c r="L524" s="5" t="str">
        <f t="shared" si="28"/>
        <v/>
      </c>
      <c r="M524" s="5"/>
      <c r="N524" s="5" t="str">
        <f t="shared" si="29"/>
        <v/>
      </c>
      <c r="O524" s="4"/>
      <c r="P524" s="4"/>
      <c r="Q524" s="4"/>
    </row>
    <row r="525" spans="1:17" x14ac:dyDescent="0.2">
      <c r="A525" s="130"/>
      <c r="B525" s="4"/>
      <c r="C525" s="4"/>
      <c r="D525" s="4"/>
      <c r="E525" s="41"/>
      <c r="F525" s="41"/>
      <c r="G525" s="5"/>
      <c r="H525" s="4"/>
      <c r="I525" s="5"/>
      <c r="J525" s="5" t="str">
        <f t="shared" si="27"/>
        <v/>
      </c>
      <c r="K525" s="36"/>
      <c r="L525" s="5" t="str">
        <f t="shared" si="28"/>
        <v/>
      </c>
      <c r="M525" s="5"/>
      <c r="N525" s="5" t="str">
        <f t="shared" si="29"/>
        <v/>
      </c>
      <c r="O525" s="4"/>
      <c r="P525" s="4"/>
      <c r="Q525" s="4"/>
    </row>
    <row r="526" spans="1:17" x14ac:dyDescent="0.2">
      <c r="A526" s="130"/>
      <c r="B526" s="4"/>
      <c r="C526" s="4"/>
      <c r="D526" s="4"/>
      <c r="E526" s="41"/>
      <c r="F526" s="41"/>
      <c r="G526" s="5"/>
      <c r="H526" s="4"/>
      <c r="I526" s="5"/>
      <c r="J526" s="5" t="str">
        <f t="shared" si="27"/>
        <v/>
      </c>
      <c r="K526" s="36"/>
      <c r="L526" s="5" t="str">
        <f t="shared" si="28"/>
        <v/>
      </c>
      <c r="M526" s="5"/>
      <c r="N526" s="5" t="str">
        <f t="shared" si="29"/>
        <v/>
      </c>
      <c r="O526" s="4"/>
      <c r="P526" s="4"/>
      <c r="Q526" s="4"/>
    </row>
    <row r="527" spans="1:17" x14ac:dyDescent="0.2">
      <c r="A527" s="130"/>
      <c r="B527" s="4"/>
      <c r="C527" s="4"/>
      <c r="D527" s="4"/>
      <c r="E527" s="41"/>
      <c r="F527" s="41"/>
      <c r="G527" s="5"/>
      <c r="H527" s="4"/>
      <c r="I527" s="5"/>
      <c r="J527" s="5" t="str">
        <f t="shared" si="27"/>
        <v/>
      </c>
      <c r="K527" s="36"/>
      <c r="L527" s="5" t="str">
        <f t="shared" si="28"/>
        <v/>
      </c>
      <c r="M527" s="5"/>
      <c r="N527" s="5" t="str">
        <f t="shared" si="29"/>
        <v/>
      </c>
      <c r="O527" s="4"/>
      <c r="P527" s="4"/>
      <c r="Q527" s="4"/>
    </row>
    <row r="528" spans="1:17" x14ac:dyDescent="0.2">
      <c r="A528" s="130"/>
      <c r="B528" s="4"/>
      <c r="C528" s="4"/>
      <c r="D528" s="4"/>
      <c r="E528" s="41"/>
      <c r="F528" s="41"/>
      <c r="G528" s="5"/>
      <c r="H528" s="4"/>
      <c r="I528" s="5"/>
      <c r="J528" s="5" t="str">
        <f t="shared" si="27"/>
        <v/>
      </c>
      <c r="K528" s="36"/>
      <c r="L528" s="5" t="str">
        <f t="shared" si="28"/>
        <v/>
      </c>
      <c r="M528" s="5"/>
      <c r="N528" s="5" t="str">
        <f t="shared" si="29"/>
        <v/>
      </c>
      <c r="O528" s="4"/>
      <c r="P528" s="4"/>
      <c r="Q528" s="4"/>
    </row>
    <row r="529" spans="1:17" x14ac:dyDescent="0.2">
      <c r="A529" s="130"/>
      <c r="B529" s="4"/>
      <c r="C529" s="4"/>
      <c r="D529" s="4"/>
      <c r="E529" s="41"/>
      <c r="F529" s="41"/>
      <c r="G529" s="5"/>
      <c r="H529" s="4"/>
      <c r="I529" s="5"/>
      <c r="J529" s="5" t="str">
        <f t="shared" si="27"/>
        <v/>
      </c>
      <c r="K529" s="36"/>
      <c r="L529" s="5" t="str">
        <f t="shared" si="28"/>
        <v/>
      </c>
      <c r="M529" s="5"/>
      <c r="N529" s="5" t="str">
        <f t="shared" si="29"/>
        <v/>
      </c>
      <c r="O529" s="4"/>
      <c r="P529" s="4"/>
      <c r="Q529" s="4"/>
    </row>
    <row r="530" spans="1:17" x14ac:dyDescent="0.2">
      <c r="A530" s="130"/>
      <c r="B530" s="4"/>
      <c r="C530" s="4"/>
      <c r="D530" s="4"/>
      <c r="E530" s="41"/>
      <c r="F530" s="41"/>
      <c r="G530" s="5"/>
      <c r="H530" s="4"/>
      <c r="I530" s="5"/>
      <c r="J530" s="5" t="str">
        <f t="shared" si="27"/>
        <v/>
      </c>
      <c r="K530" s="36"/>
      <c r="L530" s="5" t="str">
        <f t="shared" si="28"/>
        <v/>
      </c>
      <c r="M530" s="5"/>
      <c r="N530" s="5" t="str">
        <f t="shared" si="29"/>
        <v/>
      </c>
      <c r="O530" s="4"/>
      <c r="P530" s="4"/>
      <c r="Q530" s="4"/>
    </row>
    <row r="531" spans="1:17" x14ac:dyDescent="0.2">
      <c r="A531" s="130"/>
      <c r="B531" s="4"/>
      <c r="C531" s="4"/>
      <c r="D531" s="4"/>
      <c r="E531" s="41"/>
      <c r="F531" s="41"/>
      <c r="G531" s="5"/>
      <c r="H531" s="4"/>
      <c r="I531" s="5"/>
      <c r="J531" s="5" t="str">
        <f t="shared" si="27"/>
        <v/>
      </c>
      <c r="K531" s="36"/>
      <c r="L531" s="5" t="str">
        <f t="shared" si="28"/>
        <v/>
      </c>
      <c r="M531" s="5"/>
      <c r="N531" s="5" t="str">
        <f t="shared" si="29"/>
        <v/>
      </c>
      <c r="O531" s="4"/>
      <c r="P531" s="4"/>
      <c r="Q531" s="4"/>
    </row>
    <row r="532" spans="1:17" x14ac:dyDescent="0.2">
      <c r="A532" s="130"/>
      <c r="B532" s="4"/>
      <c r="C532" s="4"/>
      <c r="D532" s="4"/>
      <c r="E532" s="41"/>
      <c r="F532" s="41"/>
      <c r="G532" s="5"/>
      <c r="H532" s="4"/>
      <c r="I532" s="5"/>
      <c r="J532" s="5" t="str">
        <f t="shared" si="27"/>
        <v/>
      </c>
      <c r="K532" s="36"/>
      <c r="L532" s="5" t="str">
        <f t="shared" si="28"/>
        <v/>
      </c>
      <c r="M532" s="5"/>
      <c r="N532" s="5" t="str">
        <f t="shared" si="29"/>
        <v/>
      </c>
      <c r="O532" s="4"/>
      <c r="P532" s="4"/>
      <c r="Q532" s="4"/>
    </row>
    <row r="533" spans="1:17" x14ac:dyDescent="0.2">
      <c r="A533" s="130"/>
      <c r="B533" s="4"/>
      <c r="C533" s="4"/>
      <c r="D533" s="4"/>
      <c r="E533" s="41"/>
      <c r="F533" s="41"/>
      <c r="G533" s="5"/>
      <c r="H533" s="4"/>
      <c r="I533" s="5"/>
      <c r="J533" s="5" t="str">
        <f t="shared" si="27"/>
        <v/>
      </c>
      <c r="K533" s="36"/>
      <c r="L533" s="5" t="str">
        <f t="shared" si="28"/>
        <v/>
      </c>
      <c r="M533" s="5"/>
      <c r="N533" s="5" t="str">
        <f t="shared" si="29"/>
        <v/>
      </c>
      <c r="O533" s="4"/>
      <c r="P533" s="4"/>
      <c r="Q533" s="4"/>
    </row>
    <row r="534" spans="1:17" x14ac:dyDescent="0.2">
      <c r="A534" s="130"/>
      <c r="B534" s="4"/>
      <c r="C534" s="4"/>
      <c r="D534" s="4"/>
      <c r="E534" s="41"/>
      <c r="F534" s="41"/>
      <c r="G534" s="5"/>
      <c r="H534" s="4"/>
      <c r="I534" s="5"/>
      <c r="J534" s="5" t="str">
        <f t="shared" si="27"/>
        <v/>
      </c>
      <c r="K534" s="36"/>
      <c r="L534" s="5" t="str">
        <f t="shared" si="28"/>
        <v/>
      </c>
      <c r="M534" s="5"/>
      <c r="N534" s="5" t="str">
        <f t="shared" si="29"/>
        <v/>
      </c>
      <c r="O534" s="4"/>
      <c r="P534" s="4"/>
      <c r="Q534" s="4"/>
    </row>
    <row r="535" spans="1:17" x14ac:dyDescent="0.2">
      <c r="A535" s="130"/>
      <c r="B535" s="4"/>
      <c r="C535" s="4"/>
      <c r="D535" s="4"/>
      <c r="E535" s="41"/>
      <c r="F535" s="41"/>
      <c r="G535" s="5"/>
      <c r="H535" s="4"/>
      <c r="I535" s="5"/>
      <c r="J535" s="5" t="str">
        <f t="shared" si="27"/>
        <v/>
      </c>
      <c r="K535" s="36"/>
      <c r="L535" s="5" t="str">
        <f t="shared" si="28"/>
        <v/>
      </c>
      <c r="M535" s="5"/>
      <c r="N535" s="5" t="str">
        <f t="shared" si="29"/>
        <v/>
      </c>
      <c r="O535" s="4"/>
      <c r="P535" s="4"/>
      <c r="Q535" s="4"/>
    </row>
    <row r="536" spans="1:17" x14ac:dyDescent="0.2">
      <c r="A536" s="130"/>
      <c r="B536" s="4"/>
      <c r="C536" s="4"/>
      <c r="D536" s="4"/>
      <c r="E536" s="41"/>
      <c r="F536" s="41"/>
      <c r="G536" s="5"/>
      <c r="H536" s="4"/>
      <c r="I536" s="5"/>
      <c r="J536" s="5" t="str">
        <f t="shared" si="27"/>
        <v/>
      </c>
      <c r="K536" s="36"/>
      <c r="L536" s="5" t="str">
        <f t="shared" si="28"/>
        <v/>
      </c>
      <c r="M536" s="5"/>
      <c r="N536" s="5" t="str">
        <f t="shared" si="29"/>
        <v/>
      </c>
      <c r="O536" s="4"/>
      <c r="P536" s="4"/>
      <c r="Q536" s="4"/>
    </row>
    <row r="537" spans="1:17" x14ac:dyDescent="0.2">
      <c r="A537" s="130"/>
      <c r="B537" s="4"/>
      <c r="C537" s="4"/>
      <c r="D537" s="4"/>
      <c r="E537" s="41"/>
      <c r="F537" s="41"/>
      <c r="G537" s="5"/>
      <c r="H537" s="4"/>
      <c r="I537" s="5"/>
      <c r="J537" s="5" t="str">
        <f t="shared" si="27"/>
        <v/>
      </c>
      <c r="K537" s="36"/>
      <c r="L537" s="5" t="str">
        <f t="shared" si="28"/>
        <v/>
      </c>
      <c r="M537" s="5"/>
      <c r="N537" s="5" t="str">
        <f t="shared" si="29"/>
        <v/>
      </c>
      <c r="O537" s="4"/>
      <c r="P537" s="4"/>
      <c r="Q537" s="4"/>
    </row>
    <row r="538" spans="1:17" x14ac:dyDescent="0.2">
      <c r="A538" s="130"/>
      <c r="B538" s="4"/>
      <c r="C538" s="4"/>
      <c r="D538" s="4"/>
      <c r="E538" s="41"/>
      <c r="F538" s="41"/>
      <c r="G538" s="5"/>
      <c r="H538" s="4"/>
      <c r="I538" s="5"/>
      <c r="J538" s="5" t="str">
        <f t="shared" ref="J538:J601" si="30">IF($D538="","",IF($H538="FIXED",$I538,($E538*FAT_MULT)+($F538*SNF_MULT)+$G538))</f>
        <v/>
      </c>
      <c r="K538" s="36"/>
      <c r="L538" s="5" t="str">
        <f t="shared" ref="L538:L601" si="31">IF($K538="","",$K538*$J538)</f>
        <v/>
      </c>
      <c r="M538" s="5"/>
      <c r="N538" s="5" t="str">
        <f t="shared" ref="N538:N601" si="32">IF($K538="","",$L538+$M538)</f>
        <v/>
      </c>
      <c r="O538" s="4"/>
      <c r="P538" s="4"/>
      <c r="Q538" s="4"/>
    </row>
    <row r="539" spans="1:17" x14ac:dyDescent="0.2">
      <c r="A539" s="130"/>
      <c r="B539" s="4"/>
      <c r="C539" s="4"/>
      <c r="D539" s="4"/>
      <c r="E539" s="41"/>
      <c r="F539" s="41"/>
      <c r="G539" s="5"/>
      <c r="H539" s="4"/>
      <c r="I539" s="5"/>
      <c r="J539" s="5" t="str">
        <f t="shared" si="30"/>
        <v/>
      </c>
      <c r="K539" s="36"/>
      <c r="L539" s="5" t="str">
        <f t="shared" si="31"/>
        <v/>
      </c>
      <c r="M539" s="5"/>
      <c r="N539" s="5" t="str">
        <f t="shared" si="32"/>
        <v/>
      </c>
      <c r="O539" s="4"/>
      <c r="P539" s="4"/>
      <c r="Q539" s="4"/>
    </row>
    <row r="540" spans="1:17" x14ac:dyDescent="0.2">
      <c r="A540" s="130"/>
      <c r="B540" s="4"/>
      <c r="C540" s="4"/>
      <c r="D540" s="4"/>
      <c r="E540" s="41"/>
      <c r="F540" s="41"/>
      <c r="G540" s="5"/>
      <c r="H540" s="4"/>
      <c r="I540" s="5"/>
      <c r="J540" s="5" t="str">
        <f t="shared" si="30"/>
        <v/>
      </c>
      <c r="K540" s="36"/>
      <c r="L540" s="5" t="str">
        <f t="shared" si="31"/>
        <v/>
      </c>
      <c r="M540" s="5"/>
      <c r="N540" s="5" t="str">
        <f t="shared" si="32"/>
        <v/>
      </c>
      <c r="O540" s="4"/>
      <c r="P540" s="4"/>
      <c r="Q540" s="4"/>
    </row>
    <row r="541" spans="1:17" x14ac:dyDescent="0.2">
      <c r="A541" s="130"/>
      <c r="B541" s="4"/>
      <c r="C541" s="4"/>
      <c r="D541" s="4"/>
      <c r="E541" s="41"/>
      <c r="F541" s="41"/>
      <c r="G541" s="5"/>
      <c r="H541" s="4"/>
      <c r="I541" s="5"/>
      <c r="J541" s="5" t="str">
        <f t="shared" si="30"/>
        <v/>
      </c>
      <c r="K541" s="36"/>
      <c r="L541" s="5" t="str">
        <f t="shared" si="31"/>
        <v/>
      </c>
      <c r="M541" s="5"/>
      <c r="N541" s="5" t="str">
        <f t="shared" si="32"/>
        <v/>
      </c>
      <c r="O541" s="4"/>
      <c r="P541" s="4"/>
      <c r="Q541" s="4"/>
    </row>
    <row r="542" spans="1:17" x14ac:dyDescent="0.2">
      <c r="A542" s="130"/>
      <c r="B542" s="4"/>
      <c r="C542" s="4"/>
      <c r="D542" s="4"/>
      <c r="E542" s="41"/>
      <c r="F542" s="41"/>
      <c r="G542" s="5"/>
      <c r="H542" s="4"/>
      <c r="I542" s="5"/>
      <c r="J542" s="5" t="str">
        <f t="shared" si="30"/>
        <v/>
      </c>
      <c r="K542" s="36"/>
      <c r="L542" s="5" t="str">
        <f t="shared" si="31"/>
        <v/>
      </c>
      <c r="M542" s="5"/>
      <c r="N542" s="5" t="str">
        <f t="shared" si="32"/>
        <v/>
      </c>
      <c r="O542" s="4"/>
      <c r="P542" s="4"/>
      <c r="Q542" s="4"/>
    </row>
    <row r="543" spans="1:17" x14ac:dyDescent="0.2">
      <c r="A543" s="130"/>
      <c r="B543" s="4"/>
      <c r="C543" s="4"/>
      <c r="D543" s="4"/>
      <c r="E543" s="41"/>
      <c r="F543" s="41"/>
      <c r="G543" s="5"/>
      <c r="H543" s="4"/>
      <c r="I543" s="5"/>
      <c r="J543" s="5" t="str">
        <f t="shared" si="30"/>
        <v/>
      </c>
      <c r="K543" s="36"/>
      <c r="L543" s="5" t="str">
        <f t="shared" si="31"/>
        <v/>
      </c>
      <c r="M543" s="5"/>
      <c r="N543" s="5" t="str">
        <f t="shared" si="32"/>
        <v/>
      </c>
      <c r="O543" s="4"/>
      <c r="P543" s="4"/>
      <c r="Q543" s="4"/>
    </row>
    <row r="544" spans="1:17" x14ac:dyDescent="0.2">
      <c r="A544" s="130"/>
      <c r="B544" s="4"/>
      <c r="C544" s="4"/>
      <c r="D544" s="4"/>
      <c r="E544" s="41"/>
      <c r="F544" s="41"/>
      <c r="G544" s="5"/>
      <c r="H544" s="4"/>
      <c r="I544" s="5"/>
      <c r="J544" s="5" t="str">
        <f t="shared" si="30"/>
        <v/>
      </c>
      <c r="K544" s="36"/>
      <c r="L544" s="5" t="str">
        <f t="shared" si="31"/>
        <v/>
      </c>
      <c r="M544" s="5"/>
      <c r="N544" s="5" t="str">
        <f t="shared" si="32"/>
        <v/>
      </c>
      <c r="O544" s="4"/>
      <c r="P544" s="4"/>
      <c r="Q544" s="4"/>
    </row>
    <row r="545" spans="1:17" x14ac:dyDescent="0.2">
      <c r="A545" s="130"/>
      <c r="B545" s="4"/>
      <c r="C545" s="4"/>
      <c r="D545" s="4"/>
      <c r="E545" s="41"/>
      <c r="F545" s="41"/>
      <c r="G545" s="5"/>
      <c r="H545" s="4"/>
      <c r="I545" s="5"/>
      <c r="J545" s="5" t="str">
        <f t="shared" si="30"/>
        <v/>
      </c>
      <c r="K545" s="36"/>
      <c r="L545" s="5" t="str">
        <f t="shared" si="31"/>
        <v/>
      </c>
      <c r="M545" s="5"/>
      <c r="N545" s="5" t="str">
        <f t="shared" si="32"/>
        <v/>
      </c>
      <c r="O545" s="4"/>
      <c r="P545" s="4"/>
      <c r="Q545" s="4"/>
    </row>
    <row r="546" spans="1:17" x14ac:dyDescent="0.2">
      <c r="A546" s="130"/>
      <c r="B546" s="4"/>
      <c r="C546" s="4"/>
      <c r="D546" s="4"/>
      <c r="E546" s="41"/>
      <c r="F546" s="41"/>
      <c r="G546" s="5"/>
      <c r="H546" s="4"/>
      <c r="I546" s="5"/>
      <c r="J546" s="5" t="str">
        <f t="shared" si="30"/>
        <v/>
      </c>
      <c r="K546" s="36"/>
      <c r="L546" s="5" t="str">
        <f t="shared" si="31"/>
        <v/>
      </c>
      <c r="M546" s="5"/>
      <c r="N546" s="5" t="str">
        <f t="shared" si="32"/>
        <v/>
      </c>
      <c r="O546" s="4"/>
      <c r="P546" s="4"/>
      <c r="Q546" s="4"/>
    </row>
    <row r="547" spans="1:17" x14ac:dyDescent="0.2">
      <c r="A547" s="130"/>
      <c r="B547" s="4"/>
      <c r="C547" s="4"/>
      <c r="D547" s="4"/>
      <c r="E547" s="41"/>
      <c r="F547" s="41"/>
      <c r="G547" s="5"/>
      <c r="H547" s="4"/>
      <c r="I547" s="5"/>
      <c r="J547" s="5" t="str">
        <f t="shared" si="30"/>
        <v/>
      </c>
      <c r="K547" s="36"/>
      <c r="L547" s="5" t="str">
        <f t="shared" si="31"/>
        <v/>
      </c>
      <c r="M547" s="5"/>
      <c r="N547" s="5" t="str">
        <f t="shared" si="32"/>
        <v/>
      </c>
      <c r="O547" s="4"/>
      <c r="P547" s="4"/>
      <c r="Q547" s="4"/>
    </row>
    <row r="548" spans="1:17" x14ac:dyDescent="0.2">
      <c r="A548" s="130"/>
      <c r="B548" s="4"/>
      <c r="C548" s="4"/>
      <c r="D548" s="4"/>
      <c r="E548" s="41"/>
      <c r="F548" s="41"/>
      <c r="G548" s="5"/>
      <c r="H548" s="4"/>
      <c r="I548" s="5"/>
      <c r="J548" s="5" t="str">
        <f t="shared" si="30"/>
        <v/>
      </c>
      <c r="K548" s="36"/>
      <c r="L548" s="5" t="str">
        <f t="shared" si="31"/>
        <v/>
      </c>
      <c r="M548" s="5"/>
      <c r="N548" s="5" t="str">
        <f t="shared" si="32"/>
        <v/>
      </c>
      <c r="O548" s="4"/>
      <c r="P548" s="4"/>
      <c r="Q548" s="4"/>
    </row>
    <row r="549" spans="1:17" x14ac:dyDescent="0.2">
      <c r="A549" s="130"/>
      <c r="B549" s="4"/>
      <c r="C549" s="4"/>
      <c r="D549" s="4"/>
      <c r="E549" s="41"/>
      <c r="F549" s="41"/>
      <c r="G549" s="5"/>
      <c r="H549" s="4"/>
      <c r="I549" s="5"/>
      <c r="J549" s="5" t="str">
        <f t="shared" si="30"/>
        <v/>
      </c>
      <c r="K549" s="36"/>
      <c r="L549" s="5" t="str">
        <f t="shared" si="31"/>
        <v/>
      </c>
      <c r="M549" s="5"/>
      <c r="N549" s="5" t="str">
        <f t="shared" si="32"/>
        <v/>
      </c>
      <c r="O549" s="4"/>
      <c r="P549" s="4"/>
      <c r="Q549" s="4"/>
    </row>
    <row r="550" spans="1:17" x14ac:dyDescent="0.2">
      <c r="A550" s="130"/>
      <c r="B550" s="4"/>
      <c r="C550" s="4"/>
      <c r="D550" s="4"/>
      <c r="E550" s="41"/>
      <c r="F550" s="41"/>
      <c r="G550" s="5"/>
      <c r="H550" s="4"/>
      <c r="I550" s="5"/>
      <c r="J550" s="5" t="str">
        <f t="shared" si="30"/>
        <v/>
      </c>
      <c r="K550" s="36"/>
      <c r="L550" s="5" t="str">
        <f t="shared" si="31"/>
        <v/>
      </c>
      <c r="M550" s="5"/>
      <c r="N550" s="5" t="str">
        <f t="shared" si="32"/>
        <v/>
      </c>
      <c r="O550" s="4"/>
      <c r="P550" s="4"/>
      <c r="Q550" s="4"/>
    </row>
    <row r="551" spans="1:17" x14ac:dyDescent="0.2">
      <c r="A551" s="130"/>
      <c r="B551" s="4"/>
      <c r="C551" s="4"/>
      <c r="D551" s="4"/>
      <c r="E551" s="41"/>
      <c r="F551" s="41"/>
      <c r="G551" s="5"/>
      <c r="H551" s="4"/>
      <c r="I551" s="5"/>
      <c r="J551" s="5" t="str">
        <f t="shared" si="30"/>
        <v/>
      </c>
      <c r="K551" s="36"/>
      <c r="L551" s="5" t="str">
        <f t="shared" si="31"/>
        <v/>
      </c>
      <c r="M551" s="5"/>
      <c r="N551" s="5" t="str">
        <f t="shared" si="32"/>
        <v/>
      </c>
      <c r="O551" s="4"/>
      <c r="P551" s="4"/>
      <c r="Q551" s="4"/>
    </row>
    <row r="552" spans="1:17" x14ac:dyDescent="0.2">
      <c r="A552" s="130"/>
      <c r="B552" s="4"/>
      <c r="C552" s="4"/>
      <c r="D552" s="4"/>
      <c r="E552" s="41"/>
      <c r="F552" s="41"/>
      <c r="G552" s="5"/>
      <c r="H552" s="4"/>
      <c r="I552" s="5"/>
      <c r="J552" s="5" t="str">
        <f t="shared" si="30"/>
        <v/>
      </c>
      <c r="K552" s="36"/>
      <c r="L552" s="5" t="str">
        <f t="shared" si="31"/>
        <v/>
      </c>
      <c r="M552" s="5"/>
      <c r="N552" s="5" t="str">
        <f t="shared" si="32"/>
        <v/>
      </c>
      <c r="O552" s="4"/>
      <c r="P552" s="4"/>
      <c r="Q552" s="4"/>
    </row>
    <row r="553" spans="1:17" x14ac:dyDescent="0.2">
      <c r="A553" s="130"/>
      <c r="B553" s="4"/>
      <c r="C553" s="4"/>
      <c r="D553" s="4"/>
      <c r="E553" s="41"/>
      <c r="F553" s="41"/>
      <c r="G553" s="5"/>
      <c r="H553" s="4"/>
      <c r="I553" s="5"/>
      <c r="J553" s="5" t="str">
        <f t="shared" si="30"/>
        <v/>
      </c>
      <c r="K553" s="36"/>
      <c r="L553" s="5" t="str">
        <f t="shared" si="31"/>
        <v/>
      </c>
      <c r="M553" s="5"/>
      <c r="N553" s="5" t="str">
        <f t="shared" si="32"/>
        <v/>
      </c>
      <c r="O553" s="4"/>
      <c r="P553" s="4"/>
      <c r="Q553" s="4"/>
    </row>
    <row r="554" spans="1:17" x14ac:dyDescent="0.2">
      <c r="A554" s="130"/>
      <c r="B554" s="4"/>
      <c r="C554" s="4"/>
      <c r="D554" s="4"/>
      <c r="E554" s="41"/>
      <c r="F554" s="41"/>
      <c r="G554" s="5"/>
      <c r="H554" s="4"/>
      <c r="I554" s="5"/>
      <c r="J554" s="5" t="str">
        <f t="shared" si="30"/>
        <v/>
      </c>
      <c r="K554" s="36"/>
      <c r="L554" s="5" t="str">
        <f t="shared" si="31"/>
        <v/>
      </c>
      <c r="M554" s="5"/>
      <c r="N554" s="5" t="str">
        <f t="shared" si="32"/>
        <v/>
      </c>
      <c r="O554" s="4"/>
      <c r="P554" s="4"/>
      <c r="Q554" s="4"/>
    </row>
    <row r="555" spans="1:17" x14ac:dyDescent="0.2">
      <c r="A555" s="130"/>
      <c r="B555" s="4"/>
      <c r="C555" s="4"/>
      <c r="D555" s="4"/>
      <c r="E555" s="41"/>
      <c r="F555" s="41"/>
      <c r="G555" s="5"/>
      <c r="H555" s="4"/>
      <c r="I555" s="5"/>
      <c r="J555" s="5" t="str">
        <f t="shared" si="30"/>
        <v/>
      </c>
      <c r="K555" s="36"/>
      <c r="L555" s="5" t="str">
        <f t="shared" si="31"/>
        <v/>
      </c>
      <c r="M555" s="5"/>
      <c r="N555" s="5" t="str">
        <f t="shared" si="32"/>
        <v/>
      </c>
      <c r="O555" s="4"/>
      <c r="P555" s="4"/>
      <c r="Q555" s="4"/>
    </row>
    <row r="556" spans="1:17" x14ac:dyDescent="0.2">
      <c r="A556" s="130"/>
      <c r="B556" s="4"/>
      <c r="C556" s="4"/>
      <c r="D556" s="4"/>
      <c r="E556" s="41"/>
      <c r="F556" s="41"/>
      <c r="G556" s="5"/>
      <c r="H556" s="4"/>
      <c r="I556" s="5"/>
      <c r="J556" s="5" t="str">
        <f t="shared" si="30"/>
        <v/>
      </c>
      <c r="K556" s="36"/>
      <c r="L556" s="5" t="str">
        <f t="shared" si="31"/>
        <v/>
      </c>
      <c r="M556" s="5"/>
      <c r="N556" s="5" t="str">
        <f t="shared" si="32"/>
        <v/>
      </c>
      <c r="O556" s="4"/>
      <c r="P556" s="4"/>
      <c r="Q556" s="4"/>
    </row>
    <row r="557" spans="1:17" x14ac:dyDescent="0.2">
      <c r="A557" s="130"/>
      <c r="B557" s="4"/>
      <c r="C557" s="4"/>
      <c r="D557" s="4"/>
      <c r="E557" s="41"/>
      <c r="F557" s="41"/>
      <c r="G557" s="5"/>
      <c r="H557" s="4"/>
      <c r="I557" s="5"/>
      <c r="J557" s="5" t="str">
        <f t="shared" si="30"/>
        <v/>
      </c>
      <c r="K557" s="36"/>
      <c r="L557" s="5" t="str">
        <f t="shared" si="31"/>
        <v/>
      </c>
      <c r="M557" s="5"/>
      <c r="N557" s="5" t="str">
        <f t="shared" si="32"/>
        <v/>
      </c>
      <c r="O557" s="4"/>
      <c r="P557" s="4"/>
      <c r="Q557" s="4"/>
    </row>
    <row r="558" spans="1:17" x14ac:dyDescent="0.2">
      <c r="A558" s="130"/>
      <c r="B558" s="4"/>
      <c r="C558" s="4"/>
      <c r="D558" s="4"/>
      <c r="E558" s="41"/>
      <c r="F558" s="41"/>
      <c r="G558" s="5"/>
      <c r="H558" s="4"/>
      <c r="I558" s="5"/>
      <c r="J558" s="5" t="str">
        <f t="shared" si="30"/>
        <v/>
      </c>
      <c r="K558" s="36"/>
      <c r="L558" s="5" t="str">
        <f t="shared" si="31"/>
        <v/>
      </c>
      <c r="M558" s="5"/>
      <c r="N558" s="5" t="str">
        <f t="shared" si="32"/>
        <v/>
      </c>
      <c r="O558" s="4"/>
      <c r="P558" s="4"/>
      <c r="Q558" s="4"/>
    </row>
    <row r="559" spans="1:17" x14ac:dyDescent="0.2">
      <c r="A559" s="130"/>
      <c r="B559" s="4"/>
      <c r="C559" s="4"/>
      <c r="D559" s="4"/>
      <c r="E559" s="41"/>
      <c r="F559" s="41"/>
      <c r="G559" s="5"/>
      <c r="H559" s="4"/>
      <c r="I559" s="5"/>
      <c r="J559" s="5" t="str">
        <f t="shared" si="30"/>
        <v/>
      </c>
      <c r="K559" s="36"/>
      <c r="L559" s="5" t="str">
        <f t="shared" si="31"/>
        <v/>
      </c>
      <c r="M559" s="5"/>
      <c r="N559" s="5" t="str">
        <f t="shared" si="32"/>
        <v/>
      </c>
      <c r="O559" s="4"/>
      <c r="P559" s="4"/>
      <c r="Q559" s="4"/>
    </row>
    <row r="560" spans="1:17" x14ac:dyDescent="0.2">
      <c r="A560" s="130"/>
      <c r="B560" s="4"/>
      <c r="C560" s="4"/>
      <c r="D560" s="4"/>
      <c r="E560" s="41"/>
      <c r="F560" s="41"/>
      <c r="G560" s="5"/>
      <c r="H560" s="4"/>
      <c r="I560" s="5"/>
      <c r="J560" s="5" t="str">
        <f t="shared" si="30"/>
        <v/>
      </c>
      <c r="K560" s="36"/>
      <c r="L560" s="5" t="str">
        <f t="shared" si="31"/>
        <v/>
      </c>
      <c r="M560" s="5"/>
      <c r="N560" s="5" t="str">
        <f t="shared" si="32"/>
        <v/>
      </c>
      <c r="O560" s="4"/>
      <c r="P560" s="4"/>
      <c r="Q560" s="4"/>
    </row>
    <row r="561" spans="1:17" x14ac:dyDescent="0.2">
      <c r="A561" s="130"/>
      <c r="B561" s="4"/>
      <c r="C561" s="4"/>
      <c r="D561" s="4"/>
      <c r="E561" s="41"/>
      <c r="F561" s="41"/>
      <c r="G561" s="5"/>
      <c r="H561" s="4"/>
      <c r="I561" s="5"/>
      <c r="J561" s="5" t="str">
        <f t="shared" si="30"/>
        <v/>
      </c>
      <c r="K561" s="36"/>
      <c r="L561" s="5" t="str">
        <f t="shared" si="31"/>
        <v/>
      </c>
      <c r="M561" s="5"/>
      <c r="N561" s="5" t="str">
        <f t="shared" si="32"/>
        <v/>
      </c>
      <c r="O561" s="4"/>
      <c r="P561" s="4"/>
      <c r="Q561" s="4"/>
    </row>
    <row r="562" spans="1:17" x14ac:dyDescent="0.2">
      <c r="A562" s="130"/>
      <c r="B562" s="4"/>
      <c r="C562" s="4"/>
      <c r="D562" s="4"/>
      <c r="E562" s="41"/>
      <c r="F562" s="41"/>
      <c r="G562" s="5"/>
      <c r="H562" s="4"/>
      <c r="I562" s="5"/>
      <c r="J562" s="5" t="str">
        <f t="shared" si="30"/>
        <v/>
      </c>
      <c r="K562" s="36"/>
      <c r="L562" s="5" t="str">
        <f t="shared" si="31"/>
        <v/>
      </c>
      <c r="M562" s="5"/>
      <c r="N562" s="5" t="str">
        <f t="shared" si="32"/>
        <v/>
      </c>
      <c r="O562" s="4"/>
      <c r="P562" s="4"/>
      <c r="Q562" s="4"/>
    </row>
    <row r="563" spans="1:17" x14ac:dyDescent="0.2">
      <c r="A563" s="130"/>
      <c r="B563" s="4"/>
      <c r="C563" s="4"/>
      <c r="D563" s="4"/>
      <c r="E563" s="41"/>
      <c r="F563" s="41"/>
      <c r="G563" s="5"/>
      <c r="H563" s="4"/>
      <c r="I563" s="5"/>
      <c r="J563" s="5" t="str">
        <f t="shared" si="30"/>
        <v/>
      </c>
      <c r="K563" s="36"/>
      <c r="L563" s="5" t="str">
        <f t="shared" si="31"/>
        <v/>
      </c>
      <c r="M563" s="5"/>
      <c r="N563" s="5" t="str">
        <f t="shared" si="32"/>
        <v/>
      </c>
      <c r="O563" s="4"/>
      <c r="P563" s="4"/>
      <c r="Q563" s="4"/>
    </row>
    <row r="564" spans="1:17" x14ac:dyDescent="0.2">
      <c r="A564" s="130"/>
      <c r="B564" s="4"/>
      <c r="C564" s="4"/>
      <c r="D564" s="4"/>
      <c r="E564" s="41"/>
      <c r="F564" s="41"/>
      <c r="G564" s="5"/>
      <c r="H564" s="4"/>
      <c r="I564" s="5"/>
      <c r="J564" s="5" t="str">
        <f t="shared" si="30"/>
        <v/>
      </c>
      <c r="K564" s="36"/>
      <c r="L564" s="5" t="str">
        <f t="shared" si="31"/>
        <v/>
      </c>
      <c r="M564" s="5"/>
      <c r="N564" s="5" t="str">
        <f t="shared" si="32"/>
        <v/>
      </c>
      <c r="O564" s="4"/>
      <c r="P564" s="4"/>
      <c r="Q564" s="4"/>
    </row>
    <row r="565" spans="1:17" x14ac:dyDescent="0.2">
      <c r="A565" s="130"/>
      <c r="B565" s="4"/>
      <c r="C565" s="4"/>
      <c r="D565" s="4"/>
      <c r="E565" s="41"/>
      <c r="F565" s="41"/>
      <c r="G565" s="5"/>
      <c r="H565" s="4"/>
      <c r="I565" s="5"/>
      <c r="J565" s="5" t="str">
        <f t="shared" si="30"/>
        <v/>
      </c>
      <c r="K565" s="36"/>
      <c r="L565" s="5" t="str">
        <f t="shared" si="31"/>
        <v/>
      </c>
      <c r="M565" s="5"/>
      <c r="N565" s="5" t="str">
        <f t="shared" si="32"/>
        <v/>
      </c>
      <c r="O565" s="4"/>
      <c r="P565" s="4"/>
      <c r="Q565" s="4"/>
    </row>
    <row r="566" spans="1:17" x14ac:dyDescent="0.2">
      <c r="A566" s="130"/>
      <c r="B566" s="4"/>
      <c r="C566" s="4"/>
      <c r="D566" s="4"/>
      <c r="E566" s="41"/>
      <c r="F566" s="41"/>
      <c r="G566" s="5"/>
      <c r="H566" s="4"/>
      <c r="I566" s="5"/>
      <c r="J566" s="5" t="str">
        <f t="shared" si="30"/>
        <v/>
      </c>
      <c r="K566" s="36"/>
      <c r="L566" s="5" t="str">
        <f t="shared" si="31"/>
        <v/>
      </c>
      <c r="M566" s="5"/>
      <c r="N566" s="5" t="str">
        <f t="shared" si="32"/>
        <v/>
      </c>
      <c r="O566" s="4"/>
      <c r="P566" s="4"/>
      <c r="Q566" s="4"/>
    </row>
    <row r="567" spans="1:17" x14ac:dyDescent="0.2">
      <c r="A567" s="130"/>
      <c r="B567" s="4"/>
      <c r="C567" s="4"/>
      <c r="D567" s="4"/>
      <c r="E567" s="41"/>
      <c r="F567" s="41"/>
      <c r="G567" s="5"/>
      <c r="H567" s="4"/>
      <c r="I567" s="5"/>
      <c r="J567" s="5" t="str">
        <f t="shared" si="30"/>
        <v/>
      </c>
      <c r="K567" s="36"/>
      <c r="L567" s="5" t="str">
        <f t="shared" si="31"/>
        <v/>
      </c>
      <c r="M567" s="5"/>
      <c r="N567" s="5" t="str">
        <f t="shared" si="32"/>
        <v/>
      </c>
      <c r="O567" s="4"/>
      <c r="P567" s="4"/>
      <c r="Q567" s="4"/>
    </row>
    <row r="568" spans="1:17" x14ac:dyDescent="0.2">
      <c r="A568" s="130"/>
      <c r="B568" s="4"/>
      <c r="C568" s="4"/>
      <c r="D568" s="4"/>
      <c r="E568" s="41"/>
      <c r="F568" s="41"/>
      <c r="G568" s="5"/>
      <c r="H568" s="4"/>
      <c r="I568" s="5"/>
      <c r="J568" s="5" t="str">
        <f t="shared" si="30"/>
        <v/>
      </c>
      <c r="K568" s="36"/>
      <c r="L568" s="5" t="str">
        <f t="shared" si="31"/>
        <v/>
      </c>
      <c r="M568" s="5"/>
      <c r="N568" s="5" t="str">
        <f t="shared" si="32"/>
        <v/>
      </c>
      <c r="O568" s="4"/>
      <c r="P568" s="4"/>
      <c r="Q568" s="4"/>
    </row>
    <row r="569" spans="1:17" x14ac:dyDescent="0.2">
      <c r="A569" s="130"/>
      <c r="B569" s="4"/>
      <c r="C569" s="4"/>
      <c r="D569" s="4"/>
      <c r="E569" s="41"/>
      <c r="F569" s="41"/>
      <c r="G569" s="5"/>
      <c r="H569" s="4"/>
      <c r="I569" s="5"/>
      <c r="J569" s="5" t="str">
        <f t="shared" si="30"/>
        <v/>
      </c>
      <c r="K569" s="36"/>
      <c r="L569" s="5" t="str">
        <f t="shared" si="31"/>
        <v/>
      </c>
      <c r="M569" s="5"/>
      <c r="N569" s="5" t="str">
        <f t="shared" si="32"/>
        <v/>
      </c>
      <c r="O569" s="4"/>
      <c r="P569" s="4"/>
      <c r="Q569" s="4"/>
    </row>
    <row r="570" spans="1:17" x14ac:dyDescent="0.2">
      <c r="A570" s="130"/>
      <c r="B570" s="4"/>
      <c r="C570" s="4"/>
      <c r="D570" s="4"/>
      <c r="E570" s="41"/>
      <c r="F570" s="41"/>
      <c r="G570" s="5"/>
      <c r="H570" s="4"/>
      <c r="I570" s="5"/>
      <c r="J570" s="5" t="str">
        <f t="shared" si="30"/>
        <v/>
      </c>
      <c r="K570" s="36"/>
      <c r="L570" s="5" t="str">
        <f t="shared" si="31"/>
        <v/>
      </c>
      <c r="M570" s="5"/>
      <c r="N570" s="5" t="str">
        <f t="shared" si="32"/>
        <v/>
      </c>
      <c r="O570" s="4"/>
      <c r="P570" s="4"/>
      <c r="Q570" s="4"/>
    </row>
    <row r="571" spans="1:17" x14ac:dyDescent="0.2">
      <c r="A571" s="130"/>
      <c r="B571" s="4"/>
      <c r="C571" s="4"/>
      <c r="D571" s="4"/>
      <c r="E571" s="41"/>
      <c r="F571" s="41"/>
      <c r="G571" s="5"/>
      <c r="H571" s="4"/>
      <c r="I571" s="5"/>
      <c r="J571" s="5" t="str">
        <f t="shared" si="30"/>
        <v/>
      </c>
      <c r="K571" s="36"/>
      <c r="L571" s="5" t="str">
        <f t="shared" si="31"/>
        <v/>
      </c>
      <c r="M571" s="5"/>
      <c r="N571" s="5" t="str">
        <f t="shared" si="32"/>
        <v/>
      </c>
      <c r="O571" s="4"/>
      <c r="P571" s="4"/>
      <c r="Q571" s="4"/>
    </row>
    <row r="572" spans="1:17" x14ac:dyDescent="0.2">
      <c r="A572" s="130"/>
      <c r="B572" s="4"/>
      <c r="C572" s="4"/>
      <c r="D572" s="4"/>
      <c r="E572" s="41"/>
      <c r="F572" s="41"/>
      <c r="G572" s="5"/>
      <c r="H572" s="4"/>
      <c r="I572" s="5"/>
      <c r="J572" s="5" t="str">
        <f t="shared" si="30"/>
        <v/>
      </c>
      <c r="K572" s="36"/>
      <c r="L572" s="5" t="str">
        <f t="shared" si="31"/>
        <v/>
      </c>
      <c r="M572" s="5"/>
      <c r="N572" s="5" t="str">
        <f t="shared" si="32"/>
        <v/>
      </c>
      <c r="O572" s="4"/>
      <c r="P572" s="4"/>
      <c r="Q572" s="4"/>
    </row>
    <row r="573" spans="1:17" x14ac:dyDescent="0.2">
      <c r="A573" s="130"/>
      <c r="B573" s="4"/>
      <c r="C573" s="4"/>
      <c r="D573" s="4"/>
      <c r="E573" s="41"/>
      <c r="F573" s="41"/>
      <c r="G573" s="5"/>
      <c r="H573" s="4"/>
      <c r="I573" s="5"/>
      <c r="J573" s="5" t="str">
        <f t="shared" si="30"/>
        <v/>
      </c>
      <c r="K573" s="36"/>
      <c r="L573" s="5" t="str">
        <f t="shared" si="31"/>
        <v/>
      </c>
      <c r="M573" s="5"/>
      <c r="N573" s="5" t="str">
        <f t="shared" si="32"/>
        <v/>
      </c>
      <c r="O573" s="4"/>
      <c r="P573" s="4"/>
      <c r="Q573" s="4"/>
    </row>
    <row r="574" spans="1:17" x14ac:dyDescent="0.2">
      <c r="A574" s="130"/>
      <c r="B574" s="4"/>
      <c r="C574" s="4"/>
      <c r="D574" s="4"/>
      <c r="E574" s="41"/>
      <c r="F574" s="41"/>
      <c r="G574" s="5"/>
      <c r="H574" s="4"/>
      <c r="I574" s="5"/>
      <c r="J574" s="5" t="str">
        <f t="shared" si="30"/>
        <v/>
      </c>
      <c r="K574" s="36"/>
      <c r="L574" s="5" t="str">
        <f t="shared" si="31"/>
        <v/>
      </c>
      <c r="M574" s="5"/>
      <c r="N574" s="5" t="str">
        <f t="shared" si="32"/>
        <v/>
      </c>
      <c r="O574" s="4"/>
      <c r="P574" s="4"/>
      <c r="Q574" s="4"/>
    </row>
    <row r="575" spans="1:17" x14ac:dyDescent="0.2">
      <c r="A575" s="130"/>
      <c r="B575" s="4"/>
      <c r="C575" s="4"/>
      <c r="D575" s="4"/>
      <c r="E575" s="41"/>
      <c r="F575" s="41"/>
      <c r="G575" s="5"/>
      <c r="H575" s="4"/>
      <c r="I575" s="5"/>
      <c r="J575" s="5" t="str">
        <f t="shared" si="30"/>
        <v/>
      </c>
      <c r="K575" s="36"/>
      <c r="L575" s="5" t="str">
        <f t="shared" si="31"/>
        <v/>
      </c>
      <c r="M575" s="5"/>
      <c r="N575" s="5" t="str">
        <f t="shared" si="32"/>
        <v/>
      </c>
      <c r="O575" s="4"/>
      <c r="P575" s="4"/>
      <c r="Q575" s="4"/>
    </row>
    <row r="576" spans="1:17" x14ac:dyDescent="0.2">
      <c r="A576" s="130"/>
      <c r="B576" s="4"/>
      <c r="C576" s="4"/>
      <c r="D576" s="4"/>
      <c r="E576" s="41"/>
      <c r="F576" s="41"/>
      <c r="G576" s="5"/>
      <c r="H576" s="4"/>
      <c r="I576" s="5"/>
      <c r="J576" s="5" t="str">
        <f t="shared" si="30"/>
        <v/>
      </c>
      <c r="K576" s="36"/>
      <c r="L576" s="5" t="str">
        <f t="shared" si="31"/>
        <v/>
      </c>
      <c r="M576" s="5"/>
      <c r="N576" s="5" t="str">
        <f t="shared" si="32"/>
        <v/>
      </c>
      <c r="O576" s="4"/>
      <c r="P576" s="4"/>
      <c r="Q576" s="4"/>
    </row>
    <row r="577" spans="1:17" x14ac:dyDescent="0.2">
      <c r="A577" s="130"/>
      <c r="B577" s="4"/>
      <c r="C577" s="4"/>
      <c r="D577" s="4"/>
      <c r="E577" s="41"/>
      <c r="F577" s="41"/>
      <c r="G577" s="5"/>
      <c r="H577" s="4"/>
      <c r="I577" s="5"/>
      <c r="J577" s="5" t="str">
        <f t="shared" si="30"/>
        <v/>
      </c>
      <c r="K577" s="36"/>
      <c r="L577" s="5" t="str">
        <f t="shared" si="31"/>
        <v/>
      </c>
      <c r="M577" s="5"/>
      <c r="N577" s="5" t="str">
        <f t="shared" si="32"/>
        <v/>
      </c>
      <c r="O577" s="4"/>
      <c r="P577" s="4"/>
      <c r="Q577" s="4"/>
    </row>
    <row r="578" spans="1:17" x14ac:dyDescent="0.2">
      <c r="A578" s="130"/>
      <c r="B578" s="4"/>
      <c r="C578" s="4"/>
      <c r="D578" s="4"/>
      <c r="E578" s="41"/>
      <c r="F578" s="41"/>
      <c r="G578" s="5"/>
      <c r="H578" s="4"/>
      <c r="I578" s="5"/>
      <c r="J578" s="5" t="str">
        <f t="shared" si="30"/>
        <v/>
      </c>
      <c r="K578" s="36"/>
      <c r="L578" s="5" t="str">
        <f t="shared" si="31"/>
        <v/>
      </c>
      <c r="M578" s="5"/>
      <c r="N578" s="5" t="str">
        <f t="shared" si="32"/>
        <v/>
      </c>
      <c r="O578" s="4"/>
      <c r="P578" s="4"/>
      <c r="Q578" s="4"/>
    </row>
    <row r="579" spans="1:17" x14ac:dyDescent="0.2">
      <c r="A579" s="130"/>
      <c r="B579" s="4"/>
      <c r="C579" s="4"/>
      <c r="D579" s="4"/>
      <c r="E579" s="41"/>
      <c r="F579" s="41"/>
      <c r="G579" s="5"/>
      <c r="H579" s="4"/>
      <c r="I579" s="5"/>
      <c r="J579" s="5" t="str">
        <f t="shared" si="30"/>
        <v/>
      </c>
      <c r="K579" s="36"/>
      <c r="L579" s="5" t="str">
        <f t="shared" si="31"/>
        <v/>
      </c>
      <c r="M579" s="5"/>
      <c r="N579" s="5" t="str">
        <f t="shared" si="32"/>
        <v/>
      </c>
      <c r="O579" s="4"/>
      <c r="P579" s="4"/>
      <c r="Q579" s="4"/>
    </row>
    <row r="580" spans="1:17" x14ac:dyDescent="0.2">
      <c r="A580" s="130"/>
      <c r="B580" s="4"/>
      <c r="C580" s="4"/>
      <c r="D580" s="4"/>
      <c r="E580" s="41"/>
      <c r="F580" s="41"/>
      <c r="G580" s="5"/>
      <c r="H580" s="4"/>
      <c r="I580" s="5"/>
      <c r="J580" s="5" t="str">
        <f t="shared" si="30"/>
        <v/>
      </c>
      <c r="K580" s="36"/>
      <c r="L580" s="5" t="str">
        <f t="shared" si="31"/>
        <v/>
      </c>
      <c r="M580" s="5"/>
      <c r="N580" s="5" t="str">
        <f t="shared" si="32"/>
        <v/>
      </c>
      <c r="O580" s="4"/>
      <c r="P580" s="4"/>
      <c r="Q580" s="4"/>
    </row>
    <row r="581" spans="1:17" x14ac:dyDescent="0.2">
      <c r="A581" s="130"/>
      <c r="B581" s="4"/>
      <c r="C581" s="4"/>
      <c r="D581" s="4"/>
      <c r="E581" s="41"/>
      <c r="F581" s="41"/>
      <c r="G581" s="5"/>
      <c r="H581" s="4"/>
      <c r="I581" s="5"/>
      <c r="J581" s="5" t="str">
        <f t="shared" si="30"/>
        <v/>
      </c>
      <c r="K581" s="36"/>
      <c r="L581" s="5" t="str">
        <f t="shared" si="31"/>
        <v/>
      </c>
      <c r="M581" s="5"/>
      <c r="N581" s="5" t="str">
        <f t="shared" si="32"/>
        <v/>
      </c>
      <c r="O581" s="4"/>
      <c r="P581" s="4"/>
      <c r="Q581" s="4"/>
    </row>
    <row r="582" spans="1:17" x14ac:dyDescent="0.2">
      <c r="A582" s="130"/>
      <c r="B582" s="4"/>
      <c r="C582" s="4"/>
      <c r="D582" s="4"/>
      <c r="E582" s="41"/>
      <c r="F582" s="41"/>
      <c r="G582" s="5"/>
      <c r="H582" s="4"/>
      <c r="I582" s="5"/>
      <c r="J582" s="5" t="str">
        <f t="shared" si="30"/>
        <v/>
      </c>
      <c r="K582" s="36"/>
      <c r="L582" s="5" t="str">
        <f t="shared" si="31"/>
        <v/>
      </c>
      <c r="M582" s="5"/>
      <c r="N582" s="5" t="str">
        <f t="shared" si="32"/>
        <v/>
      </c>
      <c r="O582" s="4"/>
      <c r="P582" s="4"/>
      <c r="Q582" s="4"/>
    </row>
    <row r="583" spans="1:17" x14ac:dyDescent="0.2">
      <c r="A583" s="130"/>
      <c r="B583" s="4"/>
      <c r="C583" s="4"/>
      <c r="D583" s="4"/>
      <c r="E583" s="41"/>
      <c r="F583" s="41"/>
      <c r="G583" s="5"/>
      <c r="H583" s="4"/>
      <c r="I583" s="5"/>
      <c r="J583" s="5" t="str">
        <f t="shared" si="30"/>
        <v/>
      </c>
      <c r="K583" s="36"/>
      <c r="L583" s="5" t="str">
        <f t="shared" si="31"/>
        <v/>
      </c>
      <c r="M583" s="5"/>
      <c r="N583" s="5" t="str">
        <f t="shared" si="32"/>
        <v/>
      </c>
      <c r="O583" s="4"/>
      <c r="P583" s="4"/>
      <c r="Q583" s="4"/>
    </row>
    <row r="584" spans="1:17" x14ac:dyDescent="0.2">
      <c r="A584" s="130"/>
      <c r="B584" s="4"/>
      <c r="C584" s="4"/>
      <c r="D584" s="4"/>
      <c r="E584" s="41"/>
      <c r="F584" s="41"/>
      <c r="G584" s="5"/>
      <c r="H584" s="4"/>
      <c r="I584" s="5"/>
      <c r="J584" s="5" t="str">
        <f t="shared" si="30"/>
        <v/>
      </c>
      <c r="K584" s="36"/>
      <c r="L584" s="5" t="str">
        <f t="shared" si="31"/>
        <v/>
      </c>
      <c r="M584" s="5"/>
      <c r="N584" s="5" t="str">
        <f t="shared" si="32"/>
        <v/>
      </c>
      <c r="O584" s="4"/>
      <c r="P584" s="4"/>
      <c r="Q584" s="4"/>
    </row>
    <row r="585" spans="1:17" x14ac:dyDescent="0.2">
      <c r="A585" s="130"/>
      <c r="B585" s="4"/>
      <c r="C585" s="4"/>
      <c r="D585" s="4"/>
      <c r="E585" s="41"/>
      <c r="F585" s="41"/>
      <c r="G585" s="5"/>
      <c r="H585" s="4"/>
      <c r="I585" s="5"/>
      <c r="J585" s="5" t="str">
        <f t="shared" si="30"/>
        <v/>
      </c>
      <c r="K585" s="36"/>
      <c r="L585" s="5" t="str">
        <f t="shared" si="31"/>
        <v/>
      </c>
      <c r="M585" s="5"/>
      <c r="N585" s="5" t="str">
        <f t="shared" si="32"/>
        <v/>
      </c>
      <c r="O585" s="4"/>
      <c r="P585" s="4"/>
      <c r="Q585" s="4"/>
    </row>
    <row r="586" spans="1:17" x14ac:dyDescent="0.2">
      <c r="A586" s="130"/>
      <c r="B586" s="4"/>
      <c r="C586" s="4"/>
      <c r="D586" s="4"/>
      <c r="E586" s="41"/>
      <c r="F586" s="41"/>
      <c r="G586" s="5"/>
      <c r="H586" s="4"/>
      <c r="I586" s="5"/>
      <c r="J586" s="5" t="str">
        <f t="shared" si="30"/>
        <v/>
      </c>
      <c r="K586" s="36"/>
      <c r="L586" s="5" t="str">
        <f t="shared" si="31"/>
        <v/>
      </c>
      <c r="M586" s="5"/>
      <c r="N586" s="5" t="str">
        <f t="shared" si="32"/>
        <v/>
      </c>
      <c r="O586" s="4"/>
      <c r="P586" s="4"/>
      <c r="Q586" s="4"/>
    </row>
    <row r="587" spans="1:17" x14ac:dyDescent="0.2">
      <c r="A587" s="130"/>
      <c r="B587" s="4"/>
      <c r="C587" s="4"/>
      <c r="D587" s="4"/>
      <c r="E587" s="41"/>
      <c r="F587" s="41"/>
      <c r="G587" s="5"/>
      <c r="H587" s="4"/>
      <c r="I587" s="5"/>
      <c r="J587" s="5" t="str">
        <f t="shared" si="30"/>
        <v/>
      </c>
      <c r="K587" s="36"/>
      <c r="L587" s="5" t="str">
        <f t="shared" si="31"/>
        <v/>
      </c>
      <c r="M587" s="5"/>
      <c r="N587" s="5" t="str">
        <f t="shared" si="32"/>
        <v/>
      </c>
      <c r="O587" s="4"/>
      <c r="P587" s="4"/>
      <c r="Q587" s="4"/>
    </row>
    <row r="588" spans="1:17" x14ac:dyDescent="0.2">
      <c r="A588" s="130"/>
      <c r="B588" s="4"/>
      <c r="C588" s="4"/>
      <c r="D588" s="4"/>
      <c r="E588" s="41"/>
      <c r="F588" s="41"/>
      <c r="G588" s="5"/>
      <c r="H588" s="4"/>
      <c r="I588" s="5"/>
      <c r="J588" s="5" t="str">
        <f t="shared" si="30"/>
        <v/>
      </c>
      <c r="K588" s="36"/>
      <c r="L588" s="5" t="str">
        <f t="shared" si="31"/>
        <v/>
      </c>
      <c r="M588" s="5"/>
      <c r="N588" s="5" t="str">
        <f t="shared" si="32"/>
        <v/>
      </c>
      <c r="O588" s="4"/>
      <c r="P588" s="4"/>
      <c r="Q588" s="4"/>
    </row>
    <row r="589" spans="1:17" x14ac:dyDescent="0.2">
      <c r="A589" s="130"/>
      <c r="B589" s="4"/>
      <c r="C589" s="4"/>
      <c r="D589" s="4"/>
      <c r="E589" s="41"/>
      <c r="F589" s="41"/>
      <c r="G589" s="5"/>
      <c r="H589" s="4"/>
      <c r="I589" s="5"/>
      <c r="J589" s="5" t="str">
        <f t="shared" si="30"/>
        <v/>
      </c>
      <c r="K589" s="36"/>
      <c r="L589" s="5" t="str">
        <f t="shared" si="31"/>
        <v/>
      </c>
      <c r="M589" s="5"/>
      <c r="N589" s="5" t="str">
        <f t="shared" si="32"/>
        <v/>
      </c>
      <c r="O589" s="4"/>
      <c r="P589" s="4"/>
      <c r="Q589" s="4"/>
    </row>
    <row r="590" spans="1:17" x14ac:dyDescent="0.2">
      <c r="A590" s="130"/>
      <c r="B590" s="4"/>
      <c r="C590" s="4"/>
      <c r="D590" s="4"/>
      <c r="E590" s="41"/>
      <c r="F590" s="41"/>
      <c r="G590" s="5"/>
      <c r="H590" s="4"/>
      <c r="I590" s="5"/>
      <c r="J590" s="5" t="str">
        <f t="shared" si="30"/>
        <v/>
      </c>
      <c r="K590" s="36"/>
      <c r="L590" s="5" t="str">
        <f t="shared" si="31"/>
        <v/>
      </c>
      <c r="M590" s="5"/>
      <c r="N590" s="5" t="str">
        <f t="shared" si="32"/>
        <v/>
      </c>
      <c r="O590" s="4"/>
      <c r="P590" s="4"/>
      <c r="Q590" s="4"/>
    </row>
    <row r="591" spans="1:17" x14ac:dyDescent="0.2">
      <c r="A591" s="130"/>
      <c r="B591" s="4"/>
      <c r="C591" s="4"/>
      <c r="D591" s="4"/>
      <c r="E591" s="41"/>
      <c r="F591" s="41"/>
      <c r="G591" s="5"/>
      <c r="H591" s="4"/>
      <c r="I591" s="5"/>
      <c r="J591" s="5" t="str">
        <f t="shared" si="30"/>
        <v/>
      </c>
      <c r="K591" s="36"/>
      <c r="L591" s="5" t="str">
        <f t="shared" si="31"/>
        <v/>
      </c>
      <c r="M591" s="5"/>
      <c r="N591" s="5" t="str">
        <f t="shared" si="32"/>
        <v/>
      </c>
      <c r="O591" s="4"/>
      <c r="P591" s="4"/>
      <c r="Q591" s="4"/>
    </row>
    <row r="592" spans="1:17" x14ac:dyDescent="0.2">
      <c r="A592" s="130"/>
      <c r="B592" s="4"/>
      <c r="C592" s="4"/>
      <c r="D592" s="4"/>
      <c r="E592" s="41"/>
      <c r="F592" s="41"/>
      <c r="G592" s="5"/>
      <c r="H592" s="4"/>
      <c r="I592" s="5"/>
      <c r="J592" s="5" t="str">
        <f t="shared" si="30"/>
        <v/>
      </c>
      <c r="K592" s="36"/>
      <c r="L592" s="5" t="str">
        <f t="shared" si="31"/>
        <v/>
      </c>
      <c r="M592" s="5"/>
      <c r="N592" s="5" t="str">
        <f t="shared" si="32"/>
        <v/>
      </c>
      <c r="O592" s="4"/>
      <c r="P592" s="4"/>
      <c r="Q592" s="4"/>
    </row>
    <row r="593" spans="1:17" x14ac:dyDescent="0.2">
      <c r="A593" s="130"/>
      <c r="B593" s="4"/>
      <c r="C593" s="4"/>
      <c r="D593" s="4"/>
      <c r="E593" s="41"/>
      <c r="F593" s="41"/>
      <c r="G593" s="5"/>
      <c r="H593" s="4"/>
      <c r="I593" s="5"/>
      <c r="J593" s="5" t="str">
        <f t="shared" si="30"/>
        <v/>
      </c>
      <c r="K593" s="36"/>
      <c r="L593" s="5" t="str">
        <f t="shared" si="31"/>
        <v/>
      </c>
      <c r="M593" s="5"/>
      <c r="N593" s="5" t="str">
        <f t="shared" si="32"/>
        <v/>
      </c>
      <c r="O593" s="4"/>
      <c r="P593" s="4"/>
      <c r="Q593" s="4"/>
    </row>
    <row r="594" spans="1:17" x14ac:dyDescent="0.2">
      <c r="A594" s="130"/>
      <c r="B594" s="4"/>
      <c r="C594" s="4"/>
      <c r="D594" s="4"/>
      <c r="E594" s="41"/>
      <c r="F594" s="41"/>
      <c r="G594" s="5"/>
      <c r="H594" s="4"/>
      <c r="I594" s="5"/>
      <c r="J594" s="5" t="str">
        <f t="shared" si="30"/>
        <v/>
      </c>
      <c r="K594" s="36"/>
      <c r="L594" s="5" t="str">
        <f t="shared" si="31"/>
        <v/>
      </c>
      <c r="M594" s="5"/>
      <c r="N594" s="5" t="str">
        <f t="shared" si="32"/>
        <v/>
      </c>
      <c r="O594" s="4"/>
      <c r="P594" s="4"/>
      <c r="Q594" s="4"/>
    </row>
    <row r="595" spans="1:17" x14ac:dyDescent="0.2">
      <c r="A595" s="130"/>
      <c r="B595" s="4"/>
      <c r="C595" s="4"/>
      <c r="D595" s="4"/>
      <c r="E595" s="41"/>
      <c r="F595" s="41"/>
      <c r="G595" s="5"/>
      <c r="H595" s="4"/>
      <c r="I595" s="5"/>
      <c r="J595" s="5" t="str">
        <f t="shared" si="30"/>
        <v/>
      </c>
      <c r="K595" s="36"/>
      <c r="L595" s="5" t="str">
        <f t="shared" si="31"/>
        <v/>
      </c>
      <c r="M595" s="5"/>
      <c r="N595" s="5" t="str">
        <f t="shared" si="32"/>
        <v/>
      </c>
      <c r="O595" s="4"/>
      <c r="P595" s="4"/>
      <c r="Q595" s="4"/>
    </row>
    <row r="596" spans="1:17" x14ac:dyDescent="0.2">
      <c r="A596" s="130"/>
      <c r="B596" s="4"/>
      <c r="C596" s="4"/>
      <c r="D596" s="4"/>
      <c r="E596" s="41"/>
      <c r="F596" s="41"/>
      <c r="G596" s="5"/>
      <c r="H596" s="4"/>
      <c r="I596" s="5"/>
      <c r="J596" s="5" t="str">
        <f t="shared" si="30"/>
        <v/>
      </c>
      <c r="K596" s="36"/>
      <c r="L596" s="5" t="str">
        <f t="shared" si="31"/>
        <v/>
      </c>
      <c r="M596" s="5"/>
      <c r="N596" s="5" t="str">
        <f t="shared" si="32"/>
        <v/>
      </c>
      <c r="O596" s="4"/>
      <c r="P596" s="4"/>
      <c r="Q596" s="4"/>
    </row>
    <row r="597" spans="1:17" x14ac:dyDescent="0.2">
      <c r="A597" s="130"/>
      <c r="B597" s="4"/>
      <c r="C597" s="4"/>
      <c r="D597" s="4"/>
      <c r="E597" s="41"/>
      <c r="F597" s="41"/>
      <c r="G597" s="5"/>
      <c r="H597" s="4"/>
      <c r="I597" s="5"/>
      <c r="J597" s="5" t="str">
        <f t="shared" si="30"/>
        <v/>
      </c>
      <c r="K597" s="36"/>
      <c r="L597" s="5" t="str">
        <f t="shared" si="31"/>
        <v/>
      </c>
      <c r="M597" s="5"/>
      <c r="N597" s="5" t="str">
        <f t="shared" si="32"/>
        <v/>
      </c>
      <c r="O597" s="4"/>
      <c r="P597" s="4"/>
      <c r="Q597" s="4"/>
    </row>
    <row r="598" spans="1:17" x14ac:dyDescent="0.2">
      <c r="A598" s="130"/>
      <c r="B598" s="4"/>
      <c r="C598" s="4"/>
      <c r="D598" s="4"/>
      <c r="E598" s="41"/>
      <c r="F598" s="41"/>
      <c r="G598" s="5"/>
      <c r="H598" s="4"/>
      <c r="I598" s="5"/>
      <c r="J598" s="5" t="str">
        <f t="shared" si="30"/>
        <v/>
      </c>
      <c r="K598" s="36"/>
      <c r="L598" s="5" t="str">
        <f t="shared" si="31"/>
        <v/>
      </c>
      <c r="M598" s="5"/>
      <c r="N598" s="5" t="str">
        <f t="shared" si="32"/>
        <v/>
      </c>
      <c r="O598" s="4"/>
      <c r="P598" s="4"/>
      <c r="Q598" s="4"/>
    </row>
    <row r="599" spans="1:17" x14ac:dyDescent="0.2">
      <c r="A599" s="130"/>
      <c r="B599" s="4"/>
      <c r="C599" s="4"/>
      <c r="D599" s="4"/>
      <c r="E599" s="41"/>
      <c r="F599" s="41"/>
      <c r="G599" s="5"/>
      <c r="H599" s="4"/>
      <c r="I599" s="5"/>
      <c r="J599" s="5" t="str">
        <f t="shared" si="30"/>
        <v/>
      </c>
      <c r="K599" s="36"/>
      <c r="L599" s="5" t="str">
        <f t="shared" si="31"/>
        <v/>
      </c>
      <c r="M599" s="5"/>
      <c r="N599" s="5" t="str">
        <f t="shared" si="32"/>
        <v/>
      </c>
      <c r="O599" s="4"/>
      <c r="P599" s="4"/>
      <c r="Q599" s="4"/>
    </row>
    <row r="600" spans="1:17" x14ac:dyDescent="0.2">
      <c r="A600" s="130"/>
      <c r="B600" s="4"/>
      <c r="C600" s="4"/>
      <c r="D600" s="4"/>
      <c r="E600" s="41"/>
      <c r="F600" s="41"/>
      <c r="G600" s="5"/>
      <c r="H600" s="4"/>
      <c r="I600" s="5"/>
      <c r="J600" s="5" t="str">
        <f t="shared" si="30"/>
        <v/>
      </c>
      <c r="K600" s="36"/>
      <c r="L600" s="5" t="str">
        <f t="shared" si="31"/>
        <v/>
      </c>
      <c r="M600" s="5"/>
      <c r="N600" s="5" t="str">
        <f t="shared" si="32"/>
        <v/>
      </c>
      <c r="O600" s="4"/>
      <c r="P600" s="4"/>
      <c r="Q600" s="4"/>
    </row>
    <row r="601" spans="1:17" x14ac:dyDescent="0.2">
      <c r="A601" s="130"/>
      <c r="B601" s="4"/>
      <c r="C601" s="4"/>
      <c r="D601" s="4"/>
      <c r="E601" s="41"/>
      <c r="F601" s="41"/>
      <c r="G601" s="5"/>
      <c r="H601" s="4"/>
      <c r="I601" s="5"/>
      <c r="J601" s="5" t="str">
        <f t="shared" si="30"/>
        <v/>
      </c>
      <c r="K601" s="36"/>
      <c r="L601" s="5" t="str">
        <f t="shared" si="31"/>
        <v/>
      </c>
      <c r="M601" s="5"/>
      <c r="N601" s="5" t="str">
        <f t="shared" si="32"/>
        <v/>
      </c>
      <c r="O601" s="4"/>
      <c r="P601" s="4"/>
      <c r="Q601" s="4"/>
    </row>
    <row r="602" spans="1:17" x14ac:dyDescent="0.2">
      <c r="A602" s="130"/>
      <c r="B602" s="4"/>
      <c r="C602" s="4"/>
      <c r="D602" s="4"/>
      <c r="E602" s="41"/>
      <c r="F602" s="41"/>
      <c r="G602" s="5"/>
      <c r="H602" s="4"/>
      <c r="I602" s="5"/>
      <c r="J602" s="5" t="str">
        <f t="shared" ref="J602:J634" si="33">IF($D602="","",IF($H602="FIXED",$I602,($E602*FAT_MULT)+($F602*SNF_MULT)+$G602))</f>
        <v/>
      </c>
      <c r="K602" s="36"/>
      <c r="L602" s="5" t="str">
        <f t="shared" ref="L602:L634" si="34">IF($K602="","",$K602*$J602)</f>
        <v/>
      </c>
      <c r="M602" s="5"/>
      <c r="N602" s="5" t="str">
        <f t="shared" ref="N602:N634" si="35">IF($K602="","",$L602+$M602)</f>
        <v/>
      </c>
      <c r="O602" s="4"/>
      <c r="P602" s="4"/>
      <c r="Q602" s="4"/>
    </row>
    <row r="603" spans="1:17" x14ac:dyDescent="0.2">
      <c r="A603" s="130"/>
      <c r="B603" s="4"/>
      <c r="C603" s="4"/>
      <c r="D603" s="4"/>
      <c r="E603" s="41"/>
      <c r="F603" s="41"/>
      <c r="G603" s="5"/>
      <c r="H603" s="4"/>
      <c r="I603" s="5"/>
      <c r="J603" s="5" t="str">
        <f t="shared" si="33"/>
        <v/>
      </c>
      <c r="K603" s="36"/>
      <c r="L603" s="5" t="str">
        <f t="shared" si="34"/>
        <v/>
      </c>
      <c r="M603" s="5"/>
      <c r="N603" s="5" t="str">
        <f t="shared" si="35"/>
        <v/>
      </c>
      <c r="O603" s="4"/>
      <c r="P603" s="4"/>
      <c r="Q603" s="4"/>
    </row>
    <row r="604" spans="1:17" x14ac:dyDescent="0.2">
      <c r="A604" s="130"/>
      <c r="B604" s="4"/>
      <c r="C604" s="4"/>
      <c r="D604" s="4"/>
      <c r="E604" s="41"/>
      <c r="F604" s="41"/>
      <c r="G604" s="5"/>
      <c r="H604" s="4"/>
      <c r="I604" s="5"/>
      <c r="J604" s="5" t="str">
        <f t="shared" si="33"/>
        <v/>
      </c>
      <c r="K604" s="36"/>
      <c r="L604" s="5" t="str">
        <f t="shared" si="34"/>
        <v/>
      </c>
      <c r="M604" s="5"/>
      <c r="N604" s="5" t="str">
        <f t="shared" si="35"/>
        <v/>
      </c>
      <c r="O604" s="4"/>
      <c r="P604" s="4"/>
      <c r="Q604" s="4"/>
    </row>
    <row r="605" spans="1:17" x14ac:dyDescent="0.2">
      <c r="A605" s="130"/>
      <c r="B605" s="4"/>
      <c r="C605" s="4"/>
      <c r="D605" s="4"/>
      <c r="E605" s="41"/>
      <c r="F605" s="41"/>
      <c r="G605" s="5"/>
      <c r="H605" s="4"/>
      <c r="I605" s="5"/>
      <c r="J605" s="5" t="str">
        <f t="shared" si="33"/>
        <v/>
      </c>
      <c r="K605" s="36"/>
      <c r="L605" s="5" t="str">
        <f t="shared" si="34"/>
        <v/>
      </c>
      <c r="M605" s="5"/>
      <c r="N605" s="5" t="str">
        <f t="shared" si="35"/>
        <v/>
      </c>
      <c r="O605" s="4"/>
      <c r="P605" s="4"/>
      <c r="Q605" s="4"/>
    </row>
    <row r="606" spans="1:17" x14ac:dyDescent="0.2">
      <c r="A606" s="130"/>
      <c r="B606" s="4"/>
      <c r="C606" s="4"/>
      <c r="D606" s="4"/>
      <c r="E606" s="41"/>
      <c r="F606" s="41"/>
      <c r="G606" s="5"/>
      <c r="H606" s="4"/>
      <c r="I606" s="5"/>
      <c r="J606" s="5" t="str">
        <f t="shared" si="33"/>
        <v/>
      </c>
      <c r="K606" s="36"/>
      <c r="L606" s="5" t="str">
        <f t="shared" si="34"/>
        <v/>
      </c>
      <c r="M606" s="5"/>
      <c r="N606" s="5" t="str">
        <f t="shared" si="35"/>
        <v/>
      </c>
      <c r="O606" s="4"/>
      <c r="P606" s="4"/>
      <c r="Q606" s="4"/>
    </row>
    <row r="607" spans="1:17" x14ac:dyDescent="0.2">
      <c r="A607" s="130"/>
      <c r="B607" s="4"/>
      <c r="C607" s="4"/>
      <c r="D607" s="4"/>
      <c r="E607" s="41"/>
      <c r="F607" s="41"/>
      <c r="G607" s="5"/>
      <c r="H607" s="4"/>
      <c r="I607" s="5"/>
      <c r="J607" s="5" t="str">
        <f t="shared" si="33"/>
        <v/>
      </c>
      <c r="K607" s="36"/>
      <c r="L607" s="5" t="str">
        <f t="shared" si="34"/>
        <v/>
      </c>
      <c r="M607" s="5"/>
      <c r="N607" s="5" t="str">
        <f t="shared" si="35"/>
        <v/>
      </c>
      <c r="O607" s="4"/>
      <c r="P607" s="4"/>
      <c r="Q607" s="4"/>
    </row>
    <row r="608" spans="1:17" x14ac:dyDescent="0.2">
      <c r="A608" s="130"/>
      <c r="B608" s="4"/>
      <c r="C608" s="4"/>
      <c r="D608" s="4"/>
      <c r="E608" s="41"/>
      <c r="F608" s="41"/>
      <c r="G608" s="5"/>
      <c r="H608" s="4"/>
      <c r="I608" s="5"/>
      <c r="J608" s="5" t="str">
        <f t="shared" si="33"/>
        <v/>
      </c>
      <c r="K608" s="36"/>
      <c r="L608" s="5" t="str">
        <f t="shared" si="34"/>
        <v/>
      </c>
      <c r="M608" s="5"/>
      <c r="N608" s="5" t="str">
        <f t="shared" si="35"/>
        <v/>
      </c>
      <c r="O608" s="4"/>
      <c r="P608" s="4"/>
      <c r="Q608" s="4"/>
    </row>
    <row r="609" spans="1:17" x14ac:dyDescent="0.2">
      <c r="A609" s="130"/>
      <c r="B609" s="4"/>
      <c r="C609" s="4"/>
      <c r="D609" s="4"/>
      <c r="E609" s="41"/>
      <c r="F609" s="41"/>
      <c r="G609" s="5"/>
      <c r="H609" s="4"/>
      <c r="I609" s="5"/>
      <c r="J609" s="5" t="str">
        <f t="shared" si="33"/>
        <v/>
      </c>
      <c r="K609" s="36"/>
      <c r="L609" s="5" t="str">
        <f t="shared" si="34"/>
        <v/>
      </c>
      <c r="M609" s="5"/>
      <c r="N609" s="5" t="str">
        <f t="shared" si="35"/>
        <v/>
      </c>
      <c r="O609" s="4"/>
      <c r="P609" s="4"/>
      <c r="Q609" s="4"/>
    </row>
    <row r="610" spans="1:17" x14ac:dyDescent="0.2">
      <c r="A610" s="130"/>
      <c r="B610" s="4"/>
      <c r="C610" s="4"/>
      <c r="D610" s="4"/>
      <c r="E610" s="41"/>
      <c r="F610" s="41"/>
      <c r="G610" s="5"/>
      <c r="H610" s="4"/>
      <c r="I610" s="5"/>
      <c r="J610" s="5" t="str">
        <f t="shared" si="33"/>
        <v/>
      </c>
      <c r="K610" s="36"/>
      <c r="L610" s="5" t="str">
        <f t="shared" si="34"/>
        <v/>
      </c>
      <c r="M610" s="5"/>
      <c r="N610" s="5" t="str">
        <f t="shared" si="35"/>
        <v/>
      </c>
      <c r="O610" s="4"/>
      <c r="P610" s="4"/>
      <c r="Q610" s="4"/>
    </row>
    <row r="611" spans="1:17" x14ac:dyDescent="0.2">
      <c r="A611" s="130"/>
      <c r="B611" s="4"/>
      <c r="C611" s="4"/>
      <c r="D611" s="4"/>
      <c r="E611" s="41"/>
      <c r="F611" s="41"/>
      <c r="G611" s="5"/>
      <c r="H611" s="4"/>
      <c r="I611" s="5"/>
      <c r="J611" s="5" t="str">
        <f t="shared" si="33"/>
        <v/>
      </c>
      <c r="K611" s="36"/>
      <c r="L611" s="5" t="str">
        <f t="shared" si="34"/>
        <v/>
      </c>
      <c r="M611" s="5"/>
      <c r="N611" s="5" t="str">
        <f t="shared" si="35"/>
        <v/>
      </c>
      <c r="O611" s="4"/>
      <c r="P611" s="4"/>
      <c r="Q611" s="4"/>
    </row>
    <row r="612" spans="1:17" x14ac:dyDescent="0.2">
      <c r="A612" s="130"/>
      <c r="B612" s="4"/>
      <c r="C612" s="4"/>
      <c r="D612" s="4"/>
      <c r="E612" s="41"/>
      <c r="F612" s="41"/>
      <c r="G612" s="5"/>
      <c r="H612" s="4"/>
      <c r="I612" s="5"/>
      <c r="J612" s="5" t="str">
        <f t="shared" si="33"/>
        <v/>
      </c>
      <c r="K612" s="36"/>
      <c r="L612" s="5" t="str">
        <f t="shared" si="34"/>
        <v/>
      </c>
      <c r="M612" s="5"/>
      <c r="N612" s="5" t="str">
        <f t="shared" si="35"/>
        <v/>
      </c>
      <c r="O612" s="4"/>
      <c r="P612" s="4"/>
      <c r="Q612" s="4"/>
    </row>
    <row r="613" spans="1:17" x14ac:dyDescent="0.2">
      <c r="A613" s="130"/>
      <c r="B613" s="4"/>
      <c r="C613" s="4"/>
      <c r="D613" s="4"/>
      <c r="E613" s="41"/>
      <c r="F613" s="41"/>
      <c r="G613" s="5"/>
      <c r="H613" s="4"/>
      <c r="I613" s="5"/>
      <c r="J613" s="5" t="str">
        <f t="shared" si="33"/>
        <v/>
      </c>
      <c r="K613" s="36"/>
      <c r="L613" s="5" t="str">
        <f t="shared" si="34"/>
        <v/>
      </c>
      <c r="M613" s="5"/>
      <c r="N613" s="5" t="str">
        <f t="shared" si="35"/>
        <v/>
      </c>
      <c r="O613" s="4"/>
      <c r="P613" s="4"/>
      <c r="Q613" s="4"/>
    </row>
    <row r="614" spans="1:17" x14ac:dyDescent="0.2">
      <c r="A614" s="130"/>
      <c r="B614" s="4"/>
      <c r="C614" s="4"/>
      <c r="D614" s="4"/>
      <c r="E614" s="41"/>
      <c r="F614" s="41"/>
      <c r="G614" s="5"/>
      <c r="H614" s="4"/>
      <c r="I614" s="5"/>
      <c r="J614" s="5" t="str">
        <f t="shared" si="33"/>
        <v/>
      </c>
      <c r="K614" s="36"/>
      <c r="L614" s="5" t="str">
        <f t="shared" si="34"/>
        <v/>
      </c>
      <c r="M614" s="5"/>
      <c r="N614" s="5" t="str">
        <f t="shared" si="35"/>
        <v/>
      </c>
      <c r="O614" s="4"/>
      <c r="P614" s="4"/>
      <c r="Q614" s="4"/>
    </row>
    <row r="615" spans="1:17" x14ac:dyDescent="0.2">
      <c r="A615" s="130"/>
      <c r="B615" s="4"/>
      <c r="C615" s="4"/>
      <c r="D615" s="4"/>
      <c r="E615" s="41"/>
      <c r="F615" s="41"/>
      <c r="G615" s="5"/>
      <c r="H615" s="4"/>
      <c r="I615" s="5"/>
      <c r="J615" s="5" t="str">
        <f t="shared" si="33"/>
        <v/>
      </c>
      <c r="K615" s="36"/>
      <c r="L615" s="5" t="str">
        <f t="shared" si="34"/>
        <v/>
      </c>
      <c r="M615" s="5"/>
      <c r="N615" s="5" t="str">
        <f t="shared" si="35"/>
        <v/>
      </c>
      <c r="O615" s="4"/>
      <c r="P615" s="4"/>
      <c r="Q615" s="4"/>
    </row>
    <row r="616" spans="1:17" x14ac:dyDescent="0.2">
      <c r="A616" s="130"/>
      <c r="B616" s="4"/>
      <c r="C616" s="4"/>
      <c r="D616" s="4"/>
      <c r="E616" s="41"/>
      <c r="F616" s="41"/>
      <c r="G616" s="5"/>
      <c r="H616" s="4"/>
      <c r="I616" s="5"/>
      <c r="J616" s="5" t="str">
        <f t="shared" si="33"/>
        <v/>
      </c>
      <c r="K616" s="36"/>
      <c r="L616" s="5" t="str">
        <f t="shared" si="34"/>
        <v/>
      </c>
      <c r="M616" s="5"/>
      <c r="N616" s="5" t="str">
        <f t="shared" si="35"/>
        <v/>
      </c>
      <c r="O616" s="4"/>
      <c r="P616" s="4"/>
      <c r="Q616" s="4"/>
    </row>
    <row r="617" spans="1:17" x14ac:dyDescent="0.2">
      <c r="A617" s="130"/>
      <c r="B617" s="4"/>
      <c r="C617" s="4"/>
      <c r="D617" s="4"/>
      <c r="E617" s="41"/>
      <c r="F617" s="41"/>
      <c r="G617" s="5"/>
      <c r="H617" s="4"/>
      <c r="I617" s="5"/>
      <c r="J617" s="5" t="str">
        <f t="shared" si="33"/>
        <v/>
      </c>
      <c r="K617" s="36"/>
      <c r="L617" s="5" t="str">
        <f t="shared" si="34"/>
        <v/>
      </c>
      <c r="M617" s="5"/>
      <c r="N617" s="5" t="str">
        <f t="shared" si="35"/>
        <v/>
      </c>
      <c r="O617" s="4"/>
      <c r="P617" s="4"/>
      <c r="Q617" s="4"/>
    </row>
    <row r="618" spans="1:17" x14ac:dyDescent="0.2">
      <c r="A618" s="130"/>
      <c r="B618" s="4"/>
      <c r="C618" s="4"/>
      <c r="D618" s="4"/>
      <c r="E618" s="41"/>
      <c r="F618" s="41"/>
      <c r="G618" s="5"/>
      <c r="H618" s="4"/>
      <c r="I618" s="5"/>
      <c r="J618" s="5" t="str">
        <f t="shared" si="33"/>
        <v/>
      </c>
      <c r="K618" s="36"/>
      <c r="L618" s="5" t="str">
        <f t="shared" si="34"/>
        <v/>
      </c>
      <c r="M618" s="5"/>
      <c r="N618" s="5" t="str">
        <f t="shared" si="35"/>
        <v/>
      </c>
      <c r="O618" s="4"/>
      <c r="P618" s="4"/>
      <c r="Q618" s="4"/>
    </row>
    <row r="619" spans="1:17" x14ac:dyDescent="0.2">
      <c r="A619" s="130"/>
      <c r="B619" s="4"/>
      <c r="C619" s="4"/>
      <c r="D619" s="4"/>
      <c r="E619" s="41"/>
      <c r="F619" s="41"/>
      <c r="G619" s="5"/>
      <c r="H619" s="4"/>
      <c r="I619" s="5"/>
      <c r="J619" s="5" t="str">
        <f t="shared" si="33"/>
        <v/>
      </c>
      <c r="K619" s="36"/>
      <c r="L619" s="5" t="str">
        <f t="shared" si="34"/>
        <v/>
      </c>
      <c r="M619" s="5"/>
      <c r="N619" s="5" t="str">
        <f t="shared" si="35"/>
        <v/>
      </c>
      <c r="O619" s="4"/>
      <c r="P619" s="4"/>
      <c r="Q619" s="4"/>
    </row>
    <row r="620" spans="1:17" x14ac:dyDescent="0.2">
      <c r="A620" s="130"/>
      <c r="B620" s="4"/>
      <c r="C620" s="4"/>
      <c r="D620" s="4"/>
      <c r="E620" s="41"/>
      <c r="F620" s="41"/>
      <c r="G620" s="5"/>
      <c r="H620" s="4"/>
      <c r="I620" s="5"/>
      <c r="J620" s="5" t="str">
        <f t="shared" si="33"/>
        <v/>
      </c>
      <c r="K620" s="36"/>
      <c r="L620" s="5" t="str">
        <f t="shared" si="34"/>
        <v/>
      </c>
      <c r="M620" s="5"/>
      <c r="N620" s="5" t="str">
        <f t="shared" si="35"/>
        <v/>
      </c>
      <c r="O620" s="4"/>
      <c r="P620" s="4"/>
      <c r="Q620" s="4"/>
    </row>
    <row r="621" spans="1:17" x14ac:dyDescent="0.2">
      <c r="A621" s="130"/>
      <c r="B621" s="4"/>
      <c r="C621" s="4"/>
      <c r="D621" s="4"/>
      <c r="E621" s="41"/>
      <c r="F621" s="41"/>
      <c r="G621" s="5"/>
      <c r="H621" s="4"/>
      <c r="I621" s="5"/>
      <c r="J621" s="5" t="str">
        <f t="shared" si="33"/>
        <v/>
      </c>
      <c r="K621" s="36"/>
      <c r="L621" s="5" t="str">
        <f t="shared" si="34"/>
        <v/>
      </c>
      <c r="M621" s="5"/>
      <c r="N621" s="5" t="str">
        <f t="shared" si="35"/>
        <v/>
      </c>
      <c r="O621" s="4"/>
      <c r="P621" s="4"/>
      <c r="Q621" s="4"/>
    </row>
    <row r="622" spans="1:17" x14ac:dyDescent="0.2">
      <c r="A622" s="130"/>
      <c r="B622" s="4"/>
      <c r="C622" s="4"/>
      <c r="D622" s="4"/>
      <c r="E622" s="41"/>
      <c r="F622" s="41"/>
      <c r="G622" s="5"/>
      <c r="H622" s="4"/>
      <c r="I622" s="5"/>
      <c r="J622" s="5" t="str">
        <f t="shared" si="33"/>
        <v/>
      </c>
      <c r="K622" s="36"/>
      <c r="L622" s="5" t="str">
        <f t="shared" si="34"/>
        <v/>
      </c>
      <c r="M622" s="5"/>
      <c r="N622" s="5" t="str">
        <f t="shared" si="35"/>
        <v/>
      </c>
      <c r="O622" s="4"/>
      <c r="P622" s="4"/>
      <c r="Q622" s="4"/>
    </row>
    <row r="623" spans="1:17" x14ac:dyDescent="0.2">
      <c r="A623" s="130"/>
      <c r="B623" s="4"/>
      <c r="C623" s="4"/>
      <c r="D623" s="4"/>
      <c r="E623" s="41"/>
      <c r="F623" s="41"/>
      <c r="G623" s="5"/>
      <c r="H623" s="4"/>
      <c r="I623" s="5"/>
      <c r="J623" s="5" t="str">
        <f t="shared" si="33"/>
        <v/>
      </c>
      <c r="K623" s="36"/>
      <c r="L623" s="5" t="str">
        <f t="shared" si="34"/>
        <v/>
      </c>
      <c r="M623" s="5"/>
      <c r="N623" s="5" t="str">
        <f t="shared" si="35"/>
        <v/>
      </c>
      <c r="O623" s="4"/>
      <c r="P623" s="4"/>
      <c r="Q623" s="4"/>
    </row>
    <row r="624" spans="1:17" x14ac:dyDescent="0.2">
      <c r="A624" s="130"/>
      <c r="B624" s="4"/>
      <c r="C624" s="4"/>
      <c r="D624" s="4"/>
      <c r="E624" s="41"/>
      <c r="F624" s="41"/>
      <c r="G624" s="5"/>
      <c r="H624" s="4"/>
      <c r="I624" s="5"/>
      <c r="J624" s="5" t="str">
        <f t="shared" si="33"/>
        <v/>
      </c>
      <c r="K624" s="36"/>
      <c r="L624" s="5" t="str">
        <f t="shared" si="34"/>
        <v/>
      </c>
      <c r="M624" s="5"/>
      <c r="N624" s="5" t="str">
        <f t="shared" si="35"/>
        <v/>
      </c>
      <c r="O624" s="4"/>
      <c r="P624" s="4"/>
      <c r="Q624" s="4"/>
    </row>
    <row r="625" spans="1:17" x14ac:dyDescent="0.2">
      <c r="A625" s="130"/>
      <c r="B625" s="4"/>
      <c r="C625" s="4"/>
      <c r="D625" s="4"/>
      <c r="E625" s="41"/>
      <c r="F625" s="41"/>
      <c r="G625" s="5"/>
      <c r="H625" s="4"/>
      <c r="I625" s="5"/>
      <c r="J625" s="5" t="str">
        <f t="shared" si="33"/>
        <v/>
      </c>
      <c r="K625" s="36"/>
      <c r="L625" s="5" t="str">
        <f t="shared" si="34"/>
        <v/>
      </c>
      <c r="M625" s="5"/>
      <c r="N625" s="5" t="str">
        <f t="shared" si="35"/>
        <v/>
      </c>
      <c r="O625" s="4"/>
      <c r="P625" s="4"/>
      <c r="Q625" s="4"/>
    </row>
    <row r="626" spans="1:17" x14ac:dyDescent="0.2">
      <c r="A626" s="130"/>
      <c r="B626" s="4"/>
      <c r="C626" s="4"/>
      <c r="D626" s="4"/>
      <c r="E626" s="41"/>
      <c r="F626" s="41"/>
      <c r="G626" s="5"/>
      <c r="H626" s="4"/>
      <c r="I626" s="5"/>
      <c r="J626" s="5" t="str">
        <f t="shared" si="33"/>
        <v/>
      </c>
      <c r="K626" s="36"/>
      <c r="L626" s="5" t="str">
        <f t="shared" si="34"/>
        <v/>
      </c>
      <c r="M626" s="5"/>
      <c r="N626" s="5" t="str">
        <f t="shared" si="35"/>
        <v/>
      </c>
      <c r="O626" s="4"/>
      <c r="P626" s="4"/>
      <c r="Q626" s="4"/>
    </row>
    <row r="627" spans="1:17" x14ac:dyDescent="0.2">
      <c r="A627" s="130"/>
      <c r="B627" s="4"/>
      <c r="C627" s="4"/>
      <c r="D627" s="4"/>
      <c r="E627" s="41"/>
      <c r="F627" s="41"/>
      <c r="G627" s="5"/>
      <c r="H627" s="4"/>
      <c r="I627" s="5"/>
      <c r="J627" s="5" t="str">
        <f t="shared" si="33"/>
        <v/>
      </c>
      <c r="K627" s="36"/>
      <c r="L627" s="5" t="str">
        <f t="shared" si="34"/>
        <v/>
      </c>
      <c r="M627" s="5"/>
      <c r="N627" s="5" t="str">
        <f t="shared" si="35"/>
        <v/>
      </c>
      <c r="O627" s="4"/>
      <c r="P627" s="4"/>
      <c r="Q627" s="4"/>
    </row>
    <row r="628" spans="1:17" x14ac:dyDescent="0.2">
      <c r="A628" s="130"/>
      <c r="B628" s="4"/>
      <c r="C628" s="4"/>
      <c r="D628" s="4"/>
      <c r="E628" s="41"/>
      <c r="F628" s="41"/>
      <c r="G628" s="5"/>
      <c r="H628" s="4"/>
      <c r="I628" s="5"/>
      <c r="J628" s="5" t="str">
        <f t="shared" si="33"/>
        <v/>
      </c>
      <c r="K628" s="36"/>
      <c r="L628" s="5" t="str">
        <f t="shared" si="34"/>
        <v/>
      </c>
      <c r="M628" s="5"/>
      <c r="N628" s="5" t="str">
        <f t="shared" si="35"/>
        <v/>
      </c>
      <c r="O628" s="4"/>
      <c r="P628" s="4"/>
      <c r="Q628" s="4"/>
    </row>
    <row r="629" spans="1:17" x14ac:dyDescent="0.2">
      <c r="A629" s="130"/>
      <c r="B629" s="4"/>
      <c r="C629" s="4"/>
      <c r="D629" s="4"/>
      <c r="E629" s="41"/>
      <c r="F629" s="41"/>
      <c r="G629" s="5"/>
      <c r="H629" s="4"/>
      <c r="I629" s="5"/>
      <c r="J629" s="5" t="str">
        <f t="shared" si="33"/>
        <v/>
      </c>
      <c r="K629" s="36"/>
      <c r="L629" s="5" t="str">
        <f t="shared" si="34"/>
        <v/>
      </c>
      <c r="M629" s="5"/>
      <c r="N629" s="5" t="str">
        <f t="shared" si="35"/>
        <v/>
      </c>
      <c r="O629" s="4"/>
      <c r="P629" s="4"/>
      <c r="Q629" s="4"/>
    </row>
    <row r="630" spans="1:17" x14ac:dyDescent="0.2">
      <c r="A630" s="130"/>
      <c r="B630" s="4"/>
      <c r="C630" s="4"/>
      <c r="D630" s="4"/>
      <c r="E630" s="41"/>
      <c r="F630" s="41"/>
      <c r="G630" s="5"/>
      <c r="H630" s="4"/>
      <c r="I630" s="5"/>
      <c r="J630" s="5" t="str">
        <f t="shared" si="33"/>
        <v/>
      </c>
      <c r="K630" s="36"/>
      <c r="L630" s="5" t="str">
        <f t="shared" si="34"/>
        <v/>
      </c>
      <c r="M630" s="5"/>
      <c r="N630" s="5" t="str">
        <f t="shared" si="35"/>
        <v/>
      </c>
      <c r="O630" s="4"/>
      <c r="P630" s="4"/>
      <c r="Q630" s="4"/>
    </row>
    <row r="631" spans="1:17" x14ac:dyDescent="0.2">
      <c r="A631" s="130"/>
      <c r="B631" s="4"/>
      <c r="C631" s="4"/>
      <c r="D631" s="4"/>
      <c r="E631" s="41"/>
      <c r="F631" s="41"/>
      <c r="G631" s="5"/>
      <c r="H631" s="4"/>
      <c r="I631" s="5"/>
      <c r="J631" s="5" t="str">
        <f t="shared" si="33"/>
        <v/>
      </c>
      <c r="K631" s="36"/>
      <c r="L631" s="5" t="str">
        <f t="shared" si="34"/>
        <v/>
      </c>
      <c r="M631" s="5"/>
      <c r="N631" s="5" t="str">
        <f t="shared" si="35"/>
        <v/>
      </c>
      <c r="O631" s="4"/>
      <c r="P631" s="4"/>
      <c r="Q631" s="4"/>
    </row>
    <row r="632" spans="1:17" x14ac:dyDescent="0.2">
      <c r="A632" s="130"/>
      <c r="B632" s="4"/>
      <c r="C632" s="4"/>
      <c r="D632" s="4"/>
      <c r="E632" s="41"/>
      <c r="F632" s="41"/>
      <c r="G632" s="5"/>
      <c r="H632" s="4"/>
      <c r="I632" s="5"/>
      <c r="J632" s="5" t="str">
        <f t="shared" si="33"/>
        <v/>
      </c>
      <c r="K632" s="36"/>
      <c r="L632" s="5" t="str">
        <f t="shared" si="34"/>
        <v/>
      </c>
      <c r="M632" s="5"/>
      <c r="N632" s="5" t="str">
        <f t="shared" si="35"/>
        <v/>
      </c>
      <c r="O632" s="4"/>
      <c r="P632" s="4"/>
      <c r="Q632" s="4"/>
    </row>
    <row r="633" spans="1:17" x14ac:dyDescent="0.2">
      <c r="A633" s="130"/>
      <c r="B633" s="4"/>
      <c r="C633" s="4"/>
      <c r="D633" s="4"/>
      <c r="E633" s="41"/>
      <c r="F633" s="41"/>
      <c r="G633" s="5"/>
      <c r="H633" s="4"/>
      <c r="I633" s="5"/>
      <c r="J633" s="5" t="str">
        <f t="shared" si="33"/>
        <v/>
      </c>
      <c r="K633" s="36"/>
      <c r="L633" s="5" t="str">
        <f t="shared" si="34"/>
        <v/>
      </c>
      <c r="M633" s="5"/>
      <c r="N633" s="5" t="str">
        <f t="shared" si="35"/>
        <v/>
      </c>
      <c r="O633" s="4"/>
      <c r="P633" s="4"/>
      <c r="Q633" s="4"/>
    </row>
    <row r="634" spans="1:17" x14ac:dyDescent="0.2">
      <c r="A634" s="130"/>
      <c r="B634" s="4"/>
      <c r="C634" s="4"/>
      <c r="D634" s="4"/>
      <c r="E634" s="41"/>
      <c r="F634" s="41"/>
      <c r="G634" s="5"/>
      <c r="H634" s="4"/>
      <c r="I634" s="5"/>
      <c r="J634" s="5" t="str">
        <f t="shared" si="33"/>
        <v/>
      </c>
      <c r="K634" s="36"/>
      <c r="L634" s="5" t="str">
        <f t="shared" si="34"/>
        <v/>
      </c>
      <c r="M634" s="5"/>
      <c r="N634" s="5" t="str">
        <f t="shared" si="35"/>
        <v/>
      </c>
      <c r="O634" s="4"/>
      <c r="P634" s="4"/>
      <c r="Q634" s="4"/>
    </row>
    <row r="635" spans="1:17" ht="24" customHeight="1" x14ac:dyDescent="0.2">
      <c r="A635" s="38"/>
      <c r="B635" s="38"/>
      <c r="C635" s="39" t="s">
        <v>47</v>
      </c>
      <c r="D635" s="38"/>
      <c r="E635" s="38"/>
      <c r="F635" s="38"/>
      <c r="G635" s="38"/>
      <c r="H635" s="38"/>
      <c r="I635" s="38"/>
      <c r="J635" s="38"/>
      <c r="K635" s="142">
        <f>SUBTOTAL(9,K3:K634)</f>
        <v>7697.9</v>
      </c>
      <c r="L635" s="40">
        <f>SUBTOTAL(9,L3:L634)</f>
        <v>688407.43285000022</v>
      </c>
      <c r="M635" s="40">
        <f>SUBTOTAL(9,M3:M634)</f>
        <v>0</v>
      </c>
      <c r="N635" s="40">
        <f>SUBTOTAL(9,N3:N634)</f>
        <v>688407.43285000022</v>
      </c>
      <c r="O635" s="38"/>
      <c r="P635" s="38"/>
      <c r="Q635" s="38"/>
    </row>
  </sheetData>
  <autoFilter ref="A2:Q629" xr:uid="{00000000-0009-0000-0000-000004000000}"/>
  <mergeCells count="1">
    <mergeCell ref="A1:Q1"/>
  </mergeCells>
  <conditionalFormatting sqref="A3:Q634">
    <cfRule type="expression" dxfId="16" priority="1">
      <formula>AND($A3&lt;&gt;"",MOD(ROW(),2)=0)</formula>
    </cfRule>
  </conditionalFormatting>
  <conditionalFormatting sqref="P3:P634">
    <cfRule type="cellIs" dxfId="15" priority="2" operator="equal">
      <formula>"Paid"</formula>
    </cfRule>
    <cfRule type="cellIs" dxfId="14" priority="3" operator="equal">
      <formula>"Unpaid"</formula>
    </cfRule>
    <cfRule type="cellIs" dxfId="13" priority="4" operator="equal">
      <formula>"Partial"</formula>
    </cfRule>
  </conditionalFormatting>
  <dataValidations count="2">
    <dataValidation type="list" allowBlank="1" showInputMessage="1" showErrorMessage="1" sqref="H3:H8" xr:uid="{00000000-0002-0000-0400-000000000000}">
      <formula1>"FORMULA, FIXED"</formula1>
    </dataValidation>
    <dataValidation type="list" allowBlank="1" showInputMessage="1" showErrorMessage="1" sqref="H9:H135" xr:uid="{00000000-0002-0000-0400-000001000000}">
      <formula1>"FORMULA, LIST"</formula1>
    </dataValidation>
  </dataValidations>
  <printOptions horizontalCentered="1"/>
  <pageMargins left="0.75" right="0.75" top="1" bottom="1" header="0.5" footer="0.5"/>
  <pageSetup fitToHeight="0" orientation="landscape" r:id="rId1"/>
  <headerFooter>
    <oddHeader>&amp;C&amp;"Calibri,Bold"&amp;12 &amp;K1F3864[Your Dairy Plant Name]</oddHeader>
    <oddFooter>&amp;LPrinted &amp;D&amp;RPage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400-000000000000}">
          <x14:formula1>
            <xm:f>Settings!$H$16:$H$24</xm:f>
          </x14:formula1>
          <xm:sqref>D3:D634</xm:sqref>
        </x14:dataValidation>
        <x14:dataValidation type="list" allowBlank="1" xr:uid="{00000000-0002-0000-0400-000001000000}">
          <x14:formula1>
            <xm:f>Settings!$K$16:$K$17</xm:f>
          </x14:formula1>
          <xm:sqref>I136:I634</xm:sqref>
        </x14:dataValidation>
        <x14:dataValidation type="list" allowBlank="1" xr:uid="{00000000-0002-0000-0400-000002000000}">
          <x14:formula1>
            <xm:f>Settings!$F$16:$F$22</xm:f>
          </x14:formula1>
          <xm:sqref>O3:O634</xm:sqref>
        </x14:dataValidation>
        <x14:dataValidation type="list" allowBlank="1" xr:uid="{00000000-0002-0000-0400-000003000000}">
          <x14:formula1>
            <xm:f>Settings!$I$16:$I$24</xm:f>
          </x14:formula1>
          <xm:sqref>P3:P634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5496"/>
    <pageSetUpPr fitToPage="1"/>
  </sheetPr>
  <dimension ref="A1:I503"/>
  <sheetViews>
    <sheetView showGridLines="0" workbookViewId="0">
      <pane ySplit="2" topLeftCell="A3" activePane="bottomLeft" state="frozen"/>
      <selection pane="bottomLeft" activeCell="C7" sqref="C7"/>
    </sheetView>
  </sheetViews>
  <sheetFormatPr baseColWidth="10" defaultColWidth="8.83203125" defaultRowHeight="15" x14ac:dyDescent="0.2"/>
  <cols>
    <col min="1" max="1" width="10.33203125" bestFit="1" customWidth="1"/>
    <col min="3" max="3" width="22" customWidth="1"/>
    <col min="4" max="4" width="10.83203125" bestFit="1" customWidth="1"/>
    <col min="5" max="6" width="13.1640625" bestFit="1" customWidth="1"/>
    <col min="7" max="7" width="14.6640625" bestFit="1" customWidth="1"/>
    <col min="8" max="8" width="12" bestFit="1" customWidth="1"/>
  </cols>
  <sheetData>
    <row r="1" spans="1:9" ht="32" customHeight="1" x14ac:dyDescent="0.2">
      <c r="A1" s="155" t="s">
        <v>577</v>
      </c>
      <c r="B1" s="153"/>
      <c r="C1" s="153"/>
      <c r="D1" s="153"/>
      <c r="E1" s="153"/>
      <c r="F1" s="153"/>
      <c r="G1" s="153"/>
      <c r="H1" s="153"/>
      <c r="I1" s="153"/>
    </row>
    <row r="2" spans="1:9" ht="28" customHeight="1" x14ac:dyDescent="0.2">
      <c r="A2" s="3" t="s">
        <v>11</v>
      </c>
      <c r="B2" s="3" t="s">
        <v>578</v>
      </c>
      <c r="C2" s="3" t="s">
        <v>579</v>
      </c>
      <c r="D2" s="3" t="s">
        <v>580</v>
      </c>
      <c r="E2" s="3" t="s">
        <v>581</v>
      </c>
      <c r="F2" s="3" t="s">
        <v>582</v>
      </c>
      <c r="G2" s="3" t="s">
        <v>56</v>
      </c>
      <c r="H2" s="3" t="s">
        <v>583</v>
      </c>
      <c r="I2" s="3" t="s">
        <v>57</v>
      </c>
    </row>
    <row r="3" spans="1:9" x14ac:dyDescent="0.2">
      <c r="A3" s="130"/>
      <c r="B3" s="4"/>
      <c r="C3" s="4"/>
      <c r="D3" s="4"/>
      <c r="E3" s="5"/>
      <c r="F3" s="5"/>
      <c r="G3" s="4"/>
      <c r="H3" s="5" t="str">
        <f t="shared" ref="H3:H66" si="0">IF($C3="","",$E3-$F3)</f>
        <v/>
      </c>
      <c r="I3" s="4"/>
    </row>
    <row r="4" spans="1:9" x14ac:dyDescent="0.2">
      <c r="A4" s="130"/>
      <c r="B4" s="4"/>
      <c r="C4" s="4"/>
      <c r="D4" s="4"/>
      <c r="E4" s="5"/>
      <c r="F4" s="5"/>
      <c r="G4" s="4"/>
      <c r="H4" s="5" t="str">
        <f t="shared" si="0"/>
        <v/>
      </c>
      <c r="I4" s="4"/>
    </row>
    <row r="5" spans="1:9" x14ac:dyDescent="0.2">
      <c r="A5" s="130"/>
      <c r="B5" s="4"/>
      <c r="C5" s="4"/>
      <c r="D5" s="4"/>
      <c r="E5" s="5"/>
      <c r="F5" s="5"/>
      <c r="G5" s="4"/>
      <c r="H5" s="5" t="str">
        <f t="shared" si="0"/>
        <v/>
      </c>
      <c r="I5" s="4"/>
    </row>
    <row r="6" spans="1:9" x14ac:dyDescent="0.2">
      <c r="A6" s="130"/>
      <c r="B6" s="4"/>
      <c r="C6" s="4"/>
      <c r="D6" s="4"/>
      <c r="E6" s="5"/>
      <c r="F6" s="5"/>
      <c r="G6" s="4"/>
      <c r="H6" s="5" t="str">
        <f t="shared" si="0"/>
        <v/>
      </c>
      <c r="I6" s="4"/>
    </row>
    <row r="7" spans="1:9" x14ac:dyDescent="0.2">
      <c r="A7" s="130"/>
      <c r="B7" s="4"/>
      <c r="C7" s="4"/>
      <c r="D7" s="4"/>
      <c r="E7" s="5"/>
      <c r="F7" s="5"/>
      <c r="G7" s="4"/>
      <c r="H7" s="5" t="str">
        <f t="shared" si="0"/>
        <v/>
      </c>
      <c r="I7" s="4"/>
    </row>
    <row r="8" spans="1:9" x14ac:dyDescent="0.2">
      <c r="A8" s="130"/>
      <c r="B8" s="4"/>
      <c r="C8" s="4"/>
      <c r="D8" s="4"/>
      <c r="E8" s="5"/>
      <c r="F8" s="5"/>
      <c r="G8" s="4"/>
      <c r="H8" s="5" t="str">
        <f t="shared" si="0"/>
        <v/>
      </c>
      <c r="I8" s="4"/>
    </row>
    <row r="9" spans="1:9" x14ac:dyDescent="0.2">
      <c r="A9" s="130"/>
      <c r="B9" s="4"/>
      <c r="C9" s="4"/>
      <c r="D9" s="4"/>
      <c r="E9" s="5"/>
      <c r="F9" s="5"/>
      <c r="G9" s="4"/>
      <c r="H9" s="5" t="str">
        <f t="shared" si="0"/>
        <v/>
      </c>
      <c r="I9" s="4"/>
    </row>
    <row r="10" spans="1:9" x14ac:dyDescent="0.2">
      <c r="A10" s="130"/>
      <c r="B10" s="4"/>
      <c r="C10" s="4"/>
      <c r="D10" s="4"/>
      <c r="E10" s="5"/>
      <c r="F10" s="5"/>
      <c r="G10" s="4"/>
      <c r="H10" s="5" t="str">
        <f t="shared" si="0"/>
        <v/>
      </c>
      <c r="I10" s="4"/>
    </row>
    <row r="11" spans="1:9" x14ac:dyDescent="0.2">
      <c r="A11" s="130"/>
      <c r="B11" s="4"/>
      <c r="C11" s="4"/>
      <c r="D11" s="4"/>
      <c r="E11" s="5"/>
      <c r="F11" s="5"/>
      <c r="G11" s="4"/>
      <c r="H11" s="5" t="str">
        <f t="shared" si="0"/>
        <v/>
      </c>
      <c r="I11" s="4"/>
    </row>
    <row r="12" spans="1:9" x14ac:dyDescent="0.2">
      <c r="A12" s="130"/>
      <c r="B12" s="4"/>
      <c r="C12" s="4"/>
      <c r="D12" s="4"/>
      <c r="E12" s="5"/>
      <c r="F12" s="5"/>
      <c r="G12" s="4"/>
      <c r="H12" s="5" t="str">
        <f t="shared" si="0"/>
        <v/>
      </c>
      <c r="I12" s="4"/>
    </row>
    <row r="13" spans="1:9" x14ac:dyDescent="0.2">
      <c r="A13" s="130"/>
      <c r="B13" s="4"/>
      <c r="C13" s="4"/>
      <c r="D13" s="4"/>
      <c r="E13" s="5"/>
      <c r="F13" s="5"/>
      <c r="G13" s="4"/>
      <c r="H13" s="5" t="str">
        <f t="shared" si="0"/>
        <v/>
      </c>
      <c r="I13" s="4"/>
    </row>
    <row r="14" spans="1:9" x14ac:dyDescent="0.2">
      <c r="A14" s="130"/>
      <c r="B14" s="4"/>
      <c r="C14" s="4"/>
      <c r="D14" s="4"/>
      <c r="E14" s="5"/>
      <c r="F14" s="5"/>
      <c r="G14" s="4"/>
      <c r="H14" s="5" t="str">
        <f t="shared" si="0"/>
        <v/>
      </c>
      <c r="I14" s="4"/>
    </row>
    <row r="15" spans="1:9" x14ac:dyDescent="0.2">
      <c r="A15" s="130"/>
      <c r="B15" s="4"/>
      <c r="C15" s="4"/>
      <c r="D15" s="4"/>
      <c r="E15" s="5"/>
      <c r="F15" s="5"/>
      <c r="G15" s="4"/>
      <c r="H15" s="5" t="str">
        <f t="shared" si="0"/>
        <v/>
      </c>
      <c r="I15" s="4"/>
    </row>
    <row r="16" spans="1:9" x14ac:dyDescent="0.2">
      <c r="A16" s="130"/>
      <c r="B16" s="4"/>
      <c r="C16" s="4"/>
      <c r="D16" s="4"/>
      <c r="E16" s="5"/>
      <c r="F16" s="5"/>
      <c r="G16" s="4"/>
      <c r="H16" s="5" t="str">
        <f t="shared" si="0"/>
        <v/>
      </c>
      <c r="I16" s="4"/>
    </row>
    <row r="17" spans="1:9" x14ac:dyDescent="0.2">
      <c r="A17" s="130"/>
      <c r="B17" s="4"/>
      <c r="C17" s="4"/>
      <c r="D17" s="4"/>
      <c r="E17" s="5"/>
      <c r="F17" s="5"/>
      <c r="G17" s="4"/>
      <c r="H17" s="5" t="str">
        <f t="shared" si="0"/>
        <v/>
      </c>
      <c r="I17" s="4"/>
    </row>
    <row r="18" spans="1:9" x14ac:dyDescent="0.2">
      <c r="A18" s="130"/>
      <c r="B18" s="4"/>
      <c r="C18" s="4"/>
      <c r="D18" s="4"/>
      <c r="E18" s="5"/>
      <c r="F18" s="5"/>
      <c r="G18" s="4"/>
      <c r="H18" s="5" t="str">
        <f t="shared" si="0"/>
        <v/>
      </c>
      <c r="I18" s="4"/>
    </row>
    <row r="19" spans="1:9" x14ac:dyDescent="0.2">
      <c r="A19" s="130"/>
      <c r="B19" s="4"/>
      <c r="C19" s="4"/>
      <c r="D19" s="4"/>
      <c r="E19" s="5"/>
      <c r="F19" s="5"/>
      <c r="G19" s="4"/>
      <c r="H19" s="5" t="str">
        <f t="shared" si="0"/>
        <v/>
      </c>
      <c r="I19" s="4"/>
    </row>
    <row r="20" spans="1:9" x14ac:dyDescent="0.2">
      <c r="A20" s="130"/>
      <c r="B20" s="4"/>
      <c r="C20" s="4"/>
      <c r="D20" s="4"/>
      <c r="E20" s="5"/>
      <c r="F20" s="5"/>
      <c r="G20" s="4"/>
      <c r="H20" s="5" t="str">
        <f t="shared" si="0"/>
        <v/>
      </c>
      <c r="I20" s="4"/>
    </row>
    <row r="21" spans="1:9" x14ac:dyDescent="0.2">
      <c r="A21" s="130"/>
      <c r="B21" s="4"/>
      <c r="C21" s="4"/>
      <c r="D21" s="4"/>
      <c r="E21" s="5"/>
      <c r="F21" s="5"/>
      <c r="G21" s="4"/>
      <c r="H21" s="5" t="str">
        <f t="shared" si="0"/>
        <v/>
      </c>
      <c r="I21" s="4"/>
    </row>
    <row r="22" spans="1:9" x14ac:dyDescent="0.2">
      <c r="A22" s="130"/>
      <c r="B22" s="4"/>
      <c r="C22" s="4"/>
      <c r="D22" s="4"/>
      <c r="E22" s="5"/>
      <c r="F22" s="5"/>
      <c r="G22" s="4"/>
      <c r="H22" s="5" t="str">
        <f t="shared" si="0"/>
        <v/>
      </c>
      <c r="I22" s="4"/>
    </row>
    <row r="23" spans="1:9" x14ac:dyDescent="0.2">
      <c r="A23" s="130"/>
      <c r="B23" s="4"/>
      <c r="C23" s="4"/>
      <c r="D23" s="4"/>
      <c r="E23" s="5"/>
      <c r="F23" s="5"/>
      <c r="G23" s="4"/>
      <c r="H23" s="5" t="str">
        <f t="shared" si="0"/>
        <v/>
      </c>
      <c r="I23" s="4"/>
    </row>
    <row r="24" spans="1:9" x14ac:dyDescent="0.2">
      <c r="A24" s="130"/>
      <c r="B24" s="4"/>
      <c r="C24" s="4"/>
      <c r="D24" s="4"/>
      <c r="E24" s="5"/>
      <c r="F24" s="5"/>
      <c r="G24" s="4"/>
      <c r="H24" s="5" t="str">
        <f t="shared" si="0"/>
        <v/>
      </c>
      <c r="I24" s="4"/>
    </row>
    <row r="25" spans="1:9" x14ac:dyDescent="0.2">
      <c r="A25" s="130"/>
      <c r="B25" s="4"/>
      <c r="C25" s="4"/>
      <c r="D25" s="4"/>
      <c r="E25" s="5"/>
      <c r="F25" s="5"/>
      <c r="G25" s="4"/>
      <c r="H25" s="5" t="str">
        <f t="shared" si="0"/>
        <v/>
      </c>
      <c r="I25" s="4"/>
    </row>
    <row r="26" spans="1:9" x14ac:dyDescent="0.2">
      <c r="A26" s="130"/>
      <c r="B26" s="4"/>
      <c r="C26" s="4"/>
      <c r="D26" s="4"/>
      <c r="E26" s="5"/>
      <c r="F26" s="5"/>
      <c r="G26" s="4"/>
      <c r="H26" s="5" t="str">
        <f t="shared" si="0"/>
        <v/>
      </c>
      <c r="I26" s="4"/>
    </row>
    <row r="27" spans="1:9" x14ac:dyDescent="0.2">
      <c r="A27" s="130"/>
      <c r="B27" s="4"/>
      <c r="C27" s="4"/>
      <c r="D27" s="4"/>
      <c r="E27" s="5"/>
      <c r="F27" s="5"/>
      <c r="G27" s="4"/>
      <c r="H27" s="5" t="str">
        <f t="shared" si="0"/>
        <v/>
      </c>
      <c r="I27" s="4"/>
    </row>
    <row r="28" spans="1:9" x14ac:dyDescent="0.2">
      <c r="A28" s="130"/>
      <c r="B28" s="4"/>
      <c r="C28" s="4"/>
      <c r="D28" s="4"/>
      <c r="E28" s="5"/>
      <c r="F28" s="5"/>
      <c r="G28" s="4"/>
      <c r="H28" s="5" t="str">
        <f t="shared" si="0"/>
        <v/>
      </c>
      <c r="I28" s="4"/>
    </row>
    <row r="29" spans="1:9" x14ac:dyDescent="0.2">
      <c r="A29" s="130"/>
      <c r="B29" s="4"/>
      <c r="C29" s="4"/>
      <c r="D29" s="4"/>
      <c r="E29" s="5"/>
      <c r="F29" s="5"/>
      <c r="G29" s="4"/>
      <c r="H29" s="5" t="str">
        <f t="shared" si="0"/>
        <v/>
      </c>
      <c r="I29" s="4"/>
    </row>
    <row r="30" spans="1:9" x14ac:dyDescent="0.2">
      <c r="A30" s="130"/>
      <c r="B30" s="4"/>
      <c r="C30" s="4"/>
      <c r="D30" s="4"/>
      <c r="E30" s="5"/>
      <c r="F30" s="5"/>
      <c r="G30" s="4"/>
      <c r="H30" s="5" t="str">
        <f t="shared" si="0"/>
        <v/>
      </c>
      <c r="I30" s="4"/>
    </row>
    <row r="31" spans="1:9" x14ac:dyDescent="0.2">
      <c r="A31" s="130"/>
      <c r="B31" s="4"/>
      <c r="C31" s="4"/>
      <c r="D31" s="4"/>
      <c r="E31" s="5"/>
      <c r="F31" s="5"/>
      <c r="G31" s="4"/>
      <c r="H31" s="5" t="str">
        <f t="shared" si="0"/>
        <v/>
      </c>
      <c r="I31" s="4"/>
    </row>
    <row r="32" spans="1:9" x14ac:dyDescent="0.2">
      <c r="A32" s="130"/>
      <c r="B32" s="4"/>
      <c r="C32" s="4"/>
      <c r="D32" s="4"/>
      <c r="E32" s="5"/>
      <c r="F32" s="5"/>
      <c r="G32" s="4"/>
      <c r="H32" s="5" t="str">
        <f t="shared" si="0"/>
        <v/>
      </c>
      <c r="I32" s="4"/>
    </row>
    <row r="33" spans="1:9" x14ac:dyDescent="0.2">
      <c r="A33" s="130"/>
      <c r="B33" s="4"/>
      <c r="C33" s="4"/>
      <c r="D33" s="4"/>
      <c r="E33" s="5"/>
      <c r="F33" s="5"/>
      <c r="G33" s="4"/>
      <c r="H33" s="5" t="str">
        <f t="shared" si="0"/>
        <v/>
      </c>
      <c r="I33" s="4"/>
    </row>
    <row r="34" spans="1:9" x14ac:dyDescent="0.2">
      <c r="A34" s="130"/>
      <c r="B34" s="4"/>
      <c r="C34" s="4"/>
      <c r="D34" s="4"/>
      <c r="E34" s="5"/>
      <c r="F34" s="5"/>
      <c r="G34" s="4"/>
      <c r="H34" s="5" t="str">
        <f t="shared" si="0"/>
        <v/>
      </c>
      <c r="I34" s="4"/>
    </row>
    <row r="35" spans="1:9" x14ac:dyDescent="0.2">
      <c r="A35" s="130"/>
      <c r="B35" s="4"/>
      <c r="C35" s="4"/>
      <c r="D35" s="4"/>
      <c r="E35" s="5"/>
      <c r="F35" s="5"/>
      <c r="G35" s="4"/>
      <c r="H35" s="5" t="str">
        <f t="shared" si="0"/>
        <v/>
      </c>
      <c r="I35" s="4"/>
    </row>
    <row r="36" spans="1:9" x14ac:dyDescent="0.2">
      <c r="A36" s="130"/>
      <c r="B36" s="4"/>
      <c r="C36" s="4"/>
      <c r="D36" s="4"/>
      <c r="E36" s="5"/>
      <c r="F36" s="5"/>
      <c r="G36" s="4"/>
      <c r="H36" s="5" t="str">
        <f t="shared" si="0"/>
        <v/>
      </c>
      <c r="I36" s="4"/>
    </row>
    <row r="37" spans="1:9" x14ac:dyDescent="0.2">
      <c r="A37" s="130"/>
      <c r="B37" s="4"/>
      <c r="C37" s="4"/>
      <c r="D37" s="4"/>
      <c r="E37" s="5"/>
      <c r="F37" s="5"/>
      <c r="G37" s="4"/>
      <c r="H37" s="5" t="str">
        <f t="shared" si="0"/>
        <v/>
      </c>
      <c r="I37" s="4"/>
    </row>
    <row r="38" spans="1:9" x14ac:dyDescent="0.2">
      <c r="A38" s="130"/>
      <c r="B38" s="4"/>
      <c r="C38" s="4"/>
      <c r="D38" s="4"/>
      <c r="E38" s="5"/>
      <c r="F38" s="5"/>
      <c r="G38" s="4"/>
      <c r="H38" s="5" t="str">
        <f t="shared" si="0"/>
        <v/>
      </c>
      <c r="I38" s="4"/>
    </row>
    <row r="39" spans="1:9" x14ac:dyDescent="0.2">
      <c r="A39" s="130"/>
      <c r="B39" s="4"/>
      <c r="C39" s="4"/>
      <c r="D39" s="4"/>
      <c r="E39" s="5"/>
      <c r="F39" s="5"/>
      <c r="G39" s="4"/>
      <c r="H39" s="5" t="str">
        <f t="shared" si="0"/>
        <v/>
      </c>
      <c r="I39" s="4"/>
    </row>
    <row r="40" spans="1:9" x14ac:dyDescent="0.2">
      <c r="A40" s="130"/>
      <c r="B40" s="4"/>
      <c r="C40" s="4"/>
      <c r="D40" s="4"/>
      <c r="E40" s="5"/>
      <c r="F40" s="5"/>
      <c r="G40" s="4"/>
      <c r="H40" s="5" t="str">
        <f t="shared" si="0"/>
        <v/>
      </c>
      <c r="I40" s="4"/>
    </row>
    <row r="41" spans="1:9" x14ac:dyDescent="0.2">
      <c r="A41" s="130"/>
      <c r="B41" s="4"/>
      <c r="C41" s="4"/>
      <c r="D41" s="4"/>
      <c r="E41" s="5"/>
      <c r="F41" s="5"/>
      <c r="G41" s="4"/>
      <c r="H41" s="5" t="str">
        <f t="shared" si="0"/>
        <v/>
      </c>
      <c r="I41" s="4"/>
    </row>
    <row r="42" spans="1:9" x14ac:dyDescent="0.2">
      <c r="A42" s="130"/>
      <c r="B42" s="4"/>
      <c r="C42" s="4"/>
      <c r="D42" s="4"/>
      <c r="E42" s="5"/>
      <c r="F42" s="5"/>
      <c r="G42" s="4"/>
      <c r="H42" s="5" t="str">
        <f t="shared" si="0"/>
        <v/>
      </c>
      <c r="I42" s="4"/>
    </row>
    <row r="43" spans="1:9" x14ac:dyDescent="0.2">
      <c r="A43" s="130"/>
      <c r="B43" s="4"/>
      <c r="C43" s="4"/>
      <c r="D43" s="4"/>
      <c r="E43" s="5"/>
      <c r="F43" s="5"/>
      <c r="G43" s="4"/>
      <c r="H43" s="5" t="str">
        <f t="shared" si="0"/>
        <v/>
      </c>
      <c r="I43" s="4"/>
    </row>
    <row r="44" spans="1:9" x14ac:dyDescent="0.2">
      <c r="A44" s="130"/>
      <c r="B44" s="4"/>
      <c r="C44" s="4"/>
      <c r="D44" s="4"/>
      <c r="E44" s="5"/>
      <c r="F44" s="5"/>
      <c r="G44" s="4"/>
      <c r="H44" s="5" t="str">
        <f t="shared" si="0"/>
        <v/>
      </c>
      <c r="I44" s="4"/>
    </row>
    <row r="45" spans="1:9" x14ac:dyDescent="0.2">
      <c r="A45" s="130"/>
      <c r="B45" s="4"/>
      <c r="C45" s="4"/>
      <c r="D45" s="4"/>
      <c r="E45" s="5"/>
      <c r="F45" s="5"/>
      <c r="G45" s="4"/>
      <c r="H45" s="5" t="str">
        <f t="shared" si="0"/>
        <v/>
      </c>
      <c r="I45" s="4"/>
    </row>
    <row r="46" spans="1:9" x14ac:dyDescent="0.2">
      <c r="A46" s="130"/>
      <c r="B46" s="4"/>
      <c r="C46" s="4"/>
      <c r="D46" s="4"/>
      <c r="E46" s="5"/>
      <c r="F46" s="5"/>
      <c r="G46" s="4"/>
      <c r="H46" s="5" t="str">
        <f t="shared" si="0"/>
        <v/>
      </c>
      <c r="I46" s="4"/>
    </row>
    <row r="47" spans="1:9" x14ac:dyDescent="0.2">
      <c r="A47" s="130"/>
      <c r="B47" s="4"/>
      <c r="C47" s="4"/>
      <c r="D47" s="4"/>
      <c r="E47" s="5"/>
      <c r="F47" s="5"/>
      <c r="G47" s="4"/>
      <c r="H47" s="5" t="str">
        <f t="shared" si="0"/>
        <v/>
      </c>
      <c r="I47" s="4"/>
    </row>
    <row r="48" spans="1:9" x14ac:dyDescent="0.2">
      <c r="A48" s="130"/>
      <c r="B48" s="4"/>
      <c r="C48" s="4"/>
      <c r="D48" s="4"/>
      <c r="E48" s="5"/>
      <c r="F48" s="5"/>
      <c r="G48" s="4"/>
      <c r="H48" s="5" t="str">
        <f t="shared" si="0"/>
        <v/>
      </c>
      <c r="I48" s="4"/>
    </row>
    <row r="49" spans="1:9" x14ac:dyDescent="0.2">
      <c r="A49" s="130"/>
      <c r="B49" s="4"/>
      <c r="C49" s="4"/>
      <c r="D49" s="4"/>
      <c r="E49" s="5"/>
      <c r="F49" s="5"/>
      <c r="G49" s="4"/>
      <c r="H49" s="5" t="str">
        <f t="shared" si="0"/>
        <v/>
      </c>
      <c r="I49" s="4"/>
    </row>
    <row r="50" spans="1:9" x14ac:dyDescent="0.2">
      <c r="A50" s="130"/>
      <c r="B50" s="4"/>
      <c r="C50" s="4"/>
      <c r="D50" s="4"/>
      <c r="E50" s="5"/>
      <c r="F50" s="5"/>
      <c r="G50" s="4"/>
      <c r="H50" s="5" t="str">
        <f t="shared" si="0"/>
        <v/>
      </c>
      <c r="I50" s="4"/>
    </row>
    <row r="51" spans="1:9" x14ac:dyDescent="0.2">
      <c r="A51" s="130"/>
      <c r="B51" s="4"/>
      <c r="C51" s="4"/>
      <c r="D51" s="4"/>
      <c r="E51" s="5"/>
      <c r="F51" s="5"/>
      <c r="G51" s="4"/>
      <c r="H51" s="5" t="str">
        <f t="shared" si="0"/>
        <v/>
      </c>
      <c r="I51" s="4"/>
    </row>
    <row r="52" spans="1:9" x14ac:dyDescent="0.2">
      <c r="A52" s="130"/>
      <c r="B52" s="4"/>
      <c r="C52" s="4"/>
      <c r="D52" s="4"/>
      <c r="E52" s="5"/>
      <c r="F52" s="5"/>
      <c r="G52" s="4"/>
      <c r="H52" s="5" t="str">
        <f t="shared" si="0"/>
        <v/>
      </c>
      <c r="I52" s="4"/>
    </row>
    <row r="53" spans="1:9" x14ac:dyDescent="0.2">
      <c r="A53" s="130"/>
      <c r="B53" s="4"/>
      <c r="C53" s="4"/>
      <c r="D53" s="4"/>
      <c r="E53" s="5"/>
      <c r="F53" s="5"/>
      <c r="G53" s="4"/>
      <c r="H53" s="5" t="str">
        <f t="shared" si="0"/>
        <v/>
      </c>
      <c r="I53" s="4"/>
    </row>
    <row r="54" spans="1:9" x14ac:dyDescent="0.2">
      <c r="A54" s="130"/>
      <c r="B54" s="4"/>
      <c r="C54" s="4"/>
      <c r="D54" s="4"/>
      <c r="E54" s="5"/>
      <c r="F54" s="5"/>
      <c r="G54" s="4"/>
      <c r="H54" s="5" t="str">
        <f t="shared" si="0"/>
        <v/>
      </c>
      <c r="I54" s="4"/>
    </row>
    <row r="55" spans="1:9" x14ac:dyDescent="0.2">
      <c r="A55" s="130"/>
      <c r="B55" s="4"/>
      <c r="C55" s="4"/>
      <c r="D55" s="4"/>
      <c r="E55" s="5"/>
      <c r="F55" s="5"/>
      <c r="G55" s="4"/>
      <c r="H55" s="5" t="str">
        <f t="shared" si="0"/>
        <v/>
      </c>
      <c r="I55" s="4"/>
    </row>
    <row r="56" spans="1:9" x14ac:dyDescent="0.2">
      <c r="A56" s="130"/>
      <c r="B56" s="4"/>
      <c r="C56" s="4"/>
      <c r="D56" s="4"/>
      <c r="E56" s="5"/>
      <c r="F56" s="5"/>
      <c r="G56" s="4"/>
      <c r="H56" s="5" t="str">
        <f t="shared" si="0"/>
        <v/>
      </c>
      <c r="I56" s="4"/>
    </row>
    <row r="57" spans="1:9" x14ac:dyDescent="0.2">
      <c r="A57" s="130"/>
      <c r="B57" s="4"/>
      <c r="C57" s="4"/>
      <c r="D57" s="4"/>
      <c r="E57" s="5"/>
      <c r="F57" s="5"/>
      <c r="G57" s="4"/>
      <c r="H57" s="5" t="str">
        <f t="shared" si="0"/>
        <v/>
      </c>
      <c r="I57" s="4"/>
    </row>
    <row r="58" spans="1:9" x14ac:dyDescent="0.2">
      <c r="A58" s="130"/>
      <c r="B58" s="4"/>
      <c r="C58" s="4"/>
      <c r="D58" s="4"/>
      <c r="E58" s="5"/>
      <c r="F58" s="5"/>
      <c r="G58" s="4"/>
      <c r="H58" s="5" t="str">
        <f t="shared" si="0"/>
        <v/>
      </c>
      <c r="I58" s="4"/>
    </row>
    <row r="59" spans="1:9" x14ac:dyDescent="0.2">
      <c r="A59" s="130"/>
      <c r="B59" s="4"/>
      <c r="C59" s="4"/>
      <c r="D59" s="4"/>
      <c r="E59" s="5"/>
      <c r="F59" s="5"/>
      <c r="G59" s="4"/>
      <c r="H59" s="5" t="str">
        <f t="shared" si="0"/>
        <v/>
      </c>
      <c r="I59" s="4"/>
    </row>
    <row r="60" spans="1:9" x14ac:dyDescent="0.2">
      <c r="A60" s="130"/>
      <c r="B60" s="4"/>
      <c r="C60" s="4"/>
      <c r="D60" s="4"/>
      <c r="E60" s="5"/>
      <c r="F60" s="5"/>
      <c r="G60" s="4"/>
      <c r="H60" s="5" t="str">
        <f t="shared" si="0"/>
        <v/>
      </c>
      <c r="I60" s="4"/>
    </row>
    <row r="61" spans="1:9" x14ac:dyDescent="0.2">
      <c r="A61" s="130"/>
      <c r="B61" s="4"/>
      <c r="C61" s="4"/>
      <c r="D61" s="4"/>
      <c r="E61" s="5"/>
      <c r="F61" s="5"/>
      <c r="G61" s="4"/>
      <c r="H61" s="5" t="str">
        <f t="shared" si="0"/>
        <v/>
      </c>
      <c r="I61" s="4"/>
    </row>
    <row r="62" spans="1:9" x14ac:dyDescent="0.2">
      <c r="A62" s="130"/>
      <c r="B62" s="4"/>
      <c r="C62" s="4"/>
      <c r="D62" s="4"/>
      <c r="E62" s="5"/>
      <c r="F62" s="5"/>
      <c r="G62" s="4"/>
      <c r="H62" s="5" t="str">
        <f t="shared" si="0"/>
        <v/>
      </c>
      <c r="I62" s="4"/>
    </row>
    <row r="63" spans="1:9" x14ac:dyDescent="0.2">
      <c r="A63" s="130"/>
      <c r="B63" s="4"/>
      <c r="C63" s="4"/>
      <c r="D63" s="4"/>
      <c r="E63" s="5"/>
      <c r="F63" s="5"/>
      <c r="G63" s="4"/>
      <c r="H63" s="5" t="str">
        <f t="shared" si="0"/>
        <v/>
      </c>
      <c r="I63" s="4"/>
    </row>
    <row r="64" spans="1:9" x14ac:dyDescent="0.2">
      <c r="A64" s="130"/>
      <c r="B64" s="4"/>
      <c r="C64" s="4"/>
      <c r="D64" s="4"/>
      <c r="E64" s="5"/>
      <c r="F64" s="5"/>
      <c r="G64" s="4"/>
      <c r="H64" s="5" t="str">
        <f t="shared" si="0"/>
        <v/>
      </c>
      <c r="I64" s="4"/>
    </row>
    <row r="65" spans="1:9" x14ac:dyDescent="0.2">
      <c r="A65" s="130"/>
      <c r="B65" s="4"/>
      <c r="C65" s="4"/>
      <c r="D65" s="4"/>
      <c r="E65" s="5"/>
      <c r="F65" s="5"/>
      <c r="G65" s="4"/>
      <c r="H65" s="5" t="str">
        <f t="shared" si="0"/>
        <v/>
      </c>
      <c r="I65" s="4"/>
    </row>
    <row r="66" spans="1:9" x14ac:dyDescent="0.2">
      <c r="A66" s="130"/>
      <c r="B66" s="4"/>
      <c r="C66" s="4"/>
      <c r="D66" s="4"/>
      <c r="E66" s="5"/>
      <c r="F66" s="5"/>
      <c r="G66" s="4"/>
      <c r="H66" s="5" t="str">
        <f t="shared" si="0"/>
        <v/>
      </c>
      <c r="I66" s="4"/>
    </row>
    <row r="67" spans="1:9" x14ac:dyDescent="0.2">
      <c r="A67" s="130"/>
      <c r="B67" s="4"/>
      <c r="C67" s="4"/>
      <c r="D67" s="4"/>
      <c r="E67" s="5"/>
      <c r="F67" s="5"/>
      <c r="G67" s="4"/>
      <c r="H67" s="5" t="str">
        <f t="shared" ref="H67:H130" si="1">IF($C67="","",$E67-$F67)</f>
        <v/>
      </c>
      <c r="I67" s="4"/>
    </row>
    <row r="68" spans="1:9" x14ac:dyDescent="0.2">
      <c r="A68" s="130"/>
      <c r="B68" s="4"/>
      <c r="C68" s="4"/>
      <c r="D68" s="4"/>
      <c r="E68" s="5"/>
      <c r="F68" s="5"/>
      <c r="G68" s="4"/>
      <c r="H68" s="5" t="str">
        <f t="shared" si="1"/>
        <v/>
      </c>
      <c r="I68" s="4"/>
    </row>
    <row r="69" spans="1:9" x14ac:dyDescent="0.2">
      <c r="A69" s="130"/>
      <c r="B69" s="4"/>
      <c r="C69" s="4"/>
      <c r="D69" s="4"/>
      <c r="E69" s="5"/>
      <c r="F69" s="5"/>
      <c r="G69" s="4"/>
      <c r="H69" s="5" t="str">
        <f t="shared" si="1"/>
        <v/>
      </c>
      <c r="I69" s="4"/>
    </row>
    <row r="70" spans="1:9" x14ac:dyDescent="0.2">
      <c r="A70" s="130"/>
      <c r="B70" s="4"/>
      <c r="C70" s="4"/>
      <c r="D70" s="4"/>
      <c r="E70" s="5"/>
      <c r="F70" s="5"/>
      <c r="G70" s="4"/>
      <c r="H70" s="5" t="str">
        <f t="shared" si="1"/>
        <v/>
      </c>
      <c r="I70" s="4"/>
    </row>
    <row r="71" spans="1:9" x14ac:dyDescent="0.2">
      <c r="A71" s="130"/>
      <c r="B71" s="4"/>
      <c r="C71" s="4"/>
      <c r="D71" s="4"/>
      <c r="E71" s="5"/>
      <c r="F71" s="5"/>
      <c r="G71" s="4"/>
      <c r="H71" s="5" t="str">
        <f t="shared" si="1"/>
        <v/>
      </c>
      <c r="I71" s="4"/>
    </row>
    <row r="72" spans="1:9" x14ac:dyDescent="0.2">
      <c r="A72" s="130"/>
      <c r="B72" s="4"/>
      <c r="C72" s="4"/>
      <c r="D72" s="4"/>
      <c r="E72" s="5"/>
      <c r="F72" s="5"/>
      <c r="G72" s="4"/>
      <c r="H72" s="5" t="str">
        <f t="shared" si="1"/>
        <v/>
      </c>
      <c r="I72" s="4"/>
    </row>
    <row r="73" spans="1:9" x14ac:dyDescent="0.2">
      <c r="A73" s="130"/>
      <c r="B73" s="4"/>
      <c r="C73" s="4"/>
      <c r="D73" s="4"/>
      <c r="E73" s="5"/>
      <c r="F73" s="5"/>
      <c r="G73" s="4"/>
      <c r="H73" s="5" t="str">
        <f t="shared" si="1"/>
        <v/>
      </c>
      <c r="I73" s="4"/>
    </row>
    <row r="74" spans="1:9" x14ac:dyDescent="0.2">
      <c r="A74" s="130"/>
      <c r="B74" s="4"/>
      <c r="C74" s="4"/>
      <c r="D74" s="4"/>
      <c r="E74" s="5"/>
      <c r="F74" s="5"/>
      <c r="G74" s="4"/>
      <c r="H74" s="5" t="str">
        <f t="shared" si="1"/>
        <v/>
      </c>
      <c r="I74" s="4"/>
    </row>
    <row r="75" spans="1:9" x14ac:dyDescent="0.2">
      <c r="A75" s="130"/>
      <c r="B75" s="4"/>
      <c r="C75" s="4"/>
      <c r="D75" s="4"/>
      <c r="E75" s="5"/>
      <c r="F75" s="5"/>
      <c r="G75" s="4"/>
      <c r="H75" s="5" t="str">
        <f t="shared" si="1"/>
        <v/>
      </c>
      <c r="I75" s="4"/>
    </row>
    <row r="76" spans="1:9" x14ac:dyDescent="0.2">
      <c r="A76" s="130"/>
      <c r="B76" s="4"/>
      <c r="C76" s="4"/>
      <c r="D76" s="4"/>
      <c r="E76" s="5"/>
      <c r="F76" s="5"/>
      <c r="G76" s="4"/>
      <c r="H76" s="5" t="str">
        <f t="shared" si="1"/>
        <v/>
      </c>
      <c r="I76" s="4"/>
    </row>
    <row r="77" spans="1:9" x14ac:dyDescent="0.2">
      <c r="A77" s="130"/>
      <c r="B77" s="4"/>
      <c r="C77" s="4"/>
      <c r="D77" s="4"/>
      <c r="E77" s="5"/>
      <c r="F77" s="5"/>
      <c r="G77" s="4"/>
      <c r="H77" s="5" t="str">
        <f t="shared" si="1"/>
        <v/>
      </c>
      <c r="I77" s="4"/>
    </row>
    <row r="78" spans="1:9" x14ac:dyDescent="0.2">
      <c r="A78" s="130"/>
      <c r="B78" s="4"/>
      <c r="C78" s="4"/>
      <c r="D78" s="4"/>
      <c r="E78" s="5"/>
      <c r="F78" s="5"/>
      <c r="G78" s="4"/>
      <c r="H78" s="5" t="str">
        <f t="shared" si="1"/>
        <v/>
      </c>
      <c r="I78" s="4"/>
    </row>
    <row r="79" spans="1:9" x14ac:dyDescent="0.2">
      <c r="A79" s="130"/>
      <c r="B79" s="4"/>
      <c r="C79" s="4"/>
      <c r="D79" s="4"/>
      <c r="E79" s="5"/>
      <c r="F79" s="5"/>
      <c r="G79" s="4"/>
      <c r="H79" s="5" t="str">
        <f t="shared" si="1"/>
        <v/>
      </c>
      <c r="I79" s="4"/>
    </row>
    <row r="80" spans="1:9" x14ac:dyDescent="0.2">
      <c r="A80" s="130"/>
      <c r="B80" s="4"/>
      <c r="C80" s="4"/>
      <c r="D80" s="4"/>
      <c r="E80" s="5"/>
      <c r="F80" s="5"/>
      <c r="G80" s="4"/>
      <c r="H80" s="5" t="str">
        <f t="shared" si="1"/>
        <v/>
      </c>
      <c r="I80" s="4"/>
    </row>
    <row r="81" spans="1:9" x14ac:dyDescent="0.2">
      <c r="A81" s="130"/>
      <c r="B81" s="4"/>
      <c r="C81" s="4"/>
      <c r="D81" s="4"/>
      <c r="E81" s="5"/>
      <c r="F81" s="5"/>
      <c r="G81" s="4"/>
      <c r="H81" s="5" t="str">
        <f t="shared" si="1"/>
        <v/>
      </c>
      <c r="I81" s="4"/>
    </row>
    <row r="82" spans="1:9" x14ac:dyDescent="0.2">
      <c r="A82" s="130"/>
      <c r="B82" s="4"/>
      <c r="C82" s="4"/>
      <c r="D82" s="4"/>
      <c r="E82" s="5"/>
      <c r="F82" s="5"/>
      <c r="G82" s="4"/>
      <c r="H82" s="5" t="str">
        <f t="shared" si="1"/>
        <v/>
      </c>
      <c r="I82" s="4"/>
    </row>
    <row r="83" spans="1:9" x14ac:dyDescent="0.2">
      <c r="A83" s="130"/>
      <c r="B83" s="4"/>
      <c r="C83" s="4"/>
      <c r="D83" s="4"/>
      <c r="E83" s="5"/>
      <c r="F83" s="5"/>
      <c r="G83" s="4"/>
      <c r="H83" s="5" t="str">
        <f t="shared" si="1"/>
        <v/>
      </c>
      <c r="I83" s="4"/>
    </row>
    <row r="84" spans="1:9" x14ac:dyDescent="0.2">
      <c r="A84" s="130"/>
      <c r="B84" s="4"/>
      <c r="C84" s="4"/>
      <c r="D84" s="4"/>
      <c r="E84" s="5"/>
      <c r="F84" s="5"/>
      <c r="G84" s="4"/>
      <c r="H84" s="5" t="str">
        <f t="shared" si="1"/>
        <v/>
      </c>
      <c r="I84" s="4"/>
    </row>
    <row r="85" spans="1:9" x14ac:dyDescent="0.2">
      <c r="A85" s="130"/>
      <c r="B85" s="4"/>
      <c r="C85" s="4"/>
      <c r="D85" s="4"/>
      <c r="E85" s="5"/>
      <c r="F85" s="5"/>
      <c r="G85" s="4"/>
      <c r="H85" s="5" t="str">
        <f t="shared" si="1"/>
        <v/>
      </c>
      <c r="I85" s="4"/>
    </row>
    <row r="86" spans="1:9" x14ac:dyDescent="0.2">
      <c r="A86" s="130"/>
      <c r="B86" s="4"/>
      <c r="C86" s="4"/>
      <c r="D86" s="4"/>
      <c r="E86" s="5"/>
      <c r="F86" s="5"/>
      <c r="G86" s="4"/>
      <c r="H86" s="5" t="str">
        <f t="shared" si="1"/>
        <v/>
      </c>
      <c r="I86" s="4"/>
    </row>
    <row r="87" spans="1:9" x14ac:dyDescent="0.2">
      <c r="A87" s="130"/>
      <c r="B87" s="4"/>
      <c r="C87" s="4"/>
      <c r="D87" s="4"/>
      <c r="E87" s="5"/>
      <c r="F87" s="5"/>
      <c r="G87" s="4"/>
      <c r="H87" s="5" t="str">
        <f t="shared" si="1"/>
        <v/>
      </c>
      <c r="I87" s="4"/>
    </row>
    <row r="88" spans="1:9" x14ac:dyDescent="0.2">
      <c r="A88" s="130"/>
      <c r="B88" s="4"/>
      <c r="C88" s="4"/>
      <c r="D88" s="4"/>
      <c r="E88" s="5"/>
      <c r="F88" s="5"/>
      <c r="G88" s="4"/>
      <c r="H88" s="5" t="str">
        <f t="shared" si="1"/>
        <v/>
      </c>
      <c r="I88" s="4"/>
    </row>
    <row r="89" spans="1:9" x14ac:dyDescent="0.2">
      <c r="A89" s="130"/>
      <c r="B89" s="4"/>
      <c r="C89" s="4"/>
      <c r="D89" s="4"/>
      <c r="E89" s="5"/>
      <c r="F89" s="5"/>
      <c r="G89" s="4"/>
      <c r="H89" s="5" t="str">
        <f t="shared" si="1"/>
        <v/>
      </c>
      <c r="I89" s="4"/>
    </row>
    <row r="90" spans="1:9" x14ac:dyDescent="0.2">
      <c r="A90" s="130"/>
      <c r="B90" s="4"/>
      <c r="C90" s="4"/>
      <c r="D90" s="4"/>
      <c r="E90" s="5"/>
      <c r="F90" s="5"/>
      <c r="G90" s="4"/>
      <c r="H90" s="5" t="str">
        <f t="shared" si="1"/>
        <v/>
      </c>
      <c r="I90" s="4"/>
    </row>
    <row r="91" spans="1:9" x14ac:dyDescent="0.2">
      <c r="A91" s="130"/>
      <c r="B91" s="4"/>
      <c r="C91" s="4"/>
      <c r="D91" s="4"/>
      <c r="E91" s="5"/>
      <c r="F91" s="5"/>
      <c r="G91" s="4"/>
      <c r="H91" s="5" t="str">
        <f t="shared" si="1"/>
        <v/>
      </c>
      <c r="I91" s="4"/>
    </row>
    <row r="92" spans="1:9" x14ac:dyDescent="0.2">
      <c r="A92" s="130"/>
      <c r="B92" s="4"/>
      <c r="C92" s="4"/>
      <c r="D92" s="4"/>
      <c r="E92" s="5"/>
      <c r="F92" s="5"/>
      <c r="G92" s="4"/>
      <c r="H92" s="5" t="str">
        <f t="shared" si="1"/>
        <v/>
      </c>
      <c r="I92" s="4"/>
    </row>
    <row r="93" spans="1:9" x14ac:dyDescent="0.2">
      <c r="A93" s="130"/>
      <c r="B93" s="4"/>
      <c r="C93" s="4"/>
      <c r="D93" s="4"/>
      <c r="E93" s="5"/>
      <c r="F93" s="5"/>
      <c r="G93" s="4"/>
      <c r="H93" s="5" t="str">
        <f t="shared" si="1"/>
        <v/>
      </c>
      <c r="I93" s="4"/>
    </row>
    <row r="94" spans="1:9" x14ac:dyDescent="0.2">
      <c r="A94" s="130"/>
      <c r="B94" s="4"/>
      <c r="C94" s="4"/>
      <c r="D94" s="4"/>
      <c r="E94" s="5"/>
      <c r="F94" s="5"/>
      <c r="G94" s="4"/>
      <c r="H94" s="5" t="str">
        <f t="shared" si="1"/>
        <v/>
      </c>
      <c r="I94" s="4"/>
    </row>
    <row r="95" spans="1:9" x14ac:dyDescent="0.2">
      <c r="A95" s="130"/>
      <c r="B95" s="4"/>
      <c r="C95" s="4"/>
      <c r="D95" s="4"/>
      <c r="E95" s="5"/>
      <c r="F95" s="5"/>
      <c r="G95" s="4"/>
      <c r="H95" s="5" t="str">
        <f t="shared" si="1"/>
        <v/>
      </c>
      <c r="I95" s="4"/>
    </row>
    <row r="96" spans="1:9" x14ac:dyDescent="0.2">
      <c r="A96" s="130"/>
      <c r="B96" s="4"/>
      <c r="C96" s="4"/>
      <c r="D96" s="4"/>
      <c r="E96" s="5"/>
      <c r="F96" s="5"/>
      <c r="G96" s="4"/>
      <c r="H96" s="5" t="str">
        <f t="shared" si="1"/>
        <v/>
      </c>
      <c r="I96" s="4"/>
    </row>
    <row r="97" spans="1:9" x14ac:dyDescent="0.2">
      <c r="A97" s="130"/>
      <c r="B97" s="4"/>
      <c r="C97" s="4"/>
      <c r="D97" s="4"/>
      <c r="E97" s="5"/>
      <c r="F97" s="5"/>
      <c r="G97" s="4"/>
      <c r="H97" s="5" t="str">
        <f t="shared" si="1"/>
        <v/>
      </c>
      <c r="I97" s="4"/>
    </row>
    <row r="98" spans="1:9" x14ac:dyDescent="0.2">
      <c r="A98" s="130"/>
      <c r="B98" s="4"/>
      <c r="C98" s="4"/>
      <c r="D98" s="4"/>
      <c r="E98" s="5"/>
      <c r="F98" s="5"/>
      <c r="G98" s="4"/>
      <c r="H98" s="5" t="str">
        <f t="shared" si="1"/>
        <v/>
      </c>
      <c r="I98" s="4"/>
    </row>
    <row r="99" spans="1:9" x14ac:dyDescent="0.2">
      <c r="A99" s="130"/>
      <c r="B99" s="4"/>
      <c r="C99" s="4"/>
      <c r="D99" s="4"/>
      <c r="E99" s="5"/>
      <c r="F99" s="5"/>
      <c r="G99" s="4"/>
      <c r="H99" s="5" t="str">
        <f t="shared" si="1"/>
        <v/>
      </c>
      <c r="I99" s="4"/>
    </row>
    <row r="100" spans="1:9" x14ac:dyDescent="0.2">
      <c r="A100" s="130"/>
      <c r="B100" s="4"/>
      <c r="C100" s="4"/>
      <c r="D100" s="4"/>
      <c r="E100" s="5"/>
      <c r="F100" s="5"/>
      <c r="G100" s="4"/>
      <c r="H100" s="5" t="str">
        <f t="shared" si="1"/>
        <v/>
      </c>
      <c r="I100" s="4"/>
    </row>
    <row r="101" spans="1:9" x14ac:dyDescent="0.2">
      <c r="A101" s="130"/>
      <c r="B101" s="4"/>
      <c r="C101" s="4"/>
      <c r="D101" s="4"/>
      <c r="E101" s="5"/>
      <c r="F101" s="5"/>
      <c r="G101" s="4"/>
      <c r="H101" s="5" t="str">
        <f t="shared" si="1"/>
        <v/>
      </c>
      <c r="I101" s="4"/>
    </row>
    <row r="102" spans="1:9" x14ac:dyDescent="0.2">
      <c r="A102" s="130"/>
      <c r="B102" s="4"/>
      <c r="C102" s="4"/>
      <c r="D102" s="4"/>
      <c r="E102" s="5"/>
      <c r="F102" s="5"/>
      <c r="G102" s="4"/>
      <c r="H102" s="5" t="str">
        <f t="shared" si="1"/>
        <v/>
      </c>
      <c r="I102" s="4"/>
    </row>
    <row r="103" spans="1:9" x14ac:dyDescent="0.2">
      <c r="A103" s="130"/>
      <c r="B103" s="4"/>
      <c r="C103" s="4"/>
      <c r="D103" s="4"/>
      <c r="E103" s="5"/>
      <c r="F103" s="5"/>
      <c r="G103" s="4"/>
      <c r="H103" s="5" t="str">
        <f t="shared" si="1"/>
        <v/>
      </c>
      <c r="I103" s="4"/>
    </row>
    <row r="104" spans="1:9" x14ac:dyDescent="0.2">
      <c r="A104" s="130"/>
      <c r="B104" s="4"/>
      <c r="C104" s="4"/>
      <c r="D104" s="4"/>
      <c r="E104" s="5"/>
      <c r="F104" s="5"/>
      <c r="G104" s="4"/>
      <c r="H104" s="5" t="str">
        <f t="shared" si="1"/>
        <v/>
      </c>
      <c r="I104" s="4"/>
    </row>
    <row r="105" spans="1:9" x14ac:dyDescent="0.2">
      <c r="A105" s="130"/>
      <c r="B105" s="4"/>
      <c r="C105" s="4"/>
      <c r="D105" s="4"/>
      <c r="E105" s="5"/>
      <c r="F105" s="5"/>
      <c r="G105" s="4"/>
      <c r="H105" s="5" t="str">
        <f t="shared" si="1"/>
        <v/>
      </c>
      <c r="I105" s="4"/>
    </row>
    <row r="106" spans="1:9" x14ac:dyDescent="0.2">
      <c r="A106" s="130"/>
      <c r="B106" s="4"/>
      <c r="C106" s="4"/>
      <c r="D106" s="4"/>
      <c r="E106" s="5"/>
      <c r="F106" s="5"/>
      <c r="G106" s="4"/>
      <c r="H106" s="5" t="str">
        <f t="shared" si="1"/>
        <v/>
      </c>
      <c r="I106" s="4"/>
    </row>
    <row r="107" spans="1:9" x14ac:dyDescent="0.2">
      <c r="A107" s="130"/>
      <c r="B107" s="4"/>
      <c r="C107" s="4"/>
      <c r="D107" s="4"/>
      <c r="E107" s="5"/>
      <c r="F107" s="5"/>
      <c r="G107" s="4"/>
      <c r="H107" s="5" t="str">
        <f t="shared" si="1"/>
        <v/>
      </c>
      <c r="I107" s="4"/>
    </row>
    <row r="108" spans="1:9" x14ac:dyDescent="0.2">
      <c r="A108" s="130"/>
      <c r="B108" s="4"/>
      <c r="C108" s="4"/>
      <c r="D108" s="4"/>
      <c r="E108" s="5"/>
      <c r="F108" s="5"/>
      <c r="G108" s="4"/>
      <c r="H108" s="5" t="str">
        <f t="shared" si="1"/>
        <v/>
      </c>
      <c r="I108" s="4"/>
    </row>
    <row r="109" spans="1:9" x14ac:dyDescent="0.2">
      <c r="A109" s="130"/>
      <c r="B109" s="4"/>
      <c r="C109" s="4"/>
      <c r="D109" s="4"/>
      <c r="E109" s="5"/>
      <c r="F109" s="5"/>
      <c r="G109" s="4"/>
      <c r="H109" s="5" t="str">
        <f t="shared" si="1"/>
        <v/>
      </c>
      <c r="I109" s="4"/>
    </row>
    <row r="110" spans="1:9" x14ac:dyDescent="0.2">
      <c r="A110" s="130"/>
      <c r="B110" s="4"/>
      <c r="C110" s="4"/>
      <c r="D110" s="4"/>
      <c r="E110" s="5"/>
      <c r="F110" s="5"/>
      <c r="G110" s="4"/>
      <c r="H110" s="5" t="str">
        <f t="shared" si="1"/>
        <v/>
      </c>
      <c r="I110" s="4"/>
    </row>
    <row r="111" spans="1:9" x14ac:dyDescent="0.2">
      <c r="A111" s="130"/>
      <c r="B111" s="4"/>
      <c r="C111" s="4"/>
      <c r="D111" s="4"/>
      <c r="E111" s="5"/>
      <c r="F111" s="5"/>
      <c r="G111" s="4"/>
      <c r="H111" s="5" t="str">
        <f t="shared" si="1"/>
        <v/>
      </c>
      <c r="I111" s="4"/>
    </row>
    <row r="112" spans="1:9" x14ac:dyDescent="0.2">
      <c r="A112" s="130"/>
      <c r="B112" s="4"/>
      <c r="C112" s="4"/>
      <c r="D112" s="4"/>
      <c r="E112" s="5"/>
      <c r="F112" s="5"/>
      <c r="G112" s="4"/>
      <c r="H112" s="5" t="str">
        <f t="shared" si="1"/>
        <v/>
      </c>
      <c r="I112" s="4"/>
    </row>
    <row r="113" spans="1:9" x14ac:dyDescent="0.2">
      <c r="A113" s="130"/>
      <c r="B113" s="4"/>
      <c r="C113" s="4"/>
      <c r="D113" s="4"/>
      <c r="E113" s="5"/>
      <c r="F113" s="5"/>
      <c r="G113" s="4"/>
      <c r="H113" s="5" t="str">
        <f t="shared" si="1"/>
        <v/>
      </c>
      <c r="I113" s="4"/>
    </row>
    <row r="114" spans="1:9" x14ac:dyDescent="0.2">
      <c r="A114" s="130"/>
      <c r="B114" s="4"/>
      <c r="C114" s="4"/>
      <c r="D114" s="4"/>
      <c r="E114" s="5"/>
      <c r="F114" s="5"/>
      <c r="G114" s="4"/>
      <c r="H114" s="5" t="str">
        <f t="shared" si="1"/>
        <v/>
      </c>
      <c r="I114" s="4"/>
    </row>
    <row r="115" spans="1:9" x14ac:dyDescent="0.2">
      <c r="A115" s="130"/>
      <c r="B115" s="4"/>
      <c r="C115" s="4"/>
      <c r="D115" s="4"/>
      <c r="E115" s="5"/>
      <c r="F115" s="5"/>
      <c r="G115" s="4"/>
      <c r="H115" s="5" t="str">
        <f t="shared" si="1"/>
        <v/>
      </c>
      <c r="I115" s="4"/>
    </row>
    <row r="116" spans="1:9" x14ac:dyDescent="0.2">
      <c r="A116" s="130"/>
      <c r="B116" s="4"/>
      <c r="C116" s="4"/>
      <c r="D116" s="4"/>
      <c r="E116" s="5"/>
      <c r="F116" s="5"/>
      <c r="G116" s="4"/>
      <c r="H116" s="5" t="str">
        <f t="shared" si="1"/>
        <v/>
      </c>
      <c r="I116" s="4"/>
    </row>
    <row r="117" spans="1:9" x14ac:dyDescent="0.2">
      <c r="A117" s="130"/>
      <c r="B117" s="4"/>
      <c r="C117" s="4"/>
      <c r="D117" s="4"/>
      <c r="E117" s="5"/>
      <c r="F117" s="5"/>
      <c r="G117" s="4"/>
      <c r="H117" s="5" t="str">
        <f t="shared" si="1"/>
        <v/>
      </c>
      <c r="I117" s="4"/>
    </row>
    <row r="118" spans="1:9" x14ac:dyDescent="0.2">
      <c r="A118" s="130"/>
      <c r="B118" s="4"/>
      <c r="C118" s="4"/>
      <c r="D118" s="4"/>
      <c r="E118" s="5"/>
      <c r="F118" s="5"/>
      <c r="G118" s="4"/>
      <c r="H118" s="5" t="str">
        <f t="shared" si="1"/>
        <v/>
      </c>
      <c r="I118" s="4"/>
    </row>
    <row r="119" spans="1:9" x14ac:dyDescent="0.2">
      <c r="A119" s="130"/>
      <c r="B119" s="4"/>
      <c r="C119" s="4"/>
      <c r="D119" s="4"/>
      <c r="E119" s="5"/>
      <c r="F119" s="5"/>
      <c r="G119" s="4"/>
      <c r="H119" s="5" t="str">
        <f t="shared" si="1"/>
        <v/>
      </c>
      <c r="I119" s="4"/>
    </row>
    <row r="120" spans="1:9" x14ac:dyDescent="0.2">
      <c r="A120" s="130"/>
      <c r="B120" s="4"/>
      <c r="C120" s="4"/>
      <c r="D120" s="4"/>
      <c r="E120" s="5"/>
      <c r="F120" s="5"/>
      <c r="G120" s="4"/>
      <c r="H120" s="5" t="str">
        <f t="shared" si="1"/>
        <v/>
      </c>
      <c r="I120" s="4"/>
    </row>
    <row r="121" spans="1:9" x14ac:dyDescent="0.2">
      <c r="A121" s="130"/>
      <c r="B121" s="4"/>
      <c r="C121" s="4"/>
      <c r="D121" s="4"/>
      <c r="E121" s="5"/>
      <c r="F121" s="5"/>
      <c r="G121" s="4"/>
      <c r="H121" s="5" t="str">
        <f t="shared" si="1"/>
        <v/>
      </c>
      <c r="I121" s="4"/>
    </row>
    <row r="122" spans="1:9" x14ac:dyDescent="0.2">
      <c r="A122" s="130"/>
      <c r="B122" s="4"/>
      <c r="C122" s="4"/>
      <c r="D122" s="4"/>
      <c r="E122" s="5"/>
      <c r="F122" s="5"/>
      <c r="G122" s="4"/>
      <c r="H122" s="5" t="str">
        <f t="shared" si="1"/>
        <v/>
      </c>
      <c r="I122" s="4"/>
    </row>
    <row r="123" spans="1:9" x14ac:dyDescent="0.2">
      <c r="A123" s="130"/>
      <c r="B123" s="4"/>
      <c r="C123" s="4"/>
      <c r="D123" s="4"/>
      <c r="E123" s="5"/>
      <c r="F123" s="5"/>
      <c r="G123" s="4"/>
      <c r="H123" s="5" t="str">
        <f t="shared" si="1"/>
        <v/>
      </c>
      <c r="I123" s="4"/>
    </row>
    <row r="124" spans="1:9" x14ac:dyDescent="0.2">
      <c r="A124" s="130"/>
      <c r="B124" s="4"/>
      <c r="C124" s="4"/>
      <c r="D124" s="4"/>
      <c r="E124" s="5"/>
      <c r="F124" s="5"/>
      <c r="G124" s="4"/>
      <c r="H124" s="5" t="str">
        <f t="shared" si="1"/>
        <v/>
      </c>
      <c r="I124" s="4"/>
    </row>
    <row r="125" spans="1:9" x14ac:dyDescent="0.2">
      <c r="A125" s="130"/>
      <c r="B125" s="4"/>
      <c r="C125" s="4"/>
      <c r="D125" s="4"/>
      <c r="E125" s="5"/>
      <c r="F125" s="5"/>
      <c r="G125" s="4"/>
      <c r="H125" s="5" t="str">
        <f t="shared" si="1"/>
        <v/>
      </c>
      <c r="I125" s="4"/>
    </row>
    <row r="126" spans="1:9" x14ac:dyDescent="0.2">
      <c r="A126" s="130"/>
      <c r="B126" s="4"/>
      <c r="C126" s="4"/>
      <c r="D126" s="4"/>
      <c r="E126" s="5"/>
      <c r="F126" s="5"/>
      <c r="G126" s="4"/>
      <c r="H126" s="5" t="str">
        <f t="shared" si="1"/>
        <v/>
      </c>
      <c r="I126" s="4"/>
    </row>
    <row r="127" spans="1:9" x14ac:dyDescent="0.2">
      <c r="A127" s="130"/>
      <c r="B127" s="4"/>
      <c r="C127" s="4"/>
      <c r="D127" s="4"/>
      <c r="E127" s="5"/>
      <c r="F127" s="5"/>
      <c r="G127" s="4"/>
      <c r="H127" s="5" t="str">
        <f t="shared" si="1"/>
        <v/>
      </c>
      <c r="I127" s="4"/>
    </row>
    <row r="128" spans="1:9" x14ac:dyDescent="0.2">
      <c r="A128" s="130"/>
      <c r="B128" s="4"/>
      <c r="C128" s="4"/>
      <c r="D128" s="4"/>
      <c r="E128" s="5"/>
      <c r="F128" s="5"/>
      <c r="G128" s="4"/>
      <c r="H128" s="5" t="str">
        <f t="shared" si="1"/>
        <v/>
      </c>
      <c r="I128" s="4"/>
    </row>
    <row r="129" spans="1:9" x14ac:dyDescent="0.2">
      <c r="A129" s="130"/>
      <c r="B129" s="4"/>
      <c r="C129" s="4"/>
      <c r="D129" s="4"/>
      <c r="E129" s="5"/>
      <c r="F129" s="5"/>
      <c r="G129" s="4"/>
      <c r="H129" s="5" t="str">
        <f t="shared" si="1"/>
        <v/>
      </c>
      <c r="I129" s="4"/>
    </row>
    <row r="130" spans="1:9" x14ac:dyDescent="0.2">
      <c r="A130" s="130"/>
      <c r="B130" s="4"/>
      <c r="C130" s="4"/>
      <c r="D130" s="4"/>
      <c r="E130" s="5"/>
      <c r="F130" s="5"/>
      <c r="G130" s="4"/>
      <c r="H130" s="5" t="str">
        <f t="shared" si="1"/>
        <v/>
      </c>
      <c r="I130" s="4"/>
    </row>
    <row r="131" spans="1:9" x14ac:dyDescent="0.2">
      <c r="A131" s="130"/>
      <c r="B131" s="4"/>
      <c r="C131" s="4"/>
      <c r="D131" s="4"/>
      <c r="E131" s="5"/>
      <c r="F131" s="5"/>
      <c r="G131" s="4"/>
      <c r="H131" s="5" t="str">
        <f t="shared" ref="H131:H194" si="2">IF($C131="","",$E131-$F131)</f>
        <v/>
      </c>
      <c r="I131" s="4"/>
    </row>
    <row r="132" spans="1:9" x14ac:dyDescent="0.2">
      <c r="A132" s="130"/>
      <c r="B132" s="4"/>
      <c r="C132" s="4"/>
      <c r="D132" s="4"/>
      <c r="E132" s="5"/>
      <c r="F132" s="5"/>
      <c r="G132" s="4"/>
      <c r="H132" s="5" t="str">
        <f t="shared" si="2"/>
        <v/>
      </c>
      <c r="I132" s="4"/>
    </row>
    <row r="133" spans="1:9" x14ac:dyDescent="0.2">
      <c r="A133" s="130"/>
      <c r="B133" s="4"/>
      <c r="C133" s="4"/>
      <c r="D133" s="4"/>
      <c r="E133" s="5"/>
      <c r="F133" s="5"/>
      <c r="G133" s="4"/>
      <c r="H133" s="5" t="str">
        <f t="shared" si="2"/>
        <v/>
      </c>
      <c r="I133" s="4"/>
    </row>
    <row r="134" spans="1:9" x14ac:dyDescent="0.2">
      <c r="A134" s="130"/>
      <c r="B134" s="4"/>
      <c r="C134" s="4"/>
      <c r="D134" s="4"/>
      <c r="E134" s="5"/>
      <c r="F134" s="5"/>
      <c r="G134" s="4"/>
      <c r="H134" s="5" t="str">
        <f t="shared" si="2"/>
        <v/>
      </c>
      <c r="I134" s="4"/>
    </row>
    <row r="135" spans="1:9" x14ac:dyDescent="0.2">
      <c r="A135" s="130"/>
      <c r="B135" s="4"/>
      <c r="C135" s="4"/>
      <c r="D135" s="4"/>
      <c r="E135" s="5"/>
      <c r="F135" s="5"/>
      <c r="G135" s="4"/>
      <c r="H135" s="5" t="str">
        <f t="shared" si="2"/>
        <v/>
      </c>
      <c r="I135" s="4"/>
    </row>
    <row r="136" spans="1:9" x14ac:dyDescent="0.2">
      <c r="A136" s="130"/>
      <c r="B136" s="4"/>
      <c r="C136" s="4"/>
      <c r="D136" s="4"/>
      <c r="E136" s="5"/>
      <c r="F136" s="5"/>
      <c r="G136" s="4"/>
      <c r="H136" s="5" t="str">
        <f t="shared" si="2"/>
        <v/>
      </c>
      <c r="I136" s="4"/>
    </row>
    <row r="137" spans="1:9" x14ac:dyDescent="0.2">
      <c r="A137" s="130"/>
      <c r="B137" s="4"/>
      <c r="C137" s="4"/>
      <c r="D137" s="4"/>
      <c r="E137" s="5"/>
      <c r="F137" s="5"/>
      <c r="G137" s="4"/>
      <c r="H137" s="5" t="str">
        <f t="shared" si="2"/>
        <v/>
      </c>
      <c r="I137" s="4"/>
    </row>
    <row r="138" spans="1:9" x14ac:dyDescent="0.2">
      <c r="A138" s="130"/>
      <c r="B138" s="4"/>
      <c r="C138" s="4"/>
      <c r="D138" s="4"/>
      <c r="E138" s="5"/>
      <c r="F138" s="5"/>
      <c r="G138" s="4"/>
      <c r="H138" s="5" t="str">
        <f t="shared" si="2"/>
        <v/>
      </c>
      <c r="I138" s="4"/>
    </row>
    <row r="139" spans="1:9" x14ac:dyDescent="0.2">
      <c r="A139" s="130"/>
      <c r="B139" s="4"/>
      <c r="C139" s="4"/>
      <c r="D139" s="4"/>
      <c r="E139" s="5"/>
      <c r="F139" s="5"/>
      <c r="G139" s="4"/>
      <c r="H139" s="5" t="str">
        <f t="shared" si="2"/>
        <v/>
      </c>
      <c r="I139" s="4"/>
    </row>
    <row r="140" spans="1:9" x14ac:dyDescent="0.2">
      <c r="A140" s="130"/>
      <c r="B140" s="4"/>
      <c r="C140" s="4"/>
      <c r="D140" s="4"/>
      <c r="E140" s="5"/>
      <c r="F140" s="5"/>
      <c r="G140" s="4"/>
      <c r="H140" s="5" t="str">
        <f t="shared" si="2"/>
        <v/>
      </c>
      <c r="I140" s="4"/>
    </row>
    <row r="141" spans="1:9" x14ac:dyDescent="0.2">
      <c r="A141" s="130"/>
      <c r="B141" s="4"/>
      <c r="C141" s="4"/>
      <c r="D141" s="4"/>
      <c r="E141" s="5"/>
      <c r="F141" s="5"/>
      <c r="G141" s="4"/>
      <c r="H141" s="5" t="str">
        <f t="shared" si="2"/>
        <v/>
      </c>
      <c r="I141" s="4"/>
    </row>
    <row r="142" spans="1:9" x14ac:dyDescent="0.2">
      <c r="A142" s="130"/>
      <c r="B142" s="4"/>
      <c r="C142" s="4"/>
      <c r="D142" s="4"/>
      <c r="E142" s="5"/>
      <c r="F142" s="5"/>
      <c r="G142" s="4"/>
      <c r="H142" s="5" t="str">
        <f t="shared" si="2"/>
        <v/>
      </c>
      <c r="I142" s="4"/>
    </row>
    <row r="143" spans="1:9" x14ac:dyDescent="0.2">
      <c r="A143" s="130"/>
      <c r="B143" s="4"/>
      <c r="C143" s="4"/>
      <c r="D143" s="4"/>
      <c r="E143" s="5"/>
      <c r="F143" s="5"/>
      <c r="G143" s="4"/>
      <c r="H143" s="5" t="str">
        <f t="shared" si="2"/>
        <v/>
      </c>
      <c r="I143" s="4"/>
    </row>
    <row r="144" spans="1:9" x14ac:dyDescent="0.2">
      <c r="A144" s="130"/>
      <c r="B144" s="4"/>
      <c r="C144" s="4"/>
      <c r="D144" s="4"/>
      <c r="E144" s="5"/>
      <c r="F144" s="5"/>
      <c r="G144" s="4"/>
      <c r="H144" s="5" t="str">
        <f t="shared" si="2"/>
        <v/>
      </c>
      <c r="I144" s="4"/>
    </row>
    <row r="145" spans="1:9" x14ac:dyDescent="0.2">
      <c r="A145" s="130"/>
      <c r="B145" s="4"/>
      <c r="C145" s="4"/>
      <c r="D145" s="4"/>
      <c r="E145" s="5"/>
      <c r="F145" s="5"/>
      <c r="G145" s="4"/>
      <c r="H145" s="5" t="str">
        <f t="shared" si="2"/>
        <v/>
      </c>
      <c r="I145" s="4"/>
    </row>
    <row r="146" spans="1:9" x14ac:dyDescent="0.2">
      <c r="A146" s="130"/>
      <c r="B146" s="4"/>
      <c r="C146" s="4"/>
      <c r="D146" s="4"/>
      <c r="E146" s="5"/>
      <c r="F146" s="5"/>
      <c r="G146" s="4"/>
      <c r="H146" s="5" t="str">
        <f t="shared" si="2"/>
        <v/>
      </c>
      <c r="I146" s="4"/>
    </row>
    <row r="147" spans="1:9" x14ac:dyDescent="0.2">
      <c r="A147" s="130"/>
      <c r="B147" s="4"/>
      <c r="C147" s="4"/>
      <c r="D147" s="4"/>
      <c r="E147" s="5"/>
      <c r="F147" s="5"/>
      <c r="G147" s="4"/>
      <c r="H147" s="5" t="str">
        <f t="shared" si="2"/>
        <v/>
      </c>
      <c r="I147" s="4"/>
    </row>
    <row r="148" spans="1:9" x14ac:dyDescent="0.2">
      <c r="A148" s="130"/>
      <c r="B148" s="4"/>
      <c r="C148" s="4"/>
      <c r="D148" s="4"/>
      <c r="E148" s="5"/>
      <c r="F148" s="5"/>
      <c r="G148" s="4"/>
      <c r="H148" s="5" t="str">
        <f t="shared" si="2"/>
        <v/>
      </c>
      <c r="I148" s="4"/>
    </row>
    <row r="149" spans="1:9" x14ac:dyDescent="0.2">
      <c r="A149" s="130"/>
      <c r="B149" s="4"/>
      <c r="C149" s="4"/>
      <c r="D149" s="4"/>
      <c r="E149" s="5"/>
      <c r="F149" s="5"/>
      <c r="G149" s="4"/>
      <c r="H149" s="5" t="str">
        <f t="shared" si="2"/>
        <v/>
      </c>
      <c r="I149" s="4"/>
    </row>
    <row r="150" spans="1:9" x14ac:dyDescent="0.2">
      <c r="A150" s="130"/>
      <c r="B150" s="4"/>
      <c r="C150" s="4"/>
      <c r="D150" s="4"/>
      <c r="E150" s="5"/>
      <c r="F150" s="5"/>
      <c r="G150" s="4"/>
      <c r="H150" s="5" t="str">
        <f t="shared" si="2"/>
        <v/>
      </c>
      <c r="I150" s="4"/>
    </row>
    <row r="151" spans="1:9" x14ac:dyDescent="0.2">
      <c r="A151" s="130"/>
      <c r="B151" s="4"/>
      <c r="C151" s="4"/>
      <c r="D151" s="4"/>
      <c r="E151" s="5"/>
      <c r="F151" s="5"/>
      <c r="G151" s="4"/>
      <c r="H151" s="5" t="str">
        <f t="shared" si="2"/>
        <v/>
      </c>
      <c r="I151" s="4"/>
    </row>
    <row r="152" spans="1:9" x14ac:dyDescent="0.2">
      <c r="A152" s="130"/>
      <c r="B152" s="4"/>
      <c r="C152" s="4"/>
      <c r="D152" s="4"/>
      <c r="E152" s="5"/>
      <c r="F152" s="5"/>
      <c r="G152" s="4"/>
      <c r="H152" s="5" t="str">
        <f t="shared" si="2"/>
        <v/>
      </c>
      <c r="I152" s="4"/>
    </row>
    <row r="153" spans="1:9" x14ac:dyDescent="0.2">
      <c r="A153" s="130"/>
      <c r="B153" s="4"/>
      <c r="C153" s="4"/>
      <c r="D153" s="4"/>
      <c r="E153" s="5"/>
      <c r="F153" s="5"/>
      <c r="G153" s="4"/>
      <c r="H153" s="5" t="str">
        <f t="shared" si="2"/>
        <v/>
      </c>
      <c r="I153" s="4"/>
    </row>
    <row r="154" spans="1:9" x14ac:dyDescent="0.2">
      <c r="A154" s="130"/>
      <c r="B154" s="4"/>
      <c r="C154" s="4"/>
      <c r="D154" s="4"/>
      <c r="E154" s="5"/>
      <c r="F154" s="5"/>
      <c r="G154" s="4"/>
      <c r="H154" s="5" t="str">
        <f t="shared" si="2"/>
        <v/>
      </c>
      <c r="I154" s="4"/>
    </row>
    <row r="155" spans="1:9" x14ac:dyDescent="0.2">
      <c r="A155" s="130"/>
      <c r="B155" s="4"/>
      <c r="C155" s="4"/>
      <c r="D155" s="4"/>
      <c r="E155" s="5"/>
      <c r="F155" s="5"/>
      <c r="G155" s="4"/>
      <c r="H155" s="5" t="str">
        <f t="shared" si="2"/>
        <v/>
      </c>
      <c r="I155" s="4"/>
    </row>
    <row r="156" spans="1:9" x14ac:dyDescent="0.2">
      <c r="A156" s="130"/>
      <c r="B156" s="4"/>
      <c r="C156" s="4"/>
      <c r="D156" s="4"/>
      <c r="E156" s="5"/>
      <c r="F156" s="5"/>
      <c r="G156" s="4"/>
      <c r="H156" s="5" t="str">
        <f t="shared" si="2"/>
        <v/>
      </c>
      <c r="I156" s="4"/>
    </row>
    <row r="157" spans="1:9" x14ac:dyDescent="0.2">
      <c r="A157" s="130"/>
      <c r="B157" s="4"/>
      <c r="C157" s="4"/>
      <c r="D157" s="4"/>
      <c r="E157" s="5"/>
      <c r="F157" s="5"/>
      <c r="G157" s="4"/>
      <c r="H157" s="5" t="str">
        <f t="shared" si="2"/>
        <v/>
      </c>
      <c r="I157" s="4"/>
    </row>
    <row r="158" spans="1:9" x14ac:dyDescent="0.2">
      <c r="A158" s="130"/>
      <c r="B158" s="4"/>
      <c r="C158" s="4"/>
      <c r="D158" s="4"/>
      <c r="E158" s="5"/>
      <c r="F158" s="5"/>
      <c r="G158" s="4"/>
      <c r="H158" s="5" t="str">
        <f t="shared" si="2"/>
        <v/>
      </c>
      <c r="I158" s="4"/>
    </row>
    <row r="159" spans="1:9" x14ac:dyDescent="0.2">
      <c r="A159" s="130"/>
      <c r="B159" s="4"/>
      <c r="C159" s="4"/>
      <c r="D159" s="4"/>
      <c r="E159" s="5"/>
      <c r="F159" s="5"/>
      <c r="G159" s="4"/>
      <c r="H159" s="5" t="str">
        <f t="shared" si="2"/>
        <v/>
      </c>
      <c r="I159" s="4"/>
    </row>
    <row r="160" spans="1:9" x14ac:dyDescent="0.2">
      <c r="A160" s="130"/>
      <c r="B160" s="4"/>
      <c r="C160" s="4"/>
      <c r="D160" s="4"/>
      <c r="E160" s="5"/>
      <c r="F160" s="5"/>
      <c r="G160" s="4"/>
      <c r="H160" s="5" t="str">
        <f t="shared" si="2"/>
        <v/>
      </c>
      <c r="I160" s="4"/>
    </row>
    <row r="161" spans="1:9" x14ac:dyDescent="0.2">
      <c r="A161" s="130"/>
      <c r="B161" s="4"/>
      <c r="C161" s="4"/>
      <c r="D161" s="4"/>
      <c r="E161" s="5"/>
      <c r="F161" s="5"/>
      <c r="G161" s="4"/>
      <c r="H161" s="5" t="str">
        <f t="shared" si="2"/>
        <v/>
      </c>
      <c r="I161" s="4"/>
    </row>
    <row r="162" spans="1:9" x14ac:dyDescent="0.2">
      <c r="A162" s="130"/>
      <c r="B162" s="4"/>
      <c r="C162" s="4"/>
      <c r="D162" s="4"/>
      <c r="E162" s="5"/>
      <c r="F162" s="5"/>
      <c r="G162" s="4"/>
      <c r="H162" s="5" t="str">
        <f t="shared" si="2"/>
        <v/>
      </c>
      <c r="I162" s="4"/>
    </row>
    <row r="163" spans="1:9" x14ac:dyDescent="0.2">
      <c r="A163" s="130"/>
      <c r="B163" s="4"/>
      <c r="C163" s="4"/>
      <c r="D163" s="4"/>
      <c r="E163" s="5"/>
      <c r="F163" s="5"/>
      <c r="G163" s="4"/>
      <c r="H163" s="5" t="str">
        <f t="shared" si="2"/>
        <v/>
      </c>
      <c r="I163" s="4"/>
    </row>
    <row r="164" spans="1:9" x14ac:dyDescent="0.2">
      <c r="A164" s="130"/>
      <c r="B164" s="4"/>
      <c r="C164" s="4"/>
      <c r="D164" s="4"/>
      <c r="E164" s="5"/>
      <c r="F164" s="5"/>
      <c r="G164" s="4"/>
      <c r="H164" s="5" t="str">
        <f t="shared" si="2"/>
        <v/>
      </c>
      <c r="I164" s="4"/>
    </row>
    <row r="165" spans="1:9" x14ac:dyDescent="0.2">
      <c r="A165" s="130"/>
      <c r="B165" s="4"/>
      <c r="C165" s="4"/>
      <c r="D165" s="4"/>
      <c r="E165" s="5"/>
      <c r="F165" s="5"/>
      <c r="G165" s="4"/>
      <c r="H165" s="5" t="str">
        <f t="shared" si="2"/>
        <v/>
      </c>
      <c r="I165" s="4"/>
    </row>
    <row r="166" spans="1:9" x14ac:dyDescent="0.2">
      <c r="A166" s="130"/>
      <c r="B166" s="4"/>
      <c r="C166" s="4"/>
      <c r="D166" s="4"/>
      <c r="E166" s="5"/>
      <c r="F166" s="5"/>
      <c r="G166" s="4"/>
      <c r="H166" s="5" t="str">
        <f t="shared" si="2"/>
        <v/>
      </c>
      <c r="I166" s="4"/>
    </row>
    <row r="167" spans="1:9" x14ac:dyDescent="0.2">
      <c r="A167" s="130"/>
      <c r="B167" s="4"/>
      <c r="C167" s="4"/>
      <c r="D167" s="4"/>
      <c r="E167" s="5"/>
      <c r="F167" s="5"/>
      <c r="G167" s="4"/>
      <c r="H167" s="5" t="str">
        <f t="shared" si="2"/>
        <v/>
      </c>
      <c r="I167" s="4"/>
    </row>
    <row r="168" spans="1:9" x14ac:dyDescent="0.2">
      <c r="A168" s="130"/>
      <c r="B168" s="4"/>
      <c r="C168" s="4"/>
      <c r="D168" s="4"/>
      <c r="E168" s="5"/>
      <c r="F168" s="5"/>
      <c r="G168" s="4"/>
      <c r="H168" s="5" t="str">
        <f t="shared" si="2"/>
        <v/>
      </c>
      <c r="I168" s="4"/>
    </row>
    <row r="169" spans="1:9" x14ac:dyDescent="0.2">
      <c r="A169" s="130"/>
      <c r="B169" s="4"/>
      <c r="C169" s="4"/>
      <c r="D169" s="4"/>
      <c r="E169" s="5"/>
      <c r="F169" s="5"/>
      <c r="G169" s="4"/>
      <c r="H169" s="5" t="str">
        <f t="shared" si="2"/>
        <v/>
      </c>
      <c r="I169" s="4"/>
    </row>
    <row r="170" spans="1:9" x14ac:dyDescent="0.2">
      <c r="A170" s="130"/>
      <c r="B170" s="4"/>
      <c r="C170" s="4"/>
      <c r="D170" s="4"/>
      <c r="E170" s="5"/>
      <c r="F170" s="5"/>
      <c r="G170" s="4"/>
      <c r="H170" s="5" t="str">
        <f t="shared" si="2"/>
        <v/>
      </c>
      <c r="I170" s="4"/>
    </row>
    <row r="171" spans="1:9" x14ac:dyDescent="0.2">
      <c r="A171" s="130"/>
      <c r="B171" s="4"/>
      <c r="C171" s="4"/>
      <c r="D171" s="4"/>
      <c r="E171" s="5"/>
      <c r="F171" s="5"/>
      <c r="G171" s="4"/>
      <c r="H171" s="5" t="str">
        <f t="shared" si="2"/>
        <v/>
      </c>
      <c r="I171" s="4"/>
    </row>
    <row r="172" spans="1:9" x14ac:dyDescent="0.2">
      <c r="A172" s="130"/>
      <c r="B172" s="4"/>
      <c r="C172" s="4"/>
      <c r="D172" s="4"/>
      <c r="E172" s="5"/>
      <c r="F172" s="5"/>
      <c r="G172" s="4"/>
      <c r="H172" s="5" t="str">
        <f t="shared" si="2"/>
        <v/>
      </c>
      <c r="I172" s="4"/>
    </row>
    <row r="173" spans="1:9" x14ac:dyDescent="0.2">
      <c r="A173" s="130"/>
      <c r="B173" s="4"/>
      <c r="C173" s="4"/>
      <c r="D173" s="4"/>
      <c r="E173" s="5"/>
      <c r="F173" s="5"/>
      <c r="G173" s="4"/>
      <c r="H173" s="5" t="str">
        <f t="shared" si="2"/>
        <v/>
      </c>
      <c r="I173" s="4"/>
    </row>
    <row r="174" spans="1:9" x14ac:dyDescent="0.2">
      <c r="A174" s="130"/>
      <c r="B174" s="4"/>
      <c r="C174" s="4"/>
      <c r="D174" s="4"/>
      <c r="E174" s="5"/>
      <c r="F174" s="5"/>
      <c r="G174" s="4"/>
      <c r="H174" s="5" t="str">
        <f t="shared" si="2"/>
        <v/>
      </c>
      <c r="I174" s="4"/>
    </row>
    <row r="175" spans="1:9" x14ac:dyDescent="0.2">
      <c r="A175" s="130"/>
      <c r="B175" s="4"/>
      <c r="C175" s="4"/>
      <c r="D175" s="4"/>
      <c r="E175" s="5"/>
      <c r="F175" s="5"/>
      <c r="G175" s="4"/>
      <c r="H175" s="5" t="str">
        <f t="shared" si="2"/>
        <v/>
      </c>
      <c r="I175" s="4"/>
    </row>
    <row r="176" spans="1:9" x14ac:dyDescent="0.2">
      <c r="A176" s="130"/>
      <c r="B176" s="4"/>
      <c r="C176" s="4"/>
      <c r="D176" s="4"/>
      <c r="E176" s="5"/>
      <c r="F176" s="5"/>
      <c r="G176" s="4"/>
      <c r="H176" s="5" t="str">
        <f t="shared" si="2"/>
        <v/>
      </c>
      <c r="I176" s="4"/>
    </row>
    <row r="177" spans="1:9" x14ac:dyDescent="0.2">
      <c r="A177" s="130"/>
      <c r="B177" s="4"/>
      <c r="C177" s="4"/>
      <c r="D177" s="4"/>
      <c r="E177" s="5"/>
      <c r="F177" s="5"/>
      <c r="G177" s="4"/>
      <c r="H177" s="5" t="str">
        <f t="shared" si="2"/>
        <v/>
      </c>
      <c r="I177" s="4"/>
    </row>
    <row r="178" spans="1:9" x14ac:dyDescent="0.2">
      <c r="A178" s="130"/>
      <c r="B178" s="4"/>
      <c r="C178" s="4"/>
      <c r="D178" s="4"/>
      <c r="E178" s="5"/>
      <c r="F178" s="5"/>
      <c r="G178" s="4"/>
      <c r="H178" s="5" t="str">
        <f t="shared" si="2"/>
        <v/>
      </c>
      <c r="I178" s="4"/>
    </row>
    <row r="179" spans="1:9" x14ac:dyDescent="0.2">
      <c r="A179" s="130"/>
      <c r="B179" s="4"/>
      <c r="C179" s="4"/>
      <c r="D179" s="4"/>
      <c r="E179" s="5"/>
      <c r="F179" s="5"/>
      <c r="G179" s="4"/>
      <c r="H179" s="5" t="str">
        <f t="shared" si="2"/>
        <v/>
      </c>
      <c r="I179" s="4"/>
    </row>
    <row r="180" spans="1:9" x14ac:dyDescent="0.2">
      <c r="A180" s="130"/>
      <c r="B180" s="4"/>
      <c r="C180" s="4"/>
      <c r="D180" s="4"/>
      <c r="E180" s="5"/>
      <c r="F180" s="5"/>
      <c r="G180" s="4"/>
      <c r="H180" s="5" t="str">
        <f t="shared" si="2"/>
        <v/>
      </c>
      <c r="I180" s="4"/>
    </row>
    <row r="181" spans="1:9" x14ac:dyDescent="0.2">
      <c r="A181" s="130"/>
      <c r="B181" s="4"/>
      <c r="C181" s="4"/>
      <c r="D181" s="4"/>
      <c r="E181" s="5"/>
      <c r="F181" s="5"/>
      <c r="G181" s="4"/>
      <c r="H181" s="5" t="str">
        <f t="shared" si="2"/>
        <v/>
      </c>
      <c r="I181" s="4"/>
    </row>
    <row r="182" spans="1:9" x14ac:dyDescent="0.2">
      <c r="A182" s="130"/>
      <c r="B182" s="4"/>
      <c r="C182" s="4"/>
      <c r="D182" s="4"/>
      <c r="E182" s="5"/>
      <c r="F182" s="5"/>
      <c r="G182" s="4"/>
      <c r="H182" s="5" t="str">
        <f t="shared" si="2"/>
        <v/>
      </c>
      <c r="I182" s="4"/>
    </row>
    <row r="183" spans="1:9" x14ac:dyDescent="0.2">
      <c r="A183" s="130"/>
      <c r="B183" s="4"/>
      <c r="C183" s="4"/>
      <c r="D183" s="4"/>
      <c r="E183" s="5"/>
      <c r="F183" s="5"/>
      <c r="G183" s="4"/>
      <c r="H183" s="5" t="str">
        <f t="shared" si="2"/>
        <v/>
      </c>
      <c r="I183" s="4"/>
    </row>
    <row r="184" spans="1:9" x14ac:dyDescent="0.2">
      <c r="A184" s="130"/>
      <c r="B184" s="4"/>
      <c r="C184" s="4"/>
      <c r="D184" s="4"/>
      <c r="E184" s="5"/>
      <c r="F184" s="5"/>
      <c r="G184" s="4"/>
      <c r="H184" s="5" t="str">
        <f t="shared" si="2"/>
        <v/>
      </c>
      <c r="I184" s="4"/>
    </row>
    <row r="185" spans="1:9" x14ac:dyDescent="0.2">
      <c r="A185" s="130"/>
      <c r="B185" s="4"/>
      <c r="C185" s="4"/>
      <c r="D185" s="4"/>
      <c r="E185" s="5"/>
      <c r="F185" s="5"/>
      <c r="G185" s="4"/>
      <c r="H185" s="5" t="str">
        <f t="shared" si="2"/>
        <v/>
      </c>
      <c r="I185" s="4"/>
    </row>
    <row r="186" spans="1:9" x14ac:dyDescent="0.2">
      <c r="A186" s="130"/>
      <c r="B186" s="4"/>
      <c r="C186" s="4"/>
      <c r="D186" s="4"/>
      <c r="E186" s="5"/>
      <c r="F186" s="5"/>
      <c r="G186" s="4"/>
      <c r="H186" s="5" t="str">
        <f t="shared" si="2"/>
        <v/>
      </c>
      <c r="I186" s="4"/>
    </row>
    <row r="187" spans="1:9" x14ac:dyDescent="0.2">
      <c r="A187" s="130"/>
      <c r="B187" s="4"/>
      <c r="C187" s="4"/>
      <c r="D187" s="4"/>
      <c r="E187" s="5"/>
      <c r="F187" s="5"/>
      <c r="G187" s="4"/>
      <c r="H187" s="5" t="str">
        <f t="shared" si="2"/>
        <v/>
      </c>
      <c r="I187" s="4"/>
    </row>
    <row r="188" spans="1:9" x14ac:dyDescent="0.2">
      <c r="A188" s="130"/>
      <c r="B188" s="4"/>
      <c r="C188" s="4"/>
      <c r="D188" s="4"/>
      <c r="E188" s="5"/>
      <c r="F188" s="5"/>
      <c r="G188" s="4"/>
      <c r="H188" s="5" t="str">
        <f t="shared" si="2"/>
        <v/>
      </c>
      <c r="I188" s="4"/>
    </row>
    <row r="189" spans="1:9" x14ac:dyDescent="0.2">
      <c r="A189" s="130"/>
      <c r="B189" s="4"/>
      <c r="C189" s="4"/>
      <c r="D189" s="4"/>
      <c r="E189" s="5"/>
      <c r="F189" s="5"/>
      <c r="G189" s="4"/>
      <c r="H189" s="5" t="str">
        <f t="shared" si="2"/>
        <v/>
      </c>
      <c r="I189" s="4"/>
    </row>
    <row r="190" spans="1:9" x14ac:dyDescent="0.2">
      <c r="A190" s="130"/>
      <c r="B190" s="4"/>
      <c r="C190" s="4"/>
      <c r="D190" s="4"/>
      <c r="E190" s="5"/>
      <c r="F190" s="5"/>
      <c r="G190" s="4"/>
      <c r="H190" s="5" t="str">
        <f t="shared" si="2"/>
        <v/>
      </c>
      <c r="I190" s="4"/>
    </row>
    <row r="191" spans="1:9" x14ac:dyDescent="0.2">
      <c r="A191" s="130"/>
      <c r="B191" s="4"/>
      <c r="C191" s="4"/>
      <c r="D191" s="4"/>
      <c r="E191" s="5"/>
      <c r="F191" s="5"/>
      <c r="G191" s="4"/>
      <c r="H191" s="5" t="str">
        <f t="shared" si="2"/>
        <v/>
      </c>
      <c r="I191" s="4"/>
    </row>
    <row r="192" spans="1:9" x14ac:dyDescent="0.2">
      <c r="A192" s="130"/>
      <c r="B192" s="4"/>
      <c r="C192" s="4"/>
      <c r="D192" s="4"/>
      <c r="E192" s="5"/>
      <c r="F192" s="5"/>
      <c r="G192" s="4"/>
      <c r="H192" s="5" t="str">
        <f t="shared" si="2"/>
        <v/>
      </c>
      <c r="I192" s="4"/>
    </row>
    <row r="193" spans="1:9" x14ac:dyDescent="0.2">
      <c r="A193" s="130"/>
      <c r="B193" s="4"/>
      <c r="C193" s="4"/>
      <c r="D193" s="4"/>
      <c r="E193" s="5"/>
      <c r="F193" s="5"/>
      <c r="G193" s="4"/>
      <c r="H193" s="5" t="str">
        <f t="shared" si="2"/>
        <v/>
      </c>
      <c r="I193" s="4"/>
    </row>
    <row r="194" spans="1:9" x14ac:dyDescent="0.2">
      <c r="A194" s="130"/>
      <c r="B194" s="4"/>
      <c r="C194" s="4"/>
      <c r="D194" s="4"/>
      <c r="E194" s="5"/>
      <c r="F194" s="5"/>
      <c r="G194" s="4"/>
      <c r="H194" s="5" t="str">
        <f t="shared" si="2"/>
        <v/>
      </c>
      <c r="I194" s="4"/>
    </row>
    <row r="195" spans="1:9" x14ac:dyDescent="0.2">
      <c r="A195" s="130"/>
      <c r="B195" s="4"/>
      <c r="C195" s="4"/>
      <c r="D195" s="4"/>
      <c r="E195" s="5"/>
      <c r="F195" s="5"/>
      <c r="G195" s="4"/>
      <c r="H195" s="5" t="str">
        <f t="shared" ref="H195:H258" si="3">IF($C195="","",$E195-$F195)</f>
        <v/>
      </c>
      <c r="I195" s="4"/>
    </row>
    <row r="196" spans="1:9" x14ac:dyDescent="0.2">
      <c r="A196" s="130"/>
      <c r="B196" s="4"/>
      <c r="C196" s="4"/>
      <c r="D196" s="4"/>
      <c r="E196" s="5"/>
      <c r="F196" s="5"/>
      <c r="G196" s="4"/>
      <c r="H196" s="5" t="str">
        <f t="shared" si="3"/>
        <v/>
      </c>
      <c r="I196" s="4"/>
    </row>
    <row r="197" spans="1:9" x14ac:dyDescent="0.2">
      <c r="A197" s="130"/>
      <c r="B197" s="4"/>
      <c r="C197" s="4"/>
      <c r="D197" s="4"/>
      <c r="E197" s="5"/>
      <c r="F197" s="5"/>
      <c r="G197" s="4"/>
      <c r="H197" s="5" t="str">
        <f t="shared" si="3"/>
        <v/>
      </c>
      <c r="I197" s="4"/>
    </row>
    <row r="198" spans="1:9" x14ac:dyDescent="0.2">
      <c r="A198" s="130"/>
      <c r="B198" s="4"/>
      <c r="C198" s="4"/>
      <c r="D198" s="4"/>
      <c r="E198" s="5"/>
      <c r="F198" s="5"/>
      <c r="G198" s="4"/>
      <c r="H198" s="5" t="str">
        <f t="shared" si="3"/>
        <v/>
      </c>
      <c r="I198" s="4"/>
    </row>
    <row r="199" spans="1:9" x14ac:dyDescent="0.2">
      <c r="A199" s="130"/>
      <c r="B199" s="4"/>
      <c r="C199" s="4"/>
      <c r="D199" s="4"/>
      <c r="E199" s="5"/>
      <c r="F199" s="5"/>
      <c r="G199" s="4"/>
      <c r="H199" s="5" t="str">
        <f t="shared" si="3"/>
        <v/>
      </c>
      <c r="I199" s="4"/>
    </row>
    <row r="200" spans="1:9" x14ac:dyDescent="0.2">
      <c r="A200" s="130"/>
      <c r="B200" s="4"/>
      <c r="C200" s="4"/>
      <c r="D200" s="4"/>
      <c r="E200" s="5"/>
      <c r="F200" s="5"/>
      <c r="G200" s="4"/>
      <c r="H200" s="5" t="str">
        <f t="shared" si="3"/>
        <v/>
      </c>
      <c r="I200" s="4"/>
    </row>
    <row r="201" spans="1:9" x14ac:dyDescent="0.2">
      <c r="A201" s="130"/>
      <c r="B201" s="4"/>
      <c r="C201" s="4"/>
      <c r="D201" s="4"/>
      <c r="E201" s="5"/>
      <c r="F201" s="5"/>
      <c r="G201" s="4"/>
      <c r="H201" s="5" t="str">
        <f t="shared" si="3"/>
        <v/>
      </c>
      <c r="I201" s="4"/>
    </row>
    <row r="202" spans="1:9" x14ac:dyDescent="0.2">
      <c r="A202" s="130"/>
      <c r="B202" s="4"/>
      <c r="C202" s="4"/>
      <c r="D202" s="4"/>
      <c r="E202" s="5"/>
      <c r="F202" s="5"/>
      <c r="G202" s="4"/>
      <c r="H202" s="5" t="str">
        <f t="shared" si="3"/>
        <v/>
      </c>
      <c r="I202" s="4"/>
    </row>
    <row r="203" spans="1:9" x14ac:dyDescent="0.2">
      <c r="A203" s="130"/>
      <c r="B203" s="4"/>
      <c r="C203" s="4"/>
      <c r="D203" s="4"/>
      <c r="E203" s="5"/>
      <c r="F203" s="5"/>
      <c r="G203" s="4"/>
      <c r="H203" s="5" t="str">
        <f t="shared" si="3"/>
        <v/>
      </c>
      <c r="I203" s="4"/>
    </row>
    <row r="204" spans="1:9" x14ac:dyDescent="0.2">
      <c r="A204" s="130"/>
      <c r="B204" s="4"/>
      <c r="C204" s="4"/>
      <c r="D204" s="4"/>
      <c r="E204" s="5"/>
      <c r="F204" s="5"/>
      <c r="G204" s="4"/>
      <c r="H204" s="5" t="str">
        <f t="shared" si="3"/>
        <v/>
      </c>
      <c r="I204" s="4"/>
    </row>
    <row r="205" spans="1:9" x14ac:dyDescent="0.2">
      <c r="A205" s="130"/>
      <c r="B205" s="4"/>
      <c r="C205" s="4"/>
      <c r="D205" s="4"/>
      <c r="E205" s="5"/>
      <c r="F205" s="5"/>
      <c r="G205" s="4"/>
      <c r="H205" s="5" t="str">
        <f t="shared" si="3"/>
        <v/>
      </c>
      <c r="I205" s="4"/>
    </row>
    <row r="206" spans="1:9" x14ac:dyDescent="0.2">
      <c r="A206" s="130"/>
      <c r="B206" s="4"/>
      <c r="C206" s="4"/>
      <c r="D206" s="4"/>
      <c r="E206" s="5"/>
      <c r="F206" s="5"/>
      <c r="G206" s="4"/>
      <c r="H206" s="5" t="str">
        <f t="shared" si="3"/>
        <v/>
      </c>
      <c r="I206" s="4"/>
    </row>
    <row r="207" spans="1:9" x14ac:dyDescent="0.2">
      <c r="A207" s="130"/>
      <c r="B207" s="4"/>
      <c r="C207" s="4"/>
      <c r="D207" s="4"/>
      <c r="E207" s="5"/>
      <c r="F207" s="5"/>
      <c r="G207" s="4"/>
      <c r="H207" s="5" t="str">
        <f t="shared" si="3"/>
        <v/>
      </c>
      <c r="I207" s="4"/>
    </row>
    <row r="208" spans="1:9" x14ac:dyDescent="0.2">
      <c r="A208" s="130"/>
      <c r="B208" s="4"/>
      <c r="C208" s="4"/>
      <c r="D208" s="4"/>
      <c r="E208" s="5"/>
      <c r="F208" s="5"/>
      <c r="G208" s="4"/>
      <c r="H208" s="5" t="str">
        <f t="shared" si="3"/>
        <v/>
      </c>
      <c r="I208" s="4"/>
    </row>
    <row r="209" spans="1:9" x14ac:dyDescent="0.2">
      <c r="A209" s="130"/>
      <c r="B209" s="4"/>
      <c r="C209" s="4"/>
      <c r="D209" s="4"/>
      <c r="E209" s="5"/>
      <c r="F209" s="5"/>
      <c r="G209" s="4"/>
      <c r="H209" s="5" t="str">
        <f t="shared" si="3"/>
        <v/>
      </c>
      <c r="I209" s="4"/>
    </row>
    <row r="210" spans="1:9" x14ac:dyDescent="0.2">
      <c r="A210" s="130"/>
      <c r="B210" s="4"/>
      <c r="C210" s="4"/>
      <c r="D210" s="4"/>
      <c r="E210" s="5"/>
      <c r="F210" s="5"/>
      <c r="G210" s="4"/>
      <c r="H210" s="5" t="str">
        <f t="shared" si="3"/>
        <v/>
      </c>
      <c r="I210" s="4"/>
    </row>
    <row r="211" spans="1:9" x14ac:dyDescent="0.2">
      <c r="A211" s="130"/>
      <c r="B211" s="4"/>
      <c r="C211" s="4"/>
      <c r="D211" s="4"/>
      <c r="E211" s="5"/>
      <c r="F211" s="5"/>
      <c r="G211" s="4"/>
      <c r="H211" s="5" t="str">
        <f t="shared" si="3"/>
        <v/>
      </c>
      <c r="I211" s="4"/>
    </row>
    <row r="212" spans="1:9" x14ac:dyDescent="0.2">
      <c r="A212" s="130"/>
      <c r="B212" s="4"/>
      <c r="C212" s="4"/>
      <c r="D212" s="4"/>
      <c r="E212" s="5"/>
      <c r="F212" s="5"/>
      <c r="G212" s="4"/>
      <c r="H212" s="5" t="str">
        <f t="shared" si="3"/>
        <v/>
      </c>
      <c r="I212" s="4"/>
    </row>
    <row r="213" spans="1:9" x14ac:dyDescent="0.2">
      <c r="A213" s="130"/>
      <c r="B213" s="4"/>
      <c r="C213" s="4"/>
      <c r="D213" s="4"/>
      <c r="E213" s="5"/>
      <c r="F213" s="5"/>
      <c r="G213" s="4"/>
      <c r="H213" s="5" t="str">
        <f t="shared" si="3"/>
        <v/>
      </c>
      <c r="I213" s="4"/>
    </row>
    <row r="214" spans="1:9" x14ac:dyDescent="0.2">
      <c r="A214" s="130"/>
      <c r="B214" s="4"/>
      <c r="C214" s="4"/>
      <c r="D214" s="4"/>
      <c r="E214" s="5"/>
      <c r="F214" s="5"/>
      <c r="G214" s="4"/>
      <c r="H214" s="5" t="str">
        <f t="shared" si="3"/>
        <v/>
      </c>
      <c r="I214" s="4"/>
    </row>
    <row r="215" spans="1:9" x14ac:dyDescent="0.2">
      <c r="A215" s="130"/>
      <c r="B215" s="4"/>
      <c r="C215" s="4"/>
      <c r="D215" s="4"/>
      <c r="E215" s="5"/>
      <c r="F215" s="5"/>
      <c r="G215" s="4"/>
      <c r="H215" s="5" t="str">
        <f t="shared" si="3"/>
        <v/>
      </c>
      <c r="I215" s="4"/>
    </row>
    <row r="216" spans="1:9" x14ac:dyDescent="0.2">
      <c r="A216" s="130"/>
      <c r="B216" s="4"/>
      <c r="C216" s="4"/>
      <c r="D216" s="4"/>
      <c r="E216" s="5"/>
      <c r="F216" s="5"/>
      <c r="G216" s="4"/>
      <c r="H216" s="5" t="str">
        <f t="shared" si="3"/>
        <v/>
      </c>
      <c r="I216" s="4"/>
    </row>
    <row r="217" spans="1:9" x14ac:dyDescent="0.2">
      <c r="A217" s="130"/>
      <c r="B217" s="4"/>
      <c r="C217" s="4"/>
      <c r="D217" s="4"/>
      <c r="E217" s="5"/>
      <c r="F217" s="5"/>
      <c r="G217" s="4"/>
      <c r="H217" s="5" t="str">
        <f t="shared" si="3"/>
        <v/>
      </c>
      <c r="I217" s="4"/>
    </row>
    <row r="218" spans="1:9" x14ac:dyDescent="0.2">
      <c r="A218" s="130"/>
      <c r="B218" s="4"/>
      <c r="C218" s="4"/>
      <c r="D218" s="4"/>
      <c r="E218" s="5"/>
      <c r="F218" s="5"/>
      <c r="G218" s="4"/>
      <c r="H218" s="5" t="str">
        <f t="shared" si="3"/>
        <v/>
      </c>
      <c r="I218" s="4"/>
    </row>
    <row r="219" spans="1:9" x14ac:dyDescent="0.2">
      <c r="A219" s="130"/>
      <c r="B219" s="4"/>
      <c r="C219" s="4"/>
      <c r="D219" s="4"/>
      <c r="E219" s="5"/>
      <c r="F219" s="5"/>
      <c r="G219" s="4"/>
      <c r="H219" s="5" t="str">
        <f t="shared" si="3"/>
        <v/>
      </c>
      <c r="I219" s="4"/>
    </row>
    <row r="220" spans="1:9" x14ac:dyDescent="0.2">
      <c r="A220" s="130"/>
      <c r="B220" s="4"/>
      <c r="C220" s="4"/>
      <c r="D220" s="4"/>
      <c r="E220" s="5"/>
      <c r="F220" s="5"/>
      <c r="G220" s="4"/>
      <c r="H220" s="5" t="str">
        <f t="shared" si="3"/>
        <v/>
      </c>
      <c r="I220" s="4"/>
    </row>
    <row r="221" spans="1:9" x14ac:dyDescent="0.2">
      <c r="A221" s="130"/>
      <c r="B221" s="4"/>
      <c r="C221" s="4"/>
      <c r="D221" s="4"/>
      <c r="E221" s="5"/>
      <c r="F221" s="5"/>
      <c r="G221" s="4"/>
      <c r="H221" s="5" t="str">
        <f t="shared" si="3"/>
        <v/>
      </c>
      <c r="I221" s="4"/>
    </row>
    <row r="222" spans="1:9" x14ac:dyDescent="0.2">
      <c r="A222" s="130"/>
      <c r="B222" s="4"/>
      <c r="C222" s="4"/>
      <c r="D222" s="4"/>
      <c r="E222" s="5"/>
      <c r="F222" s="5"/>
      <c r="G222" s="4"/>
      <c r="H222" s="5" t="str">
        <f t="shared" si="3"/>
        <v/>
      </c>
      <c r="I222" s="4"/>
    </row>
    <row r="223" spans="1:9" x14ac:dyDescent="0.2">
      <c r="A223" s="130"/>
      <c r="B223" s="4"/>
      <c r="C223" s="4"/>
      <c r="D223" s="4"/>
      <c r="E223" s="5"/>
      <c r="F223" s="5"/>
      <c r="G223" s="4"/>
      <c r="H223" s="5" t="str">
        <f t="shared" si="3"/>
        <v/>
      </c>
      <c r="I223" s="4"/>
    </row>
    <row r="224" spans="1:9" x14ac:dyDescent="0.2">
      <c r="A224" s="130"/>
      <c r="B224" s="4"/>
      <c r="C224" s="4"/>
      <c r="D224" s="4"/>
      <c r="E224" s="5"/>
      <c r="F224" s="5"/>
      <c r="G224" s="4"/>
      <c r="H224" s="5" t="str">
        <f t="shared" si="3"/>
        <v/>
      </c>
      <c r="I224" s="4"/>
    </row>
    <row r="225" spans="1:9" x14ac:dyDescent="0.2">
      <c r="A225" s="130"/>
      <c r="B225" s="4"/>
      <c r="C225" s="4"/>
      <c r="D225" s="4"/>
      <c r="E225" s="5"/>
      <c r="F225" s="5"/>
      <c r="G225" s="4"/>
      <c r="H225" s="5" t="str">
        <f t="shared" si="3"/>
        <v/>
      </c>
      <c r="I225" s="4"/>
    </row>
    <row r="226" spans="1:9" x14ac:dyDescent="0.2">
      <c r="A226" s="130"/>
      <c r="B226" s="4"/>
      <c r="C226" s="4"/>
      <c r="D226" s="4"/>
      <c r="E226" s="5"/>
      <c r="F226" s="5"/>
      <c r="G226" s="4"/>
      <c r="H226" s="5" t="str">
        <f t="shared" si="3"/>
        <v/>
      </c>
      <c r="I226" s="4"/>
    </row>
    <row r="227" spans="1:9" x14ac:dyDescent="0.2">
      <c r="A227" s="130"/>
      <c r="B227" s="4"/>
      <c r="C227" s="4"/>
      <c r="D227" s="4"/>
      <c r="E227" s="5"/>
      <c r="F227" s="5"/>
      <c r="G227" s="4"/>
      <c r="H227" s="5" t="str">
        <f t="shared" si="3"/>
        <v/>
      </c>
      <c r="I227" s="4"/>
    </row>
    <row r="228" spans="1:9" x14ac:dyDescent="0.2">
      <c r="A228" s="130"/>
      <c r="B228" s="4"/>
      <c r="C228" s="4"/>
      <c r="D228" s="4"/>
      <c r="E228" s="5"/>
      <c r="F228" s="5"/>
      <c r="G228" s="4"/>
      <c r="H228" s="5" t="str">
        <f t="shared" si="3"/>
        <v/>
      </c>
      <c r="I228" s="4"/>
    </row>
    <row r="229" spans="1:9" x14ac:dyDescent="0.2">
      <c r="A229" s="130"/>
      <c r="B229" s="4"/>
      <c r="C229" s="4"/>
      <c r="D229" s="4"/>
      <c r="E229" s="5"/>
      <c r="F229" s="5"/>
      <c r="G229" s="4"/>
      <c r="H229" s="5" t="str">
        <f t="shared" si="3"/>
        <v/>
      </c>
      <c r="I229" s="4"/>
    </row>
    <row r="230" spans="1:9" x14ac:dyDescent="0.2">
      <c r="A230" s="130"/>
      <c r="B230" s="4"/>
      <c r="C230" s="4"/>
      <c r="D230" s="4"/>
      <c r="E230" s="5"/>
      <c r="F230" s="5"/>
      <c r="G230" s="4"/>
      <c r="H230" s="5" t="str">
        <f t="shared" si="3"/>
        <v/>
      </c>
      <c r="I230" s="4"/>
    </row>
    <row r="231" spans="1:9" x14ac:dyDescent="0.2">
      <c r="A231" s="130"/>
      <c r="B231" s="4"/>
      <c r="C231" s="4"/>
      <c r="D231" s="4"/>
      <c r="E231" s="5"/>
      <c r="F231" s="5"/>
      <c r="G231" s="4"/>
      <c r="H231" s="5" t="str">
        <f t="shared" si="3"/>
        <v/>
      </c>
      <c r="I231" s="4"/>
    </row>
    <row r="232" spans="1:9" x14ac:dyDescent="0.2">
      <c r="A232" s="130"/>
      <c r="B232" s="4"/>
      <c r="C232" s="4"/>
      <c r="D232" s="4"/>
      <c r="E232" s="5"/>
      <c r="F232" s="5"/>
      <c r="G232" s="4"/>
      <c r="H232" s="5" t="str">
        <f t="shared" si="3"/>
        <v/>
      </c>
      <c r="I232" s="4"/>
    </row>
    <row r="233" spans="1:9" x14ac:dyDescent="0.2">
      <c r="A233" s="130"/>
      <c r="B233" s="4"/>
      <c r="C233" s="4"/>
      <c r="D233" s="4"/>
      <c r="E233" s="5"/>
      <c r="F233" s="5"/>
      <c r="G233" s="4"/>
      <c r="H233" s="5" t="str">
        <f t="shared" si="3"/>
        <v/>
      </c>
      <c r="I233" s="4"/>
    </row>
    <row r="234" spans="1:9" x14ac:dyDescent="0.2">
      <c r="A234" s="130"/>
      <c r="B234" s="4"/>
      <c r="C234" s="4"/>
      <c r="D234" s="4"/>
      <c r="E234" s="5"/>
      <c r="F234" s="5"/>
      <c r="G234" s="4"/>
      <c r="H234" s="5" t="str">
        <f t="shared" si="3"/>
        <v/>
      </c>
      <c r="I234" s="4"/>
    </row>
    <row r="235" spans="1:9" x14ac:dyDescent="0.2">
      <c r="A235" s="130"/>
      <c r="B235" s="4"/>
      <c r="C235" s="4"/>
      <c r="D235" s="4"/>
      <c r="E235" s="5"/>
      <c r="F235" s="5"/>
      <c r="G235" s="4"/>
      <c r="H235" s="5" t="str">
        <f t="shared" si="3"/>
        <v/>
      </c>
      <c r="I235" s="4"/>
    </row>
    <row r="236" spans="1:9" x14ac:dyDescent="0.2">
      <c r="A236" s="130"/>
      <c r="B236" s="4"/>
      <c r="C236" s="4"/>
      <c r="D236" s="4"/>
      <c r="E236" s="5"/>
      <c r="F236" s="5"/>
      <c r="G236" s="4"/>
      <c r="H236" s="5" t="str">
        <f t="shared" si="3"/>
        <v/>
      </c>
      <c r="I236" s="4"/>
    </row>
    <row r="237" spans="1:9" x14ac:dyDescent="0.2">
      <c r="A237" s="130"/>
      <c r="B237" s="4"/>
      <c r="C237" s="4"/>
      <c r="D237" s="4"/>
      <c r="E237" s="5"/>
      <c r="F237" s="5"/>
      <c r="G237" s="4"/>
      <c r="H237" s="5" t="str">
        <f t="shared" si="3"/>
        <v/>
      </c>
      <c r="I237" s="4"/>
    </row>
    <row r="238" spans="1:9" x14ac:dyDescent="0.2">
      <c r="A238" s="130"/>
      <c r="B238" s="4"/>
      <c r="C238" s="4"/>
      <c r="D238" s="4"/>
      <c r="E238" s="5"/>
      <c r="F238" s="5"/>
      <c r="G238" s="4"/>
      <c r="H238" s="5" t="str">
        <f t="shared" si="3"/>
        <v/>
      </c>
      <c r="I238" s="4"/>
    </row>
    <row r="239" spans="1:9" x14ac:dyDescent="0.2">
      <c r="A239" s="130"/>
      <c r="B239" s="4"/>
      <c r="C239" s="4"/>
      <c r="D239" s="4"/>
      <c r="E239" s="5"/>
      <c r="F239" s="5"/>
      <c r="G239" s="4"/>
      <c r="H239" s="5" t="str">
        <f t="shared" si="3"/>
        <v/>
      </c>
      <c r="I239" s="4"/>
    </row>
    <row r="240" spans="1:9" x14ac:dyDescent="0.2">
      <c r="A240" s="130"/>
      <c r="B240" s="4"/>
      <c r="C240" s="4"/>
      <c r="D240" s="4"/>
      <c r="E240" s="5"/>
      <c r="F240" s="5"/>
      <c r="G240" s="4"/>
      <c r="H240" s="5" t="str">
        <f t="shared" si="3"/>
        <v/>
      </c>
      <c r="I240" s="4"/>
    </row>
    <row r="241" spans="1:9" x14ac:dyDescent="0.2">
      <c r="A241" s="130"/>
      <c r="B241" s="4"/>
      <c r="C241" s="4"/>
      <c r="D241" s="4"/>
      <c r="E241" s="5"/>
      <c r="F241" s="5"/>
      <c r="G241" s="4"/>
      <c r="H241" s="5" t="str">
        <f t="shared" si="3"/>
        <v/>
      </c>
      <c r="I241" s="4"/>
    </row>
    <row r="242" spans="1:9" x14ac:dyDescent="0.2">
      <c r="A242" s="130"/>
      <c r="B242" s="4"/>
      <c r="C242" s="4"/>
      <c r="D242" s="4"/>
      <c r="E242" s="5"/>
      <c r="F242" s="5"/>
      <c r="G242" s="4"/>
      <c r="H242" s="5" t="str">
        <f t="shared" si="3"/>
        <v/>
      </c>
      <c r="I242" s="4"/>
    </row>
    <row r="243" spans="1:9" x14ac:dyDescent="0.2">
      <c r="A243" s="130"/>
      <c r="B243" s="4"/>
      <c r="C243" s="4"/>
      <c r="D243" s="4"/>
      <c r="E243" s="5"/>
      <c r="F243" s="5"/>
      <c r="G243" s="4"/>
      <c r="H243" s="5" t="str">
        <f t="shared" si="3"/>
        <v/>
      </c>
      <c r="I243" s="4"/>
    </row>
    <row r="244" spans="1:9" x14ac:dyDescent="0.2">
      <c r="A244" s="130"/>
      <c r="B244" s="4"/>
      <c r="C244" s="4"/>
      <c r="D244" s="4"/>
      <c r="E244" s="5"/>
      <c r="F244" s="5"/>
      <c r="G244" s="4"/>
      <c r="H244" s="5" t="str">
        <f t="shared" si="3"/>
        <v/>
      </c>
      <c r="I244" s="4"/>
    </row>
    <row r="245" spans="1:9" x14ac:dyDescent="0.2">
      <c r="A245" s="130"/>
      <c r="B245" s="4"/>
      <c r="C245" s="4"/>
      <c r="D245" s="4"/>
      <c r="E245" s="5"/>
      <c r="F245" s="5"/>
      <c r="G245" s="4"/>
      <c r="H245" s="5" t="str">
        <f t="shared" si="3"/>
        <v/>
      </c>
      <c r="I245" s="4"/>
    </row>
    <row r="246" spans="1:9" x14ac:dyDescent="0.2">
      <c r="A246" s="130"/>
      <c r="B246" s="4"/>
      <c r="C246" s="4"/>
      <c r="D246" s="4"/>
      <c r="E246" s="5"/>
      <c r="F246" s="5"/>
      <c r="G246" s="4"/>
      <c r="H246" s="5" t="str">
        <f t="shared" si="3"/>
        <v/>
      </c>
      <c r="I246" s="4"/>
    </row>
    <row r="247" spans="1:9" x14ac:dyDescent="0.2">
      <c r="A247" s="130"/>
      <c r="B247" s="4"/>
      <c r="C247" s="4"/>
      <c r="D247" s="4"/>
      <c r="E247" s="5"/>
      <c r="F247" s="5"/>
      <c r="G247" s="4"/>
      <c r="H247" s="5" t="str">
        <f t="shared" si="3"/>
        <v/>
      </c>
      <c r="I247" s="4"/>
    </row>
    <row r="248" spans="1:9" x14ac:dyDescent="0.2">
      <c r="A248" s="130"/>
      <c r="B248" s="4"/>
      <c r="C248" s="4"/>
      <c r="D248" s="4"/>
      <c r="E248" s="5"/>
      <c r="F248" s="5"/>
      <c r="G248" s="4"/>
      <c r="H248" s="5" t="str">
        <f t="shared" si="3"/>
        <v/>
      </c>
      <c r="I248" s="4"/>
    </row>
    <row r="249" spans="1:9" x14ac:dyDescent="0.2">
      <c r="A249" s="130"/>
      <c r="B249" s="4"/>
      <c r="C249" s="4"/>
      <c r="D249" s="4"/>
      <c r="E249" s="5"/>
      <c r="F249" s="5"/>
      <c r="G249" s="4"/>
      <c r="H249" s="5" t="str">
        <f t="shared" si="3"/>
        <v/>
      </c>
      <c r="I249" s="4"/>
    </row>
    <row r="250" spans="1:9" x14ac:dyDescent="0.2">
      <c r="A250" s="130"/>
      <c r="B250" s="4"/>
      <c r="C250" s="4"/>
      <c r="D250" s="4"/>
      <c r="E250" s="5"/>
      <c r="F250" s="5"/>
      <c r="G250" s="4"/>
      <c r="H250" s="5" t="str">
        <f t="shared" si="3"/>
        <v/>
      </c>
      <c r="I250" s="4"/>
    </row>
    <row r="251" spans="1:9" x14ac:dyDescent="0.2">
      <c r="A251" s="130"/>
      <c r="B251" s="4"/>
      <c r="C251" s="4"/>
      <c r="D251" s="4"/>
      <c r="E251" s="5"/>
      <c r="F251" s="5"/>
      <c r="G251" s="4"/>
      <c r="H251" s="5" t="str">
        <f t="shared" si="3"/>
        <v/>
      </c>
      <c r="I251" s="4"/>
    </row>
    <row r="252" spans="1:9" x14ac:dyDescent="0.2">
      <c r="A252" s="130"/>
      <c r="B252" s="4"/>
      <c r="C252" s="4"/>
      <c r="D252" s="4"/>
      <c r="E252" s="5"/>
      <c r="F252" s="5"/>
      <c r="G252" s="4"/>
      <c r="H252" s="5" t="str">
        <f t="shared" si="3"/>
        <v/>
      </c>
      <c r="I252" s="4"/>
    </row>
    <row r="253" spans="1:9" x14ac:dyDescent="0.2">
      <c r="A253" s="130"/>
      <c r="B253" s="4"/>
      <c r="C253" s="4"/>
      <c r="D253" s="4"/>
      <c r="E253" s="5"/>
      <c r="F253" s="5"/>
      <c r="G253" s="4"/>
      <c r="H253" s="5" t="str">
        <f t="shared" si="3"/>
        <v/>
      </c>
      <c r="I253" s="4"/>
    </row>
    <row r="254" spans="1:9" x14ac:dyDescent="0.2">
      <c r="A254" s="130"/>
      <c r="B254" s="4"/>
      <c r="C254" s="4"/>
      <c r="D254" s="4"/>
      <c r="E254" s="5"/>
      <c r="F254" s="5"/>
      <c r="G254" s="4"/>
      <c r="H254" s="5" t="str">
        <f t="shared" si="3"/>
        <v/>
      </c>
      <c r="I254" s="4"/>
    </row>
    <row r="255" spans="1:9" x14ac:dyDescent="0.2">
      <c r="A255" s="130"/>
      <c r="B255" s="4"/>
      <c r="C255" s="4"/>
      <c r="D255" s="4"/>
      <c r="E255" s="5"/>
      <c r="F255" s="5"/>
      <c r="G255" s="4"/>
      <c r="H255" s="5" t="str">
        <f t="shared" si="3"/>
        <v/>
      </c>
      <c r="I255" s="4"/>
    </row>
    <row r="256" spans="1:9" x14ac:dyDescent="0.2">
      <c r="A256" s="130"/>
      <c r="B256" s="4"/>
      <c r="C256" s="4"/>
      <c r="D256" s="4"/>
      <c r="E256" s="5"/>
      <c r="F256" s="5"/>
      <c r="G256" s="4"/>
      <c r="H256" s="5" t="str">
        <f t="shared" si="3"/>
        <v/>
      </c>
      <c r="I256" s="4"/>
    </row>
    <row r="257" spans="1:9" x14ac:dyDescent="0.2">
      <c r="A257" s="130"/>
      <c r="B257" s="4"/>
      <c r="C257" s="4"/>
      <c r="D257" s="4"/>
      <c r="E257" s="5"/>
      <c r="F257" s="5"/>
      <c r="G257" s="4"/>
      <c r="H257" s="5" t="str">
        <f t="shared" si="3"/>
        <v/>
      </c>
      <c r="I257" s="4"/>
    </row>
    <row r="258" spans="1:9" x14ac:dyDescent="0.2">
      <c r="A258" s="130"/>
      <c r="B258" s="4"/>
      <c r="C258" s="4"/>
      <c r="D258" s="4"/>
      <c r="E258" s="5"/>
      <c r="F258" s="5"/>
      <c r="G258" s="4"/>
      <c r="H258" s="5" t="str">
        <f t="shared" si="3"/>
        <v/>
      </c>
      <c r="I258" s="4"/>
    </row>
    <row r="259" spans="1:9" x14ac:dyDescent="0.2">
      <c r="A259" s="130"/>
      <c r="B259" s="4"/>
      <c r="C259" s="4"/>
      <c r="D259" s="4"/>
      <c r="E259" s="5"/>
      <c r="F259" s="5"/>
      <c r="G259" s="4"/>
      <c r="H259" s="5" t="str">
        <f t="shared" ref="H259:H322" si="4">IF($C259="","",$E259-$F259)</f>
        <v/>
      </c>
      <c r="I259" s="4"/>
    </row>
    <row r="260" spans="1:9" x14ac:dyDescent="0.2">
      <c r="A260" s="130"/>
      <c r="B260" s="4"/>
      <c r="C260" s="4"/>
      <c r="D260" s="4"/>
      <c r="E260" s="5"/>
      <c r="F260" s="5"/>
      <c r="G260" s="4"/>
      <c r="H260" s="5" t="str">
        <f t="shared" si="4"/>
        <v/>
      </c>
      <c r="I260" s="4"/>
    </row>
    <row r="261" spans="1:9" x14ac:dyDescent="0.2">
      <c r="A261" s="130"/>
      <c r="B261" s="4"/>
      <c r="C261" s="4"/>
      <c r="D261" s="4"/>
      <c r="E261" s="5"/>
      <c r="F261" s="5"/>
      <c r="G261" s="4"/>
      <c r="H261" s="5" t="str">
        <f t="shared" si="4"/>
        <v/>
      </c>
      <c r="I261" s="4"/>
    </row>
    <row r="262" spans="1:9" x14ac:dyDescent="0.2">
      <c r="A262" s="130"/>
      <c r="B262" s="4"/>
      <c r="C262" s="4"/>
      <c r="D262" s="4"/>
      <c r="E262" s="5"/>
      <c r="F262" s="5"/>
      <c r="G262" s="4"/>
      <c r="H262" s="5" t="str">
        <f t="shared" si="4"/>
        <v/>
      </c>
      <c r="I262" s="4"/>
    </row>
    <row r="263" spans="1:9" x14ac:dyDescent="0.2">
      <c r="A263" s="130"/>
      <c r="B263" s="4"/>
      <c r="C263" s="4"/>
      <c r="D263" s="4"/>
      <c r="E263" s="5"/>
      <c r="F263" s="5"/>
      <c r="G263" s="4"/>
      <c r="H263" s="5" t="str">
        <f t="shared" si="4"/>
        <v/>
      </c>
      <c r="I263" s="4"/>
    </row>
    <row r="264" spans="1:9" x14ac:dyDescent="0.2">
      <c r="A264" s="130"/>
      <c r="B264" s="4"/>
      <c r="C264" s="4"/>
      <c r="D264" s="4"/>
      <c r="E264" s="5"/>
      <c r="F264" s="5"/>
      <c r="G264" s="4"/>
      <c r="H264" s="5" t="str">
        <f t="shared" si="4"/>
        <v/>
      </c>
      <c r="I264" s="4"/>
    </row>
    <row r="265" spans="1:9" x14ac:dyDescent="0.2">
      <c r="A265" s="130"/>
      <c r="B265" s="4"/>
      <c r="C265" s="4"/>
      <c r="D265" s="4"/>
      <c r="E265" s="5"/>
      <c r="F265" s="5"/>
      <c r="G265" s="4"/>
      <c r="H265" s="5" t="str">
        <f t="shared" si="4"/>
        <v/>
      </c>
      <c r="I265" s="4"/>
    </row>
    <row r="266" spans="1:9" x14ac:dyDescent="0.2">
      <c r="A266" s="130"/>
      <c r="B266" s="4"/>
      <c r="C266" s="4"/>
      <c r="D266" s="4"/>
      <c r="E266" s="5"/>
      <c r="F266" s="5"/>
      <c r="G266" s="4"/>
      <c r="H266" s="5" t="str">
        <f t="shared" si="4"/>
        <v/>
      </c>
      <c r="I266" s="4"/>
    </row>
    <row r="267" spans="1:9" x14ac:dyDescent="0.2">
      <c r="A267" s="130"/>
      <c r="B267" s="4"/>
      <c r="C267" s="4"/>
      <c r="D267" s="4"/>
      <c r="E267" s="5"/>
      <c r="F267" s="5"/>
      <c r="G267" s="4"/>
      <c r="H267" s="5" t="str">
        <f t="shared" si="4"/>
        <v/>
      </c>
      <c r="I267" s="4"/>
    </row>
    <row r="268" spans="1:9" x14ac:dyDescent="0.2">
      <c r="A268" s="130"/>
      <c r="B268" s="4"/>
      <c r="C268" s="4"/>
      <c r="D268" s="4"/>
      <c r="E268" s="5"/>
      <c r="F268" s="5"/>
      <c r="G268" s="4"/>
      <c r="H268" s="5" t="str">
        <f t="shared" si="4"/>
        <v/>
      </c>
      <c r="I268" s="4"/>
    </row>
    <row r="269" spans="1:9" x14ac:dyDescent="0.2">
      <c r="A269" s="130"/>
      <c r="B269" s="4"/>
      <c r="C269" s="4"/>
      <c r="D269" s="4"/>
      <c r="E269" s="5"/>
      <c r="F269" s="5"/>
      <c r="G269" s="4"/>
      <c r="H269" s="5" t="str">
        <f t="shared" si="4"/>
        <v/>
      </c>
      <c r="I269" s="4"/>
    </row>
    <row r="270" spans="1:9" x14ac:dyDescent="0.2">
      <c r="A270" s="130"/>
      <c r="B270" s="4"/>
      <c r="C270" s="4"/>
      <c r="D270" s="4"/>
      <c r="E270" s="5"/>
      <c r="F270" s="5"/>
      <c r="G270" s="4"/>
      <c r="H270" s="5" t="str">
        <f t="shared" si="4"/>
        <v/>
      </c>
      <c r="I270" s="4"/>
    </row>
    <row r="271" spans="1:9" x14ac:dyDescent="0.2">
      <c r="A271" s="130"/>
      <c r="B271" s="4"/>
      <c r="C271" s="4"/>
      <c r="D271" s="4"/>
      <c r="E271" s="5"/>
      <c r="F271" s="5"/>
      <c r="G271" s="4"/>
      <c r="H271" s="5" t="str">
        <f t="shared" si="4"/>
        <v/>
      </c>
      <c r="I271" s="4"/>
    </row>
    <row r="272" spans="1:9" x14ac:dyDescent="0.2">
      <c r="A272" s="130"/>
      <c r="B272" s="4"/>
      <c r="C272" s="4"/>
      <c r="D272" s="4"/>
      <c r="E272" s="5"/>
      <c r="F272" s="5"/>
      <c r="G272" s="4"/>
      <c r="H272" s="5" t="str">
        <f t="shared" si="4"/>
        <v/>
      </c>
      <c r="I272" s="4"/>
    </row>
    <row r="273" spans="1:9" x14ac:dyDescent="0.2">
      <c r="A273" s="130"/>
      <c r="B273" s="4"/>
      <c r="C273" s="4"/>
      <c r="D273" s="4"/>
      <c r="E273" s="5"/>
      <c r="F273" s="5"/>
      <c r="G273" s="4"/>
      <c r="H273" s="5" t="str">
        <f t="shared" si="4"/>
        <v/>
      </c>
      <c r="I273" s="4"/>
    </row>
    <row r="274" spans="1:9" x14ac:dyDescent="0.2">
      <c r="A274" s="130"/>
      <c r="B274" s="4"/>
      <c r="C274" s="4"/>
      <c r="D274" s="4"/>
      <c r="E274" s="5"/>
      <c r="F274" s="5"/>
      <c r="G274" s="4"/>
      <c r="H274" s="5" t="str">
        <f t="shared" si="4"/>
        <v/>
      </c>
      <c r="I274" s="4"/>
    </row>
    <row r="275" spans="1:9" x14ac:dyDescent="0.2">
      <c r="A275" s="130"/>
      <c r="B275" s="4"/>
      <c r="C275" s="4"/>
      <c r="D275" s="4"/>
      <c r="E275" s="5"/>
      <c r="F275" s="5"/>
      <c r="G275" s="4"/>
      <c r="H275" s="5" t="str">
        <f t="shared" si="4"/>
        <v/>
      </c>
      <c r="I275" s="4"/>
    </row>
    <row r="276" spans="1:9" x14ac:dyDescent="0.2">
      <c r="A276" s="130"/>
      <c r="B276" s="4"/>
      <c r="C276" s="4"/>
      <c r="D276" s="4"/>
      <c r="E276" s="5"/>
      <c r="F276" s="5"/>
      <c r="G276" s="4"/>
      <c r="H276" s="5" t="str">
        <f t="shared" si="4"/>
        <v/>
      </c>
      <c r="I276" s="4"/>
    </row>
    <row r="277" spans="1:9" x14ac:dyDescent="0.2">
      <c r="A277" s="130"/>
      <c r="B277" s="4"/>
      <c r="C277" s="4"/>
      <c r="D277" s="4"/>
      <c r="E277" s="5"/>
      <c r="F277" s="5"/>
      <c r="G277" s="4"/>
      <c r="H277" s="5" t="str">
        <f t="shared" si="4"/>
        <v/>
      </c>
      <c r="I277" s="4"/>
    </row>
    <row r="278" spans="1:9" x14ac:dyDescent="0.2">
      <c r="A278" s="130"/>
      <c r="B278" s="4"/>
      <c r="C278" s="4"/>
      <c r="D278" s="4"/>
      <c r="E278" s="5"/>
      <c r="F278" s="5"/>
      <c r="G278" s="4"/>
      <c r="H278" s="5" t="str">
        <f t="shared" si="4"/>
        <v/>
      </c>
      <c r="I278" s="4"/>
    </row>
    <row r="279" spans="1:9" x14ac:dyDescent="0.2">
      <c r="A279" s="130"/>
      <c r="B279" s="4"/>
      <c r="C279" s="4"/>
      <c r="D279" s="4"/>
      <c r="E279" s="5"/>
      <c r="F279" s="5"/>
      <c r="G279" s="4"/>
      <c r="H279" s="5" t="str">
        <f t="shared" si="4"/>
        <v/>
      </c>
      <c r="I279" s="4"/>
    </row>
    <row r="280" spans="1:9" x14ac:dyDescent="0.2">
      <c r="A280" s="130"/>
      <c r="B280" s="4"/>
      <c r="C280" s="4"/>
      <c r="D280" s="4"/>
      <c r="E280" s="5"/>
      <c r="F280" s="5"/>
      <c r="G280" s="4"/>
      <c r="H280" s="5" t="str">
        <f t="shared" si="4"/>
        <v/>
      </c>
      <c r="I280" s="4"/>
    </row>
    <row r="281" spans="1:9" x14ac:dyDescent="0.2">
      <c r="A281" s="130"/>
      <c r="B281" s="4"/>
      <c r="C281" s="4"/>
      <c r="D281" s="4"/>
      <c r="E281" s="5"/>
      <c r="F281" s="5"/>
      <c r="G281" s="4"/>
      <c r="H281" s="5" t="str">
        <f t="shared" si="4"/>
        <v/>
      </c>
      <c r="I281" s="4"/>
    </row>
    <row r="282" spans="1:9" x14ac:dyDescent="0.2">
      <c r="A282" s="130"/>
      <c r="B282" s="4"/>
      <c r="C282" s="4"/>
      <c r="D282" s="4"/>
      <c r="E282" s="5"/>
      <c r="F282" s="5"/>
      <c r="G282" s="4"/>
      <c r="H282" s="5" t="str">
        <f t="shared" si="4"/>
        <v/>
      </c>
      <c r="I282" s="4"/>
    </row>
    <row r="283" spans="1:9" x14ac:dyDescent="0.2">
      <c r="A283" s="130"/>
      <c r="B283" s="4"/>
      <c r="C283" s="4"/>
      <c r="D283" s="4"/>
      <c r="E283" s="5"/>
      <c r="F283" s="5"/>
      <c r="G283" s="4"/>
      <c r="H283" s="5" t="str">
        <f t="shared" si="4"/>
        <v/>
      </c>
      <c r="I283" s="4"/>
    </row>
    <row r="284" spans="1:9" x14ac:dyDescent="0.2">
      <c r="A284" s="130"/>
      <c r="B284" s="4"/>
      <c r="C284" s="4"/>
      <c r="D284" s="4"/>
      <c r="E284" s="5"/>
      <c r="F284" s="5"/>
      <c r="G284" s="4"/>
      <c r="H284" s="5" t="str">
        <f t="shared" si="4"/>
        <v/>
      </c>
      <c r="I284" s="4"/>
    </row>
    <row r="285" spans="1:9" x14ac:dyDescent="0.2">
      <c r="A285" s="130"/>
      <c r="B285" s="4"/>
      <c r="C285" s="4"/>
      <c r="D285" s="4"/>
      <c r="E285" s="5"/>
      <c r="F285" s="5"/>
      <c r="G285" s="4"/>
      <c r="H285" s="5" t="str">
        <f t="shared" si="4"/>
        <v/>
      </c>
      <c r="I285" s="4"/>
    </row>
    <row r="286" spans="1:9" x14ac:dyDescent="0.2">
      <c r="A286" s="130"/>
      <c r="B286" s="4"/>
      <c r="C286" s="4"/>
      <c r="D286" s="4"/>
      <c r="E286" s="5"/>
      <c r="F286" s="5"/>
      <c r="G286" s="4"/>
      <c r="H286" s="5" t="str">
        <f t="shared" si="4"/>
        <v/>
      </c>
      <c r="I286" s="4"/>
    </row>
    <row r="287" spans="1:9" x14ac:dyDescent="0.2">
      <c r="A287" s="130"/>
      <c r="B287" s="4"/>
      <c r="C287" s="4"/>
      <c r="D287" s="4"/>
      <c r="E287" s="5"/>
      <c r="F287" s="5"/>
      <c r="G287" s="4"/>
      <c r="H287" s="5" t="str">
        <f t="shared" si="4"/>
        <v/>
      </c>
      <c r="I287" s="4"/>
    </row>
    <row r="288" spans="1:9" x14ac:dyDescent="0.2">
      <c r="A288" s="130"/>
      <c r="B288" s="4"/>
      <c r="C288" s="4"/>
      <c r="D288" s="4"/>
      <c r="E288" s="5"/>
      <c r="F288" s="5"/>
      <c r="G288" s="4"/>
      <c r="H288" s="5" t="str">
        <f t="shared" si="4"/>
        <v/>
      </c>
      <c r="I288" s="4"/>
    </row>
    <row r="289" spans="1:9" x14ac:dyDescent="0.2">
      <c r="A289" s="130"/>
      <c r="B289" s="4"/>
      <c r="C289" s="4"/>
      <c r="D289" s="4"/>
      <c r="E289" s="5"/>
      <c r="F289" s="5"/>
      <c r="G289" s="4"/>
      <c r="H289" s="5" t="str">
        <f t="shared" si="4"/>
        <v/>
      </c>
      <c r="I289" s="4"/>
    </row>
    <row r="290" spans="1:9" x14ac:dyDescent="0.2">
      <c r="A290" s="130"/>
      <c r="B290" s="4"/>
      <c r="C290" s="4"/>
      <c r="D290" s="4"/>
      <c r="E290" s="5"/>
      <c r="F290" s="5"/>
      <c r="G290" s="4"/>
      <c r="H290" s="5" t="str">
        <f t="shared" si="4"/>
        <v/>
      </c>
      <c r="I290" s="4"/>
    </row>
    <row r="291" spans="1:9" x14ac:dyDescent="0.2">
      <c r="A291" s="130"/>
      <c r="B291" s="4"/>
      <c r="C291" s="4"/>
      <c r="D291" s="4"/>
      <c r="E291" s="5"/>
      <c r="F291" s="5"/>
      <c r="G291" s="4"/>
      <c r="H291" s="5" t="str">
        <f t="shared" si="4"/>
        <v/>
      </c>
      <c r="I291" s="4"/>
    </row>
    <row r="292" spans="1:9" x14ac:dyDescent="0.2">
      <c r="A292" s="130"/>
      <c r="B292" s="4"/>
      <c r="C292" s="4"/>
      <c r="D292" s="4"/>
      <c r="E292" s="5"/>
      <c r="F292" s="5"/>
      <c r="G292" s="4"/>
      <c r="H292" s="5" t="str">
        <f t="shared" si="4"/>
        <v/>
      </c>
      <c r="I292" s="4"/>
    </row>
    <row r="293" spans="1:9" x14ac:dyDescent="0.2">
      <c r="A293" s="130"/>
      <c r="B293" s="4"/>
      <c r="C293" s="4"/>
      <c r="D293" s="4"/>
      <c r="E293" s="5"/>
      <c r="F293" s="5"/>
      <c r="G293" s="4"/>
      <c r="H293" s="5" t="str">
        <f t="shared" si="4"/>
        <v/>
      </c>
      <c r="I293" s="4"/>
    </row>
    <row r="294" spans="1:9" x14ac:dyDescent="0.2">
      <c r="A294" s="130"/>
      <c r="B294" s="4"/>
      <c r="C294" s="4"/>
      <c r="D294" s="4"/>
      <c r="E294" s="5"/>
      <c r="F294" s="5"/>
      <c r="G294" s="4"/>
      <c r="H294" s="5" t="str">
        <f t="shared" si="4"/>
        <v/>
      </c>
      <c r="I294" s="4"/>
    </row>
    <row r="295" spans="1:9" x14ac:dyDescent="0.2">
      <c r="A295" s="130"/>
      <c r="B295" s="4"/>
      <c r="C295" s="4"/>
      <c r="D295" s="4"/>
      <c r="E295" s="5"/>
      <c r="F295" s="5"/>
      <c r="G295" s="4"/>
      <c r="H295" s="5" t="str">
        <f t="shared" si="4"/>
        <v/>
      </c>
      <c r="I295" s="4"/>
    </row>
    <row r="296" spans="1:9" x14ac:dyDescent="0.2">
      <c r="A296" s="130"/>
      <c r="B296" s="4"/>
      <c r="C296" s="4"/>
      <c r="D296" s="4"/>
      <c r="E296" s="5"/>
      <c r="F296" s="5"/>
      <c r="G296" s="4"/>
      <c r="H296" s="5" t="str">
        <f t="shared" si="4"/>
        <v/>
      </c>
      <c r="I296" s="4"/>
    </row>
    <row r="297" spans="1:9" x14ac:dyDescent="0.2">
      <c r="A297" s="130"/>
      <c r="B297" s="4"/>
      <c r="C297" s="4"/>
      <c r="D297" s="4"/>
      <c r="E297" s="5"/>
      <c r="F297" s="5"/>
      <c r="G297" s="4"/>
      <c r="H297" s="5" t="str">
        <f t="shared" si="4"/>
        <v/>
      </c>
      <c r="I297" s="4"/>
    </row>
    <row r="298" spans="1:9" x14ac:dyDescent="0.2">
      <c r="A298" s="130"/>
      <c r="B298" s="4"/>
      <c r="C298" s="4"/>
      <c r="D298" s="4"/>
      <c r="E298" s="5"/>
      <c r="F298" s="5"/>
      <c r="G298" s="4"/>
      <c r="H298" s="5" t="str">
        <f t="shared" si="4"/>
        <v/>
      </c>
      <c r="I298" s="4"/>
    </row>
    <row r="299" spans="1:9" x14ac:dyDescent="0.2">
      <c r="A299" s="130"/>
      <c r="B299" s="4"/>
      <c r="C299" s="4"/>
      <c r="D299" s="4"/>
      <c r="E299" s="5"/>
      <c r="F299" s="5"/>
      <c r="G299" s="4"/>
      <c r="H299" s="5" t="str">
        <f t="shared" si="4"/>
        <v/>
      </c>
      <c r="I299" s="4"/>
    </row>
    <row r="300" spans="1:9" x14ac:dyDescent="0.2">
      <c r="A300" s="130"/>
      <c r="B300" s="4"/>
      <c r="C300" s="4"/>
      <c r="D300" s="4"/>
      <c r="E300" s="5"/>
      <c r="F300" s="5"/>
      <c r="G300" s="4"/>
      <c r="H300" s="5" t="str">
        <f t="shared" si="4"/>
        <v/>
      </c>
      <c r="I300" s="4"/>
    </row>
    <row r="301" spans="1:9" x14ac:dyDescent="0.2">
      <c r="A301" s="130"/>
      <c r="B301" s="4"/>
      <c r="C301" s="4"/>
      <c r="D301" s="4"/>
      <c r="E301" s="5"/>
      <c r="F301" s="5"/>
      <c r="G301" s="4"/>
      <c r="H301" s="5" t="str">
        <f t="shared" si="4"/>
        <v/>
      </c>
      <c r="I301" s="4"/>
    </row>
    <row r="302" spans="1:9" x14ac:dyDescent="0.2">
      <c r="A302" s="130"/>
      <c r="B302" s="4"/>
      <c r="C302" s="4"/>
      <c r="D302" s="4"/>
      <c r="E302" s="5"/>
      <c r="F302" s="5"/>
      <c r="G302" s="4"/>
      <c r="H302" s="5" t="str">
        <f t="shared" si="4"/>
        <v/>
      </c>
      <c r="I302" s="4"/>
    </row>
    <row r="303" spans="1:9" x14ac:dyDescent="0.2">
      <c r="A303" s="130"/>
      <c r="B303" s="4"/>
      <c r="C303" s="4"/>
      <c r="D303" s="4"/>
      <c r="E303" s="5"/>
      <c r="F303" s="5"/>
      <c r="G303" s="4"/>
      <c r="H303" s="5" t="str">
        <f t="shared" si="4"/>
        <v/>
      </c>
      <c r="I303" s="4"/>
    </row>
    <row r="304" spans="1:9" x14ac:dyDescent="0.2">
      <c r="A304" s="130"/>
      <c r="B304" s="4"/>
      <c r="C304" s="4"/>
      <c r="D304" s="4"/>
      <c r="E304" s="5"/>
      <c r="F304" s="5"/>
      <c r="G304" s="4"/>
      <c r="H304" s="5" t="str">
        <f t="shared" si="4"/>
        <v/>
      </c>
      <c r="I304" s="4"/>
    </row>
    <row r="305" spans="1:9" x14ac:dyDescent="0.2">
      <c r="A305" s="130"/>
      <c r="B305" s="4"/>
      <c r="C305" s="4"/>
      <c r="D305" s="4"/>
      <c r="E305" s="5"/>
      <c r="F305" s="5"/>
      <c r="G305" s="4"/>
      <c r="H305" s="5" t="str">
        <f t="shared" si="4"/>
        <v/>
      </c>
      <c r="I305" s="4"/>
    </row>
    <row r="306" spans="1:9" x14ac:dyDescent="0.2">
      <c r="A306" s="130"/>
      <c r="B306" s="4"/>
      <c r="C306" s="4"/>
      <c r="D306" s="4"/>
      <c r="E306" s="5"/>
      <c r="F306" s="5"/>
      <c r="G306" s="4"/>
      <c r="H306" s="5" t="str">
        <f t="shared" si="4"/>
        <v/>
      </c>
      <c r="I306" s="4"/>
    </row>
    <row r="307" spans="1:9" x14ac:dyDescent="0.2">
      <c r="A307" s="130"/>
      <c r="B307" s="4"/>
      <c r="C307" s="4"/>
      <c r="D307" s="4"/>
      <c r="E307" s="5"/>
      <c r="F307" s="5"/>
      <c r="G307" s="4"/>
      <c r="H307" s="5" t="str">
        <f t="shared" si="4"/>
        <v/>
      </c>
      <c r="I307" s="4"/>
    </row>
    <row r="308" spans="1:9" x14ac:dyDescent="0.2">
      <c r="A308" s="130"/>
      <c r="B308" s="4"/>
      <c r="C308" s="4"/>
      <c r="D308" s="4"/>
      <c r="E308" s="5"/>
      <c r="F308" s="5"/>
      <c r="G308" s="4"/>
      <c r="H308" s="5" t="str">
        <f t="shared" si="4"/>
        <v/>
      </c>
      <c r="I308" s="4"/>
    </row>
    <row r="309" spans="1:9" x14ac:dyDescent="0.2">
      <c r="A309" s="130"/>
      <c r="B309" s="4"/>
      <c r="C309" s="4"/>
      <c r="D309" s="4"/>
      <c r="E309" s="5"/>
      <c r="F309" s="5"/>
      <c r="G309" s="4"/>
      <c r="H309" s="5" t="str">
        <f t="shared" si="4"/>
        <v/>
      </c>
      <c r="I309" s="4"/>
    </row>
    <row r="310" spans="1:9" x14ac:dyDescent="0.2">
      <c r="A310" s="130"/>
      <c r="B310" s="4"/>
      <c r="C310" s="4"/>
      <c r="D310" s="4"/>
      <c r="E310" s="5"/>
      <c r="F310" s="5"/>
      <c r="G310" s="4"/>
      <c r="H310" s="5" t="str">
        <f t="shared" si="4"/>
        <v/>
      </c>
      <c r="I310" s="4"/>
    </row>
    <row r="311" spans="1:9" x14ac:dyDescent="0.2">
      <c r="A311" s="130"/>
      <c r="B311" s="4"/>
      <c r="C311" s="4"/>
      <c r="D311" s="4"/>
      <c r="E311" s="5"/>
      <c r="F311" s="5"/>
      <c r="G311" s="4"/>
      <c r="H311" s="5" t="str">
        <f t="shared" si="4"/>
        <v/>
      </c>
      <c r="I311" s="4"/>
    </row>
    <row r="312" spans="1:9" x14ac:dyDescent="0.2">
      <c r="A312" s="130"/>
      <c r="B312" s="4"/>
      <c r="C312" s="4"/>
      <c r="D312" s="4"/>
      <c r="E312" s="5"/>
      <c r="F312" s="5"/>
      <c r="G312" s="4"/>
      <c r="H312" s="5" t="str">
        <f t="shared" si="4"/>
        <v/>
      </c>
      <c r="I312" s="4"/>
    </row>
    <row r="313" spans="1:9" x14ac:dyDescent="0.2">
      <c r="A313" s="130"/>
      <c r="B313" s="4"/>
      <c r="C313" s="4"/>
      <c r="D313" s="4"/>
      <c r="E313" s="5"/>
      <c r="F313" s="5"/>
      <c r="G313" s="4"/>
      <c r="H313" s="5" t="str">
        <f t="shared" si="4"/>
        <v/>
      </c>
      <c r="I313" s="4"/>
    </row>
    <row r="314" spans="1:9" x14ac:dyDescent="0.2">
      <c r="A314" s="130"/>
      <c r="B314" s="4"/>
      <c r="C314" s="4"/>
      <c r="D314" s="4"/>
      <c r="E314" s="5"/>
      <c r="F314" s="5"/>
      <c r="G314" s="4"/>
      <c r="H314" s="5" t="str">
        <f t="shared" si="4"/>
        <v/>
      </c>
      <c r="I314" s="4"/>
    </row>
    <row r="315" spans="1:9" x14ac:dyDescent="0.2">
      <c r="A315" s="130"/>
      <c r="B315" s="4"/>
      <c r="C315" s="4"/>
      <c r="D315" s="4"/>
      <c r="E315" s="5"/>
      <c r="F315" s="5"/>
      <c r="G315" s="4"/>
      <c r="H315" s="5" t="str">
        <f t="shared" si="4"/>
        <v/>
      </c>
      <c r="I315" s="4"/>
    </row>
    <row r="316" spans="1:9" x14ac:dyDescent="0.2">
      <c r="A316" s="130"/>
      <c r="B316" s="4"/>
      <c r="C316" s="4"/>
      <c r="D316" s="4"/>
      <c r="E316" s="5"/>
      <c r="F316" s="5"/>
      <c r="G316" s="4"/>
      <c r="H316" s="5" t="str">
        <f t="shared" si="4"/>
        <v/>
      </c>
      <c r="I316" s="4"/>
    </row>
    <row r="317" spans="1:9" x14ac:dyDescent="0.2">
      <c r="A317" s="130"/>
      <c r="B317" s="4"/>
      <c r="C317" s="4"/>
      <c r="D317" s="4"/>
      <c r="E317" s="5"/>
      <c r="F317" s="5"/>
      <c r="G317" s="4"/>
      <c r="H317" s="5" t="str">
        <f t="shared" si="4"/>
        <v/>
      </c>
      <c r="I317" s="4"/>
    </row>
    <row r="318" spans="1:9" x14ac:dyDescent="0.2">
      <c r="A318" s="130"/>
      <c r="B318" s="4"/>
      <c r="C318" s="4"/>
      <c r="D318" s="4"/>
      <c r="E318" s="5"/>
      <c r="F318" s="5"/>
      <c r="G318" s="4"/>
      <c r="H318" s="5" t="str">
        <f t="shared" si="4"/>
        <v/>
      </c>
      <c r="I318" s="4"/>
    </row>
    <row r="319" spans="1:9" x14ac:dyDescent="0.2">
      <c r="A319" s="130"/>
      <c r="B319" s="4"/>
      <c r="C319" s="4"/>
      <c r="D319" s="4"/>
      <c r="E319" s="5"/>
      <c r="F319" s="5"/>
      <c r="G319" s="4"/>
      <c r="H319" s="5" t="str">
        <f t="shared" si="4"/>
        <v/>
      </c>
      <c r="I319" s="4"/>
    </row>
    <row r="320" spans="1:9" x14ac:dyDescent="0.2">
      <c r="A320" s="130"/>
      <c r="B320" s="4"/>
      <c r="C320" s="4"/>
      <c r="D320" s="4"/>
      <c r="E320" s="5"/>
      <c r="F320" s="5"/>
      <c r="G320" s="4"/>
      <c r="H320" s="5" t="str">
        <f t="shared" si="4"/>
        <v/>
      </c>
      <c r="I320" s="4"/>
    </row>
    <row r="321" spans="1:9" x14ac:dyDescent="0.2">
      <c r="A321" s="130"/>
      <c r="B321" s="4"/>
      <c r="C321" s="4"/>
      <c r="D321" s="4"/>
      <c r="E321" s="5"/>
      <c r="F321" s="5"/>
      <c r="G321" s="4"/>
      <c r="H321" s="5" t="str">
        <f t="shared" si="4"/>
        <v/>
      </c>
      <c r="I321" s="4"/>
    </row>
    <row r="322" spans="1:9" x14ac:dyDescent="0.2">
      <c r="A322" s="130"/>
      <c r="B322" s="4"/>
      <c r="C322" s="4"/>
      <c r="D322" s="4"/>
      <c r="E322" s="5"/>
      <c r="F322" s="5"/>
      <c r="G322" s="4"/>
      <c r="H322" s="5" t="str">
        <f t="shared" si="4"/>
        <v/>
      </c>
      <c r="I322" s="4"/>
    </row>
    <row r="323" spans="1:9" x14ac:dyDescent="0.2">
      <c r="A323" s="130"/>
      <c r="B323" s="4"/>
      <c r="C323" s="4"/>
      <c r="D323" s="4"/>
      <c r="E323" s="5"/>
      <c r="F323" s="5"/>
      <c r="G323" s="4"/>
      <c r="H323" s="5" t="str">
        <f t="shared" ref="H323:H386" si="5">IF($C323="","",$E323-$F323)</f>
        <v/>
      </c>
      <c r="I323" s="4"/>
    </row>
    <row r="324" spans="1:9" x14ac:dyDescent="0.2">
      <c r="A324" s="130"/>
      <c r="B324" s="4"/>
      <c r="C324" s="4"/>
      <c r="D324" s="4"/>
      <c r="E324" s="5"/>
      <c r="F324" s="5"/>
      <c r="G324" s="4"/>
      <c r="H324" s="5" t="str">
        <f t="shared" si="5"/>
        <v/>
      </c>
      <c r="I324" s="4"/>
    </row>
    <row r="325" spans="1:9" x14ac:dyDescent="0.2">
      <c r="A325" s="130"/>
      <c r="B325" s="4"/>
      <c r="C325" s="4"/>
      <c r="D325" s="4"/>
      <c r="E325" s="5"/>
      <c r="F325" s="5"/>
      <c r="G325" s="4"/>
      <c r="H325" s="5" t="str">
        <f t="shared" si="5"/>
        <v/>
      </c>
      <c r="I325" s="4"/>
    </row>
    <row r="326" spans="1:9" x14ac:dyDescent="0.2">
      <c r="A326" s="130"/>
      <c r="B326" s="4"/>
      <c r="C326" s="4"/>
      <c r="D326" s="4"/>
      <c r="E326" s="5"/>
      <c r="F326" s="5"/>
      <c r="G326" s="4"/>
      <c r="H326" s="5" t="str">
        <f t="shared" si="5"/>
        <v/>
      </c>
      <c r="I326" s="4"/>
    </row>
    <row r="327" spans="1:9" x14ac:dyDescent="0.2">
      <c r="A327" s="130"/>
      <c r="B327" s="4"/>
      <c r="C327" s="4"/>
      <c r="D327" s="4"/>
      <c r="E327" s="5"/>
      <c r="F327" s="5"/>
      <c r="G327" s="4"/>
      <c r="H327" s="5" t="str">
        <f t="shared" si="5"/>
        <v/>
      </c>
      <c r="I327" s="4"/>
    </row>
    <row r="328" spans="1:9" x14ac:dyDescent="0.2">
      <c r="A328" s="130"/>
      <c r="B328" s="4"/>
      <c r="C328" s="4"/>
      <c r="D328" s="4"/>
      <c r="E328" s="5"/>
      <c r="F328" s="5"/>
      <c r="G328" s="4"/>
      <c r="H328" s="5" t="str">
        <f t="shared" si="5"/>
        <v/>
      </c>
      <c r="I328" s="4"/>
    </row>
    <row r="329" spans="1:9" x14ac:dyDescent="0.2">
      <c r="A329" s="130"/>
      <c r="B329" s="4"/>
      <c r="C329" s="4"/>
      <c r="D329" s="4"/>
      <c r="E329" s="5"/>
      <c r="F329" s="5"/>
      <c r="G329" s="4"/>
      <c r="H329" s="5" t="str">
        <f t="shared" si="5"/>
        <v/>
      </c>
      <c r="I329" s="4"/>
    </row>
    <row r="330" spans="1:9" x14ac:dyDescent="0.2">
      <c r="A330" s="130"/>
      <c r="B330" s="4"/>
      <c r="C330" s="4"/>
      <c r="D330" s="4"/>
      <c r="E330" s="5"/>
      <c r="F330" s="5"/>
      <c r="G330" s="4"/>
      <c r="H330" s="5" t="str">
        <f t="shared" si="5"/>
        <v/>
      </c>
      <c r="I330" s="4"/>
    </row>
    <row r="331" spans="1:9" x14ac:dyDescent="0.2">
      <c r="A331" s="130"/>
      <c r="B331" s="4"/>
      <c r="C331" s="4"/>
      <c r="D331" s="4"/>
      <c r="E331" s="5"/>
      <c r="F331" s="5"/>
      <c r="G331" s="4"/>
      <c r="H331" s="5" t="str">
        <f t="shared" si="5"/>
        <v/>
      </c>
      <c r="I331" s="4"/>
    </row>
    <row r="332" spans="1:9" x14ac:dyDescent="0.2">
      <c r="A332" s="130"/>
      <c r="B332" s="4"/>
      <c r="C332" s="4"/>
      <c r="D332" s="4"/>
      <c r="E332" s="5"/>
      <c r="F332" s="5"/>
      <c r="G332" s="4"/>
      <c r="H332" s="5" t="str">
        <f t="shared" si="5"/>
        <v/>
      </c>
      <c r="I332" s="4"/>
    </row>
    <row r="333" spans="1:9" x14ac:dyDescent="0.2">
      <c r="A333" s="130"/>
      <c r="B333" s="4"/>
      <c r="C333" s="4"/>
      <c r="D333" s="4"/>
      <c r="E333" s="5"/>
      <c r="F333" s="5"/>
      <c r="G333" s="4"/>
      <c r="H333" s="5" t="str">
        <f t="shared" si="5"/>
        <v/>
      </c>
      <c r="I333" s="4"/>
    </row>
    <row r="334" spans="1:9" x14ac:dyDescent="0.2">
      <c r="A334" s="130"/>
      <c r="B334" s="4"/>
      <c r="C334" s="4"/>
      <c r="D334" s="4"/>
      <c r="E334" s="5"/>
      <c r="F334" s="5"/>
      <c r="G334" s="4"/>
      <c r="H334" s="5" t="str">
        <f t="shared" si="5"/>
        <v/>
      </c>
      <c r="I334" s="4"/>
    </row>
    <row r="335" spans="1:9" x14ac:dyDescent="0.2">
      <c r="A335" s="130"/>
      <c r="B335" s="4"/>
      <c r="C335" s="4"/>
      <c r="D335" s="4"/>
      <c r="E335" s="5"/>
      <c r="F335" s="5"/>
      <c r="G335" s="4"/>
      <c r="H335" s="5" t="str">
        <f t="shared" si="5"/>
        <v/>
      </c>
      <c r="I335" s="4"/>
    </row>
    <row r="336" spans="1:9" x14ac:dyDescent="0.2">
      <c r="A336" s="130"/>
      <c r="B336" s="4"/>
      <c r="C336" s="4"/>
      <c r="D336" s="4"/>
      <c r="E336" s="5"/>
      <c r="F336" s="5"/>
      <c r="G336" s="4"/>
      <c r="H336" s="5" t="str">
        <f t="shared" si="5"/>
        <v/>
      </c>
      <c r="I336" s="4"/>
    </row>
    <row r="337" spans="1:9" x14ac:dyDescent="0.2">
      <c r="A337" s="130"/>
      <c r="B337" s="4"/>
      <c r="C337" s="4"/>
      <c r="D337" s="4"/>
      <c r="E337" s="5"/>
      <c r="F337" s="5"/>
      <c r="G337" s="4"/>
      <c r="H337" s="5" t="str">
        <f t="shared" si="5"/>
        <v/>
      </c>
      <c r="I337" s="4"/>
    </row>
    <row r="338" spans="1:9" x14ac:dyDescent="0.2">
      <c r="A338" s="130"/>
      <c r="B338" s="4"/>
      <c r="C338" s="4"/>
      <c r="D338" s="4"/>
      <c r="E338" s="5"/>
      <c r="F338" s="5"/>
      <c r="G338" s="4"/>
      <c r="H338" s="5" t="str">
        <f t="shared" si="5"/>
        <v/>
      </c>
      <c r="I338" s="4"/>
    </row>
    <row r="339" spans="1:9" x14ac:dyDescent="0.2">
      <c r="A339" s="130"/>
      <c r="B339" s="4"/>
      <c r="C339" s="4"/>
      <c r="D339" s="4"/>
      <c r="E339" s="5"/>
      <c r="F339" s="5"/>
      <c r="G339" s="4"/>
      <c r="H339" s="5" t="str">
        <f t="shared" si="5"/>
        <v/>
      </c>
      <c r="I339" s="4"/>
    </row>
    <row r="340" spans="1:9" x14ac:dyDescent="0.2">
      <c r="A340" s="130"/>
      <c r="B340" s="4"/>
      <c r="C340" s="4"/>
      <c r="D340" s="4"/>
      <c r="E340" s="5"/>
      <c r="F340" s="5"/>
      <c r="G340" s="4"/>
      <c r="H340" s="5" t="str">
        <f t="shared" si="5"/>
        <v/>
      </c>
      <c r="I340" s="4"/>
    </row>
    <row r="341" spans="1:9" x14ac:dyDescent="0.2">
      <c r="A341" s="130"/>
      <c r="B341" s="4"/>
      <c r="C341" s="4"/>
      <c r="D341" s="4"/>
      <c r="E341" s="5"/>
      <c r="F341" s="5"/>
      <c r="G341" s="4"/>
      <c r="H341" s="5" t="str">
        <f t="shared" si="5"/>
        <v/>
      </c>
      <c r="I341" s="4"/>
    </row>
    <row r="342" spans="1:9" x14ac:dyDescent="0.2">
      <c r="A342" s="130"/>
      <c r="B342" s="4"/>
      <c r="C342" s="4"/>
      <c r="D342" s="4"/>
      <c r="E342" s="5"/>
      <c r="F342" s="5"/>
      <c r="G342" s="4"/>
      <c r="H342" s="5" t="str">
        <f t="shared" si="5"/>
        <v/>
      </c>
      <c r="I342" s="4"/>
    </row>
    <row r="343" spans="1:9" x14ac:dyDescent="0.2">
      <c r="A343" s="130"/>
      <c r="B343" s="4"/>
      <c r="C343" s="4"/>
      <c r="D343" s="4"/>
      <c r="E343" s="5"/>
      <c r="F343" s="5"/>
      <c r="G343" s="4"/>
      <c r="H343" s="5" t="str">
        <f t="shared" si="5"/>
        <v/>
      </c>
      <c r="I343" s="4"/>
    </row>
    <row r="344" spans="1:9" x14ac:dyDescent="0.2">
      <c r="A344" s="130"/>
      <c r="B344" s="4"/>
      <c r="C344" s="4"/>
      <c r="D344" s="4"/>
      <c r="E344" s="5"/>
      <c r="F344" s="5"/>
      <c r="G344" s="4"/>
      <c r="H344" s="5" t="str">
        <f t="shared" si="5"/>
        <v/>
      </c>
      <c r="I344" s="4"/>
    </row>
    <row r="345" spans="1:9" x14ac:dyDescent="0.2">
      <c r="A345" s="130"/>
      <c r="B345" s="4"/>
      <c r="C345" s="4"/>
      <c r="D345" s="4"/>
      <c r="E345" s="5"/>
      <c r="F345" s="5"/>
      <c r="G345" s="4"/>
      <c r="H345" s="5" t="str">
        <f t="shared" si="5"/>
        <v/>
      </c>
      <c r="I345" s="4"/>
    </row>
    <row r="346" spans="1:9" x14ac:dyDescent="0.2">
      <c r="A346" s="130"/>
      <c r="B346" s="4"/>
      <c r="C346" s="4"/>
      <c r="D346" s="4"/>
      <c r="E346" s="5"/>
      <c r="F346" s="5"/>
      <c r="G346" s="4"/>
      <c r="H346" s="5" t="str">
        <f t="shared" si="5"/>
        <v/>
      </c>
      <c r="I346" s="4"/>
    </row>
    <row r="347" spans="1:9" x14ac:dyDescent="0.2">
      <c r="A347" s="130"/>
      <c r="B347" s="4"/>
      <c r="C347" s="4"/>
      <c r="D347" s="4"/>
      <c r="E347" s="5"/>
      <c r="F347" s="5"/>
      <c r="G347" s="4"/>
      <c r="H347" s="5" t="str">
        <f t="shared" si="5"/>
        <v/>
      </c>
      <c r="I347" s="4"/>
    </row>
    <row r="348" spans="1:9" x14ac:dyDescent="0.2">
      <c r="A348" s="130"/>
      <c r="B348" s="4"/>
      <c r="C348" s="4"/>
      <c r="D348" s="4"/>
      <c r="E348" s="5"/>
      <c r="F348" s="5"/>
      <c r="G348" s="4"/>
      <c r="H348" s="5" t="str">
        <f t="shared" si="5"/>
        <v/>
      </c>
      <c r="I348" s="4"/>
    </row>
    <row r="349" spans="1:9" x14ac:dyDescent="0.2">
      <c r="A349" s="130"/>
      <c r="B349" s="4"/>
      <c r="C349" s="4"/>
      <c r="D349" s="4"/>
      <c r="E349" s="5"/>
      <c r="F349" s="5"/>
      <c r="G349" s="4"/>
      <c r="H349" s="5" t="str">
        <f t="shared" si="5"/>
        <v/>
      </c>
      <c r="I349" s="4"/>
    </row>
    <row r="350" spans="1:9" x14ac:dyDescent="0.2">
      <c r="A350" s="130"/>
      <c r="B350" s="4"/>
      <c r="C350" s="4"/>
      <c r="D350" s="4"/>
      <c r="E350" s="5"/>
      <c r="F350" s="5"/>
      <c r="G350" s="4"/>
      <c r="H350" s="5" t="str">
        <f t="shared" si="5"/>
        <v/>
      </c>
      <c r="I350" s="4"/>
    </row>
    <row r="351" spans="1:9" x14ac:dyDescent="0.2">
      <c r="A351" s="130"/>
      <c r="B351" s="4"/>
      <c r="C351" s="4"/>
      <c r="D351" s="4"/>
      <c r="E351" s="5"/>
      <c r="F351" s="5"/>
      <c r="G351" s="4"/>
      <c r="H351" s="5" t="str">
        <f t="shared" si="5"/>
        <v/>
      </c>
      <c r="I351" s="4"/>
    </row>
    <row r="352" spans="1:9" x14ac:dyDescent="0.2">
      <c r="A352" s="130"/>
      <c r="B352" s="4"/>
      <c r="C352" s="4"/>
      <c r="D352" s="4"/>
      <c r="E352" s="5"/>
      <c r="F352" s="5"/>
      <c r="G352" s="4"/>
      <c r="H352" s="5" t="str">
        <f t="shared" si="5"/>
        <v/>
      </c>
      <c r="I352" s="4"/>
    </row>
    <row r="353" spans="1:9" x14ac:dyDescent="0.2">
      <c r="A353" s="130"/>
      <c r="B353" s="4"/>
      <c r="C353" s="4"/>
      <c r="D353" s="4"/>
      <c r="E353" s="5"/>
      <c r="F353" s="5"/>
      <c r="G353" s="4"/>
      <c r="H353" s="5" t="str">
        <f t="shared" si="5"/>
        <v/>
      </c>
      <c r="I353" s="4"/>
    </row>
    <row r="354" spans="1:9" x14ac:dyDescent="0.2">
      <c r="A354" s="130"/>
      <c r="B354" s="4"/>
      <c r="C354" s="4"/>
      <c r="D354" s="4"/>
      <c r="E354" s="5"/>
      <c r="F354" s="5"/>
      <c r="G354" s="4"/>
      <c r="H354" s="5" t="str">
        <f t="shared" si="5"/>
        <v/>
      </c>
      <c r="I354" s="4"/>
    </row>
    <row r="355" spans="1:9" x14ac:dyDescent="0.2">
      <c r="A355" s="130"/>
      <c r="B355" s="4"/>
      <c r="C355" s="4"/>
      <c r="D355" s="4"/>
      <c r="E355" s="5"/>
      <c r="F355" s="5"/>
      <c r="G355" s="4"/>
      <c r="H355" s="5" t="str">
        <f t="shared" si="5"/>
        <v/>
      </c>
      <c r="I355" s="4"/>
    </row>
    <row r="356" spans="1:9" x14ac:dyDescent="0.2">
      <c r="A356" s="130"/>
      <c r="B356" s="4"/>
      <c r="C356" s="4"/>
      <c r="D356" s="4"/>
      <c r="E356" s="5"/>
      <c r="F356" s="5"/>
      <c r="G356" s="4"/>
      <c r="H356" s="5" t="str">
        <f t="shared" si="5"/>
        <v/>
      </c>
      <c r="I356" s="4"/>
    </row>
    <row r="357" spans="1:9" x14ac:dyDescent="0.2">
      <c r="A357" s="130"/>
      <c r="B357" s="4"/>
      <c r="C357" s="4"/>
      <c r="D357" s="4"/>
      <c r="E357" s="5"/>
      <c r="F357" s="5"/>
      <c r="G357" s="4"/>
      <c r="H357" s="5" t="str">
        <f t="shared" si="5"/>
        <v/>
      </c>
      <c r="I357" s="4"/>
    </row>
    <row r="358" spans="1:9" x14ac:dyDescent="0.2">
      <c r="A358" s="130"/>
      <c r="B358" s="4"/>
      <c r="C358" s="4"/>
      <c r="D358" s="4"/>
      <c r="E358" s="5"/>
      <c r="F358" s="5"/>
      <c r="G358" s="4"/>
      <c r="H358" s="5" t="str">
        <f t="shared" si="5"/>
        <v/>
      </c>
      <c r="I358" s="4"/>
    </row>
    <row r="359" spans="1:9" x14ac:dyDescent="0.2">
      <c r="A359" s="130"/>
      <c r="B359" s="4"/>
      <c r="C359" s="4"/>
      <c r="D359" s="4"/>
      <c r="E359" s="5"/>
      <c r="F359" s="5"/>
      <c r="G359" s="4"/>
      <c r="H359" s="5" t="str">
        <f t="shared" si="5"/>
        <v/>
      </c>
      <c r="I359" s="4"/>
    </row>
    <row r="360" spans="1:9" x14ac:dyDescent="0.2">
      <c r="A360" s="130"/>
      <c r="B360" s="4"/>
      <c r="C360" s="4"/>
      <c r="D360" s="4"/>
      <c r="E360" s="5"/>
      <c r="F360" s="5"/>
      <c r="G360" s="4"/>
      <c r="H360" s="5" t="str">
        <f t="shared" si="5"/>
        <v/>
      </c>
      <c r="I360" s="4"/>
    </row>
    <row r="361" spans="1:9" x14ac:dyDescent="0.2">
      <c r="A361" s="130"/>
      <c r="B361" s="4"/>
      <c r="C361" s="4"/>
      <c r="D361" s="4"/>
      <c r="E361" s="5"/>
      <c r="F361" s="5"/>
      <c r="G361" s="4"/>
      <c r="H361" s="5" t="str">
        <f t="shared" si="5"/>
        <v/>
      </c>
      <c r="I361" s="4"/>
    </row>
    <row r="362" spans="1:9" x14ac:dyDescent="0.2">
      <c r="A362" s="130"/>
      <c r="B362" s="4"/>
      <c r="C362" s="4"/>
      <c r="D362" s="4"/>
      <c r="E362" s="5"/>
      <c r="F362" s="5"/>
      <c r="G362" s="4"/>
      <c r="H362" s="5" t="str">
        <f t="shared" si="5"/>
        <v/>
      </c>
      <c r="I362" s="4"/>
    </row>
    <row r="363" spans="1:9" x14ac:dyDescent="0.2">
      <c r="A363" s="130"/>
      <c r="B363" s="4"/>
      <c r="C363" s="4"/>
      <c r="D363" s="4"/>
      <c r="E363" s="5"/>
      <c r="F363" s="5"/>
      <c r="G363" s="4"/>
      <c r="H363" s="5" t="str">
        <f t="shared" si="5"/>
        <v/>
      </c>
      <c r="I363" s="4"/>
    </row>
    <row r="364" spans="1:9" x14ac:dyDescent="0.2">
      <c r="A364" s="130"/>
      <c r="B364" s="4"/>
      <c r="C364" s="4"/>
      <c r="D364" s="4"/>
      <c r="E364" s="5"/>
      <c r="F364" s="5"/>
      <c r="G364" s="4"/>
      <c r="H364" s="5" t="str">
        <f t="shared" si="5"/>
        <v/>
      </c>
      <c r="I364" s="4"/>
    </row>
    <row r="365" spans="1:9" x14ac:dyDescent="0.2">
      <c r="A365" s="130"/>
      <c r="B365" s="4"/>
      <c r="C365" s="4"/>
      <c r="D365" s="4"/>
      <c r="E365" s="5"/>
      <c r="F365" s="5"/>
      <c r="G365" s="4"/>
      <c r="H365" s="5" t="str">
        <f t="shared" si="5"/>
        <v/>
      </c>
      <c r="I365" s="4"/>
    </row>
    <row r="366" spans="1:9" x14ac:dyDescent="0.2">
      <c r="A366" s="130"/>
      <c r="B366" s="4"/>
      <c r="C366" s="4"/>
      <c r="D366" s="4"/>
      <c r="E366" s="5"/>
      <c r="F366" s="5"/>
      <c r="G366" s="4"/>
      <c r="H366" s="5" t="str">
        <f t="shared" si="5"/>
        <v/>
      </c>
      <c r="I366" s="4"/>
    </row>
    <row r="367" spans="1:9" x14ac:dyDescent="0.2">
      <c r="A367" s="130"/>
      <c r="B367" s="4"/>
      <c r="C367" s="4"/>
      <c r="D367" s="4"/>
      <c r="E367" s="5"/>
      <c r="F367" s="5"/>
      <c r="G367" s="4"/>
      <c r="H367" s="5" t="str">
        <f t="shared" si="5"/>
        <v/>
      </c>
      <c r="I367" s="4"/>
    </row>
    <row r="368" spans="1:9" x14ac:dyDescent="0.2">
      <c r="A368" s="130"/>
      <c r="B368" s="4"/>
      <c r="C368" s="4"/>
      <c r="D368" s="4"/>
      <c r="E368" s="5"/>
      <c r="F368" s="5"/>
      <c r="G368" s="4"/>
      <c r="H368" s="5" t="str">
        <f t="shared" si="5"/>
        <v/>
      </c>
      <c r="I368" s="4"/>
    </row>
    <row r="369" spans="1:9" x14ac:dyDescent="0.2">
      <c r="A369" s="130"/>
      <c r="B369" s="4"/>
      <c r="C369" s="4"/>
      <c r="D369" s="4"/>
      <c r="E369" s="5"/>
      <c r="F369" s="5"/>
      <c r="G369" s="4"/>
      <c r="H369" s="5" t="str">
        <f t="shared" si="5"/>
        <v/>
      </c>
      <c r="I369" s="4"/>
    </row>
    <row r="370" spans="1:9" x14ac:dyDescent="0.2">
      <c r="A370" s="130"/>
      <c r="B370" s="4"/>
      <c r="C370" s="4"/>
      <c r="D370" s="4"/>
      <c r="E370" s="5"/>
      <c r="F370" s="5"/>
      <c r="G370" s="4"/>
      <c r="H370" s="5" t="str">
        <f t="shared" si="5"/>
        <v/>
      </c>
      <c r="I370" s="4"/>
    </row>
    <row r="371" spans="1:9" x14ac:dyDescent="0.2">
      <c r="A371" s="130"/>
      <c r="B371" s="4"/>
      <c r="C371" s="4"/>
      <c r="D371" s="4"/>
      <c r="E371" s="5"/>
      <c r="F371" s="5"/>
      <c r="G371" s="4"/>
      <c r="H371" s="5" t="str">
        <f t="shared" si="5"/>
        <v/>
      </c>
      <c r="I371" s="4"/>
    </row>
    <row r="372" spans="1:9" x14ac:dyDescent="0.2">
      <c r="A372" s="130"/>
      <c r="B372" s="4"/>
      <c r="C372" s="4"/>
      <c r="D372" s="4"/>
      <c r="E372" s="5"/>
      <c r="F372" s="5"/>
      <c r="G372" s="4"/>
      <c r="H372" s="5" t="str">
        <f t="shared" si="5"/>
        <v/>
      </c>
      <c r="I372" s="4"/>
    </row>
    <row r="373" spans="1:9" x14ac:dyDescent="0.2">
      <c r="A373" s="130"/>
      <c r="B373" s="4"/>
      <c r="C373" s="4"/>
      <c r="D373" s="4"/>
      <c r="E373" s="5"/>
      <c r="F373" s="5"/>
      <c r="G373" s="4"/>
      <c r="H373" s="5" t="str">
        <f t="shared" si="5"/>
        <v/>
      </c>
      <c r="I373" s="4"/>
    </row>
    <row r="374" spans="1:9" x14ac:dyDescent="0.2">
      <c r="A374" s="130"/>
      <c r="B374" s="4"/>
      <c r="C374" s="4"/>
      <c r="D374" s="4"/>
      <c r="E374" s="5"/>
      <c r="F374" s="5"/>
      <c r="G374" s="4"/>
      <c r="H374" s="5" t="str">
        <f t="shared" si="5"/>
        <v/>
      </c>
      <c r="I374" s="4"/>
    </row>
    <row r="375" spans="1:9" x14ac:dyDescent="0.2">
      <c r="A375" s="130"/>
      <c r="B375" s="4"/>
      <c r="C375" s="4"/>
      <c r="D375" s="4"/>
      <c r="E375" s="5"/>
      <c r="F375" s="5"/>
      <c r="G375" s="4"/>
      <c r="H375" s="5" t="str">
        <f t="shared" si="5"/>
        <v/>
      </c>
      <c r="I375" s="4"/>
    </row>
    <row r="376" spans="1:9" x14ac:dyDescent="0.2">
      <c r="A376" s="130"/>
      <c r="B376" s="4"/>
      <c r="C376" s="4"/>
      <c r="D376" s="4"/>
      <c r="E376" s="5"/>
      <c r="F376" s="5"/>
      <c r="G376" s="4"/>
      <c r="H376" s="5" t="str">
        <f t="shared" si="5"/>
        <v/>
      </c>
      <c r="I376" s="4"/>
    </row>
    <row r="377" spans="1:9" x14ac:dyDescent="0.2">
      <c r="A377" s="130"/>
      <c r="B377" s="4"/>
      <c r="C377" s="4"/>
      <c r="D377" s="4"/>
      <c r="E377" s="5"/>
      <c r="F377" s="5"/>
      <c r="G377" s="4"/>
      <c r="H377" s="5" t="str">
        <f t="shared" si="5"/>
        <v/>
      </c>
      <c r="I377" s="4"/>
    </row>
    <row r="378" spans="1:9" x14ac:dyDescent="0.2">
      <c r="A378" s="130"/>
      <c r="B378" s="4"/>
      <c r="C378" s="4"/>
      <c r="D378" s="4"/>
      <c r="E378" s="5"/>
      <c r="F378" s="5"/>
      <c r="G378" s="4"/>
      <c r="H378" s="5" t="str">
        <f t="shared" si="5"/>
        <v/>
      </c>
      <c r="I378" s="4"/>
    </row>
    <row r="379" spans="1:9" x14ac:dyDescent="0.2">
      <c r="A379" s="130"/>
      <c r="B379" s="4"/>
      <c r="C379" s="4"/>
      <c r="D379" s="4"/>
      <c r="E379" s="5"/>
      <c r="F379" s="5"/>
      <c r="G379" s="4"/>
      <c r="H379" s="5" t="str">
        <f t="shared" si="5"/>
        <v/>
      </c>
      <c r="I379" s="4"/>
    </row>
    <row r="380" spans="1:9" x14ac:dyDescent="0.2">
      <c r="A380" s="130"/>
      <c r="B380" s="4"/>
      <c r="C380" s="4"/>
      <c r="D380" s="4"/>
      <c r="E380" s="5"/>
      <c r="F380" s="5"/>
      <c r="G380" s="4"/>
      <c r="H380" s="5" t="str">
        <f t="shared" si="5"/>
        <v/>
      </c>
      <c r="I380" s="4"/>
    </row>
    <row r="381" spans="1:9" x14ac:dyDescent="0.2">
      <c r="A381" s="130"/>
      <c r="B381" s="4"/>
      <c r="C381" s="4"/>
      <c r="D381" s="4"/>
      <c r="E381" s="5"/>
      <c r="F381" s="5"/>
      <c r="G381" s="4"/>
      <c r="H381" s="5" t="str">
        <f t="shared" si="5"/>
        <v/>
      </c>
      <c r="I381" s="4"/>
    </row>
    <row r="382" spans="1:9" x14ac:dyDescent="0.2">
      <c r="A382" s="130"/>
      <c r="B382" s="4"/>
      <c r="C382" s="4"/>
      <c r="D382" s="4"/>
      <c r="E382" s="5"/>
      <c r="F382" s="5"/>
      <c r="G382" s="4"/>
      <c r="H382" s="5" t="str">
        <f t="shared" si="5"/>
        <v/>
      </c>
      <c r="I382" s="4"/>
    </row>
    <row r="383" spans="1:9" x14ac:dyDescent="0.2">
      <c r="A383" s="130"/>
      <c r="B383" s="4"/>
      <c r="C383" s="4"/>
      <c r="D383" s="4"/>
      <c r="E383" s="5"/>
      <c r="F383" s="5"/>
      <c r="G383" s="4"/>
      <c r="H383" s="5" t="str">
        <f t="shared" si="5"/>
        <v/>
      </c>
      <c r="I383" s="4"/>
    </row>
    <row r="384" spans="1:9" x14ac:dyDescent="0.2">
      <c r="A384" s="130"/>
      <c r="B384" s="4"/>
      <c r="C384" s="4"/>
      <c r="D384" s="4"/>
      <c r="E384" s="5"/>
      <c r="F384" s="5"/>
      <c r="G384" s="4"/>
      <c r="H384" s="5" t="str">
        <f t="shared" si="5"/>
        <v/>
      </c>
      <c r="I384" s="4"/>
    </row>
    <row r="385" spans="1:9" x14ac:dyDescent="0.2">
      <c r="A385" s="130"/>
      <c r="B385" s="4"/>
      <c r="C385" s="4"/>
      <c r="D385" s="4"/>
      <c r="E385" s="5"/>
      <c r="F385" s="5"/>
      <c r="G385" s="4"/>
      <c r="H385" s="5" t="str">
        <f t="shared" si="5"/>
        <v/>
      </c>
      <c r="I385" s="4"/>
    </row>
    <row r="386" spans="1:9" x14ac:dyDescent="0.2">
      <c r="A386" s="130"/>
      <c r="B386" s="4"/>
      <c r="C386" s="4"/>
      <c r="D386" s="4"/>
      <c r="E386" s="5"/>
      <c r="F386" s="5"/>
      <c r="G386" s="4"/>
      <c r="H386" s="5" t="str">
        <f t="shared" si="5"/>
        <v/>
      </c>
      <c r="I386" s="4"/>
    </row>
    <row r="387" spans="1:9" x14ac:dyDescent="0.2">
      <c r="A387" s="130"/>
      <c r="B387" s="4"/>
      <c r="C387" s="4"/>
      <c r="D387" s="4"/>
      <c r="E387" s="5"/>
      <c r="F387" s="5"/>
      <c r="G387" s="4"/>
      <c r="H387" s="5" t="str">
        <f t="shared" ref="H387:H450" si="6">IF($C387="","",$E387-$F387)</f>
        <v/>
      </c>
      <c r="I387" s="4"/>
    </row>
    <row r="388" spans="1:9" x14ac:dyDescent="0.2">
      <c r="A388" s="130"/>
      <c r="B388" s="4"/>
      <c r="C388" s="4"/>
      <c r="D388" s="4"/>
      <c r="E388" s="5"/>
      <c r="F388" s="5"/>
      <c r="G388" s="4"/>
      <c r="H388" s="5" t="str">
        <f t="shared" si="6"/>
        <v/>
      </c>
      <c r="I388" s="4"/>
    </row>
    <row r="389" spans="1:9" x14ac:dyDescent="0.2">
      <c r="A389" s="130"/>
      <c r="B389" s="4"/>
      <c r="C389" s="4"/>
      <c r="D389" s="4"/>
      <c r="E389" s="5"/>
      <c r="F389" s="5"/>
      <c r="G389" s="4"/>
      <c r="H389" s="5" t="str">
        <f t="shared" si="6"/>
        <v/>
      </c>
      <c r="I389" s="4"/>
    </row>
    <row r="390" spans="1:9" x14ac:dyDescent="0.2">
      <c r="A390" s="130"/>
      <c r="B390" s="4"/>
      <c r="C390" s="4"/>
      <c r="D390" s="4"/>
      <c r="E390" s="5"/>
      <c r="F390" s="5"/>
      <c r="G390" s="4"/>
      <c r="H390" s="5" t="str">
        <f t="shared" si="6"/>
        <v/>
      </c>
      <c r="I390" s="4"/>
    </row>
    <row r="391" spans="1:9" x14ac:dyDescent="0.2">
      <c r="A391" s="130"/>
      <c r="B391" s="4"/>
      <c r="C391" s="4"/>
      <c r="D391" s="4"/>
      <c r="E391" s="5"/>
      <c r="F391" s="5"/>
      <c r="G391" s="4"/>
      <c r="H391" s="5" t="str">
        <f t="shared" si="6"/>
        <v/>
      </c>
      <c r="I391" s="4"/>
    </row>
    <row r="392" spans="1:9" x14ac:dyDescent="0.2">
      <c r="A392" s="130"/>
      <c r="B392" s="4"/>
      <c r="C392" s="4"/>
      <c r="D392" s="4"/>
      <c r="E392" s="5"/>
      <c r="F392" s="5"/>
      <c r="G392" s="4"/>
      <c r="H392" s="5" t="str">
        <f t="shared" si="6"/>
        <v/>
      </c>
      <c r="I392" s="4"/>
    </row>
    <row r="393" spans="1:9" x14ac:dyDescent="0.2">
      <c r="A393" s="130"/>
      <c r="B393" s="4"/>
      <c r="C393" s="4"/>
      <c r="D393" s="4"/>
      <c r="E393" s="5"/>
      <c r="F393" s="5"/>
      <c r="G393" s="4"/>
      <c r="H393" s="5" t="str">
        <f t="shared" si="6"/>
        <v/>
      </c>
      <c r="I393" s="4"/>
    </row>
    <row r="394" spans="1:9" x14ac:dyDescent="0.2">
      <c r="A394" s="130"/>
      <c r="B394" s="4"/>
      <c r="C394" s="4"/>
      <c r="D394" s="4"/>
      <c r="E394" s="5"/>
      <c r="F394" s="5"/>
      <c r="G394" s="4"/>
      <c r="H394" s="5" t="str">
        <f t="shared" si="6"/>
        <v/>
      </c>
      <c r="I394" s="4"/>
    </row>
    <row r="395" spans="1:9" x14ac:dyDescent="0.2">
      <c r="A395" s="130"/>
      <c r="B395" s="4"/>
      <c r="C395" s="4"/>
      <c r="D395" s="4"/>
      <c r="E395" s="5"/>
      <c r="F395" s="5"/>
      <c r="G395" s="4"/>
      <c r="H395" s="5" t="str">
        <f t="shared" si="6"/>
        <v/>
      </c>
      <c r="I395" s="4"/>
    </row>
    <row r="396" spans="1:9" x14ac:dyDescent="0.2">
      <c r="A396" s="130"/>
      <c r="B396" s="4"/>
      <c r="C396" s="4"/>
      <c r="D396" s="4"/>
      <c r="E396" s="5"/>
      <c r="F396" s="5"/>
      <c r="G396" s="4"/>
      <c r="H396" s="5" t="str">
        <f t="shared" si="6"/>
        <v/>
      </c>
      <c r="I396" s="4"/>
    </row>
    <row r="397" spans="1:9" x14ac:dyDescent="0.2">
      <c r="A397" s="130"/>
      <c r="B397" s="4"/>
      <c r="C397" s="4"/>
      <c r="D397" s="4"/>
      <c r="E397" s="5"/>
      <c r="F397" s="5"/>
      <c r="G397" s="4"/>
      <c r="H397" s="5" t="str">
        <f t="shared" si="6"/>
        <v/>
      </c>
      <c r="I397" s="4"/>
    </row>
    <row r="398" spans="1:9" x14ac:dyDescent="0.2">
      <c r="A398" s="130"/>
      <c r="B398" s="4"/>
      <c r="C398" s="4"/>
      <c r="D398" s="4"/>
      <c r="E398" s="5"/>
      <c r="F398" s="5"/>
      <c r="G398" s="4"/>
      <c r="H398" s="5" t="str">
        <f t="shared" si="6"/>
        <v/>
      </c>
      <c r="I398" s="4"/>
    </row>
    <row r="399" spans="1:9" x14ac:dyDescent="0.2">
      <c r="A399" s="130"/>
      <c r="B399" s="4"/>
      <c r="C399" s="4"/>
      <c r="D399" s="4"/>
      <c r="E399" s="5"/>
      <c r="F399" s="5"/>
      <c r="G399" s="4"/>
      <c r="H399" s="5" t="str">
        <f t="shared" si="6"/>
        <v/>
      </c>
      <c r="I399" s="4"/>
    </row>
    <row r="400" spans="1:9" x14ac:dyDescent="0.2">
      <c r="A400" s="130"/>
      <c r="B400" s="4"/>
      <c r="C400" s="4"/>
      <c r="D400" s="4"/>
      <c r="E400" s="5"/>
      <c r="F400" s="5"/>
      <c r="G400" s="4"/>
      <c r="H400" s="5" t="str">
        <f t="shared" si="6"/>
        <v/>
      </c>
      <c r="I400" s="4"/>
    </row>
    <row r="401" spans="1:9" x14ac:dyDescent="0.2">
      <c r="A401" s="130"/>
      <c r="B401" s="4"/>
      <c r="C401" s="4"/>
      <c r="D401" s="4"/>
      <c r="E401" s="5"/>
      <c r="F401" s="5"/>
      <c r="G401" s="4"/>
      <c r="H401" s="5" t="str">
        <f t="shared" si="6"/>
        <v/>
      </c>
      <c r="I401" s="4"/>
    </row>
    <row r="402" spans="1:9" x14ac:dyDescent="0.2">
      <c r="A402" s="130"/>
      <c r="B402" s="4"/>
      <c r="C402" s="4"/>
      <c r="D402" s="4"/>
      <c r="E402" s="5"/>
      <c r="F402" s="5"/>
      <c r="G402" s="4"/>
      <c r="H402" s="5" t="str">
        <f t="shared" si="6"/>
        <v/>
      </c>
      <c r="I402" s="4"/>
    </row>
    <row r="403" spans="1:9" x14ac:dyDescent="0.2">
      <c r="A403" s="130"/>
      <c r="B403" s="4"/>
      <c r="C403" s="4"/>
      <c r="D403" s="4"/>
      <c r="E403" s="5"/>
      <c r="F403" s="5"/>
      <c r="G403" s="4"/>
      <c r="H403" s="5" t="str">
        <f t="shared" si="6"/>
        <v/>
      </c>
      <c r="I403" s="4"/>
    </row>
    <row r="404" spans="1:9" x14ac:dyDescent="0.2">
      <c r="A404" s="130"/>
      <c r="B404" s="4"/>
      <c r="C404" s="4"/>
      <c r="D404" s="4"/>
      <c r="E404" s="5"/>
      <c r="F404" s="5"/>
      <c r="G404" s="4"/>
      <c r="H404" s="5" t="str">
        <f t="shared" si="6"/>
        <v/>
      </c>
      <c r="I404" s="4"/>
    </row>
    <row r="405" spans="1:9" x14ac:dyDescent="0.2">
      <c r="A405" s="130"/>
      <c r="B405" s="4"/>
      <c r="C405" s="4"/>
      <c r="D405" s="4"/>
      <c r="E405" s="5"/>
      <c r="F405" s="5"/>
      <c r="G405" s="4"/>
      <c r="H405" s="5" t="str">
        <f t="shared" si="6"/>
        <v/>
      </c>
      <c r="I405" s="4"/>
    </row>
    <row r="406" spans="1:9" x14ac:dyDescent="0.2">
      <c r="A406" s="130"/>
      <c r="B406" s="4"/>
      <c r="C406" s="4"/>
      <c r="D406" s="4"/>
      <c r="E406" s="5"/>
      <c r="F406" s="5"/>
      <c r="G406" s="4"/>
      <c r="H406" s="5" t="str">
        <f t="shared" si="6"/>
        <v/>
      </c>
      <c r="I406" s="4"/>
    </row>
    <row r="407" spans="1:9" x14ac:dyDescent="0.2">
      <c r="A407" s="130"/>
      <c r="B407" s="4"/>
      <c r="C407" s="4"/>
      <c r="D407" s="4"/>
      <c r="E407" s="5"/>
      <c r="F407" s="5"/>
      <c r="G407" s="4"/>
      <c r="H407" s="5" t="str">
        <f t="shared" si="6"/>
        <v/>
      </c>
      <c r="I407" s="4"/>
    </row>
    <row r="408" spans="1:9" x14ac:dyDescent="0.2">
      <c r="A408" s="130"/>
      <c r="B408" s="4"/>
      <c r="C408" s="4"/>
      <c r="D408" s="4"/>
      <c r="E408" s="5"/>
      <c r="F408" s="5"/>
      <c r="G408" s="4"/>
      <c r="H408" s="5" t="str">
        <f t="shared" si="6"/>
        <v/>
      </c>
      <c r="I408" s="4"/>
    </row>
    <row r="409" spans="1:9" x14ac:dyDescent="0.2">
      <c r="A409" s="130"/>
      <c r="B409" s="4"/>
      <c r="C409" s="4"/>
      <c r="D409" s="4"/>
      <c r="E409" s="5"/>
      <c r="F409" s="5"/>
      <c r="G409" s="4"/>
      <c r="H409" s="5" t="str">
        <f t="shared" si="6"/>
        <v/>
      </c>
      <c r="I409" s="4"/>
    </row>
    <row r="410" spans="1:9" x14ac:dyDescent="0.2">
      <c r="A410" s="130"/>
      <c r="B410" s="4"/>
      <c r="C410" s="4"/>
      <c r="D410" s="4"/>
      <c r="E410" s="5"/>
      <c r="F410" s="5"/>
      <c r="G410" s="4"/>
      <c r="H410" s="5" t="str">
        <f t="shared" si="6"/>
        <v/>
      </c>
      <c r="I410" s="4"/>
    </row>
    <row r="411" spans="1:9" x14ac:dyDescent="0.2">
      <c r="A411" s="130"/>
      <c r="B411" s="4"/>
      <c r="C411" s="4"/>
      <c r="D411" s="4"/>
      <c r="E411" s="5"/>
      <c r="F411" s="5"/>
      <c r="G411" s="4"/>
      <c r="H411" s="5" t="str">
        <f t="shared" si="6"/>
        <v/>
      </c>
      <c r="I411" s="4"/>
    </row>
    <row r="412" spans="1:9" x14ac:dyDescent="0.2">
      <c r="A412" s="130"/>
      <c r="B412" s="4"/>
      <c r="C412" s="4"/>
      <c r="D412" s="4"/>
      <c r="E412" s="5"/>
      <c r="F412" s="5"/>
      <c r="G412" s="4"/>
      <c r="H412" s="5" t="str">
        <f t="shared" si="6"/>
        <v/>
      </c>
      <c r="I412" s="4"/>
    </row>
    <row r="413" spans="1:9" x14ac:dyDescent="0.2">
      <c r="A413" s="130"/>
      <c r="B413" s="4"/>
      <c r="C413" s="4"/>
      <c r="D413" s="4"/>
      <c r="E413" s="5"/>
      <c r="F413" s="5"/>
      <c r="G413" s="4"/>
      <c r="H413" s="5" t="str">
        <f t="shared" si="6"/>
        <v/>
      </c>
      <c r="I413" s="4"/>
    </row>
    <row r="414" spans="1:9" x14ac:dyDescent="0.2">
      <c r="A414" s="130"/>
      <c r="B414" s="4"/>
      <c r="C414" s="4"/>
      <c r="D414" s="4"/>
      <c r="E414" s="5"/>
      <c r="F414" s="5"/>
      <c r="G414" s="4"/>
      <c r="H414" s="5" t="str">
        <f t="shared" si="6"/>
        <v/>
      </c>
      <c r="I414" s="4"/>
    </row>
    <row r="415" spans="1:9" x14ac:dyDescent="0.2">
      <c r="A415" s="130"/>
      <c r="B415" s="4"/>
      <c r="C415" s="4"/>
      <c r="D415" s="4"/>
      <c r="E415" s="5"/>
      <c r="F415" s="5"/>
      <c r="G415" s="4"/>
      <c r="H415" s="5" t="str">
        <f t="shared" si="6"/>
        <v/>
      </c>
      <c r="I415" s="4"/>
    </row>
    <row r="416" spans="1:9" x14ac:dyDescent="0.2">
      <c r="A416" s="130"/>
      <c r="B416" s="4"/>
      <c r="C416" s="4"/>
      <c r="D416" s="4"/>
      <c r="E416" s="5"/>
      <c r="F416" s="5"/>
      <c r="G416" s="4"/>
      <c r="H416" s="5" t="str">
        <f t="shared" si="6"/>
        <v/>
      </c>
      <c r="I416" s="4"/>
    </row>
    <row r="417" spans="1:9" x14ac:dyDescent="0.2">
      <c r="A417" s="130"/>
      <c r="B417" s="4"/>
      <c r="C417" s="4"/>
      <c r="D417" s="4"/>
      <c r="E417" s="5"/>
      <c r="F417" s="5"/>
      <c r="G417" s="4"/>
      <c r="H417" s="5" t="str">
        <f t="shared" si="6"/>
        <v/>
      </c>
      <c r="I417" s="4"/>
    </row>
    <row r="418" spans="1:9" x14ac:dyDescent="0.2">
      <c r="A418" s="130"/>
      <c r="B418" s="4"/>
      <c r="C418" s="4"/>
      <c r="D418" s="4"/>
      <c r="E418" s="5"/>
      <c r="F418" s="5"/>
      <c r="G418" s="4"/>
      <c r="H418" s="5" t="str">
        <f t="shared" si="6"/>
        <v/>
      </c>
      <c r="I418" s="4"/>
    </row>
    <row r="419" spans="1:9" x14ac:dyDescent="0.2">
      <c r="A419" s="130"/>
      <c r="B419" s="4"/>
      <c r="C419" s="4"/>
      <c r="D419" s="4"/>
      <c r="E419" s="5"/>
      <c r="F419" s="5"/>
      <c r="G419" s="4"/>
      <c r="H419" s="5" t="str">
        <f t="shared" si="6"/>
        <v/>
      </c>
      <c r="I419" s="4"/>
    </row>
    <row r="420" spans="1:9" x14ac:dyDescent="0.2">
      <c r="A420" s="130"/>
      <c r="B420" s="4"/>
      <c r="C420" s="4"/>
      <c r="D420" s="4"/>
      <c r="E420" s="5"/>
      <c r="F420" s="5"/>
      <c r="G420" s="4"/>
      <c r="H420" s="5" t="str">
        <f t="shared" si="6"/>
        <v/>
      </c>
      <c r="I420" s="4"/>
    </row>
    <row r="421" spans="1:9" x14ac:dyDescent="0.2">
      <c r="A421" s="130"/>
      <c r="B421" s="4"/>
      <c r="C421" s="4"/>
      <c r="D421" s="4"/>
      <c r="E421" s="5"/>
      <c r="F421" s="5"/>
      <c r="G421" s="4"/>
      <c r="H421" s="5" t="str">
        <f t="shared" si="6"/>
        <v/>
      </c>
      <c r="I421" s="4"/>
    </row>
    <row r="422" spans="1:9" x14ac:dyDescent="0.2">
      <c r="A422" s="130"/>
      <c r="B422" s="4"/>
      <c r="C422" s="4"/>
      <c r="D422" s="4"/>
      <c r="E422" s="5"/>
      <c r="F422" s="5"/>
      <c r="G422" s="4"/>
      <c r="H422" s="5" t="str">
        <f t="shared" si="6"/>
        <v/>
      </c>
      <c r="I422" s="4"/>
    </row>
    <row r="423" spans="1:9" x14ac:dyDescent="0.2">
      <c r="A423" s="130"/>
      <c r="B423" s="4"/>
      <c r="C423" s="4"/>
      <c r="D423" s="4"/>
      <c r="E423" s="5"/>
      <c r="F423" s="5"/>
      <c r="G423" s="4"/>
      <c r="H423" s="5" t="str">
        <f t="shared" si="6"/>
        <v/>
      </c>
      <c r="I423" s="4"/>
    </row>
    <row r="424" spans="1:9" x14ac:dyDescent="0.2">
      <c r="A424" s="130"/>
      <c r="B424" s="4"/>
      <c r="C424" s="4"/>
      <c r="D424" s="4"/>
      <c r="E424" s="5"/>
      <c r="F424" s="5"/>
      <c r="G424" s="4"/>
      <c r="H424" s="5" t="str">
        <f t="shared" si="6"/>
        <v/>
      </c>
      <c r="I424" s="4"/>
    </row>
    <row r="425" spans="1:9" x14ac:dyDescent="0.2">
      <c r="A425" s="130"/>
      <c r="B425" s="4"/>
      <c r="C425" s="4"/>
      <c r="D425" s="4"/>
      <c r="E425" s="5"/>
      <c r="F425" s="5"/>
      <c r="G425" s="4"/>
      <c r="H425" s="5" t="str">
        <f t="shared" si="6"/>
        <v/>
      </c>
      <c r="I425" s="4"/>
    </row>
    <row r="426" spans="1:9" x14ac:dyDescent="0.2">
      <c r="A426" s="130"/>
      <c r="B426" s="4"/>
      <c r="C426" s="4"/>
      <c r="D426" s="4"/>
      <c r="E426" s="5"/>
      <c r="F426" s="5"/>
      <c r="G426" s="4"/>
      <c r="H426" s="5" t="str">
        <f t="shared" si="6"/>
        <v/>
      </c>
      <c r="I426" s="4"/>
    </row>
    <row r="427" spans="1:9" x14ac:dyDescent="0.2">
      <c r="A427" s="130"/>
      <c r="B427" s="4"/>
      <c r="C427" s="4"/>
      <c r="D427" s="4"/>
      <c r="E427" s="5"/>
      <c r="F427" s="5"/>
      <c r="G427" s="4"/>
      <c r="H427" s="5" t="str">
        <f t="shared" si="6"/>
        <v/>
      </c>
      <c r="I427" s="4"/>
    </row>
    <row r="428" spans="1:9" x14ac:dyDescent="0.2">
      <c r="A428" s="130"/>
      <c r="B428" s="4"/>
      <c r="C428" s="4"/>
      <c r="D428" s="4"/>
      <c r="E428" s="5"/>
      <c r="F428" s="5"/>
      <c r="G428" s="4"/>
      <c r="H428" s="5" t="str">
        <f t="shared" si="6"/>
        <v/>
      </c>
      <c r="I428" s="4"/>
    </row>
    <row r="429" spans="1:9" x14ac:dyDescent="0.2">
      <c r="A429" s="130"/>
      <c r="B429" s="4"/>
      <c r="C429" s="4"/>
      <c r="D429" s="4"/>
      <c r="E429" s="5"/>
      <c r="F429" s="5"/>
      <c r="G429" s="4"/>
      <c r="H429" s="5" t="str">
        <f t="shared" si="6"/>
        <v/>
      </c>
      <c r="I429" s="4"/>
    </row>
    <row r="430" spans="1:9" x14ac:dyDescent="0.2">
      <c r="A430" s="130"/>
      <c r="B430" s="4"/>
      <c r="C430" s="4"/>
      <c r="D430" s="4"/>
      <c r="E430" s="5"/>
      <c r="F430" s="5"/>
      <c r="G430" s="4"/>
      <c r="H430" s="5" t="str">
        <f t="shared" si="6"/>
        <v/>
      </c>
      <c r="I430" s="4"/>
    </row>
    <row r="431" spans="1:9" x14ac:dyDescent="0.2">
      <c r="A431" s="130"/>
      <c r="B431" s="4"/>
      <c r="C431" s="4"/>
      <c r="D431" s="4"/>
      <c r="E431" s="5"/>
      <c r="F431" s="5"/>
      <c r="G431" s="4"/>
      <c r="H431" s="5" t="str">
        <f t="shared" si="6"/>
        <v/>
      </c>
      <c r="I431" s="4"/>
    </row>
    <row r="432" spans="1:9" x14ac:dyDescent="0.2">
      <c r="A432" s="130"/>
      <c r="B432" s="4"/>
      <c r="C432" s="4"/>
      <c r="D432" s="4"/>
      <c r="E432" s="5"/>
      <c r="F432" s="5"/>
      <c r="G432" s="4"/>
      <c r="H432" s="5" t="str">
        <f t="shared" si="6"/>
        <v/>
      </c>
      <c r="I432" s="4"/>
    </row>
    <row r="433" spans="1:9" x14ac:dyDescent="0.2">
      <c r="A433" s="130"/>
      <c r="B433" s="4"/>
      <c r="C433" s="4"/>
      <c r="D433" s="4"/>
      <c r="E433" s="5"/>
      <c r="F433" s="5"/>
      <c r="G433" s="4"/>
      <c r="H433" s="5" t="str">
        <f t="shared" si="6"/>
        <v/>
      </c>
      <c r="I433" s="4"/>
    </row>
    <row r="434" spans="1:9" x14ac:dyDescent="0.2">
      <c r="A434" s="130"/>
      <c r="B434" s="4"/>
      <c r="C434" s="4"/>
      <c r="D434" s="4"/>
      <c r="E434" s="5"/>
      <c r="F434" s="5"/>
      <c r="G434" s="4"/>
      <c r="H434" s="5" t="str">
        <f t="shared" si="6"/>
        <v/>
      </c>
      <c r="I434" s="4"/>
    </row>
    <row r="435" spans="1:9" x14ac:dyDescent="0.2">
      <c r="A435" s="130"/>
      <c r="B435" s="4"/>
      <c r="C435" s="4"/>
      <c r="D435" s="4"/>
      <c r="E435" s="5"/>
      <c r="F435" s="5"/>
      <c r="G435" s="4"/>
      <c r="H435" s="5" t="str">
        <f t="shared" si="6"/>
        <v/>
      </c>
      <c r="I435" s="4"/>
    </row>
    <row r="436" spans="1:9" x14ac:dyDescent="0.2">
      <c r="A436" s="130"/>
      <c r="B436" s="4"/>
      <c r="C436" s="4"/>
      <c r="D436" s="4"/>
      <c r="E436" s="5"/>
      <c r="F436" s="5"/>
      <c r="G436" s="4"/>
      <c r="H436" s="5" t="str">
        <f t="shared" si="6"/>
        <v/>
      </c>
      <c r="I436" s="4"/>
    </row>
    <row r="437" spans="1:9" x14ac:dyDescent="0.2">
      <c r="A437" s="130"/>
      <c r="B437" s="4"/>
      <c r="C437" s="4"/>
      <c r="D437" s="4"/>
      <c r="E437" s="5"/>
      <c r="F437" s="5"/>
      <c r="G437" s="4"/>
      <c r="H437" s="5" t="str">
        <f t="shared" si="6"/>
        <v/>
      </c>
      <c r="I437" s="4"/>
    </row>
    <row r="438" spans="1:9" x14ac:dyDescent="0.2">
      <c r="A438" s="130"/>
      <c r="B438" s="4"/>
      <c r="C438" s="4"/>
      <c r="D438" s="4"/>
      <c r="E438" s="5"/>
      <c r="F438" s="5"/>
      <c r="G438" s="4"/>
      <c r="H438" s="5" t="str">
        <f t="shared" si="6"/>
        <v/>
      </c>
      <c r="I438" s="4"/>
    </row>
    <row r="439" spans="1:9" x14ac:dyDescent="0.2">
      <c r="A439" s="130"/>
      <c r="B439" s="4"/>
      <c r="C439" s="4"/>
      <c r="D439" s="4"/>
      <c r="E439" s="5"/>
      <c r="F439" s="5"/>
      <c r="G439" s="4"/>
      <c r="H439" s="5" t="str">
        <f t="shared" si="6"/>
        <v/>
      </c>
      <c r="I439" s="4"/>
    </row>
    <row r="440" spans="1:9" x14ac:dyDescent="0.2">
      <c r="A440" s="130"/>
      <c r="B440" s="4"/>
      <c r="C440" s="4"/>
      <c r="D440" s="4"/>
      <c r="E440" s="5"/>
      <c r="F440" s="5"/>
      <c r="G440" s="4"/>
      <c r="H440" s="5" t="str">
        <f t="shared" si="6"/>
        <v/>
      </c>
      <c r="I440" s="4"/>
    </row>
    <row r="441" spans="1:9" x14ac:dyDescent="0.2">
      <c r="A441" s="130"/>
      <c r="B441" s="4"/>
      <c r="C441" s="4"/>
      <c r="D441" s="4"/>
      <c r="E441" s="5"/>
      <c r="F441" s="5"/>
      <c r="G441" s="4"/>
      <c r="H441" s="5" t="str">
        <f t="shared" si="6"/>
        <v/>
      </c>
      <c r="I441" s="4"/>
    </row>
    <row r="442" spans="1:9" x14ac:dyDescent="0.2">
      <c r="A442" s="130"/>
      <c r="B442" s="4"/>
      <c r="C442" s="4"/>
      <c r="D442" s="4"/>
      <c r="E442" s="5"/>
      <c r="F442" s="5"/>
      <c r="G442" s="4"/>
      <c r="H442" s="5" t="str">
        <f t="shared" si="6"/>
        <v/>
      </c>
      <c r="I442" s="4"/>
    </row>
    <row r="443" spans="1:9" x14ac:dyDescent="0.2">
      <c r="A443" s="130"/>
      <c r="B443" s="4"/>
      <c r="C443" s="4"/>
      <c r="D443" s="4"/>
      <c r="E443" s="5"/>
      <c r="F443" s="5"/>
      <c r="G443" s="4"/>
      <c r="H443" s="5" t="str">
        <f t="shared" si="6"/>
        <v/>
      </c>
      <c r="I443" s="4"/>
    </row>
    <row r="444" spans="1:9" x14ac:dyDescent="0.2">
      <c r="A444" s="130"/>
      <c r="B444" s="4"/>
      <c r="C444" s="4"/>
      <c r="D444" s="4"/>
      <c r="E444" s="5"/>
      <c r="F444" s="5"/>
      <c r="G444" s="4"/>
      <c r="H444" s="5" t="str">
        <f t="shared" si="6"/>
        <v/>
      </c>
      <c r="I444" s="4"/>
    </row>
    <row r="445" spans="1:9" x14ac:dyDescent="0.2">
      <c r="A445" s="130"/>
      <c r="B445" s="4"/>
      <c r="C445" s="4"/>
      <c r="D445" s="4"/>
      <c r="E445" s="5"/>
      <c r="F445" s="5"/>
      <c r="G445" s="4"/>
      <c r="H445" s="5" t="str">
        <f t="shared" si="6"/>
        <v/>
      </c>
      <c r="I445" s="4"/>
    </row>
    <row r="446" spans="1:9" x14ac:dyDescent="0.2">
      <c r="A446" s="130"/>
      <c r="B446" s="4"/>
      <c r="C446" s="4"/>
      <c r="D446" s="4"/>
      <c r="E446" s="5"/>
      <c r="F446" s="5"/>
      <c r="G446" s="4"/>
      <c r="H446" s="5" t="str">
        <f t="shared" si="6"/>
        <v/>
      </c>
      <c r="I446" s="4"/>
    </row>
    <row r="447" spans="1:9" x14ac:dyDescent="0.2">
      <c r="A447" s="130"/>
      <c r="B447" s="4"/>
      <c r="C447" s="4"/>
      <c r="D447" s="4"/>
      <c r="E447" s="5"/>
      <c r="F447" s="5"/>
      <c r="G447" s="4"/>
      <c r="H447" s="5" t="str">
        <f t="shared" si="6"/>
        <v/>
      </c>
      <c r="I447" s="4"/>
    </row>
    <row r="448" spans="1:9" x14ac:dyDescent="0.2">
      <c r="A448" s="130"/>
      <c r="B448" s="4"/>
      <c r="C448" s="4"/>
      <c r="D448" s="4"/>
      <c r="E448" s="5"/>
      <c r="F448" s="5"/>
      <c r="G448" s="4"/>
      <c r="H448" s="5" t="str">
        <f t="shared" si="6"/>
        <v/>
      </c>
      <c r="I448" s="4"/>
    </row>
    <row r="449" spans="1:9" x14ac:dyDescent="0.2">
      <c r="A449" s="130"/>
      <c r="B449" s="4"/>
      <c r="C449" s="4"/>
      <c r="D449" s="4"/>
      <c r="E449" s="5"/>
      <c r="F449" s="5"/>
      <c r="G449" s="4"/>
      <c r="H449" s="5" t="str">
        <f t="shared" si="6"/>
        <v/>
      </c>
      <c r="I449" s="4"/>
    </row>
    <row r="450" spans="1:9" x14ac:dyDescent="0.2">
      <c r="A450" s="130"/>
      <c r="B450" s="4"/>
      <c r="C450" s="4"/>
      <c r="D450" s="4"/>
      <c r="E450" s="5"/>
      <c r="F450" s="5"/>
      <c r="G450" s="4"/>
      <c r="H450" s="5" t="str">
        <f t="shared" si="6"/>
        <v/>
      </c>
      <c r="I450" s="4"/>
    </row>
    <row r="451" spans="1:9" x14ac:dyDescent="0.2">
      <c r="A451" s="130"/>
      <c r="B451" s="4"/>
      <c r="C451" s="4"/>
      <c r="D451" s="4"/>
      <c r="E451" s="5"/>
      <c r="F451" s="5"/>
      <c r="G451" s="4"/>
      <c r="H451" s="5" t="str">
        <f t="shared" ref="H451:H502" si="7">IF($C451="","",$E451-$F451)</f>
        <v/>
      </c>
      <c r="I451" s="4"/>
    </row>
    <row r="452" spans="1:9" x14ac:dyDescent="0.2">
      <c r="A452" s="130"/>
      <c r="B452" s="4"/>
      <c r="C452" s="4"/>
      <c r="D452" s="4"/>
      <c r="E452" s="5"/>
      <c r="F452" s="5"/>
      <c r="G452" s="4"/>
      <c r="H452" s="5" t="str">
        <f t="shared" si="7"/>
        <v/>
      </c>
      <c r="I452" s="4"/>
    </row>
    <row r="453" spans="1:9" x14ac:dyDescent="0.2">
      <c r="A453" s="130"/>
      <c r="B453" s="4"/>
      <c r="C453" s="4"/>
      <c r="D453" s="4"/>
      <c r="E453" s="5"/>
      <c r="F453" s="5"/>
      <c r="G453" s="4"/>
      <c r="H453" s="5" t="str">
        <f t="shared" si="7"/>
        <v/>
      </c>
      <c r="I453" s="4"/>
    </row>
    <row r="454" spans="1:9" x14ac:dyDescent="0.2">
      <c r="A454" s="130"/>
      <c r="B454" s="4"/>
      <c r="C454" s="4"/>
      <c r="D454" s="4"/>
      <c r="E454" s="5"/>
      <c r="F454" s="5"/>
      <c r="G454" s="4"/>
      <c r="H454" s="5" t="str">
        <f t="shared" si="7"/>
        <v/>
      </c>
      <c r="I454" s="4"/>
    </row>
    <row r="455" spans="1:9" x14ac:dyDescent="0.2">
      <c r="A455" s="130"/>
      <c r="B455" s="4"/>
      <c r="C455" s="4"/>
      <c r="D455" s="4"/>
      <c r="E455" s="5"/>
      <c r="F455" s="5"/>
      <c r="G455" s="4"/>
      <c r="H455" s="5" t="str">
        <f t="shared" si="7"/>
        <v/>
      </c>
      <c r="I455" s="4"/>
    </row>
    <row r="456" spans="1:9" x14ac:dyDescent="0.2">
      <c r="A456" s="130"/>
      <c r="B456" s="4"/>
      <c r="C456" s="4"/>
      <c r="D456" s="4"/>
      <c r="E456" s="5"/>
      <c r="F456" s="5"/>
      <c r="G456" s="4"/>
      <c r="H456" s="5" t="str">
        <f t="shared" si="7"/>
        <v/>
      </c>
      <c r="I456" s="4"/>
    </row>
    <row r="457" spans="1:9" x14ac:dyDescent="0.2">
      <c r="A457" s="130"/>
      <c r="B457" s="4"/>
      <c r="C457" s="4"/>
      <c r="D457" s="4"/>
      <c r="E457" s="5"/>
      <c r="F457" s="5"/>
      <c r="G457" s="4"/>
      <c r="H457" s="5" t="str">
        <f t="shared" si="7"/>
        <v/>
      </c>
      <c r="I457" s="4"/>
    </row>
    <row r="458" spans="1:9" x14ac:dyDescent="0.2">
      <c r="A458" s="130"/>
      <c r="B458" s="4"/>
      <c r="C458" s="4"/>
      <c r="D458" s="4"/>
      <c r="E458" s="5"/>
      <c r="F458" s="5"/>
      <c r="G458" s="4"/>
      <c r="H458" s="5" t="str">
        <f t="shared" si="7"/>
        <v/>
      </c>
      <c r="I458" s="4"/>
    </row>
    <row r="459" spans="1:9" x14ac:dyDescent="0.2">
      <c r="A459" s="130"/>
      <c r="B459" s="4"/>
      <c r="C459" s="4"/>
      <c r="D459" s="4"/>
      <c r="E459" s="5"/>
      <c r="F459" s="5"/>
      <c r="G459" s="4"/>
      <c r="H459" s="5" t="str">
        <f t="shared" si="7"/>
        <v/>
      </c>
      <c r="I459" s="4"/>
    </row>
    <row r="460" spans="1:9" x14ac:dyDescent="0.2">
      <c r="A460" s="130"/>
      <c r="B460" s="4"/>
      <c r="C460" s="4"/>
      <c r="D460" s="4"/>
      <c r="E460" s="5"/>
      <c r="F460" s="5"/>
      <c r="G460" s="4"/>
      <c r="H460" s="5" t="str">
        <f t="shared" si="7"/>
        <v/>
      </c>
      <c r="I460" s="4"/>
    </row>
    <row r="461" spans="1:9" x14ac:dyDescent="0.2">
      <c r="A461" s="130"/>
      <c r="B461" s="4"/>
      <c r="C461" s="4"/>
      <c r="D461" s="4"/>
      <c r="E461" s="5"/>
      <c r="F461" s="5"/>
      <c r="G461" s="4"/>
      <c r="H461" s="5" t="str">
        <f t="shared" si="7"/>
        <v/>
      </c>
      <c r="I461" s="4"/>
    </row>
    <row r="462" spans="1:9" x14ac:dyDescent="0.2">
      <c r="A462" s="130"/>
      <c r="B462" s="4"/>
      <c r="C462" s="4"/>
      <c r="D462" s="4"/>
      <c r="E462" s="5"/>
      <c r="F462" s="5"/>
      <c r="G462" s="4"/>
      <c r="H462" s="5" t="str">
        <f t="shared" si="7"/>
        <v/>
      </c>
      <c r="I462" s="4"/>
    </row>
    <row r="463" spans="1:9" x14ac:dyDescent="0.2">
      <c r="A463" s="130"/>
      <c r="B463" s="4"/>
      <c r="C463" s="4"/>
      <c r="D463" s="4"/>
      <c r="E463" s="5"/>
      <c r="F463" s="5"/>
      <c r="G463" s="4"/>
      <c r="H463" s="5" t="str">
        <f t="shared" si="7"/>
        <v/>
      </c>
      <c r="I463" s="4"/>
    </row>
    <row r="464" spans="1:9" x14ac:dyDescent="0.2">
      <c r="A464" s="130"/>
      <c r="B464" s="4"/>
      <c r="C464" s="4"/>
      <c r="D464" s="4"/>
      <c r="E464" s="5"/>
      <c r="F464" s="5"/>
      <c r="G464" s="4"/>
      <c r="H464" s="5" t="str">
        <f t="shared" si="7"/>
        <v/>
      </c>
      <c r="I464" s="4"/>
    </row>
    <row r="465" spans="1:9" x14ac:dyDescent="0.2">
      <c r="A465" s="130"/>
      <c r="B465" s="4"/>
      <c r="C465" s="4"/>
      <c r="D465" s="4"/>
      <c r="E465" s="5"/>
      <c r="F465" s="5"/>
      <c r="G465" s="4"/>
      <c r="H465" s="5" t="str">
        <f t="shared" si="7"/>
        <v/>
      </c>
      <c r="I465" s="4"/>
    </row>
    <row r="466" spans="1:9" x14ac:dyDescent="0.2">
      <c r="A466" s="130"/>
      <c r="B466" s="4"/>
      <c r="C466" s="4"/>
      <c r="D466" s="4"/>
      <c r="E466" s="5"/>
      <c r="F466" s="5"/>
      <c r="G466" s="4"/>
      <c r="H466" s="5" t="str">
        <f t="shared" si="7"/>
        <v/>
      </c>
      <c r="I466" s="4"/>
    </row>
    <row r="467" spans="1:9" x14ac:dyDescent="0.2">
      <c r="A467" s="130"/>
      <c r="B467" s="4"/>
      <c r="C467" s="4"/>
      <c r="D467" s="4"/>
      <c r="E467" s="5"/>
      <c r="F467" s="5"/>
      <c r="G467" s="4"/>
      <c r="H467" s="5" t="str">
        <f t="shared" si="7"/>
        <v/>
      </c>
      <c r="I467" s="4"/>
    </row>
    <row r="468" spans="1:9" x14ac:dyDescent="0.2">
      <c r="A468" s="130"/>
      <c r="B468" s="4"/>
      <c r="C468" s="4"/>
      <c r="D468" s="4"/>
      <c r="E468" s="5"/>
      <c r="F468" s="5"/>
      <c r="G468" s="4"/>
      <c r="H468" s="5" t="str">
        <f t="shared" si="7"/>
        <v/>
      </c>
      <c r="I468" s="4"/>
    </row>
    <row r="469" spans="1:9" x14ac:dyDescent="0.2">
      <c r="A469" s="130"/>
      <c r="B469" s="4"/>
      <c r="C469" s="4"/>
      <c r="D469" s="4"/>
      <c r="E469" s="5"/>
      <c r="F469" s="5"/>
      <c r="G469" s="4"/>
      <c r="H469" s="5" t="str">
        <f t="shared" si="7"/>
        <v/>
      </c>
      <c r="I469" s="4"/>
    </row>
    <row r="470" spans="1:9" x14ac:dyDescent="0.2">
      <c r="A470" s="130"/>
      <c r="B470" s="4"/>
      <c r="C470" s="4"/>
      <c r="D470" s="4"/>
      <c r="E470" s="5"/>
      <c r="F470" s="5"/>
      <c r="G470" s="4"/>
      <c r="H470" s="5" t="str">
        <f t="shared" si="7"/>
        <v/>
      </c>
      <c r="I470" s="4"/>
    </row>
    <row r="471" spans="1:9" x14ac:dyDescent="0.2">
      <c r="A471" s="130"/>
      <c r="B471" s="4"/>
      <c r="C471" s="4"/>
      <c r="D471" s="4"/>
      <c r="E471" s="5"/>
      <c r="F471" s="5"/>
      <c r="G471" s="4"/>
      <c r="H471" s="5" t="str">
        <f t="shared" si="7"/>
        <v/>
      </c>
      <c r="I471" s="4"/>
    </row>
    <row r="472" spans="1:9" x14ac:dyDescent="0.2">
      <c r="A472" s="130"/>
      <c r="B472" s="4"/>
      <c r="C472" s="4"/>
      <c r="D472" s="4"/>
      <c r="E472" s="5"/>
      <c r="F472" s="5"/>
      <c r="G472" s="4"/>
      <c r="H472" s="5" t="str">
        <f t="shared" si="7"/>
        <v/>
      </c>
      <c r="I472" s="4"/>
    </row>
    <row r="473" spans="1:9" x14ac:dyDescent="0.2">
      <c r="A473" s="130"/>
      <c r="B473" s="4"/>
      <c r="C473" s="4"/>
      <c r="D473" s="4"/>
      <c r="E473" s="5"/>
      <c r="F473" s="5"/>
      <c r="G473" s="4"/>
      <c r="H473" s="5" t="str">
        <f t="shared" si="7"/>
        <v/>
      </c>
      <c r="I473" s="4"/>
    </row>
    <row r="474" spans="1:9" x14ac:dyDescent="0.2">
      <c r="A474" s="130"/>
      <c r="B474" s="4"/>
      <c r="C474" s="4"/>
      <c r="D474" s="4"/>
      <c r="E474" s="5"/>
      <c r="F474" s="5"/>
      <c r="G474" s="4"/>
      <c r="H474" s="5" t="str">
        <f t="shared" si="7"/>
        <v/>
      </c>
      <c r="I474" s="4"/>
    </row>
    <row r="475" spans="1:9" x14ac:dyDescent="0.2">
      <c r="A475" s="130"/>
      <c r="B475" s="4"/>
      <c r="C475" s="4"/>
      <c r="D475" s="4"/>
      <c r="E475" s="5"/>
      <c r="F475" s="5"/>
      <c r="G475" s="4"/>
      <c r="H475" s="5" t="str">
        <f t="shared" si="7"/>
        <v/>
      </c>
      <c r="I475" s="4"/>
    </row>
    <row r="476" spans="1:9" x14ac:dyDescent="0.2">
      <c r="A476" s="130"/>
      <c r="B476" s="4"/>
      <c r="C476" s="4"/>
      <c r="D476" s="4"/>
      <c r="E476" s="5"/>
      <c r="F476" s="5"/>
      <c r="G476" s="4"/>
      <c r="H476" s="5" t="str">
        <f t="shared" si="7"/>
        <v/>
      </c>
      <c r="I476" s="4"/>
    </row>
    <row r="477" spans="1:9" x14ac:dyDescent="0.2">
      <c r="A477" s="130"/>
      <c r="B477" s="4"/>
      <c r="C477" s="4"/>
      <c r="D477" s="4"/>
      <c r="E477" s="5"/>
      <c r="F477" s="5"/>
      <c r="G477" s="4"/>
      <c r="H477" s="5" t="str">
        <f t="shared" si="7"/>
        <v/>
      </c>
      <c r="I477" s="4"/>
    </row>
    <row r="478" spans="1:9" x14ac:dyDescent="0.2">
      <c r="A478" s="130"/>
      <c r="B478" s="4"/>
      <c r="C478" s="4"/>
      <c r="D478" s="4"/>
      <c r="E478" s="5"/>
      <c r="F478" s="5"/>
      <c r="G478" s="4"/>
      <c r="H478" s="5" t="str">
        <f t="shared" si="7"/>
        <v/>
      </c>
      <c r="I478" s="4"/>
    </row>
    <row r="479" spans="1:9" x14ac:dyDescent="0.2">
      <c r="A479" s="130"/>
      <c r="B479" s="4"/>
      <c r="C479" s="4"/>
      <c r="D479" s="4"/>
      <c r="E479" s="5"/>
      <c r="F479" s="5"/>
      <c r="G479" s="4"/>
      <c r="H479" s="5" t="str">
        <f t="shared" si="7"/>
        <v/>
      </c>
      <c r="I479" s="4"/>
    </row>
    <row r="480" spans="1:9" x14ac:dyDescent="0.2">
      <c r="A480" s="130"/>
      <c r="B480" s="4"/>
      <c r="C480" s="4"/>
      <c r="D480" s="4"/>
      <c r="E480" s="5"/>
      <c r="F480" s="5"/>
      <c r="G480" s="4"/>
      <c r="H480" s="5" t="str">
        <f t="shared" si="7"/>
        <v/>
      </c>
      <c r="I480" s="4"/>
    </row>
    <row r="481" spans="1:9" x14ac:dyDescent="0.2">
      <c r="A481" s="130"/>
      <c r="B481" s="4"/>
      <c r="C481" s="4"/>
      <c r="D481" s="4"/>
      <c r="E481" s="5"/>
      <c r="F481" s="5"/>
      <c r="G481" s="4"/>
      <c r="H481" s="5" t="str">
        <f t="shared" si="7"/>
        <v/>
      </c>
      <c r="I481" s="4"/>
    </row>
    <row r="482" spans="1:9" x14ac:dyDescent="0.2">
      <c r="A482" s="130"/>
      <c r="B482" s="4"/>
      <c r="C482" s="4"/>
      <c r="D482" s="4"/>
      <c r="E482" s="5"/>
      <c r="F482" s="5"/>
      <c r="G482" s="4"/>
      <c r="H482" s="5" t="str">
        <f t="shared" si="7"/>
        <v/>
      </c>
      <c r="I482" s="4"/>
    </row>
    <row r="483" spans="1:9" x14ac:dyDescent="0.2">
      <c r="A483" s="130"/>
      <c r="B483" s="4"/>
      <c r="C483" s="4"/>
      <c r="D483" s="4"/>
      <c r="E483" s="5"/>
      <c r="F483" s="5"/>
      <c r="G483" s="4"/>
      <c r="H483" s="5" t="str">
        <f t="shared" si="7"/>
        <v/>
      </c>
      <c r="I483" s="4"/>
    </row>
    <row r="484" spans="1:9" x14ac:dyDescent="0.2">
      <c r="A484" s="130"/>
      <c r="B484" s="4"/>
      <c r="C484" s="4"/>
      <c r="D484" s="4"/>
      <c r="E484" s="5"/>
      <c r="F484" s="5"/>
      <c r="G484" s="4"/>
      <c r="H484" s="5" t="str">
        <f t="shared" si="7"/>
        <v/>
      </c>
      <c r="I484" s="4"/>
    </row>
    <row r="485" spans="1:9" x14ac:dyDescent="0.2">
      <c r="A485" s="130"/>
      <c r="B485" s="4"/>
      <c r="C485" s="4"/>
      <c r="D485" s="4"/>
      <c r="E485" s="5"/>
      <c r="F485" s="5"/>
      <c r="G485" s="4"/>
      <c r="H485" s="5" t="str">
        <f t="shared" si="7"/>
        <v/>
      </c>
      <c r="I485" s="4"/>
    </row>
    <row r="486" spans="1:9" x14ac:dyDescent="0.2">
      <c r="A486" s="130"/>
      <c r="B486" s="4"/>
      <c r="C486" s="4"/>
      <c r="D486" s="4"/>
      <c r="E486" s="5"/>
      <c r="F486" s="5"/>
      <c r="G486" s="4"/>
      <c r="H486" s="5" t="str">
        <f t="shared" si="7"/>
        <v/>
      </c>
      <c r="I486" s="4"/>
    </row>
    <row r="487" spans="1:9" x14ac:dyDescent="0.2">
      <c r="A487" s="130"/>
      <c r="B487" s="4"/>
      <c r="C487" s="4"/>
      <c r="D487" s="4"/>
      <c r="E487" s="5"/>
      <c r="F487" s="5"/>
      <c r="G487" s="4"/>
      <c r="H487" s="5" t="str">
        <f t="shared" si="7"/>
        <v/>
      </c>
      <c r="I487" s="4"/>
    </row>
    <row r="488" spans="1:9" x14ac:dyDescent="0.2">
      <c r="A488" s="130"/>
      <c r="B488" s="4"/>
      <c r="C488" s="4"/>
      <c r="D488" s="4"/>
      <c r="E488" s="5"/>
      <c r="F488" s="5"/>
      <c r="G488" s="4"/>
      <c r="H488" s="5" t="str">
        <f t="shared" si="7"/>
        <v/>
      </c>
      <c r="I488" s="4"/>
    </row>
    <row r="489" spans="1:9" x14ac:dyDescent="0.2">
      <c r="A489" s="130"/>
      <c r="B489" s="4"/>
      <c r="C489" s="4"/>
      <c r="D489" s="4"/>
      <c r="E489" s="5"/>
      <c r="F489" s="5"/>
      <c r="G489" s="4"/>
      <c r="H489" s="5" t="str">
        <f t="shared" si="7"/>
        <v/>
      </c>
      <c r="I489" s="4"/>
    </row>
    <row r="490" spans="1:9" x14ac:dyDescent="0.2">
      <c r="A490" s="130"/>
      <c r="B490" s="4"/>
      <c r="C490" s="4"/>
      <c r="D490" s="4"/>
      <c r="E490" s="5"/>
      <c r="F490" s="5"/>
      <c r="G490" s="4"/>
      <c r="H490" s="5" t="str">
        <f t="shared" si="7"/>
        <v/>
      </c>
      <c r="I490" s="4"/>
    </row>
    <row r="491" spans="1:9" x14ac:dyDescent="0.2">
      <c r="A491" s="130"/>
      <c r="B491" s="4"/>
      <c r="C491" s="4"/>
      <c r="D491" s="4"/>
      <c r="E491" s="5"/>
      <c r="F491" s="5"/>
      <c r="G491" s="4"/>
      <c r="H491" s="5" t="str">
        <f t="shared" si="7"/>
        <v/>
      </c>
      <c r="I491" s="4"/>
    </row>
    <row r="492" spans="1:9" x14ac:dyDescent="0.2">
      <c r="A492" s="130"/>
      <c r="B492" s="4"/>
      <c r="C492" s="4"/>
      <c r="D492" s="4"/>
      <c r="E492" s="5"/>
      <c r="F492" s="5"/>
      <c r="G492" s="4"/>
      <c r="H492" s="5" t="str">
        <f t="shared" si="7"/>
        <v/>
      </c>
      <c r="I492" s="4"/>
    </row>
    <row r="493" spans="1:9" x14ac:dyDescent="0.2">
      <c r="A493" s="130"/>
      <c r="B493" s="4"/>
      <c r="C493" s="4"/>
      <c r="D493" s="4"/>
      <c r="E493" s="5"/>
      <c r="F493" s="5"/>
      <c r="G493" s="4"/>
      <c r="H493" s="5" t="str">
        <f t="shared" si="7"/>
        <v/>
      </c>
      <c r="I493" s="4"/>
    </row>
    <row r="494" spans="1:9" x14ac:dyDescent="0.2">
      <c r="A494" s="130"/>
      <c r="B494" s="4"/>
      <c r="C494" s="4"/>
      <c r="D494" s="4"/>
      <c r="E494" s="5"/>
      <c r="F494" s="5"/>
      <c r="G494" s="4"/>
      <c r="H494" s="5" t="str">
        <f t="shared" si="7"/>
        <v/>
      </c>
      <c r="I494" s="4"/>
    </row>
    <row r="495" spans="1:9" x14ac:dyDescent="0.2">
      <c r="A495" s="130"/>
      <c r="B495" s="4"/>
      <c r="C495" s="4"/>
      <c r="D495" s="4"/>
      <c r="E495" s="5"/>
      <c r="F495" s="5"/>
      <c r="G495" s="4"/>
      <c r="H495" s="5" t="str">
        <f t="shared" si="7"/>
        <v/>
      </c>
      <c r="I495" s="4"/>
    </row>
    <row r="496" spans="1:9" x14ac:dyDescent="0.2">
      <c r="A496" s="130"/>
      <c r="B496" s="4"/>
      <c r="C496" s="4"/>
      <c r="D496" s="4"/>
      <c r="E496" s="5"/>
      <c r="F496" s="5"/>
      <c r="G496" s="4"/>
      <c r="H496" s="5" t="str">
        <f t="shared" si="7"/>
        <v/>
      </c>
      <c r="I496" s="4"/>
    </row>
    <row r="497" spans="1:9" x14ac:dyDescent="0.2">
      <c r="A497" s="130"/>
      <c r="B497" s="4"/>
      <c r="C497" s="4"/>
      <c r="D497" s="4"/>
      <c r="E497" s="5"/>
      <c r="F497" s="5"/>
      <c r="G497" s="4"/>
      <c r="H497" s="5" t="str">
        <f t="shared" si="7"/>
        <v/>
      </c>
      <c r="I497" s="4"/>
    </row>
    <row r="498" spans="1:9" x14ac:dyDescent="0.2">
      <c r="A498" s="130"/>
      <c r="B498" s="4"/>
      <c r="C498" s="4"/>
      <c r="D498" s="4"/>
      <c r="E498" s="5"/>
      <c r="F498" s="5"/>
      <c r="G498" s="4"/>
      <c r="H498" s="5" t="str">
        <f t="shared" si="7"/>
        <v/>
      </c>
      <c r="I498" s="4"/>
    </row>
    <row r="499" spans="1:9" x14ac:dyDescent="0.2">
      <c r="A499" s="130"/>
      <c r="B499" s="4"/>
      <c r="C499" s="4"/>
      <c r="D499" s="4"/>
      <c r="E499" s="5"/>
      <c r="F499" s="5"/>
      <c r="G499" s="4"/>
      <c r="H499" s="5" t="str">
        <f t="shared" si="7"/>
        <v/>
      </c>
      <c r="I499" s="4"/>
    </row>
    <row r="500" spans="1:9" x14ac:dyDescent="0.2">
      <c r="A500" s="130"/>
      <c r="B500" s="4"/>
      <c r="C500" s="4"/>
      <c r="D500" s="4"/>
      <c r="E500" s="5"/>
      <c r="F500" s="5"/>
      <c r="G500" s="4"/>
      <c r="H500" s="5" t="str">
        <f t="shared" si="7"/>
        <v/>
      </c>
      <c r="I500" s="4"/>
    </row>
    <row r="501" spans="1:9" x14ac:dyDescent="0.2">
      <c r="A501" s="130"/>
      <c r="B501" s="4"/>
      <c r="C501" s="4"/>
      <c r="D501" s="4"/>
      <c r="E501" s="5"/>
      <c r="F501" s="5"/>
      <c r="G501" s="4"/>
      <c r="H501" s="5" t="str">
        <f t="shared" si="7"/>
        <v/>
      </c>
      <c r="I501" s="4"/>
    </row>
    <row r="502" spans="1:9" x14ac:dyDescent="0.2">
      <c r="A502" s="130"/>
      <c r="B502" s="4"/>
      <c r="C502" s="4"/>
      <c r="D502" s="4"/>
      <c r="E502" s="5"/>
      <c r="F502" s="5"/>
      <c r="G502" s="4"/>
      <c r="H502" s="5" t="str">
        <f t="shared" si="7"/>
        <v/>
      </c>
      <c r="I502" s="4"/>
    </row>
    <row r="503" spans="1:9" ht="24" customHeight="1" x14ac:dyDescent="0.2">
      <c r="A503" s="38"/>
      <c r="B503" s="38"/>
      <c r="C503" s="39" t="s">
        <v>47</v>
      </c>
      <c r="D503" s="38"/>
      <c r="E503" s="40">
        <f>SUBTOTAL(9,E3:E502)</f>
        <v>0</v>
      </c>
      <c r="F503" s="40">
        <f>SUBTOTAL(9,F3:F502)</f>
        <v>0</v>
      </c>
      <c r="G503" s="38"/>
      <c r="H503" s="40">
        <f>SUBTOTAL(9,H3:H502)</f>
        <v>0</v>
      </c>
      <c r="I503" s="38"/>
    </row>
  </sheetData>
  <mergeCells count="1">
    <mergeCell ref="A1:I1"/>
  </mergeCells>
  <conditionalFormatting sqref="A3:I502">
    <cfRule type="expression" dxfId="12" priority="1">
      <formula>AND($A3&lt;&gt;"",MOD(ROW(),2)=0)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Settings!$F$16:$F$22</xm:f>
          </x14:formula1>
          <xm:sqref>G3:G502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</sheetPr>
  <dimension ref="A1:N211"/>
  <sheetViews>
    <sheetView workbookViewId="0">
      <pane xSplit="1" ySplit="6" topLeftCell="B7" activePane="bottomRight" state="frozen"/>
      <selection pane="topRight"/>
      <selection pane="bottomLeft"/>
      <selection pane="bottomRight" activeCell="B44" sqref="B44"/>
    </sheetView>
  </sheetViews>
  <sheetFormatPr baseColWidth="10" defaultColWidth="8.83203125" defaultRowHeight="15" x14ac:dyDescent="0.2"/>
  <cols>
    <col min="1" max="1" width="14" customWidth="1"/>
    <col min="2" max="2" width="11.1640625" bestFit="1" customWidth="1"/>
    <col min="3" max="3" width="7" customWidth="1"/>
    <col min="4" max="4" width="11.1640625" bestFit="1" customWidth="1"/>
    <col min="5" max="10" width="7" customWidth="1"/>
    <col min="11" max="12" width="16" customWidth="1"/>
    <col min="13" max="13" width="12" customWidth="1"/>
    <col min="14" max="14" width="20" customWidth="1"/>
  </cols>
  <sheetData>
    <row r="1" spans="1:14" ht="21" customHeight="1" x14ac:dyDescent="0.2">
      <c r="A1" s="165" t="str">
        <f>BizName</f>
        <v>[Your Dairy Plant Name]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</row>
    <row r="2" spans="1:14" ht="24" customHeight="1" x14ac:dyDescent="0.2">
      <c r="A2" s="164" t="s">
        <v>584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</row>
    <row r="4" spans="1:14" ht="16" customHeight="1" x14ac:dyDescent="0.2">
      <c r="A4" s="104" t="s">
        <v>22</v>
      </c>
      <c r="B4" s="134">
        <v>66916</v>
      </c>
      <c r="C4" s="104" t="s">
        <v>23</v>
      </c>
      <c r="D4" s="134">
        <v>66931</v>
      </c>
      <c r="K4" s="162" t="s">
        <v>585</v>
      </c>
      <c r="L4" s="153"/>
      <c r="M4" s="163">
        <f>SUMIFS($K$7:$K$206,$A$7:$A$206,"&gt;="&amp;$B$4,$A$7:$A$206,"&lt;="&amp;$D$4)</f>
        <v>0</v>
      </c>
      <c r="N4" s="153"/>
    </row>
    <row r="6" spans="1:14" x14ac:dyDescent="0.2">
      <c r="A6" s="105" t="s">
        <v>11</v>
      </c>
      <c r="B6" s="105" t="s">
        <v>586</v>
      </c>
      <c r="C6" s="105" t="s">
        <v>587</v>
      </c>
      <c r="D6" s="105" t="s">
        <v>588</v>
      </c>
      <c r="E6" s="105" t="s">
        <v>589</v>
      </c>
      <c r="F6" s="105" t="s">
        <v>590</v>
      </c>
      <c r="G6" s="105" t="s">
        <v>591</v>
      </c>
      <c r="H6" s="105" t="s">
        <v>592</v>
      </c>
      <c r="I6" s="105" t="s">
        <v>593</v>
      </c>
      <c r="J6" s="105" t="s">
        <v>594</v>
      </c>
      <c r="K6" s="105" t="s">
        <v>595</v>
      </c>
      <c r="L6" s="118" t="s">
        <v>596</v>
      </c>
      <c r="M6" s="105" t="s">
        <v>597</v>
      </c>
      <c r="N6" s="105" t="s">
        <v>57</v>
      </c>
    </row>
    <row r="7" spans="1:14" x14ac:dyDescent="0.2">
      <c r="A7" s="135">
        <v>66915</v>
      </c>
      <c r="B7" s="106"/>
      <c r="C7" s="106"/>
      <c r="D7" s="106"/>
      <c r="E7" s="106"/>
      <c r="F7" s="106"/>
      <c r="G7" s="106"/>
      <c r="H7" s="106"/>
      <c r="I7" s="106"/>
      <c r="J7" s="106">
        <v>0</v>
      </c>
      <c r="K7" s="107">
        <f t="shared" ref="K7:K38" si="0">IF($A7="","",N($B7)*1000+N($C7)*500+N($D7)*100+N($E7)*50+N($F7)*20+N($G7)*10+N($H7)*5+N($I7)*2+N($J7)*1)</f>
        <v>0</v>
      </c>
      <c r="L7" s="108"/>
      <c r="M7" s="108"/>
      <c r="N7" s="109"/>
    </row>
    <row r="8" spans="1:14" x14ac:dyDescent="0.2">
      <c r="A8" s="136"/>
      <c r="B8" s="106"/>
      <c r="C8" s="106"/>
      <c r="D8" s="106"/>
      <c r="E8" s="106"/>
      <c r="F8" s="106"/>
      <c r="G8" s="106"/>
      <c r="H8" s="106"/>
      <c r="I8" s="106"/>
      <c r="J8" s="106"/>
      <c r="K8" s="110" t="str">
        <f t="shared" si="0"/>
        <v/>
      </c>
      <c r="L8" s="111"/>
      <c r="M8" s="111"/>
      <c r="N8" s="112"/>
    </row>
    <row r="9" spans="1:14" x14ac:dyDescent="0.2">
      <c r="A9" s="135"/>
      <c r="B9" s="106"/>
      <c r="C9" s="106"/>
      <c r="D9" s="106"/>
      <c r="E9" s="106"/>
      <c r="F9" s="106"/>
      <c r="G9" s="106"/>
      <c r="H9" s="106"/>
      <c r="I9" s="106"/>
      <c r="J9" s="106"/>
      <c r="K9" s="107" t="str">
        <f t="shared" si="0"/>
        <v/>
      </c>
      <c r="L9" s="108"/>
      <c r="M9" s="108"/>
      <c r="N9" s="109"/>
    </row>
    <row r="10" spans="1:14" x14ac:dyDescent="0.2">
      <c r="A10" s="136"/>
      <c r="B10" s="106"/>
      <c r="C10" s="106"/>
      <c r="D10" s="106"/>
      <c r="E10" s="106"/>
      <c r="F10" s="106"/>
      <c r="G10" s="106"/>
      <c r="H10" s="106"/>
      <c r="I10" s="106"/>
      <c r="J10" s="106"/>
      <c r="K10" s="110" t="str">
        <f t="shared" si="0"/>
        <v/>
      </c>
      <c r="L10" s="111"/>
      <c r="M10" s="111"/>
      <c r="N10" s="112"/>
    </row>
    <row r="11" spans="1:14" x14ac:dyDescent="0.2">
      <c r="A11" s="135"/>
      <c r="B11" s="106"/>
      <c r="C11" s="106"/>
      <c r="D11" s="106"/>
      <c r="E11" s="106"/>
      <c r="F11" s="106"/>
      <c r="G11" s="106"/>
      <c r="H11" s="106"/>
      <c r="I11" s="106"/>
      <c r="J11" s="106"/>
      <c r="K11" s="107" t="str">
        <f t="shared" si="0"/>
        <v/>
      </c>
      <c r="L11" s="108"/>
      <c r="M11" s="108"/>
      <c r="N11" s="109"/>
    </row>
    <row r="12" spans="1:14" x14ac:dyDescent="0.2">
      <c r="A12" s="136"/>
      <c r="B12" s="106"/>
      <c r="C12" s="106"/>
      <c r="D12" s="106"/>
      <c r="E12" s="106"/>
      <c r="F12" s="106"/>
      <c r="G12" s="106"/>
      <c r="H12" s="106"/>
      <c r="I12" s="106"/>
      <c r="J12" s="106"/>
      <c r="K12" s="110" t="str">
        <f t="shared" si="0"/>
        <v/>
      </c>
      <c r="L12" s="111"/>
      <c r="M12" s="111"/>
      <c r="N12" s="112"/>
    </row>
    <row r="13" spans="1:14" x14ac:dyDescent="0.2">
      <c r="A13" s="135"/>
      <c r="B13" s="106"/>
      <c r="C13" s="106"/>
      <c r="D13" s="106"/>
      <c r="E13" s="106"/>
      <c r="F13" s="106"/>
      <c r="G13" s="106"/>
      <c r="H13" s="106"/>
      <c r="I13" s="106"/>
      <c r="J13" s="106"/>
      <c r="K13" s="107" t="str">
        <f t="shared" si="0"/>
        <v/>
      </c>
      <c r="L13" s="108"/>
      <c r="M13" s="108"/>
      <c r="N13" s="109"/>
    </row>
    <row r="14" spans="1:14" x14ac:dyDescent="0.2">
      <c r="A14" s="136"/>
      <c r="B14" s="106"/>
      <c r="C14" s="106"/>
      <c r="D14" s="106"/>
      <c r="E14" s="106"/>
      <c r="F14" s="106"/>
      <c r="G14" s="106"/>
      <c r="H14" s="106"/>
      <c r="I14" s="106"/>
      <c r="J14" s="106"/>
      <c r="K14" s="110" t="str">
        <f t="shared" si="0"/>
        <v/>
      </c>
      <c r="L14" s="111"/>
      <c r="M14" s="111"/>
      <c r="N14" s="112"/>
    </row>
    <row r="15" spans="1:14" x14ac:dyDescent="0.2">
      <c r="A15" s="135"/>
      <c r="B15" s="106"/>
      <c r="C15" s="106"/>
      <c r="D15" s="106"/>
      <c r="E15" s="106"/>
      <c r="F15" s="106"/>
      <c r="G15" s="106"/>
      <c r="H15" s="106"/>
      <c r="I15" s="106"/>
      <c r="J15" s="106"/>
      <c r="K15" s="107" t="str">
        <f t="shared" si="0"/>
        <v/>
      </c>
      <c r="L15" s="108"/>
      <c r="M15" s="108"/>
      <c r="N15" s="109"/>
    </row>
    <row r="16" spans="1:14" x14ac:dyDescent="0.2">
      <c r="A16" s="136"/>
      <c r="B16" s="106"/>
      <c r="C16" s="106"/>
      <c r="D16" s="106"/>
      <c r="E16" s="106"/>
      <c r="F16" s="106"/>
      <c r="G16" s="106"/>
      <c r="H16" s="106"/>
      <c r="I16" s="106"/>
      <c r="J16" s="106"/>
      <c r="K16" s="110" t="str">
        <f t="shared" si="0"/>
        <v/>
      </c>
      <c r="L16" s="111"/>
      <c r="M16" s="111"/>
      <c r="N16" s="112"/>
    </row>
    <row r="17" spans="1:14" x14ac:dyDescent="0.2">
      <c r="A17" s="135"/>
      <c r="B17" s="106"/>
      <c r="C17" s="106"/>
      <c r="D17" s="106"/>
      <c r="E17" s="106"/>
      <c r="F17" s="106"/>
      <c r="G17" s="106"/>
      <c r="H17" s="106"/>
      <c r="I17" s="106"/>
      <c r="J17" s="106"/>
      <c r="K17" s="107" t="str">
        <f t="shared" si="0"/>
        <v/>
      </c>
      <c r="L17" s="108"/>
      <c r="M17" s="108"/>
      <c r="N17" s="109"/>
    </row>
    <row r="18" spans="1:14" x14ac:dyDescent="0.2">
      <c r="A18" s="136"/>
      <c r="B18" s="106"/>
      <c r="C18" s="106"/>
      <c r="D18" s="106"/>
      <c r="E18" s="106"/>
      <c r="F18" s="106"/>
      <c r="G18" s="106"/>
      <c r="H18" s="106"/>
      <c r="I18" s="106"/>
      <c r="J18" s="106"/>
      <c r="K18" s="110" t="str">
        <f t="shared" si="0"/>
        <v/>
      </c>
      <c r="L18" s="111"/>
      <c r="M18" s="111"/>
      <c r="N18" s="112"/>
    </row>
    <row r="19" spans="1:14" x14ac:dyDescent="0.2">
      <c r="A19" s="135"/>
      <c r="B19" s="106"/>
      <c r="C19" s="106"/>
      <c r="D19" s="106"/>
      <c r="E19" s="106"/>
      <c r="F19" s="106"/>
      <c r="G19" s="106"/>
      <c r="H19" s="106"/>
      <c r="I19" s="106"/>
      <c r="J19" s="106"/>
      <c r="K19" s="107" t="str">
        <f t="shared" si="0"/>
        <v/>
      </c>
      <c r="L19" s="108"/>
      <c r="M19" s="108"/>
      <c r="N19" s="109"/>
    </row>
    <row r="20" spans="1:14" x14ac:dyDescent="0.2">
      <c r="A20" s="136"/>
      <c r="B20" s="106"/>
      <c r="C20" s="106"/>
      <c r="D20" s="106"/>
      <c r="E20" s="106"/>
      <c r="F20" s="106"/>
      <c r="G20" s="106"/>
      <c r="H20" s="106"/>
      <c r="I20" s="106"/>
      <c r="J20" s="106"/>
      <c r="K20" s="110" t="str">
        <f t="shared" si="0"/>
        <v/>
      </c>
      <c r="L20" s="111"/>
      <c r="M20" s="111"/>
      <c r="N20" s="112"/>
    </row>
    <row r="21" spans="1:14" x14ac:dyDescent="0.2">
      <c r="A21" s="135"/>
      <c r="B21" s="106"/>
      <c r="C21" s="106"/>
      <c r="D21" s="106"/>
      <c r="E21" s="106"/>
      <c r="F21" s="106"/>
      <c r="G21" s="106"/>
      <c r="H21" s="106"/>
      <c r="I21" s="106"/>
      <c r="J21" s="106"/>
      <c r="K21" s="107" t="str">
        <f t="shared" si="0"/>
        <v/>
      </c>
      <c r="L21" s="108"/>
      <c r="M21" s="108"/>
      <c r="N21" s="109"/>
    </row>
    <row r="22" spans="1:14" x14ac:dyDescent="0.2">
      <c r="A22" s="136"/>
      <c r="B22" s="106"/>
      <c r="C22" s="106"/>
      <c r="D22" s="106"/>
      <c r="E22" s="106"/>
      <c r="F22" s="106"/>
      <c r="G22" s="106"/>
      <c r="H22" s="106"/>
      <c r="I22" s="106"/>
      <c r="J22" s="106"/>
      <c r="K22" s="110" t="str">
        <f t="shared" si="0"/>
        <v/>
      </c>
      <c r="L22" s="111"/>
      <c r="M22" s="111"/>
      <c r="N22" s="112"/>
    </row>
    <row r="23" spans="1:14" x14ac:dyDescent="0.2">
      <c r="A23" s="135"/>
      <c r="B23" s="106"/>
      <c r="C23" s="106"/>
      <c r="D23" s="106"/>
      <c r="E23" s="106"/>
      <c r="F23" s="106"/>
      <c r="G23" s="106"/>
      <c r="H23" s="106"/>
      <c r="I23" s="106"/>
      <c r="J23" s="106"/>
      <c r="K23" s="107" t="str">
        <f t="shared" si="0"/>
        <v/>
      </c>
      <c r="L23" s="108"/>
      <c r="M23" s="108"/>
      <c r="N23" s="109"/>
    </row>
    <row r="24" spans="1:14" x14ac:dyDescent="0.2">
      <c r="A24" s="136"/>
      <c r="B24" s="106"/>
      <c r="C24" s="106"/>
      <c r="D24" s="106"/>
      <c r="E24" s="106"/>
      <c r="F24" s="106"/>
      <c r="G24" s="106"/>
      <c r="H24" s="106"/>
      <c r="I24" s="106"/>
      <c r="J24" s="106"/>
      <c r="K24" s="110" t="str">
        <f t="shared" si="0"/>
        <v/>
      </c>
      <c r="L24" s="111"/>
      <c r="M24" s="111"/>
      <c r="N24" s="112"/>
    </row>
    <row r="25" spans="1:14" x14ac:dyDescent="0.2">
      <c r="A25" s="135"/>
      <c r="B25" s="106"/>
      <c r="C25" s="106"/>
      <c r="D25" s="106"/>
      <c r="E25" s="106"/>
      <c r="F25" s="106"/>
      <c r="G25" s="106"/>
      <c r="H25" s="106"/>
      <c r="I25" s="106"/>
      <c r="J25" s="106"/>
      <c r="K25" s="107" t="str">
        <f t="shared" si="0"/>
        <v/>
      </c>
      <c r="L25" s="108"/>
      <c r="M25" s="108"/>
      <c r="N25" s="109"/>
    </row>
    <row r="26" spans="1:14" x14ac:dyDescent="0.2">
      <c r="A26" s="136"/>
      <c r="B26" s="106"/>
      <c r="C26" s="106"/>
      <c r="D26" s="106"/>
      <c r="E26" s="106"/>
      <c r="F26" s="106"/>
      <c r="G26" s="106"/>
      <c r="H26" s="106"/>
      <c r="I26" s="106"/>
      <c r="J26" s="106"/>
      <c r="K26" s="110" t="str">
        <f t="shared" si="0"/>
        <v/>
      </c>
      <c r="L26" s="111"/>
      <c r="M26" s="111"/>
      <c r="N26" s="112"/>
    </row>
    <row r="27" spans="1:14" x14ac:dyDescent="0.2">
      <c r="A27" s="135"/>
      <c r="B27" s="106"/>
      <c r="C27" s="106"/>
      <c r="D27" s="106"/>
      <c r="E27" s="106"/>
      <c r="F27" s="106"/>
      <c r="G27" s="106"/>
      <c r="H27" s="106"/>
      <c r="I27" s="106"/>
      <c r="J27" s="106"/>
      <c r="K27" s="107" t="str">
        <f t="shared" si="0"/>
        <v/>
      </c>
      <c r="L27" s="108"/>
      <c r="M27" s="108"/>
      <c r="N27" s="109"/>
    </row>
    <row r="28" spans="1:14" x14ac:dyDescent="0.2">
      <c r="A28" s="136"/>
      <c r="B28" s="106"/>
      <c r="C28" s="106"/>
      <c r="D28" s="106"/>
      <c r="E28" s="106"/>
      <c r="F28" s="106"/>
      <c r="G28" s="106"/>
      <c r="H28" s="106"/>
      <c r="I28" s="106"/>
      <c r="J28" s="106"/>
      <c r="K28" s="110" t="str">
        <f t="shared" si="0"/>
        <v/>
      </c>
      <c r="L28" s="111"/>
      <c r="M28" s="111"/>
      <c r="N28" s="112"/>
    </row>
    <row r="29" spans="1:14" x14ac:dyDescent="0.2">
      <c r="A29" s="135"/>
      <c r="B29" s="106"/>
      <c r="C29" s="106"/>
      <c r="D29" s="106"/>
      <c r="E29" s="106"/>
      <c r="F29" s="106"/>
      <c r="G29" s="106"/>
      <c r="H29" s="106"/>
      <c r="I29" s="106"/>
      <c r="J29" s="106"/>
      <c r="K29" s="107" t="str">
        <f t="shared" si="0"/>
        <v/>
      </c>
      <c r="L29" s="108"/>
      <c r="M29" s="108"/>
      <c r="N29" s="109"/>
    </row>
    <row r="30" spans="1:14" x14ac:dyDescent="0.2">
      <c r="A30" s="136"/>
      <c r="B30" s="106"/>
      <c r="C30" s="106"/>
      <c r="D30" s="106"/>
      <c r="E30" s="106"/>
      <c r="F30" s="106"/>
      <c r="G30" s="106"/>
      <c r="H30" s="106"/>
      <c r="I30" s="106"/>
      <c r="J30" s="106"/>
      <c r="K30" s="110" t="str">
        <f t="shared" si="0"/>
        <v/>
      </c>
      <c r="L30" s="111"/>
      <c r="M30" s="111"/>
      <c r="N30" s="112"/>
    </row>
    <row r="31" spans="1:14" x14ac:dyDescent="0.2">
      <c r="A31" s="135"/>
      <c r="B31" s="106"/>
      <c r="C31" s="106"/>
      <c r="D31" s="106"/>
      <c r="E31" s="106"/>
      <c r="F31" s="106"/>
      <c r="G31" s="106"/>
      <c r="H31" s="106"/>
      <c r="I31" s="106"/>
      <c r="J31" s="106"/>
      <c r="K31" s="107" t="str">
        <f t="shared" si="0"/>
        <v/>
      </c>
      <c r="L31" s="108"/>
      <c r="M31" s="108"/>
      <c r="N31" s="109"/>
    </row>
    <row r="32" spans="1:14" x14ac:dyDescent="0.2">
      <c r="A32" s="136"/>
      <c r="B32" s="106"/>
      <c r="C32" s="106"/>
      <c r="D32" s="106"/>
      <c r="E32" s="106"/>
      <c r="F32" s="106"/>
      <c r="G32" s="106"/>
      <c r="H32" s="106"/>
      <c r="I32" s="106"/>
      <c r="J32" s="106"/>
      <c r="K32" s="110" t="str">
        <f t="shared" si="0"/>
        <v/>
      </c>
      <c r="L32" s="111"/>
      <c r="M32" s="111"/>
      <c r="N32" s="112"/>
    </row>
    <row r="33" spans="1:14" x14ac:dyDescent="0.2">
      <c r="A33" s="135"/>
      <c r="B33" s="106"/>
      <c r="C33" s="106"/>
      <c r="D33" s="106"/>
      <c r="E33" s="106"/>
      <c r="F33" s="106"/>
      <c r="G33" s="106"/>
      <c r="H33" s="106"/>
      <c r="I33" s="106"/>
      <c r="J33" s="106"/>
      <c r="K33" s="107" t="str">
        <f t="shared" si="0"/>
        <v/>
      </c>
      <c r="L33" s="108"/>
      <c r="M33" s="108"/>
      <c r="N33" s="109"/>
    </row>
    <row r="34" spans="1:14" x14ac:dyDescent="0.2">
      <c r="A34" s="136"/>
      <c r="B34" s="106"/>
      <c r="C34" s="106"/>
      <c r="D34" s="106"/>
      <c r="E34" s="106"/>
      <c r="F34" s="106"/>
      <c r="G34" s="106"/>
      <c r="H34" s="106"/>
      <c r="I34" s="106"/>
      <c r="J34" s="106"/>
      <c r="K34" s="110" t="str">
        <f t="shared" si="0"/>
        <v/>
      </c>
      <c r="L34" s="111"/>
      <c r="M34" s="111"/>
      <c r="N34" s="112"/>
    </row>
    <row r="35" spans="1:14" x14ac:dyDescent="0.2">
      <c r="A35" s="135"/>
      <c r="B35" s="106"/>
      <c r="C35" s="106"/>
      <c r="D35" s="106"/>
      <c r="E35" s="106"/>
      <c r="F35" s="106"/>
      <c r="G35" s="106"/>
      <c r="H35" s="106"/>
      <c r="I35" s="106"/>
      <c r="J35" s="106"/>
      <c r="K35" s="107" t="str">
        <f t="shared" si="0"/>
        <v/>
      </c>
      <c r="L35" s="108"/>
      <c r="M35" s="108"/>
      <c r="N35" s="109"/>
    </row>
    <row r="36" spans="1:14" x14ac:dyDescent="0.2">
      <c r="A36" s="136"/>
      <c r="B36" s="106"/>
      <c r="C36" s="106"/>
      <c r="D36" s="106"/>
      <c r="E36" s="106"/>
      <c r="F36" s="106"/>
      <c r="G36" s="106"/>
      <c r="H36" s="106"/>
      <c r="I36" s="106"/>
      <c r="J36" s="106"/>
      <c r="K36" s="110" t="str">
        <f t="shared" si="0"/>
        <v/>
      </c>
      <c r="L36" s="111"/>
      <c r="M36" s="111"/>
      <c r="N36" s="112"/>
    </row>
    <row r="37" spans="1:14" x14ac:dyDescent="0.2">
      <c r="A37" s="135"/>
      <c r="B37" s="106"/>
      <c r="C37" s="106"/>
      <c r="D37" s="106"/>
      <c r="E37" s="106"/>
      <c r="F37" s="106"/>
      <c r="G37" s="106"/>
      <c r="H37" s="106"/>
      <c r="I37" s="106"/>
      <c r="J37" s="106"/>
      <c r="K37" s="107" t="str">
        <f t="shared" si="0"/>
        <v/>
      </c>
      <c r="L37" s="108"/>
      <c r="M37" s="108"/>
      <c r="N37" s="109"/>
    </row>
    <row r="38" spans="1:14" x14ac:dyDescent="0.2">
      <c r="A38" s="136"/>
      <c r="B38" s="106"/>
      <c r="C38" s="106"/>
      <c r="D38" s="106"/>
      <c r="E38" s="106"/>
      <c r="F38" s="106"/>
      <c r="G38" s="106"/>
      <c r="H38" s="106"/>
      <c r="I38" s="106"/>
      <c r="J38" s="106"/>
      <c r="K38" s="110" t="str">
        <f t="shared" si="0"/>
        <v/>
      </c>
      <c r="L38" s="111"/>
      <c r="M38" s="111"/>
      <c r="N38" s="112"/>
    </row>
    <row r="39" spans="1:14" x14ac:dyDescent="0.2">
      <c r="A39" s="135"/>
      <c r="B39" s="106"/>
      <c r="C39" s="106"/>
      <c r="D39" s="106"/>
      <c r="E39" s="106"/>
      <c r="F39" s="106"/>
      <c r="G39" s="106"/>
      <c r="H39" s="106"/>
      <c r="I39" s="106"/>
      <c r="J39" s="106"/>
      <c r="K39" s="107" t="str">
        <f t="shared" ref="K39:K70" si="1">IF($A39="","",N($B39)*1000+N($C39)*500+N($D39)*100+N($E39)*50+N($F39)*20+N($G39)*10+N($H39)*5+N($I39)*2+N($J39)*1)</f>
        <v/>
      </c>
      <c r="L39" s="108"/>
      <c r="M39" s="108"/>
      <c r="N39" s="109"/>
    </row>
    <row r="40" spans="1:14" x14ac:dyDescent="0.2">
      <c r="A40" s="136"/>
      <c r="B40" s="106"/>
      <c r="C40" s="106"/>
      <c r="D40" s="106"/>
      <c r="E40" s="106"/>
      <c r="F40" s="106"/>
      <c r="G40" s="106"/>
      <c r="H40" s="106"/>
      <c r="I40" s="106"/>
      <c r="J40" s="106"/>
      <c r="K40" s="110" t="str">
        <f t="shared" si="1"/>
        <v/>
      </c>
      <c r="L40" s="111"/>
      <c r="M40" s="111"/>
      <c r="N40" s="112"/>
    </row>
    <row r="41" spans="1:14" x14ac:dyDescent="0.2">
      <c r="A41" s="135"/>
      <c r="B41" s="106"/>
      <c r="C41" s="106"/>
      <c r="D41" s="106"/>
      <c r="E41" s="106"/>
      <c r="F41" s="106"/>
      <c r="G41" s="106"/>
      <c r="H41" s="106"/>
      <c r="I41" s="106"/>
      <c r="J41" s="106"/>
      <c r="K41" s="107" t="str">
        <f t="shared" si="1"/>
        <v/>
      </c>
      <c r="L41" s="108"/>
      <c r="M41" s="108"/>
      <c r="N41" s="109"/>
    </row>
    <row r="42" spans="1:14" x14ac:dyDescent="0.2">
      <c r="A42" s="136"/>
      <c r="B42" s="106"/>
      <c r="C42" s="106"/>
      <c r="D42" s="106"/>
      <c r="E42" s="106"/>
      <c r="F42" s="106"/>
      <c r="G42" s="106"/>
      <c r="H42" s="106"/>
      <c r="I42" s="106"/>
      <c r="J42" s="106"/>
      <c r="K42" s="110" t="str">
        <f t="shared" si="1"/>
        <v/>
      </c>
      <c r="L42" s="111"/>
      <c r="M42" s="111"/>
      <c r="N42" s="112"/>
    </row>
    <row r="43" spans="1:14" x14ac:dyDescent="0.2">
      <c r="A43" s="135"/>
      <c r="B43" s="106"/>
      <c r="C43" s="106"/>
      <c r="D43" s="106"/>
      <c r="E43" s="106"/>
      <c r="F43" s="106"/>
      <c r="G43" s="106"/>
      <c r="H43" s="106"/>
      <c r="I43" s="106"/>
      <c r="J43" s="106"/>
      <c r="K43" s="107" t="str">
        <f t="shared" si="1"/>
        <v/>
      </c>
      <c r="L43" s="108"/>
      <c r="M43" s="108"/>
      <c r="N43" s="109"/>
    </row>
    <row r="44" spans="1:14" x14ac:dyDescent="0.2">
      <c r="A44" s="136"/>
      <c r="B44" s="106"/>
      <c r="C44" s="106"/>
      <c r="D44" s="106"/>
      <c r="E44" s="106"/>
      <c r="F44" s="106"/>
      <c r="G44" s="106"/>
      <c r="H44" s="106"/>
      <c r="I44" s="106"/>
      <c r="J44" s="106"/>
      <c r="K44" s="110" t="str">
        <f t="shared" si="1"/>
        <v/>
      </c>
      <c r="L44" s="111"/>
      <c r="M44" s="111"/>
      <c r="N44" s="112"/>
    </row>
    <row r="45" spans="1:14" x14ac:dyDescent="0.2">
      <c r="A45" s="135"/>
      <c r="B45" s="106"/>
      <c r="C45" s="106"/>
      <c r="D45" s="106"/>
      <c r="E45" s="106"/>
      <c r="F45" s="106"/>
      <c r="G45" s="106"/>
      <c r="H45" s="106"/>
      <c r="I45" s="106"/>
      <c r="J45" s="106"/>
      <c r="K45" s="107" t="str">
        <f t="shared" si="1"/>
        <v/>
      </c>
      <c r="L45" s="108"/>
      <c r="M45" s="108"/>
      <c r="N45" s="109"/>
    </row>
    <row r="46" spans="1:14" x14ac:dyDescent="0.2">
      <c r="A46" s="136"/>
      <c r="B46" s="106"/>
      <c r="C46" s="106"/>
      <c r="D46" s="106"/>
      <c r="E46" s="106"/>
      <c r="F46" s="106"/>
      <c r="G46" s="106"/>
      <c r="H46" s="106"/>
      <c r="I46" s="106"/>
      <c r="J46" s="106"/>
      <c r="K46" s="110" t="str">
        <f t="shared" si="1"/>
        <v/>
      </c>
      <c r="L46" s="111"/>
      <c r="M46" s="111"/>
      <c r="N46" s="112"/>
    </row>
    <row r="47" spans="1:14" x14ac:dyDescent="0.2">
      <c r="A47" s="135"/>
      <c r="B47" s="106"/>
      <c r="C47" s="106"/>
      <c r="D47" s="106"/>
      <c r="E47" s="106"/>
      <c r="F47" s="106"/>
      <c r="G47" s="106"/>
      <c r="H47" s="106"/>
      <c r="I47" s="106"/>
      <c r="J47" s="106"/>
      <c r="K47" s="107" t="str">
        <f t="shared" si="1"/>
        <v/>
      </c>
      <c r="L47" s="108"/>
      <c r="M47" s="108"/>
      <c r="N47" s="109"/>
    </row>
    <row r="48" spans="1:14" x14ac:dyDescent="0.2">
      <c r="A48" s="136"/>
      <c r="B48" s="106"/>
      <c r="C48" s="106"/>
      <c r="D48" s="106"/>
      <c r="E48" s="106"/>
      <c r="F48" s="106"/>
      <c r="G48" s="106"/>
      <c r="H48" s="106"/>
      <c r="I48" s="106"/>
      <c r="J48" s="106"/>
      <c r="K48" s="110" t="str">
        <f t="shared" si="1"/>
        <v/>
      </c>
      <c r="L48" s="111"/>
      <c r="M48" s="111"/>
      <c r="N48" s="112"/>
    </row>
    <row r="49" spans="1:14" x14ac:dyDescent="0.2">
      <c r="A49" s="135"/>
      <c r="B49" s="106"/>
      <c r="C49" s="106"/>
      <c r="D49" s="106"/>
      <c r="E49" s="106"/>
      <c r="F49" s="106"/>
      <c r="G49" s="106"/>
      <c r="H49" s="106"/>
      <c r="I49" s="106"/>
      <c r="J49" s="106"/>
      <c r="K49" s="107" t="str">
        <f t="shared" si="1"/>
        <v/>
      </c>
      <c r="L49" s="108"/>
      <c r="M49" s="108"/>
      <c r="N49" s="109"/>
    </row>
    <row r="50" spans="1:14" x14ac:dyDescent="0.2">
      <c r="A50" s="136"/>
      <c r="B50" s="106"/>
      <c r="C50" s="106"/>
      <c r="D50" s="106"/>
      <c r="E50" s="106"/>
      <c r="F50" s="106"/>
      <c r="G50" s="106"/>
      <c r="H50" s="106"/>
      <c r="I50" s="106"/>
      <c r="J50" s="106"/>
      <c r="K50" s="110" t="str">
        <f t="shared" si="1"/>
        <v/>
      </c>
      <c r="L50" s="111"/>
      <c r="M50" s="111"/>
      <c r="N50" s="112"/>
    </row>
    <row r="51" spans="1:14" x14ac:dyDescent="0.2">
      <c r="A51" s="135"/>
      <c r="B51" s="106"/>
      <c r="C51" s="106"/>
      <c r="D51" s="106"/>
      <c r="E51" s="106"/>
      <c r="F51" s="106"/>
      <c r="G51" s="106"/>
      <c r="H51" s="106"/>
      <c r="I51" s="106"/>
      <c r="J51" s="106"/>
      <c r="K51" s="107" t="str">
        <f t="shared" si="1"/>
        <v/>
      </c>
      <c r="L51" s="108"/>
      <c r="M51" s="108"/>
      <c r="N51" s="109"/>
    </row>
    <row r="52" spans="1:14" x14ac:dyDescent="0.2">
      <c r="A52" s="136"/>
      <c r="B52" s="106"/>
      <c r="C52" s="106"/>
      <c r="D52" s="106"/>
      <c r="E52" s="106"/>
      <c r="F52" s="106"/>
      <c r="G52" s="106"/>
      <c r="H52" s="106"/>
      <c r="I52" s="106"/>
      <c r="J52" s="106"/>
      <c r="K52" s="110" t="str">
        <f t="shared" si="1"/>
        <v/>
      </c>
      <c r="L52" s="111"/>
      <c r="M52" s="111"/>
      <c r="N52" s="112"/>
    </row>
    <row r="53" spans="1:14" x14ac:dyDescent="0.2">
      <c r="A53" s="135"/>
      <c r="B53" s="106"/>
      <c r="C53" s="106"/>
      <c r="D53" s="106"/>
      <c r="E53" s="106"/>
      <c r="F53" s="106"/>
      <c r="G53" s="106"/>
      <c r="H53" s="106"/>
      <c r="I53" s="106"/>
      <c r="J53" s="106"/>
      <c r="K53" s="107" t="str">
        <f t="shared" si="1"/>
        <v/>
      </c>
      <c r="L53" s="108"/>
      <c r="M53" s="108"/>
      <c r="N53" s="109"/>
    </row>
    <row r="54" spans="1:14" x14ac:dyDescent="0.2">
      <c r="A54" s="136"/>
      <c r="B54" s="106"/>
      <c r="C54" s="106"/>
      <c r="D54" s="106"/>
      <c r="E54" s="106"/>
      <c r="F54" s="106"/>
      <c r="G54" s="106"/>
      <c r="H54" s="106"/>
      <c r="I54" s="106"/>
      <c r="J54" s="106"/>
      <c r="K54" s="110" t="str">
        <f t="shared" si="1"/>
        <v/>
      </c>
      <c r="L54" s="111"/>
      <c r="M54" s="111"/>
      <c r="N54" s="112"/>
    </row>
    <row r="55" spans="1:14" x14ac:dyDescent="0.2">
      <c r="A55" s="135"/>
      <c r="B55" s="106"/>
      <c r="C55" s="106"/>
      <c r="D55" s="106"/>
      <c r="E55" s="106"/>
      <c r="F55" s="106"/>
      <c r="G55" s="106"/>
      <c r="H55" s="106"/>
      <c r="I55" s="106"/>
      <c r="J55" s="106"/>
      <c r="K55" s="107" t="str">
        <f t="shared" si="1"/>
        <v/>
      </c>
      <c r="L55" s="108"/>
      <c r="M55" s="108"/>
      <c r="N55" s="109"/>
    </row>
    <row r="56" spans="1:14" x14ac:dyDescent="0.2">
      <c r="A56" s="136"/>
      <c r="B56" s="106"/>
      <c r="C56" s="106"/>
      <c r="D56" s="106"/>
      <c r="E56" s="106"/>
      <c r="F56" s="106"/>
      <c r="G56" s="106"/>
      <c r="H56" s="106"/>
      <c r="I56" s="106"/>
      <c r="J56" s="106"/>
      <c r="K56" s="110" t="str">
        <f t="shared" si="1"/>
        <v/>
      </c>
      <c r="L56" s="111"/>
      <c r="M56" s="111"/>
      <c r="N56" s="112"/>
    </row>
    <row r="57" spans="1:14" x14ac:dyDescent="0.2">
      <c r="A57" s="135"/>
      <c r="B57" s="106"/>
      <c r="C57" s="106"/>
      <c r="D57" s="106"/>
      <c r="E57" s="106"/>
      <c r="F57" s="106"/>
      <c r="G57" s="106"/>
      <c r="H57" s="106"/>
      <c r="I57" s="106"/>
      <c r="J57" s="106"/>
      <c r="K57" s="107" t="str">
        <f t="shared" si="1"/>
        <v/>
      </c>
      <c r="L57" s="108"/>
      <c r="M57" s="108"/>
      <c r="N57" s="109"/>
    </row>
    <row r="58" spans="1:14" x14ac:dyDescent="0.2">
      <c r="A58" s="136"/>
      <c r="B58" s="106"/>
      <c r="C58" s="106"/>
      <c r="D58" s="106"/>
      <c r="E58" s="106"/>
      <c r="F58" s="106"/>
      <c r="G58" s="106"/>
      <c r="H58" s="106"/>
      <c r="I58" s="106"/>
      <c r="J58" s="106"/>
      <c r="K58" s="110" t="str">
        <f t="shared" si="1"/>
        <v/>
      </c>
      <c r="L58" s="111"/>
      <c r="M58" s="111"/>
      <c r="N58" s="112"/>
    </row>
    <row r="59" spans="1:14" x14ac:dyDescent="0.2">
      <c r="A59" s="135"/>
      <c r="B59" s="106"/>
      <c r="C59" s="106"/>
      <c r="D59" s="106"/>
      <c r="E59" s="106"/>
      <c r="F59" s="106"/>
      <c r="G59" s="106"/>
      <c r="H59" s="106"/>
      <c r="I59" s="106"/>
      <c r="J59" s="106"/>
      <c r="K59" s="107" t="str">
        <f t="shared" si="1"/>
        <v/>
      </c>
      <c r="L59" s="108"/>
      <c r="M59" s="108"/>
      <c r="N59" s="109"/>
    </row>
    <row r="60" spans="1:14" x14ac:dyDescent="0.2">
      <c r="A60" s="136"/>
      <c r="B60" s="106"/>
      <c r="C60" s="106"/>
      <c r="D60" s="106"/>
      <c r="E60" s="106"/>
      <c r="F60" s="106"/>
      <c r="G60" s="106"/>
      <c r="H60" s="106"/>
      <c r="I60" s="106"/>
      <c r="J60" s="106"/>
      <c r="K60" s="110" t="str">
        <f t="shared" si="1"/>
        <v/>
      </c>
      <c r="L60" s="111"/>
      <c r="M60" s="111"/>
      <c r="N60" s="112"/>
    </row>
    <row r="61" spans="1:14" x14ac:dyDescent="0.2">
      <c r="A61" s="135"/>
      <c r="B61" s="106"/>
      <c r="C61" s="106"/>
      <c r="D61" s="106"/>
      <c r="E61" s="106"/>
      <c r="F61" s="106"/>
      <c r="G61" s="106"/>
      <c r="H61" s="106"/>
      <c r="I61" s="106"/>
      <c r="J61" s="106"/>
      <c r="K61" s="107" t="str">
        <f t="shared" si="1"/>
        <v/>
      </c>
      <c r="L61" s="108"/>
      <c r="M61" s="108"/>
      <c r="N61" s="109"/>
    </row>
    <row r="62" spans="1:14" x14ac:dyDescent="0.2">
      <c r="A62" s="136"/>
      <c r="B62" s="106"/>
      <c r="C62" s="106"/>
      <c r="D62" s="106"/>
      <c r="E62" s="106"/>
      <c r="F62" s="106"/>
      <c r="G62" s="106"/>
      <c r="H62" s="106"/>
      <c r="I62" s="106"/>
      <c r="J62" s="106"/>
      <c r="K62" s="110" t="str">
        <f t="shared" si="1"/>
        <v/>
      </c>
      <c r="L62" s="111"/>
      <c r="M62" s="111"/>
      <c r="N62" s="112"/>
    </row>
    <row r="63" spans="1:14" x14ac:dyDescent="0.2">
      <c r="A63" s="135"/>
      <c r="B63" s="106"/>
      <c r="C63" s="106"/>
      <c r="D63" s="106"/>
      <c r="E63" s="106"/>
      <c r="F63" s="106"/>
      <c r="G63" s="106"/>
      <c r="H63" s="106"/>
      <c r="I63" s="106"/>
      <c r="J63" s="106"/>
      <c r="K63" s="107" t="str">
        <f t="shared" si="1"/>
        <v/>
      </c>
      <c r="L63" s="108"/>
      <c r="M63" s="108"/>
      <c r="N63" s="109"/>
    </row>
    <row r="64" spans="1:14" x14ac:dyDescent="0.2">
      <c r="A64" s="136"/>
      <c r="B64" s="106"/>
      <c r="C64" s="106"/>
      <c r="D64" s="106"/>
      <c r="E64" s="106"/>
      <c r="F64" s="106"/>
      <c r="G64" s="106"/>
      <c r="H64" s="106"/>
      <c r="I64" s="106"/>
      <c r="J64" s="106"/>
      <c r="K64" s="110" t="str">
        <f t="shared" si="1"/>
        <v/>
      </c>
      <c r="L64" s="111"/>
      <c r="M64" s="111"/>
      <c r="N64" s="112"/>
    </row>
    <row r="65" spans="1:14" x14ac:dyDescent="0.2">
      <c r="A65" s="135"/>
      <c r="B65" s="106"/>
      <c r="C65" s="106"/>
      <c r="D65" s="106"/>
      <c r="E65" s="106"/>
      <c r="F65" s="106"/>
      <c r="G65" s="106"/>
      <c r="H65" s="106"/>
      <c r="I65" s="106"/>
      <c r="J65" s="106"/>
      <c r="K65" s="107" t="str">
        <f t="shared" si="1"/>
        <v/>
      </c>
      <c r="L65" s="108"/>
      <c r="M65" s="108"/>
      <c r="N65" s="109"/>
    </row>
    <row r="66" spans="1:14" x14ac:dyDescent="0.2">
      <c r="A66" s="136"/>
      <c r="B66" s="106"/>
      <c r="C66" s="106"/>
      <c r="D66" s="106"/>
      <c r="E66" s="106"/>
      <c r="F66" s="106"/>
      <c r="G66" s="106"/>
      <c r="H66" s="106"/>
      <c r="I66" s="106"/>
      <c r="J66" s="106"/>
      <c r="K66" s="110" t="str">
        <f t="shared" si="1"/>
        <v/>
      </c>
      <c r="L66" s="111"/>
      <c r="M66" s="111"/>
      <c r="N66" s="112"/>
    </row>
    <row r="67" spans="1:14" x14ac:dyDescent="0.2">
      <c r="A67" s="135"/>
      <c r="B67" s="106"/>
      <c r="C67" s="106"/>
      <c r="D67" s="106"/>
      <c r="E67" s="106"/>
      <c r="F67" s="106"/>
      <c r="G67" s="106"/>
      <c r="H67" s="106"/>
      <c r="I67" s="106"/>
      <c r="J67" s="106"/>
      <c r="K67" s="107" t="str">
        <f t="shared" si="1"/>
        <v/>
      </c>
      <c r="L67" s="108"/>
      <c r="M67" s="108"/>
      <c r="N67" s="109"/>
    </row>
    <row r="68" spans="1:14" x14ac:dyDescent="0.2">
      <c r="A68" s="136"/>
      <c r="B68" s="106"/>
      <c r="C68" s="106"/>
      <c r="D68" s="106"/>
      <c r="E68" s="106"/>
      <c r="F68" s="106"/>
      <c r="G68" s="106"/>
      <c r="H68" s="106"/>
      <c r="I68" s="106"/>
      <c r="J68" s="106"/>
      <c r="K68" s="110" t="str">
        <f t="shared" si="1"/>
        <v/>
      </c>
      <c r="L68" s="111"/>
      <c r="M68" s="111"/>
      <c r="N68" s="112"/>
    </row>
    <row r="69" spans="1:14" x14ac:dyDescent="0.2">
      <c r="A69" s="135"/>
      <c r="B69" s="106"/>
      <c r="C69" s="106"/>
      <c r="D69" s="106"/>
      <c r="E69" s="106"/>
      <c r="F69" s="106"/>
      <c r="G69" s="106"/>
      <c r="H69" s="106"/>
      <c r="I69" s="106"/>
      <c r="J69" s="106"/>
      <c r="K69" s="107" t="str">
        <f t="shared" si="1"/>
        <v/>
      </c>
      <c r="L69" s="108"/>
      <c r="M69" s="108"/>
      <c r="N69" s="109"/>
    </row>
    <row r="70" spans="1:14" x14ac:dyDescent="0.2">
      <c r="A70" s="136"/>
      <c r="B70" s="106"/>
      <c r="C70" s="106"/>
      <c r="D70" s="106"/>
      <c r="E70" s="106"/>
      <c r="F70" s="106"/>
      <c r="G70" s="106"/>
      <c r="H70" s="106"/>
      <c r="I70" s="106"/>
      <c r="J70" s="106"/>
      <c r="K70" s="110" t="str">
        <f t="shared" si="1"/>
        <v/>
      </c>
      <c r="L70" s="111"/>
      <c r="M70" s="111"/>
      <c r="N70" s="112"/>
    </row>
    <row r="71" spans="1:14" x14ac:dyDescent="0.2">
      <c r="A71" s="135"/>
      <c r="B71" s="106"/>
      <c r="C71" s="106"/>
      <c r="D71" s="106"/>
      <c r="E71" s="106"/>
      <c r="F71" s="106"/>
      <c r="G71" s="106"/>
      <c r="H71" s="106"/>
      <c r="I71" s="106"/>
      <c r="J71" s="106"/>
      <c r="K71" s="107" t="str">
        <f t="shared" ref="K71:K102" si="2">IF($A71="","",N($B71)*1000+N($C71)*500+N($D71)*100+N($E71)*50+N($F71)*20+N($G71)*10+N($H71)*5+N($I71)*2+N($J71)*1)</f>
        <v/>
      </c>
      <c r="L71" s="108"/>
      <c r="M71" s="108"/>
      <c r="N71" s="109"/>
    </row>
    <row r="72" spans="1:14" x14ac:dyDescent="0.2">
      <c r="A72" s="136"/>
      <c r="B72" s="106"/>
      <c r="C72" s="106"/>
      <c r="D72" s="106"/>
      <c r="E72" s="106"/>
      <c r="F72" s="106"/>
      <c r="G72" s="106"/>
      <c r="H72" s="106"/>
      <c r="I72" s="106"/>
      <c r="J72" s="106"/>
      <c r="K72" s="110" t="str">
        <f t="shared" si="2"/>
        <v/>
      </c>
      <c r="L72" s="111"/>
      <c r="M72" s="111"/>
      <c r="N72" s="112"/>
    </row>
    <row r="73" spans="1:14" x14ac:dyDescent="0.2">
      <c r="A73" s="135"/>
      <c r="B73" s="106"/>
      <c r="C73" s="106"/>
      <c r="D73" s="106"/>
      <c r="E73" s="106"/>
      <c r="F73" s="106"/>
      <c r="G73" s="106"/>
      <c r="H73" s="106"/>
      <c r="I73" s="106"/>
      <c r="J73" s="106"/>
      <c r="K73" s="107" t="str">
        <f t="shared" si="2"/>
        <v/>
      </c>
      <c r="L73" s="108"/>
      <c r="M73" s="108"/>
      <c r="N73" s="109"/>
    </row>
    <row r="74" spans="1:14" x14ac:dyDescent="0.2">
      <c r="A74" s="136"/>
      <c r="B74" s="106"/>
      <c r="C74" s="106"/>
      <c r="D74" s="106"/>
      <c r="E74" s="106"/>
      <c r="F74" s="106"/>
      <c r="G74" s="106"/>
      <c r="H74" s="106"/>
      <c r="I74" s="106"/>
      <c r="J74" s="106"/>
      <c r="K74" s="110" t="str">
        <f t="shared" si="2"/>
        <v/>
      </c>
      <c r="L74" s="111"/>
      <c r="M74" s="111"/>
      <c r="N74" s="112"/>
    </row>
    <row r="75" spans="1:14" x14ac:dyDescent="0.2">
      <c r="A75" s="135"/>
      <c r="B75" s="106"/>
      <c r="C75" s="106"/>
      <c r="D75" s="106"/>
      <c r="E75" s="106"/>
      <c r="F75" s="106"/>
      <c r="G75" s="106"/>
      <c r="H75" s="106"/>
      <c r="I75" s="106"/>
      <c r="J75" s="106"/>
      <c r="K75" s="107" t="str">
        <f t="shared" si="2"/>
        <v/>
      </c>
      <c r="L75" s="108"/>
      <c r="M75" s="108"/>
      <c r="N75" s="109"/>
    </row>
    <row r="76" spans="1:14" x14ac:dyDescent="0.2">
      <c r="A76" s="136"/>
      <c r="B76" s="106"/>
      <c r="C76" s="106"/>
      <c r="D76" s="106"/>
      <c r="E76" s="106"/>
      <c r="F76" s="106"/>
      <c r="G76" s="106"/>
      <c r="H76" s="106"/>
      <c r="I76" s="106"/>
      <c r="J76" s="106"/>
      <c r="K76" s="110" t="str">
        <f t="shared" si="2"/>
        <v/>
      </c>
      <c r="L76" s="111"/>
      <c r="M76" s="111"/>
      <c r="N76" s="112"/>
    </row>
    <row r="77" spans="1:14" x14ac:dyDescent="0.2">
      <c r="A77" s="135"/>
      <c r="B77" s="106"/>
      <c r="C77" s="106"/>
      <c r="D77" s="106"/>
      <c r="E77" s="106"/>
      <c r="F77" s="106"/>
      <c r="G77" s="106"/>
      <c r="H77" s="106"/>
      <c r="I77" s="106"/>
      <c r="J77" s="106"/>
      <c r="K77" s="107" t="str">
        <f t="shared" si="2"/>
        <v/>
      </c>
      <c r="L77" s="108"/>
      <c r="M77" s="108"/>
      <c r="N77" s="109"/>
    </row>
    <row r="78" spans="1:14" x14ac:dyDescent="0.2">
      <c r="A78" s="136"/>
      <c r="B78" s="106"/>
      <c r="C78" s="106"/>
      <c r="D78" s="106"/>
      <c r="E78" s="106"/>
      <c r="F78" s="106"/>
      <c r="G78" s="106"/>
      <c r="H78" s="106"/>
      <c r="I78" s="106"/>
      <c r="J78" s="106"/>
      <c r="K78" s="110" t="str">
        <f t="shared" si="2"/>
        <v/>
      </c>
      <c r="L78" s="111"/>
      <c r="M78" s="111"/>
      <c r="N78" s="112"/>
    </row>
    <row r="79" spans="1:14" x14ac:dyDescent="0.2">
      <c r="A79" s="135"/>
      <c r="B79" s="106"/>
      <c r="C79" s="106"/>
      <c r="D79" s="106"/>
      <c r="E79" s="106"/>
      <c r="F79" s="106"/>
      <c r="G79" s="106"/>
      <c r="H79" s="106"/>
      <c r="I79" s="106"/>
      <c r="J79" s="106"/>
      <c r="K79" s="107" t="str">
        <f t="shared" si="2"/>
        <v/>
      </c>
      <c r="L79" s="108"/>
      <c r="M79" s="108"/>
      <c r="N79" s="109"/>
    </row>
    <row r="80" spans="1:14" x14ac:dyDescent="0.2">
      <c r="A80" s="136"/>
      <c r="B80" s="106"/>
      <c r="C80" s="106"/>
      <c r="D80" s="106"/>
      <c r="E80" s="106"/>
      <c r="F80" s="106"/>
      <c r="G80" s="106"/>
      <c r="H80" s="106"/>
      <c r="I80" s="106"/>
      <c r="J80" s="106"/>
      <c r="K80" s="110" t="str">
        <f t="shared" si="2"/>
        <v/>
      </c>
      <c r="L80" s="111"/>
      <c r="M80" s="111"/>
      <c r="N80" s="112"/>
    </row>
    <row r="81" spans="1:14" x14ac:dyDescent="0.2">
      <c r="A81" s="135"/>
      <c r="B81" s="106"/>
      <c r="C81" s="106"/>
      <c r="D81" s="106"/>
      <c r="E81" s="106"/>
      <c r="F81" s="106"/>
      <c r="G81" s="106"/>
      <c r="H81" s="106"/>
      <c r="I81" s="106"/>
      <c r="J81" s="106"/>
      <c r="K81" s="107" t="str">
        <f t="shared" si="2"/>
        <v/>
      </c>
      <c r="L81" s="108"/>
      <c r="M81" s="108"/>
      <c r="N81" s="109"/>
    </row>
    <row r="82" spans="1:14" x14ac:dyDescent="0.2">
      <c r="A82" s="136"/>
      <c r="B82" s="106"/>
      <c r="C82" s="106"/>
      <c r="D82" s="106"/>
      <c r="E82" s="106"/>
      <c r="F82" s="106"/>
      <c r="G82" s="106"/>
      <c r="H82" s="106"/>
      <c r="I82" s="106"/>
      <c r="J82" s="106"/>
      <c r="K82" s="110" t="str">
        <f t="shared" si="2"/>
        <v/>
      </c>
      <c r="L82" s="111"/>
      <c r="M82" s="111"/>
      <c r="N82" s="112"/>
    </row>
    <row r="83" spans="1:14" x14ac:dyDescent="0.2">
      <c r="A83" s="135"/>
      <c r="B83" s="106"/>
      <c r="C83" s="106"/>
      <c r="D83" s="106"/>
      <c r="E83" s="106"/>
      <c r="F83" s="106"/>
      <c r="G83" s="106"/>
      <c r="H83" s="106"/>
      <c r="I83" s="106"/>
      <c r="J83" s="106"/>
      <c r="K83" s="107" t="str">
        <f t="shared" si="2"/>
        <v/>
      </c>
      <c r="L83" s="108"/>
      <c r="M83" s="108"/>
      <c r="N83" s="109"/>
    </row>
    <row r="84" spans="1:14" x14ac:dyDescent="0.2">
      <c r="A84" s="136"/>
      <c r="B84" s="106"/>
      <c r="C84" s="106"/>
      <c r="D84" s="106"/>
      <c r="E84" s="106"/>
      <c r="F84" s="106"/>
      <c r="G84" s="106"/>
      <c r="H84" s="106"/>
      <c r="I84" s="106"/>
      <c r="J84" s="106"/>
      <c r="K84" s="110" t="str">
        <f t="shared" si="2"/>
        <v/>
      </c>
      <c r="L84" s="111"/>
      <c r="M84" s="111"/>
      <c r="N84" s="112"/>
    </row>
    <row r="85" spans="1:14" x14ac:dyDescent="0.2">
      <c r="A85" s="135"/>
      <c r="B85" s="106"/>
      <c r="C85" s="106"/>
      <c r="D85" s="106"/>
      <c r="E85" s="106"/>
      <c r="F85" s="106"/>
      <c r="G85" s="106"/>
      <c r="H85" s="106"/>
      <c r="I85" s="106"/>
      <c r="J85" s="106"/>
      <c r="K85" s="107" t="str">
        <f t="shared" si="2"/>
        <v/>
      </c>
      <c r="L85" s="108"/>
      <c r="M85" s="108"/>
      <c r="N85" s="109"/>
    </row>
    <row r="86" spans="1:14" x14ac:dyDescent="0.2">
      <c r="A86" s="136"/>
      <c r="B86" s="106"/>
      <c r="C86" s="106"/>
      <c r="D86" s="106"/>
      <c r="E86" s="106"/>
      <c r="F86" s="106"/>
      <c r="G86" s="106"/>
      <c r="H86" s="106"/>
      <c r="I86" s="106"/>
      <c r="J86" s="106"/>
      <c r="K86" s="110" t="str">
        <f t="shared" si="2"/>
        <v/>
      </c>
      <c r="L86" s="111"/>
      <c r="M86" s="111"/>
      <c r="N86" s="112"/>
    </row>
    <row r="87" spans="1:14" x14ac:dyDescent="0.2">
      <c r="A87" s="135"/>
      <c r="B87" s="106"/>
      <c r="C87" s="106"/>
      <c r="D87" s="106"/>
      <c r="E87" s="106"/>
      <c r="F87" s="106"/>
      <c r="G87" s="106"/>
      <c r="H87" s="106"/>
      <c r="I87" s="106"/>
      <c r="J87" s="106"/>
      <c r="K87" s="107" t="str">
        <f t="shared" si="2"/>
        <v/>
      </c>
      <c r="L87" s="108"/>
      <c r="M87" s="108"/>
      <c r="N87" s="109"/>
    </row>
    <row r="88" spans="1:14" x14ac:dyDescent="0.2">
      <c r="A88" s="136"/>
      <c r="B88" s="106"/>
      <c r="C88" s="106"/>
      <c r="D88" s="106"/>
      <c r="E88" s="106"/>
      <c r="F88" s="106"/>
      <c r="G88" s="106"/>
      <c r="H88" s="106"/>
      <c r="I88" s="106"/>
      <c r="J88" s="106"/>
      <c r="K88" s="110" t="str">
        <f t="shared" si="2"/>
        <v/>
      </c>
      <c r="L88" s="111"/>
      <c r="M88" s="111"/>
      <c r="N88" s="112"/>
    </row>
    <row r="89" spans="1:14" x14ac:dyDescent="0.2">
      <c r="A89" s="135"/>
      <c r="B89" s="106"/>
      <c r="C89" s="106"/>
      <c r="D89" s="106"/>
      <c r="E89" s="106"/>
      <c r="F89" s="106"/>
      <c r="G89" s="106"/>
      <c r="H89" s="106"/>
      <c r="I89" s="106"/>
      <c r="J89" s="106"/>
      <c r="K89" s="107" t="str">
        <f t="shared" si="2"/>
        <v/>
      </c>
      <c r="L89" s="108"/>
      <c r="M89" s="108"/>
      <c r="N89" s="109"/>
    </row>
    <row r="90" spans="1:14" x14ac:dyDescent="0.2">
      <c r="A90" s="136"/>
      <c r="B90" s="106"/>
      <c r="C90" s="106"/>
      <c r="D90" s="106"/>
      <c r="E90" s="106"/>
      <c r="F90" s="106"/>
      <c r="G90" s="106"/>
      <c r="H90" s="106"/>
      <c r="I90" s="106"/>
      <c r="J90" s="106"/>
      <c r="K90" s="110" t="str">
        <f t="shared" si="2"/>
        <v/>
      </c>
      <c r="L90" s="111"/>
      <c r="M90" s="111"/>
      <c r="N90" s="112"/>
    </row>
    <row r="91" spans="1:14" x14ac:dyDescent="0.2">
      <c r="A91" s="135"/>
      <c r="B91" s="106"/>
      <c r="C91" s="106"/>
      <c r="D91" s="106"/>
      <c r="E91" s="106"/>
      <c r="F91" s="106"/>
      <c r="G91" s="106"/>
      <c r="H91" s="106"/>
      <c r="I91" s="106"/>
      <c r="J91" s="106"/>
      <c r="K91" s="107" t="str">
        <f t="shared" si="2"/>
        <v/>
      </c>
      <c r="L91" s="108"/>
      <c r="M91" s="108"/>
      <c r="N91" s="109"/>
    </row>
    <row r="92" spans="1:14" x14ac:dyDescent="0.2">
      <c r="A92" s="136"/>
      <c r="B92" s="106"/>
      <c r="C92" s="106"/>
      <c r="D92" s="106"/>
      <c r="E92" s="106"/>
      <c r="F92" s="106"/>
      <c r="G92" s="106"/>
      <c r="H92" s="106"/>
      <c r="I92" s="106"/>
      <c r="J92" s="106"/>
      <c r="K92" s="110" t="str">
        <f t="shared" si="2"/>
        <v/>
      </c>
      <c r="L92" s="111"/>
      <c r="M92" s="111"/>
      <c r="N92" s="112"/>
    </row>
    <row r="93" spans="1:14" x14ac:dyDescent="0.2">
      <c r="A93" s="135"/>
      <c r="B93" s="106"/>
      <c r="C93" s="106"/>
      <c r="D93" s="106"/>
      <c r="E93" s="106"/>
      <c r="F93" s="106"/>
      <c r="G93" s="106"/>
      <c r="H93" s="106"/>
      <c r="I93" s="106"/>
      <c r="J93" s="106"/>
      <c r="K93" s="107" t="str">
        <f t="shared" si="2"/>
        <v/>
      </c>
      <c r="L93" s="108"/>
      <c r="M93" s="108"/>
      <c r="N93" s="109"/>
    </row>
    <row r="94" spans="1:14" x14ac:dyDescent="0.2">
      <c r="A94" s="136"/>
      <c r="B94" s="106"/>
      <c r="C94" s="106"/>
      <c r="D94" s="106"/>
      <c r="E94" s="106"/>
      <c r="F94" s="106"/>
      <c r="G94" s="106"/>
      <c r="H94" s="106"/>
      <c r="I94" s="106"/>
      <c r="J94" s="106"/>
      <c r="K94" s="110" t="str">
        <f t="shared" si="2"/>
        <v/>
      </c>
      <c r="L94" s="111"/>
      <c r="M94" s="111"/>
      <c r="N94" s="112"/>
    </row>
    <row r="95" spans="1:14" x14ac:dyDescent="0.2">
      <c r="A95" s="135"/>
      <c r="B95" s="106"/>
      <c r="C95" s="106"/>
      <c r="D95" s="106"/>
      <c r="E95" s="106"/>
      <c r="F95" s="106"/>
      <c r="G95" s="106"/>
      <c r="H95" s="106"/>
      <c r="I95" s="106"/>
      <c r="J95" s="106"/>
      <c r="K95" s="107" t="str">
        <f t="shared" si="2"/>
        <v/>
      </c>
      <c r="L95" s="108"/>
      <c r="M95" s="108"/>
      <c r="N95" s="109"/>
    </row>
    <row r="96" spans="1:14" x14ac:dyDescent="0.2">
      <c r="A96" s="136"/>
      <c r="B96" s="106"/>
      <c r="C96" s="106"/>
      <c r="D96" s="106"/>
      <c r="E96" s="106"/>
      <c r="F96" s="106"/>
      <c r="G96" s="106"/>
      <c r="H96" s="106"/>
      <c r="I96" s="106"/>
      <c r="J96" s="106"/>
      <c r="K96" s="110" t="str">
        <f t="shared" si="2"/>
        <v/>
      </c>
      <c r="L96" s="111"/>
      <c r="M96" s="111"/>
      <c r="N96" s="112"/>
    </row>
    <row r="97" spans="1:14" x14ac:dyDescent="0.2">
      <c r="A97" s="135"/>
      <c r="B97" s="106"/>
      <c r="C97" s="106"/>
      <c r="D97" s="106"/>
      <c r="E97" s="106"/>
      <c r="F97" s="106"/>
      <c r="G97" s="106"/>
      <c r="H97" s="106"/>
      <c r="I97" s="106"/>
      <c r="J97" s="106"/>
      <c r="K97" s="107" t="str">
        <f t="shared" si="2"/>
        <v/>
      </c>
      <c r="L97" s="108"/>
      <c r="M97" s="108"/>
      <c r="N97" s="109"/>
    </row>
    <row r="98" spans="1:14" x14ac:dyDescent="0.2">
      <c r="A98" s="136"/>
      <c r="B98" s="106"/>
      <c r="C98" s="106"/>
      <c r="D98" s="106"/>
      <c r="E98" s="106"/>
      <c r="F98" s="106"/>
      <c r="G98" s="106"/>
      <c r="H98" s="106"/>
      <c r="I98" s="106"/>
      <c r="J98" s="106"/>
      <c r="K98" s="110" t="str">
        <f t="shared" si="2"/>
        <v/>
      </c>
      <c r="L98" s="111"/>
      <c r="M98" s="111"/>
      <c r="N98" s="112"/>
    </row>
    <row r="99" spans="1:14" x14ac:dyDescent="0.2">
      <c r="A99" s="135"/>
      <c r="B99" s="106"/>
      <c r="C99" s="106"/>
      <c r="D99" s="106"/>
      <c r="E99" s="106"/>
      <c r="F99" s="106"/>
      <c r="G99" s="106"/>
      <c r="H99" s="106"/>
      <c r="I99" s="106"/>
      <c r="J99" s="106"/>
      <c r="K99" s="107" t="str">
        <f t="shared" si="2"/>
        <v/>
      </c>
      <c r="L99" s="108"/>
      <c r="M99" s="108"/>
      <c r="N99" s="109"/>
    </row>
    <row r="100" spans="1:14" x14ac:dyDescent="0.2">
      <c r="A100" s="136"/>
      <c r="B100" s="106"/>
      <c r="C100" s="106"/>
      <c r="D100" s="106"/>
      <c r="E100" s="106"/>
      <c r="F100" s="106"/>
      <c r="G100" s="106"/>
      <c r="H100" s="106"/>
      <c r="I100" s="106"/>
      <c r="J100" s="106"/>
      <c r="K100" s="110" t="str">
        <f t="shared" si="2"/>
        <v/>
      </c>
      <c r="L100" s="111"/>
      <c r="M100" s="111"/>
      <c r="N100" s="112"/>
    </row>
    <row r="101" spans="1:14" x14ac:dyDescent="0.2">
      <c r="A101" s="135"/>
      <c r="B101" s="106"/>
      <c r="C101" s="106"/>
      <c r="D101" s="106"/>
      <c r="E101" s="106"/>
      <c r="F101" s="106"/>
      <c r="G101" s="106"/>
      <c r="H101" s="106"/>
      <c r="I101" s="106"/>
      <c r="J101" s="106"/>
      <c r="K101" s="107" t="str">
        <f t="shared" si="2"/>
        <v/>
      </c>
      <c r="L101" s="108"/>
      <c r="M101" s="108"/>
      <c r="N101" s="109"/>
    </row>
    <row r="102" spans="1:14" x14ac:dyDescent="0.2">
      <c r="A102" s="136"/>
      <c r="B102" s="106"/>
      <c r="C102" s="106"/>
      <c r="D102" s="106"/>
      <c r="E102" s="106"/>
      <c r="F102" s="106"/>
      <c r="G102" s="106"/>
      <c r="H102" s="106"/>
      <c r="I102" s="106"/>
      <c r="J102" s="106"/>
      <c r="K102" s="110" t="str">
        <f t="shared" si="2"/>
        <v/>
      </c>
      <c r="L102" s="111"/>
      <c r="M102" s="111"/>
      <c r="N102" s="112"/>
    </row>
    <row r="103" spans="1:14" x14ac:dyDescent="0.2">
      <c r="A103" s="135"/>
      <c r="B103" s="106"/>
      <c r="C103" s="106"/>
      <c r="D103" s="106"/>
      <c r="E103" s="106"/>
      <c r="F103" s="106"/>
      <c r="G103" s="106"/>
      <c r="H103" s="106"/>
      <c r="I103" s="106"/>
      <c r="J103" s="106"/>
      <c r="K103" s="107" t="str">
        <f t="shared" ref="K103:K134" si="3">IF($A103="","",N($B103)*1000+N($C103)*500+N($D103)*100+N($E103)*50+N($F103)*20+N($G103)*10+N($H103)*5+N($I103)*2+N($J103)*1)</f>
        <v/>
      </c>
      <c r="L103" s="108"/>
      <c r="M103" s="108"/>
      <c r="N103" s="109"/>
    </row>
    <row r="104" spans="1:14" x14ac:dyDescent="0.2">
      <c r="A104" s="136"/>
      <c r="B104" s="106"/>
      <c r="C104" s="106"/>
      <c r="D104" s="106"/>
      <c r="E104" s="106"/>
      <c r="F104" s="106"/>
      <c r="G104" s="106"/>
      <c r="H104" s="106"/>
      <c r="I104" s="106"/>
      <c r="J104" s="106"/>
      <c r="K104" s="110" t="str">
        <f t="shared" si="3"/>
        <v/>
      </c>
      <c r="L104" s="111"/>
      <c r="M104" s="111"/>
      <c r="N104" s="112"/>
    </row>
    <row r="105" spans="1:14" x14ac:dyDescent="0.2">
      <c r="A105" s="135"/>
      <c r="B105" s="106"/>
      <c r="C105" s="106"/>
      <c r="D105" s="106"/>
      <c r="E105" s="106"/>
      <c r="F105" s="106"/>
      <c r="G105" s="106"/>
      <c r="H105" s="106"/>
      <c r="I105" s="106"/>
      <c r="J105" s="106"/>
      <c r="K105" s="107" t="str">
        <f t="shared" si="3"/>
        <v/>
      </c>
      <c r="L105" s="108"/>
      <c r="M105" s="108"/>
      <c r="N105" s="109"/>
    </row>
    <row r="106" spans="1:14" x14ac:dyDescent="0.2">
      <c r="A106" s="136"/>
      <c r="B106" s="106"/>
      <c r="C106" s="106"/>
      <c r="D106" s="106"/>
      <c r="E106" s="106"/>
      <c r="F106" s="106"/>
      <c r="G106" s="106"/>
      <c r="H106" s="106"/>
      <c r="I106" s="106"/>
      <c r="J106" s="106"/>
      <c r="K106" s="110" t="str">
        <f t="shared" si="3"/>
        <v/>
      </c>
      <c r="L106" s="111"/>
      <c r="M106" s="111"/>
      <c r="N106" s="112"/>
    </row>
    <row r="107" spans="1:14" x14ac:dyDescent="0.2">
      <c r="A107" s="135"/>
      <c r="B107" s="106"/>
      <c r="C107" s="106"/>
      <c r="D107" s="106"/>
      <c r="E107" s="106"/>
      <c r="F107" s="106"/>
      <c r="G107" s="106"/>
      <c r="H107" s="106"/>
      <c r="I107" s="106"/>
      <c r="J107" s="106"/>
      <c r="K107" s="107" t="str">
        <f t="shared" si="3"/>
        <v/>
      </c>
      <c r="L107" s="108"/>
      <c r="M107" s="108"/>
      <c r="N107" s="109"/>
    </row>
    <row r="108" spans="1:14" x14ac:dyDescent="0.2">
      <c r="A108" s="136"/>
      <c r="B108" s="106"/>
      <c r="C108" s="106"/>
      <c r="D108" s="106"/>
      <c r="E108" s="106"/>
      <c r="F108" s="106"/>
      <c r="G108" s="106"/>
      <c r="H108" s="106"/>
      <c r="I108" s="106"/>
      <c r="J108" s="106"/>
      <c r="K108" s="110" t="str">
        <f t="shared" si="3"/>
        <v/>
      </c>
      <c r="L108" s="111"/>
      <c r="M108" s="111"/>
      <c r="N108" s="112"/>
    </row>
    <row r="109" spans="1:14" x14ac:dyDescent="0.2">
      <c r="A109" s="135"/>
      <c r="B109" s="106"/>
      <c r="C109" s="106"/>
      <c r="D109" s="106"/>
      <c r="E109" s="106"/>
      <c r="F109" s="106"/>
      <c r="G109" s="106"/>
      <c r="H109" s="106"/>
      <c r="I109" s="106"/>
      <c r="J109" s="106"/>
      <c r="K109" s="107" t="str">
        <f t="shared" si="3"/>
        <v/>
      </c>
      <c r="L109" s="108"/>
      <c r="M109" s="108"/>
      <c r="N109" s="109"/>
    </row>
    <row r="110" spans="1:14" x14ac:dyDescent="0.2">
      <c r="A110" s="136"/>
      <c r="B110" s="106"/>
      <c r="C110" s="106"/>
      <c r="D110" s="106"/>
      <c r="E110" s="106"/>
      <c r="F110" s="106"/>
      <c r="G110" s="106"/>
      <c r="H110" s="106"/>
      <c r="I110" s="106"/>
      <c r="J110" s="106"/>
      <c r="K110" s="110" t="str">
        <f t="shared" si="3"/>
        <v/>
      </c>
      <c r="L110" s="111"/>
      <c r="M110" s="111"/>
      <c r="N110" s="112"/>
    </row>
    <row r="111" spans="1:14" x14ac:dyDescent="0.2">
      <c r="A111" s="135"/>
      <c r="B111" s="106"/>
      <c r="C111" s="106"/>
      <c r="D111" s="106"/>
      <c r="E111" s="106"/>
      <c r="F111" s="106"/>
      <c r="G111" s="106"/>
      <c r="H111" s="106"/>
      <c r="I111" s="106"/>
      <c r="J111" s="106"/>
      <c r="K111" s="107" t="str">
        <f t="shared" si="3"/>
        <v/>
      </c>
      <c r="L111" s="108"/>
      <c r="M111" s="108"/>
      <c r="N111" s="109"/>
    </row>
    <row r="112" spans="1:14" x14ac:dyDescent="0.2">
      <c r="A112" s="136"/>
      <c r="B112" s="106"/>
      <c r="C112" s="106"/>
      <c r="D112" s="106"/>
      <c r="E112" s="106"/>
      <c r="F112" s="106"/>
      <c r="G112" s="106"/>
      <c r="H112" s="106"/>
      <c r="I112" s="106"/>
      <c r="J112" s="106"/>
      <c r="K112" s="110" t="str">
        <f t="shared" si="3"/>
        <v/>
      </c>
      <c r="L112" s="111"/>
      <c r="M112" s="111"/>
      <c r="N112" s="112"/>
    </row>
    <row r="113" spans="1:14" x14ac:dyDescent="0.2">
      <c r="A113" s="135"/>
      <c r="B113" s="106"/>
      <c r="C113" s="106"/>
      <c r="D113" s="106"/>
      <c r="E113" s="106"/>
      <c r="F113" s="106"/>
      <c r="G113" s="106"/>
      <c r="H113" s="106"/>
      <c r="I113" s="106"/>
      <c r="J113" s="106"/>
      <c r="K113" s="107" t="str">
        <f t="shared" si="3"/>
        <v/>
      </c>
      <c r="L113" s="108"/>
      <c r="M113" s="108"/>
      <c r="N113" s="109"/>
    </row>
    <row r="114" spans="1:14" x14ac:dyDescent="0.2">
      <c r="A114" s="136"/>
      <c r="B114" s="106"/>
      <c r="C114" s="106"/>
      <c r="D114" s="106"/>
      <c r="E114" s="106"/>
      <c r="F114" s="106"/>
      <c r="G114" s="106"/>
      <c r="H114" s="106"/>
      <c r="I114" s="106"/>
      <c r="J114" s="106"/>
      <c r="K114" s="110" t="str">
        <f t="shared" si="3"/>
        <v/>
      </c>
      <c r="L114" s="111"/>
      <c r="M114" s="111"/>
      <c r="N114" s="112"/>
    </row>
    <row r="115" spans="1:14" x14ac:dyDescent="0.2">
      <c r="A115" s="135"/>
      <c r="B115" s="106"/>
      <c r="C115" s="106"/>
      <c r="D115" s="106"/>
      <c r="E115" s="106"/>
      <c r="F115" s="106"/>
      <c r="G115" s="106"/>
      <c r="H115" s="106"/>
      <c r="I115" s="106"/>
      <c r="J115" s="106"/>
      <c r="K115" s="107" t="str">
        <f t="shared" si="3"/>
        <v/>
      </c>
      <c r="L115" s="108"/>
      <c r="M115" s="108"/>
      <c r="N115" s="109"/>
    </row>
    <row r="116" spans="1:14" x14ac:dyDescent="0.2">
      <c r="A116" s="136"/>
      <c r="B116" s="106"/>
      <c r="C116" s="106"/>
      <c r="D116" s="106"/>
      <c r="E116" s="106"/>
      <c r="F116" s="106"/>
      <c r="G116" s="106"/>
      <c r="H116" s="106"/>
      <c r="I116" s="106"/>
      <c r="J116" s="106"/>
      <c r="K116" s="110" t="str">
        <f t="shared" si="3"/>
        <v/>
      </c>
      <c r="L116" s="111"/>
      <c r="M116" s="111"/>
      <c r="N116" s="112"/>
    </row>
    <row r="117" spans="1:14" x14ac:dyDescent="0.2">
      <c r="A117" s="135"/>
      <c r="B117" s="106"/>
      <c r="C117" s="106"/>
      <c r="D117" s="106"/>
      <c r="E117" s="106"/>
      <c r="F117" s="106"/>
      <c r="G117" s="106"/>
      <c r="H117" s="106"/>
      <c r="I117" s="106"/>
      <c r="J117" s="106"/>
      <c r="K117" s="107" t="str">
        <f t="shared" si="3"/>
        <v/>
      </c>
      <c r="L117" s="108"/>
      <c r="M117" s="108"/>
      <c r="N117" s="109"/>
    </row>
    <row r="118" spans="1:14" x14ac:dyDescent="0.2">
      <c r="A118" s="136"/>
      <c r="B118" s="106"/>
      <c r="C118" s="106"/>
      <c r="D118" s="106"/>
      <c r="E118" s="106"/>
      <c r="F118" s="106"/>
      <c r="G118" s="106"/>
      <c r="H118" s="106"/>
      <c r="I118" s="106"/>
      <c r="J118" s="106"/>
      <c r="K118" s="110" t="str">
        <f t="shared" si="3"/>
        <v/>
      </c>
      <c r="L118" s="111"/>
      <c r="M118" s="111"/>
      <c r="N118" s="112"/>
    </row>
    <row r="119" spans="1:14" x14ac:dyDescent="0.2">
      <c r="A119" s="135"/>
      <c r="B119" s="106"/>
      <c r="C119" s="106"/>
      <c r="D119" s="106"/>
      <c r="E119" s="106"/>
      <c r="F119" s="106"/>
      <c r="G119" s="106"/>
      <c r="H119" s="106"/>
      <c r="I119" s="106"/>
      <c r="J119" s="106"/>
      <c r="K119" s="107" t="str">
        <f t="shared" si="3"/>
        <v/>
      </c>
      <c r="L119" s="108"/>
      <c r="M119" s="108"/>
      <c r="N119" s="109"/>
    </row>
    <row r="120" spans="1:14" x14ac:dyDescent="0.2">
      <c r="A120" s="136"/>
      <c r="B120" s="106"/>
      <c r="C120" s="106"/>
      <c r="D120" s="106"/>
      <c r="E120" s="106"/>
      <c r="F120" s="106"/>
      <c r="G120" s="106"/>
      <c r="H120" s="106"/>
      <c r="I120" s="106"/>
      <c r="J120" s="106"/>
      <c r="K120" s="110" t="str">
        <f t="shared" si="3"/>
        <v/>
      </c>
      <c r="L120" s="111"/>
      <c r="M120" s="111"/>
      <c r="N120" s="112"/>
    </row>
    <row r="121" spans="1:14" x14ac:dyDescent="0.2">
      <c r="A121" s="135"/>
      <c r="B121" s="106"/>
      <c r="C121" s="106"/>
      <c r="D121" s="106"/>
      <c r="E121" s="106"/>
      <c r="F121" s="106"/>
      <c r="G121" s="106"/>
      <c r="H121" s="106"/>
      <c r="I121" s="106"/>
      <c r="J121" s="106"/>
      <c r="K121" s="107" t="str">
        <f t="shared" si="3"/>
        <v/>
      </c>
      <c r="L121" s="108"/>
      <c r="M121" s="108"/>
      <c r="N121" s="109"/>
    </row>
    <row r="122" spans="1:14" x14ac:dyDescent="0.2">
      <c r="A122" s="136"/>
      <c r="B122" s="106"/>
      <c r="C122" s="106"/>
      <c r="D122" s="106"/>
      <c r="E122" s="106"/>
      <c r="F122" s="106"/>
      <c r="G122" s="106"/>
      <c r="H122" s="106"/>
      <c r="I122" s="106"/>
      <c r="J122" s="106"/>
      <c r="K122" s="110" t="str">
        <f t="shared" si="3"/>
        <v/>
      </c>
      <c r="L122" s="111"/>
      <c r="M122" s="111"/>
      <c r="N122" s="112"/>
    </row>
    <row r="123" spans="1:14" x14ac:dyDescent="0.2">
      <c r="A123" s="135"/>
      <c r="B123" s="106"/>
      <c r="C123" s="106"/>
      <c r="D123" s="106"/>
      <c r="E123" s="106"/>
      <c r="F123" s="106"/>
      <c r="G123" s="106"/>
      <c r="H123" s="106"/>
      <c r="I123" s="106"/>
      <c r="J123" s="106"/>
      <c r="K123" s="107" t="str">
        <f t="shared" si="3"/>
        <v/>
      </c>
      <c r="L123" s="108"/>
      <c r="M123" s="108"/>
      <c r="N123" s="109"/>
    </row>
    <row r="124" spans="1:14" x14ac:dyDescent="0.2">
      <c r="A124" s="136"/>
      <c r="B124" s="106"/>
      <c r="C124" s="106"/>
      <c r="D124" s="106"/>
      <c r="E124" s="106"/>
      <c r="F124" s="106"/>
      <c r="G124" s="106"/>
      <c r="H124" s="106"/>
      <c r="I124" s="106"/>
      <c r="J124" s="106"/>
      <c r="K124" s="110" t="str">
        <f t="shared" si="3"/>
        <v/>
      </c>
      <c r="L124" s="111"/>
      <c r="M124" s="111"/>
      <c r="N124" s="112"/>
    </row>
    <row r="125" spans="1:14" x14ac:dyDescent="0.2">
      <c r="A125" s="135"/>
      <c r="B125" s="106"/>
      <c r="C125" s="106"/>
      <c r="D125" s="106"/>
      <c r="E125" s="106"/>
      <c r="F125" s="106"/>
      <c r="G125" s="106"/>
      <c r="H125" s="106"/>
      <c r="I125" s="106"/>
      <c r="J125" s="106"/>
      <c r="K125" s="107" t="str">
        <f t="shared" si="3"/>
        <v/>
      </c>
      <c r="L125" s="108"/>
      <c r="M125" s="108"/>
      <c r="N125" s="109"/>
    </row>
    <row r="126" spans="1:14" x14ac:dyDescent="0.2">
      <c r="A126" s="136"/>
      <c r="B126" s="106"/>
      <c r="C126" s="106"/>
      <c r="D126" s="106"/>
      <c r="E126" s="106"/>
      <c r="F126" s="106"/>
      <c r="G126" s="106"/>
      <c r="H126" s="106"/>
      <c r="I126" s="106"/>
      <c r="J126" s="106"/>
      <c r="K126" s="110" t="str">
        <f t="shared" si="3"/>
        <v/>
      </c>
      <c r="L126" s="111"/>
      <c r="M126" s="111"/>
      <c r="N126" s="112"/>
    </row>
    <row r="127" spans="1:14" x14ac:dyDescent="0.2">
      <c r="A127" s="135"/>
      <c r="B127" s="106"/>
      <c r="C127" s="106"/>
      <c r="D127" s="106"/>
      <c r="E127" s="106"/>
      <c r="F127" s="106"/>
      <c r="G127" s="106"/>
      <c r="H127" s="106"/>
      <c r="I127" s="106"/>
      <c r="J127" s="106"/>
      <c r="K127" s="107" t="str">
        <f t="shared" si="3"/>
        <v/>
      </c>
      <c r="L127" s="108"/>
      <c r="M127" s="108"/>
      <c r="N127" s="109"/>
    </row>
    <row r="128" spans="1:14" x14ac:dyDescent="0.2">
      <c r="A128" s="136"/>
      <c r="B128" s="106"/>
      <c r="C128" s="106"/>
      <c r="D128" s="106"/>
      <c r="E128" s="106"/>
      <c r="F128" s="106"/>
      <c r="G128" s="106"/>
      <c r="H128" s="106"/>
      <c r="I128" s="106"/>
      <c r="J128" s="106"/>
      <c r="K128" s="110" t="str">
        <f t="shared" si="3"/>
        <v/>
      </c>
      <c r="L128" s="111"/>
      <c r="M128" s="111"/>
      <c r="N128" s="112"/>
    </row>
    <row r="129" spans="1:14" x14ac:dyDescent="0.2">
      <c r="A129" s="135"/>
      <c r="B129" s="106"/>
      <c r="C129" s="106"/>
      <c r="D129" s="106"/>
      <c r="E129" s="106"/>
      <c r="F129" s="106"/>
      <c r="G129" s="106"/>
      <c r="H129" s="106"/>
      <c r="I129" s="106"/>
      <c r="J129" s="106"/>
      <c r="K129" s="107" t="str">
        <f t="shared" si="3"/>
        <v/>
      </c>
      <c r="L129" s="108"/>
      <c r="M129" s="108"/>
      <c r="N129" s="109"/>
    </row>
    <row r="130" spans="1:14" x14ac:dyDescent="0.2">
      <c r="A130" s="136"/>
      <c r="B130" s="106"/>
      <c r="C130" s="106"/>
      <c r="D130" s="106"/>
      <c r="E130" s="106"/>
      <c r="F130" s="106"/>
      <c r="G130" s="106"/>
      <c r="H130" s="106"/>
      <c r="I130" s="106"/>
      <c r="J130" s="106"/>
      <c r="K130" s="110" t="str">
        <f t="shared" si="3"/>
        <v/>
      </c>
      <c r="L130" s="111"/>
      <c r="M130" s="111"/>
      <c r="N130" s="112"/>
    </row>
    <row r="131" spans="1:14" x14ac:dyDescent="0.2">
      <c r="A131" s="135"/>
      <c r="B131" s="106"/>
      <c r="C131" s="106"/>
      <c r="D131" s="106"/>
      <c r="E131" s="106"/>
      <c r="F131" s="106"/>
      <c r="G131" s="106"/>
      <c r="H131" s="106"/>
      <c r="I131" s="106"/>
      <c r="J131" s="106"/>
      <c r="K131" s="107" t="str">
        <f t="shared" si="3"/>
        <v/>
      </c>
      <c r="L131" s="108"/>
      <c r="M131" s="108"/>
      <c r="N131" s="109"/>
    </row>
    <row r="132" spans="1:14" x14ac:dyDescent="0.2">
      <c r="A132" s="136"/>
      <c r="B132" s="106"/>
      <c r="C132" s="106"/>
      <c r="D132" s="106"/>
      <c r="E132" s="106"/>
      <c r="F132" s="106"/>
      <c r="G132" s="106"/>
      <c r="H132" s="106"/>
      <c r="I132" s="106"/>
      <c r="J132" s="106"/>
      <c r="K132" s="110" t="str">
        <f t="shared" si="3"/>
        <v/>
      </c>
      <c r="L132" s="111"/>
      <c r="M132" s="111"/>
      <c r="N132" s="112"/>
    </row>
    <row r="133" spans="1:14" x14ac:dyDescent="0.2">
      <c r="A133" s="135"/>
      <c r="B133" s="106"/>
      <c r="C133" s="106"/>
      <c r="D133" s="106"/>
      <c r="E133" s="106"/>
      <c r="F133" s="106"/>
      <c r="G133" s="106"/>
      <c r="H133" s="106"/>
      <c r="I133" s="106"/>
      <c r="J133" s="106"/>
      <c r="K133" s="107" t="str">
        <f t="shared" si="3"/>
        <v/>
      </c>
      <c r="L133" s="108"/>
      <c r="M133" s="108"/>
      <c r="N133" s="109"/>
    </row>
    <row r="134" spans="1:14" x14ac:dyDescent="0.2">
      <c r="A134" s="136"/>
      <c r="B134" s="106"/>
      <c r="C134" s="106"/>
      <c r="D134" s="106"/>
      <c r="E134" s="106"/>
      <c r="F134" s="106"/>
      <c r="G134" s="106"/>
      <c r="H134" s="106"/>
      <c r="I134" s="106"/>
      <c r="J134" s="106"/>
      <c r="K134" s="110" t="str">
        <f t="shared" si="3"/>
        <v/>
      </c>
      <c r="L134" s="111"/>
      <c r="M134" s="111"/>
      <c r="N134" s="112"/>
    </row>
    <row r="135" spans="1:14" x14ac:dyDescent="0.2">
      <c r="A135" s="135"/>
      <c r="B135" s="106"/>
      <c r="C135" s="106"/>
      <c r="D135" s="106"/>
      <c r="E135" s="106"/>
      <c r="F135" s="106"/>
      <c r="G135" s="106"/>
      <c r="H135" s="106"/>
      <c r="I135" s="106"/>
      <c r="J135" s="106"/>
      <c r="K135" s="107" t="str">
        <f t="shared" ref="K135:K166" si="4">IF($A135="","",N($B135)*1000+N($C135)*500+N($D135)*100+N($E135)*50+N($F135)*20+N($G135)*10+N($H135)*5+N($I135)*2+N($J135)*1)</f>
        <v/>
      </c>
      <c r="L135" s="108"/>
      <c r="M135" s="108"/>
      <c r="N135" s="109"/>
    </row>
    <row r="136" spans="1:14" x14ac:dyDescent="0.2">
      <c r="A136" s="136"/>
      <c r="B136" s="106"/>
      <c r="C136" s="106"/>
      <c r="D136" s="106"/>
      <c r="E136" s="106"/>
      <c r="F136" s="106"/>
      <c r="G136" s="106"/>
      <c r="H136" s="106"/>
      <c r="I136" s="106"/>
      <c r="J136" s="106"/>
      <c r="K136" s="110" t="str">
        <f t="shared" si="4"/>
        <v/>
      </c>
      <c r="L136" s="111"/>
      <c r="M136" s="111"/>
      <c r="N136" s="112"/>
    </row>
    <row r="137" spans="1:14" x14ac:dyDescent="0.2">
      <c r="A137" s="135"/>
      <c r="B137" s="106"/>
      <c r="C137" s="106"/>
      <c r="D137" s="106"/>
      <c r="E137" s="106"/>
      <c r="F137" s="106"/>
      <c r="G137" s="106"/>
      <c r="H137" s="106"/>
      <c r="I137" s="106"/>
      <c r="J137" s="106"/>
      <c r="K137" s="107" t="str">
        <f t="shared" si="4"/>
        <v/>
      </c>
      <c r="L137" s="108"/>
      <c r="M137" s="108"/>
      <c r="N137" s="109"/>
    </row>
    <row r="138" spans="1:14" x14ac:dyDescent="0.2">
      <c r="A138" s="136"/>
      <c r="B138" s="106"/>
      <c r="C138" s="106"/>
      <c r="D138" s="106"/>
      <c r="E138" s="106"/>
      <c r="F138" s="106"/>
      <c r="G138" s="106"/>
      <c r="H138" s="106"/>
      <c r="I138" s="106"/>
      <c r="J138" s="106"/>
      <c r="K138" s="110" t="str">
        <f t="shared" si="4"/>
        <v/>
      </c>
      <c r="L138" s="111"/>
      <c r="M138" s="111"/>
      <c r="N138" s="112"/>
    </row>
    <row r="139" spans="1:14" x14ac:dyDescent="0.2">
      <c r="A139" s="135"/>
      <c r="B139" s="106"/>
      <c r="C139" s="106"/>
      <c r="D139" s="106"/>
      <c r="E139" s="106"/>
      <c r="F139" s="106"/>
      <c r="G139" s="106"/>
      <c r="H139" s="106"/>
      <c r="I139" s="106"/>
      <c r="J139" s="106"/>
      <c r="K139" s="107" t="str">
        <f t="shared" si="4"/>
        <v/>
      </c>
      <c r="L139" s="108"/>
      <c r="M139" s="108"/>
      <c r="N139" s="109"/>
    </row>
    <row r="140" spans="1:14" x14ac:dyDescent="0.2">
      <c r="A140" s="136"/>
      <c r="B140" s="106"/>
      <c r="C140" s="106"/>
      <c r="D140" s="106"/>
      <c r="E140" s="106"/>
      <c r="F140" s="106"/>
      <c r="G140" s="106"/>
      <c r="H140" s="106"/>
      <c r="I140" s="106"/>
      <c r="J140" s="106"/>
      <c r="K140" s="110" t="str">
        <f t="shared" si="4"/>
        <v/>
      </c>
      <c r="L140" s="111"/>
      <c r="M140" s="111"/>
      <c r="N140" s="112"/>
    </row>
    <row r="141" spans="1:14" x14ac:dyDescent="0.2">
      <c r="A141" s="135"/>
      <c r="B141" s="106"/>
      <c r="C141" s="106"/>
      <c r="D141" s="106"/>
      <c r="E141" s="106"/>
      <c r="F141" s="106"/>
      <c r="G141" s="106"/>
      <c r="H141" s="106"/>
      <c r="I141" s="106"/>
      <c r="J141" s="106"/>
      <c r="K141" s="107" t="str">
        <f t="shared" si="4"/>
        <v/>
      </c>
      <c r="L141" s="108"/>
      <c r="M141" s="108"/>
      <c r="N141" s="109"/>
    </row>
    <row r="142" spans="1:14" x14ac:dyDescent="0.2">
      <c r="A142" s="136"/>
      <c r="B142" s="106"/>
      <c r="C142" s="106"/>
      <c r="D142" s="106"/>
      <c r="E142" s="106"/>
      <c r="F142" s="106"/>
      <c r="G142" s="106"/>
      <c r="H142" s="106"/>
      <c r="I142" s="106"/>
      <c r="J142" s="106"/>
      <c r="K142" s="110" t="str">
        <f t="shared" si="4"/>
        <v/>
      </c>
      <c r="L142" s="111"/>
      <c r="M142" s="111"/>
      <c r="N142" s="112"/>
    </row>
    <row r="143" spans="1:14" x14ac:dyDescent="0.2">
      <c r="A143" s="135"/>
      <c r="B143" s="106"/>
      <c r="C143" s="106"/>
      <c r="D143" s="106"/>
      <c r="E143" s="106"/>
      <c r="F143" s="106"/>
      <c r="G143" s="106"/>
      <c r="H143" s="106"/>
      <c r="I143" s="106"/>
      <c r="J143" s="106"/>
      <c r="K143" s="107" t="str">
        <f t="shared" si="4"/>
        <v/>
      </c>
      <c r="L143" s="108"/>
      <c r="M143" s="108"/>
      <c r="N143" s="109"/>
    </row>
    <row r="144" spans="1:14" x14ac:dyDescent="0.2">
      <c r="A144" s="136"/>
      <c r="B144" s="106"/>
      <c r="C144" s="106"/>
      <c r="D144" s="106"/>
      <c r="E144" s="106"/>
      <c r="F144" s="106"/>
      <c r="G144" s="106"/>
      <c r="H144" s="106"/>
      <c r="I144" s="106"/>
      <c r="J144" s="106"/>
      <c r="K144" s="110" t="str">
        <f t="shared" si="4"/>
        <v/>
      </c>
      <c r="L144" s="111"/>
      <c r="M144" s="111"/>
      <c r="N144" s="112"/>
    </row>
    <row r="145" spans="1:14" x14ac:dyDescent="0.2">
      <c r="A145" s="135"/>
      <c r="B145" s="106"/>
      <c r="C145" s="106"/>
      <c r="D145" s="106"/>
      <c r="E145" s="106"/>
      <c r="F145" s="106"/>
      <c r="G145" s="106"/>
      <c r="H145" s="106"/>
      <c r="I145" s="106"/>
      <c r="J145" s="106"/>
      <c r="K145" s="107" t="str">
        <f t="shared" si="4"/>
        <v/>
      </c>
      <c r="L145" s="108"/>
      <c r="M145" s="108"/>
      <c r="N145" s="109"/>
    </row>
    <row r="146" spans="1:14" x14ac:dyDescent="0.2">
      <c r="A146" s="136"/>
      <c r="B146" s="106"/>
      <c r="C146" s="106"/>
      <c r="D146" s="106"/>
      <c r="E146" s="106"/>
      <c r="F146" s="106"/>
      <c r="G146" s="106"/>
      <c r="H146" s="106"/>
      <c r="I146" s="106"/>
      <c r="J146" s="106"/>
      <c r="K146" s="110" t="str">
        <f t="shared" si="4"/>
        <v/>
      </c>
      <c r="L146" s="111"/>
      <c r="M146" s="111"/>
      <c r="N146" s="112"/>
    </row>
    <row r="147" spans="1:14" x14ac:dyDescent="0.2">
      <c r="A147" s="135"/>
      <c r="B147" s="106"/>
      <c r="C147" s="106"/>
      <c r="D147" s="106"/>
      <c r="E147" s="106"/>
      <c r="F147" s="106"/>
      <c r="G147" s="106"/>
      <c r="H147" s="106"/>
      <c r="I147" s="106"/>
      <c r="J147" s="106"/>
      <c r="K147" s="107" t="str">
        <f t="shared" si="4"/>
        <v/>
      </c>
      <c r="L147" s="108"/>
      <c r="M147" s="108"/>
      <c r="N147" s="109"/>
    </row>
    <row r="148" spans="1:14" x14ac:dyDescent="0.2">
      <c r="A148" s="136"/>
      <c r="B148" s="106"/>
      <c r="C148" s="106"/>
      <c r="D148" s="106"/>
      <c r="E148" s="106"/>
      <c r="F148" s="106"/>
      <c r="G148" s="106"/>
      <c r="H148" s="106"/>
      <c r="I148" s="106"/>
      <c r="J148" s="106"/>
      <c r="K148" s="110" t="str">
        <f t="shared" si="4"/>
        <v/>
      </c>
      <c r="L148" s="111"/>
      <c r="M148" s="111"/>
      <c r="N148" s="112"/>
    </row>
    <row r="149" spans="1:14" x14ac:dyDescent="0.2">
      <c r="A149" s="135"/>
      <c r="B149" s="106"/>
      <c r="C149" s="106"/>
      <c r="D149" s="106"/>
      <c r="E149" s="106"/>
      <c r="F149" s="106"/>
      <c r="G149" s="106"/>
      <c r="H149" s="106"/>
      <c r="I149" s="106"/>
      <c r="J149" s="106"/>
      <c r="K149" s="107" t="str">
        <f t="shared" si="4"/>
        <v/>
      </c>
      <c r="L149" s="108"/>
      <c r="M149" s="108"/>
      <c r="N149" s="109"/>
    </row>
    <row r="150" spans="1:14" x14ac:dyDescent="0.2">
      <c r="A150" s="136"/>
      <c r="B150" s="106"/>
      <c r="C150" s="106"/>
      <c r="D150" s="106"/>
      <c r="E150" s="106"/>
      <c r="F150" s="106"/>
      <c r="G150" s="106"/>
      <c r="H150" s="106"/>
      <c r="I150" s="106"/>
      <c r="J150" s="106"/>
      <c r="K150" s="110" t="str">
        <f t="shared" si="4"/>
        <v/>
      </c>
      <c r="L150" s="111"/>
      <c r="M150" s="111"/>
      <c r="N150" s="112"/>
    </row>
    <row r="151" spans="1:14" x14ac:dyDescent="0.2">
      <c r="A151" s="135"/>
      <c r="B151" s="106"/>
      <c r="C151" s="106"/>
      <c r="D151" s="106"/>
      <c r="E151" s="106"/>
      <c r="F151" s="106"/>
      <c r="G151" s="106"/>
      <c r="H151" s="106"/>
      <c r="I151" s="106"/>
      <c r="J151" s="106"/>
      <c r="K151" s="107" t="str">
        <f t="shared" si="4"/>
        <v/>
      </c>
      <c r="L151" s="108"/>
      <c r="M151" s="108"/>
      <c r="N151" s="109"/>
    </row>
    <row r="152" spans="1:14" x14ac:dyDescent="0.2">
      <c r="A152" s="136"/>
      <c r="B152" s="106"/>
      <c r="C152" s="106"/>
      <c r="D152" s="106"/>
      <c r="E152" s="106"/>
      <c r="F152" s="106"/>
      <c r="G152" s="106"/>
      <c r="H152" s="106"/>
      <c r="I152" s="106"/>
      <c r="J152" s="106"/>
      <c r="K152" s="110" t="str">
        <f t="shared" si="4"/>
        <v/>
      </c>
      <c r="L152" s="111"/>
      <c r="M152" s="111"/>
      <c r="N152" s="112"/>
    </row>
    <row r="153" spans="1:14" x14ac:dyDescent="0.2">
      <c r="A153" s="135"/>
      <c r="B153" s="106"/>
      <c r="C153" s="106"/>
      <c r="D153" s="106"/>
      <c r="E153" s="106"/>
      <c r="F153" s="106"/>
      <c r="G153" s="106"/>
      <c r="H153" s="106"/>
      <c r="I153" s="106"/>
      <c r="J153" s="106"/>
      <c r="K153" s="107" t="str">
        <f t="shared" si="4"/>
        <v/>
      </c>
      <c r="L153" s="108"/>
      <c r="M153" s="108"/>
      <c r="N153" s="109"/>
    </row>
    <row r="154" spans="1:14" x14ac:dyDescent="0.2">
      <c r="A154" s="136"/>
      <c r="B154" s="106"/>
      <c r="C154" s="106"/>
      <c r="D154" s="106"/>
      <c r="E154" s="106"/>
      <c r="F154" s="106"/>
      <c r="G154" s="106"/>
      <c r="H154" s="106"/>
      <c r="I154" s="106"/>
      <c r="J154" s="106"/>
      <c r="K154" s="110" t="str">
        <f t="shared" si="4"/>
        <v/>
      </c>
      <c r="L154" s="111"/>
      <c r="M154" s="111"/>
      <c r="N154" s="112"/>
    </row>
    <row r="155" spans="1:14" x14ac:dyDescent="0.2">
      <c r="A155" s="135"/>
      <c r="B155" s="106"/>
      <c r="C155" s="106"/>
      <c r="D155" s="106"/>
      <c r="E155" s="106"/>
      <c r="F155" s="106"/>
      <c r="G155" s="106"/>
      <c r="H155" s="106"/>
      <c r="I155" s="106"/>
      <c r="J155" s="106"/>
      <c r="K155" s="107" t="str">
        <f t="shared" si="4"/>
        <v/>
      </c>
      <c r="L155" s="108"/>
      <c r="M155" s="108"/>
      <c r="N155" s="109"/>
    </row>
    <row r="156" spans="1:14" x14ac:dyDescent="0.2">
      <c r="A156" s="136"/>
      <c r="B156" s="106"/>
      <c r="C156" s="106"/>
      <c r="D156" s="106"/>
      <c r="E156" s="106"/>
      <c r="F156" s="106"/>
      <c r="G156" s="106"/>
      <c r="H156" s="106"/>
      <c r="I156" s="106"/>
      <c r="J156" s="106"/>
      <c r="K156" s="110" t="str">
        <f t="shared" si="4"/>
        <v/>
      </c>
      <c r="L156" s="111"/>
      <c r="M156" s="111"/>
      <c r="N156" s="112"/>
    </row>
    <row r="157" spans="1:14" x14ac:dyDescent="0.2">
      <c r="A157" s="135"/>
      <c r="B157" s="106"/>
      <c r="C157" s="106"/>
      <c r="D157" s="106"/>
      <c r="E157" s="106"/>
      <c r="F157" s="106"/>
      <c r="G157" s="106"/>
      <c r="H157" s="106"/>
      <c r="I157" s="106"/>
      <c r="J157" s="106"/>
      <c r="K157" s="107" t="str">
        <f t="shared" si="4"/>
        <v/>
      </c>
      <c r="L157" s="108"/>
      <c r="M157" s="108"/>
      <c r="N157" s="109"/>
    </row>
    <row r="158" spans="1:14" x14ac:dyDescent="0.2">
      <c r="A158" s="136"/>
      <c r="B158" s="106"/>
      <c r="C158" s="106"/>
      <c r="D158" s="106"/>
      <c r="E158" s="106"/>
      <c r="F158" s="106"/>
      <c r="G158" s="106"/>
      <c r="H158" s="106"/>
      <c r="I158" s="106"/>
      <c r="J158" s="106"/>
      <c r="K158" s="110" t="str">
        <f t="shared" si="4"/>
        <v/>
      </c>
      <c r="L158" s="111"/>
      <c r="M158" s="111"/>
      <c r="N158" s="112"/>
    </row>
    <row r="159" spans="1:14" x14ac:dyDescent="0.2">
      <c r="A159" s="135"/>
      <c r="B159" s="106"/>
      <c r="C159" s="106"/>
      <c r="D159" s="106"/>
      <c r="E159" s="106"/>
      <c r="F159" s="106"/>
      <c r="G159" s="106"/>
      <c r="H159" s="106"/>
      <c r="I159" s="106"/>
      <c r="J159" s="106"/>
      <c r="K159" s="107" t="str">
        <f t="shared" si="4"/>
        <v/>
      </c>
      <c r="L159" s="108"/>
      <c r="M159" s="108"/>
      <c r="N159" s="109"/>
    </row>
    <row r="160" spans="1:14" x14ac:dyDescent="0.2">
      <c r="A160" s="136"/>
      <c r="B160" s="106"/>
      <c r="C160" s="106"/>
      <c r="D160" s="106"/>
      <c r="E160" s="106"/>
      <c r="F160" s="106"/>
      <c r="G160" s="106"/>
      <c r="H160" s="106"/>
      <c r="I160" s="106"/>
      <c r="J160" s="106"/>
      <c r="K160" s="110" t="str">
        <f t="shared" si="4"/>
        <v/>
      </c>
      <c r="L160" s="111"/>
      <c r="M160" s="111"/>
      <c r="N160" s="112"/>
    </row>
    <row r="161" spans="1:14" x14ac:dyDescent="0.2">
      <c r="A161" s="135"/>
      <c r="B161" s="106"/>
      <c r="C161" s="106"/>
      <c r="D161" s="106"/>
      <c r="E161" s="106"/>
      <c r="F161" s="106"/>
      <c r="G161" s="106"/>
      <c r="H161" s="106"/>
      <c r="I161" s="106"/>
      <c r="J161" s="106"/>
      <c r="K161" s="107" t="str">
        <f t="shared" si="4"/>
        <v/>
      </c>
      <c r="L161" s="108"/>
      <c r="M161" s="108"/>
      <c r="N161" s="109"/>
    </row>
    <row r="162" spans="1:14" x14ac:dyDescent="0.2">
      <c r="A162" s="136"/>
      <c r="B162" s="106"/>
      <c r="C162" s="106"/>
      <c r="D162" s="106"/>
      <c r="E162" s="106"/>
      <c r="F162" s="106"/>
      <c r="G162" s="106"/>
      <c r="H162" s="106"/>
      <c r="I162" s="106"/>
      <c r="J162" s="106"/>
      <c r="K162" s="110" t="str">
        <f t="shared" si="4"/>
        <v/>
      </c>
      <c r="L162" s="111"/>
      <c r="M162" s="111"/>
      <c r="N162" s="112"/>
    </row>
    <row r="163" spans="1:14" x14ac:dyDescent="0.2">
      <c r="A163" s="135"/>
      <c r="B163" s="106"/>
      <c r="C163" s="106"/>
      <c r="D163" s="106"/>
      <c r="E163" s="106"/>
      <c r="F163" s="106"/>
      <c r="G163" s="106"/>
      <c r="H163" s="106"/>
      <c r="I163" s="106"/>
      <c r="J163" s="106"/>
      <c r="K163" s="107" t="str">
        <f t="shared" si="4"/>
        <v/>
      </c>
      <c r="L163" s="108"/>
      <c r="M163" s="108"/>
      <c r="N163" s="109"/>
    </row>
    <row r="164" spans="1:14" x14ac:dyDescent="0.2">
      <c r="A164" s="136"/>
      <c r="B164" s="106"/>
      <c r="C164" s="106"/>
      <c r="D164" s="106"/>
      <c r="E164" s="106"/>
      <c r="F164" s="106"/>
      <c r="G164" s="106"/>
      <c r="H164" s="106"/>
      <c r="I164" s="106"/>
      <c r="J164" s="106"/>
      <c r="K164" s="110" t="str">
        <f t="shared" si="4"/>
        <v/>
      </c>
      <c r="L164" s="111"/>
      <c r="M164" s="111"/>
      <c r="N164" s="112"/>
    </row>
    <row r="165" spans="1:14" x14ac:dyDescent="0.2">
      <c r="A165" s="135"/>
      <c r="B165" s="106"/>
      <c r="C165" s="106"/>
      <c r="D165" s="106"/>
      <c r="E165" s="106"/>
      <c r="F165" s="106"/>
      <c r="G165" s="106"/>
      <c r="H165" s="106"/>
      <c r="I165" s="106"/>
      <c r="J165" s="106"/>
      <c r="K165" s="107" t="str">
        <f t="shared" si="4"/>
        <v/>
      </c>
      <c r="L165" s="108"/>
      <c r="M165" s="108"/>
      <c r="N165" s="109"/>
    </row>
    <row r="166" spans="1:14" x14ac:dyDescent="0.2">
      <c r="A166" s="136"/>
      <c r="B166" s="106"/>
      <c r="C166" s="106"/>
      <c r="D166" s="106"/>
      <c r="E166" s="106"/>
      <c r="F166" s="106"/>
      <c r="G166" s="106"/>
      <c r="H166" s="106"/>
      <c r="I166" s="106"/>
      <c r="J166" s="106"/>
      <c r="K166" s="110" t="str">
        <f t="shared" si="4"/>
        <v/>
      </c>
      <c r="L166" s="111"/>
      <c r="M166" s="111"/>
      <c r="N166" s="112"/>
    </row>
    <row r="167" spans="1:14" x14ac:dyDescent="0.2">
      <c r="A167" s="135"/>
      <c r="B167" s="106"/>
      <c r="C167" s="106"/>
      <c r="D167" s="106"/>
      <c r="E167" s="106"/>
      <c r="F167" s="106"/>
      <c r="G167" s="106"/>
      <c r="H167" s="106"/>
      <c r="I167" s="106"/>
      <c r="J167" s="106"/>
      <c r="K167" s="107" t="str">
        <f t="shared" ref="K167:K198" si="5">IF($A167="","",N($B167)*1000+N($C167)*500+N($D167)*100+N($E167)*50+N($F167)*20+N($G167)*10+N($H167)*5+N($I167)*2+N($J167)*1)</f>
        <v/>
      </c>
      <c r="L167" s="108"/>
      <c r="M167" s="108"/>
      <c r="N167" s="109"/>
    </row>
    <row r="168" spans="1:14" x14ac:dyDescent="0.2">
      <c r="A168" s="136"/>
      <c r="B168" s="106"/>
      <c r="C168" s="106"/>
      <c r="D168" s="106"/>
      <c r="E168" s="106"/>
      <c r="F168" s="106"/>
      <c r="G168" s="106"/>
      <c r="H168" s="106"/>
      <c r="I168" s="106"/>
      <c r="J168" s="106"/>
      <c r="K168" s="110" t="str">
        <f t="shared" si="5"/>
        <v/>
      </c>
      <c r="L168" s="111"/>
      <c r="M168" s="111"/>
      <c r="N168" s="112"/>
    </row>
    <row r="169" spans="1:14" x14ac:dyDescent="0.2">
      <c r="A169" s="135"/>
      <c r="B169" s="106"/>
      <c r="C169" s="106"/>
      <c r="D169" s="106"/>
      <c r="E169" s="106"/>
      <c r="F169" s="106"/>
      <c r="G169" s="106"/>
      <c r="H169" s="106"/>
      <c r="I169" s="106"/>
      <c r="J169" s="106"/>
      <c r="K169" s="107" t="str">
        <f t="shared" si="5"/>
        <v/>
      </c>
      <c r="L169" s="108"/>
      <c r="M169" s="108"/>
      <c r="N169" s="109"/>
    </row>
    <row r="170" spans="1:14" x14ac:dyDescent="0.2">
      <c r="A170" s="136"/>
      <c r="B170" s="106"/>
      <c r="C170" s="106"/>
      <c r="D170" s="106"/>
      <c r="E170" s="106"/>
      <c r="F170" s="106"/>
      <c r="G170" s="106"/>
      <c r="H170" s="106"/>
      <c r="I170" s="106"/>
      <c r="J170" s="106"/>
      <c r="K170" s="110" t="str">
        <f t="shared" si="5"/>
        <v/>
      </c>
      <c r="L170" s="111"/>
      <c r="M170" s="111"/>
      <c r="N170" s="112"/>
    </row>
    <row r="171" spans="1:14" x14ac:dyDescent="0.2">
      <c r="A171" s="135"/>
      <c r="B171" s="106"/>
      <c r="C171" s="106"/>
      <c r="D171" s="106"/>
      <c r="E171" s="106"/>
      <c r="F171" s="106"/>
      <c r="G171" s="106"/>
      <c r="H171" s="106"/>
      <c r="I171" s="106"/>
      <c r="J171" s="106"/>
      <c r="K171" s="107" t="str">
        <f t="shared" si="5"/>
        <v/>
      </c>
      <c r="L171" s="108"/>
      <c r="M171" s="108"/>
      <c r="N171" s="109"/>
    </row>
    <row r="172" spans="1:14" x14ac:dyDescent="0.2">
      <c r="A172" s="136"/>
      <c r="B172" s="106"/>
      <c r="C172" s="106"/>
      <c r="D172" s="106"/>
      <c r="E172" s="106"/>
      <c r="F172" s="106"/>
      <c r="G172" s="106"/>
      <c r="H172" s="106"/>
      <c r="I172" s="106"/>
      <c r="J172" s="106"/>
      <c r="K172" s="110" t="str">
        <f t="shared" si="5"/>
        <v/>
      </c>
      <c r="L172" s="111"/>
      <c r="M172" s="111"/>
      <c r="N172" s="112"/>
    </row>
    <row r="173" spans="1:14" x14ac:dyDescent="0.2">
      <c r="A173" s="135"/>
      <c r="B173" s="106"/>
      <c r="C173" s="106"/>
      <c r="D173" s="106"/>
      <c r="E173" s="106"/>
      <c r="F173" s="106"/>
      <c r="G173" s="106"/>
      <c r="H173" s="106"/>
      <c r="I173" s="106"/>
      <c r="J173" s="106"/>
      <c r="K173" s="107" t="str">
        <f t="shared" si="5"/>
        <v/>
      </c>
      <c r="L173" s="108"/>
      <c r="M173" s="108"/>
      <c r="N173" s="109"/>
    </row>
    <row r="174" spans="1:14" x14ac:dyDescent="0.2">
      <c r="A174" s="136"/>
      <c r="B174" s="106"/>
      <c r="C174" s="106"/>
      <c r="D174" s="106"/>
      <c r="E174" s="106"/>
      <c r="F174" s="106"/>
      <c r="G174" s="106"/>
      <c r="H174" s="106"/>
      <c r="I174" s="106"/>
      <c r="J174" s="106"/>
      <c r="K174" s="110" t="str">
        <f t="shared" si="5"/>
        <v/>
      </c>
      <c r="L174" s="111"/>
      <c r="M174" s="111"/>
      <c r="N174" s="112"/>
    </row>
    <row r="175" spans="1:14" x14ac:dyDescent="0.2">
      <c r="A175" s="135"/>
      <c r="B175" s="106"/>
      <c r="C175" s="106"/>
      <c r="D175" s="106"/>
      <c r="E175" s="106"/>
      <c r="F175" s="106"/>
      <c r="G175" s="106"/>
      <c r="H175" s="106"/>
      <c r="I175" s="106"/>
      <c r="J175" s="106"/>
      <c r="K175" s="107" t="str">
        <f t="shared" si="5"/>
        <v/>
      </c>
      <c r="L175" s="108"/>
      <c r="M175" s="108"/>
      <c r="N175" s="109"/>
    </row>
    <row r="176" spans="1:14" x14ac:dyDescent="0.2">
      <c r="A176" s="136"/>
      <c r="B176" s="106"/>
      <c r="C176" s="106"/>
      <c r="D176" s="106"/>
      <c r="E176" s="106"/>
      <c r="F176" s="106"/>
      <c r="G176" s="106"/>
      <c r="H176" s="106"/>
      <c r="I176" s="106"/>
      <c r="J176" s="106"/>
      <c r="K176" s="110" t="str">
        <f t="shared" si="5"/>
        <v/>
      </c>
      <c r="L176" s="111"/>
      <c r="M176" s="111"/>
      <c r="N176" s="112"/>
    </row>
    <row r="177" spans="1:14" x14ac:dyDescent="0.2">
      <c r="A177" s="135"/>
      <c r="B177" s="106"/>
      <c r="C177" s="106"/>
      <c r="D177" s="106"/>
      <c r="E177" s="106"/>
      <c r="F177" s="106"/>
      <c r="G177" s="106"/>
      <c r="H177" s="106"/>
      <c r="I177" s="106"/>
      <c r="J177" s="106"/>
      <c r="K177" s="107" t="str">
        <f t="shared" si="5"/>
        <v/>
      </c>
      <c r="L177" s="108"/>
      <c r="M177" s="108"/>
      <c r="N177" s="109"/>
    </row>
    <row r="178" spans="1:14" x14ac:dyDescent="0.2">
      <c r="A178" s="136"/>
      <c r="B178" s="106"/>
      <c r="C178" s="106"/>
      <c r="D178" s="106"/>
      <c r="E178" s="106"/>
      <c r="F178" s="106"/>
      <c r="G178" s="106"/>
      <c r="H178" s="106"/>
      <c r="I178" s="106"/>
      <c r="J178" s="106"/>
      <c r="K178" s="110" t="str">
        <f t="shared" si="5"/>
        <v/>
      </c>
      <c r="L178" s="111"/>
      <c r="M178" s="111"/>
      <c r="N178" s="112"/>
    </row>
    <row r="179" spans="1:14" x14ac:dyDescent="0.2">
      <c r="A179" s="135"/>
      <c r="B179" s="106"/>
      <c r="C179" s="106"/>
      <c r="D179" s="106"/>
      <c r="E179" s="106"/>
      <c r="F179" s="106"/>
      <c r="G179" s="106"/>
      <c r="H179" s="106"/>
      <c r="I179" s="106"/>
      <c r="J179" s="106"/>
      <c r="K179" s="107" t="str">
        <f t="shared" si="5"/>
        <v/>
      </c>
      <c r="L179" s="108"/>
      <c r="M179" s="108"/>
      <c r="N179" s="109"/>
    </row>
    <row r="180" spans="1:14" x14ac:dyDescent="0.2">
      <c r="A180" s="136"/>
      <c r="B180" s="106"/>
      <c r="C180" s="106"/>
      <c r="D180" s="106"/>
      <c r="E180" s="106"/>
      <c r="F180" s="106"/>
      <c r="G180" s="106"/>
      <c r="H180" s="106"/>
      <c r="I180" s="106"/>
      <c r="J180" s="106"/>
      <c r="K180" s="110" t="str">
        <f t="shared" si="5"/>
        <v/>
      </c>
      <c r="L180" s="111"/>
      <c r="M180" s="111"/>
      <c r="N180" s="112"/>
    </row>
    <row r="181" spans="1:14" x14ac:dyDescent="0.2">
      <c r="A181" s="135"/>
      <c r="B181" s="106"/>
      <c r="C181" s="106"/>
      <c r="D181" s="106"/>
      <c r="E181" s="106"/>
      <c r="F181" s="106"/>
      <c r="G181" s="106"/>
      <c r="H181" s="106"/>
      <c r="I181" s="106"/>
      <c r="J181" s="106"/>
      <c r="K181" s="107" t="str">
        <f t="shared" si="5"/>
        <v/>
      </c>
      <c r="L181" s="108"/>
      <c r="M181" s="108"/>
      <c r="N181" s="109"/>
    </row>
    <row r="182" spans="1:14" x14ac:dyDescent="0.2">
      <c r="A182" s="136"/>
      <c r="B182" s="106"/>
      <c r="C182" s="106"/>
      <c r="D182" s="106"/>
      <c r="E182" s="106"/>
      <c r="F182" s="106"/>
      <c r="G182" s="106"/>
      <c r="H182" s="106"/>
      <c r="I182" s="106"/>
      <c r="J182" s="106"/>
      <c r="K182" s="110" t="str">
        <f t="shared" si="5"/>
        <v/>
      </c>
      <c r="L182" s="111"/>
      <c r="M182" s="111"/>
      <c r="N182" s="112"/>
    </row>
    <row r="183" spans="1:14" x14ac:dyDescent="0.2">
      <c r="A183" s="135"/>
      <c r="B183" s="106"/>
      <c r="C183" s="106"/>
      <c r="D183" s="106"/>
      <c r="E183" s="106"/>
      <c r="F183" s="106"/>
      <c r="G183" s="106"/>
      <c r="H183" s="106"/>
      <c r="I183" s="106"/>
      <c r="J183" s="106"/>
      <c r="K183" s="107" t="str">
        <f t="shared" si="5"/>
        <v/>
      </c>
      <c r="L183" s="108"/>
      <c r="M183" s="108"/>
      <c r="N183" s="109"/>
    </row>
    <row r="184" spans="1:14" x14ac:dyDescent="0.2">
      <c r="A184" s="136"/>
      <c r="B184" s="106"/>
      <c r="C184" s="106"/>
      <c r="D184" s="106"/>
      <c r="E184" s="106"/>
      <c r="F184" s="106"/>
      <c r="G184" s="106"/>
      <c r="H184" s="106"/>
      <c r="I184" s="106"/>
      <c r="J184" s="106"/>
      <c r="K184" s="110" t="str">
        <f t="shared" si="5"/>
        <v/>
      </c>
      <c r="L184" s="111"/>
      <c r="M184" s="111"/>
      <c r="N184" s="112"/>
    </row>
    <row r="185" spans="1:14" x14ac:dyDescent="0.2">
      <c r="A185" s="135"/>
      <c r="B185" s="106"/>
      <c r="C185" s="106"/>
      <c r="D185" s="106"/>
      <c r="E185" s="106"/>
      <c r="F185" s="106"/>
      <c r="G185" s="106"/>
      <c r="H185" s="106"/>
      <c r="I185" s="106"/>
      <c r="J185" s="106"/>
      <c r="K185" s="107" t="str">
        <f t="shared" si="5"/>
        <v/>
      </c>
      <c r="L185" s="108"/>
      <c r="M185" s="108"/>
      <c r="N185" s="109"/>
    </row>
    <row r="186" spans="1:14" x14ac:dyDescent="0.2">
      <c r="A186" s="136"/>
      <c r="B186" s="106"/>
      <c r="C186" s="106"/>
      <c r="D186" s="106"/>
      <c r="E186" s="106"/>
      <c r="F186" s="106"/>
      <c r="G186" s="106"/>
      <c r="H186" s="106"/>
      <c r="I186" s="106"/>
      <c r="J186" s="106"/>
      <c r="K186" s="110" t="str">
        <f t="shared" si="5"/>
        <v/>
      </c>
      <c r="L186" s="111"/>
      <c r="M186" s="111"/>
      <c r="N186" s="112"/>
    </row>
    <row r="187" spans="1:14" x14ac:dyDescent="0.2">
      <c r="A187" s="135"/>
      <c r="B187" s="106"/>
      <c r="C187" s="106"/>
      <c r="D187" s="106"/>
      <c r="E187" s="106"/>
      <c r="F187" s="106"/>
      <c r="G187" s="106"/>
      <c r="H187" s="106"/>
      <c r="I187" s="106"/>
      <c r="J187" s="106"/>
      <c r="K187" s="107" t="str">
        <f t="shared" si="5"/>
        <v/>
      </c>
      <c r="L187" s="108"/>
      <c r="M187" s="108"/>
      <c r="N187" s="109"/>
    </row>
    <row r="188" spans="1:14" x14ac:dyDescent="0.2">
      <c r="A188" s="136"/>
      <c r="B188" s="106"/>
      <c r="C188" s="106"/>
      <c r="D188" s="106"/>
      <c r="E188" s="106"/>
      <c r="F188" s="106"/>
      <c r="G188" s="106"/>
      <c r="H188" s="106"/>
      <c r="I188" s="106"/>
      <c r="J188" s="106"/>
      <c r="K188" s="110" t="str">
        <f t="shared" si="5"/>
        <v/>
      </c>
      <c r="L188" s="111"/>
      <c r="M188" s="111"/>
      <c r="N188" s="112"/>
    </row>
    <row r="189" spans="1:14" x14ac:dyDescent="0.2">
      <c r="A189" s="135"/>
      <c r="B189" s="106"/>
      <c r="C189" s="106"/>
      <c r="D189" s="106"/>
      <c r="E189" s="106"/>
      <c r="F189" s="106"/>
      <c r="G189" s="106"/>
      <c r="H189" s="106"/>
      <c r="I189" s="106"/>
      <c r="J189" s="106"/>
      <c r="K189" s="107" t="str">
        <f t="shared" si="5"/>
        <v/>
      </c>
      <c r="L189" s="108"/>
      <c r="M189" s="108"/>
      <c r="N189" s="109"/>
    </row>
    <row r="190" spans="1:14" x14ac:dyDescent="0.2">
      <c r="A190" s="136"/>
      <c r="B190" s="106"/>
      <c r="C190" s="106"/>
      <c r="D190" s="106"/>
      <c r="E190" s="106"/>
      <c r="F190" s="106"/>
      <c r="G190" s="106"/>
      <c r="H190" s="106"/>
      <c r="I190" s="106"/>
      <c r="J190" s="106"/>
      <c r="K190" s="110" t="str">
        <f t="shared" si="5"/>
        <v/>
      </c>
      <c r="L190" s="111"/>
      <c r="M190" s="111"/>
      <c r="N190" s="112"/>
    </row>
    <row r="191" spans="1:14" x14ac:dyDescent="0.2">
      <c r="A191" s="135"/>
      <c r="B191" s="106"/>
      <c r="C191" s="106"/>
      <c r="D191" s="106"/>
      <c r="E191" s="106"/>
      <c r="F191" s="106"/>
      <c r="G191" s="106"/>
      <c r="H191" s="106"/>
      <c r="I191" s="106"/>
      <c r="J191" s="106"/>
      <c r="K191" s="107" t="str">
        <f t="shared" si="5"/>
        <v/>
      </c>
      <c r="L191" s="108"/>
      <c r="M191" s="108"/>
      <c r="N191" s="109"/>
    </row>
    <row r="192" spans="1:14" x14ac:dyDescent="0.2">
      <c r="A192" s="136"/>
      <c r="B192" s="106"/>
      <c r="C192" s="106"/>
      <c r="D192" s="106"/>
      <c r="E192" s="106"/>
      <c r="F192" s="106"/>
      <c r="G192" s="106"/>
      <c r="H192" s="106"/>
      <c r="I192" s="106"/>
      <c r="J192" s="106"/>
      <c r="K192" s="110" t="str">
        <f t="shared" si="5"/>
        <v/>
      </c>
      <c r="L192" s="111"/>
      <c r="M192" s="111"/>
      <c r="N192" s="112"/>
    </row>
    <row r="193" spans="1:14" x14ac:dyDescent="0.2">
      <c r="A193" s="135"/>
      <c r="B193" s="106"/>
      <c r="C193" s="106"/>
      <c r="D193" s="106"/>
      <c r="E193" s="106"/>
      <c r="F193" s="106"/>
      <c r="G193" s="106"/>
      <c r="H193" s="106"/>
      <c r="I193" s="106"/>
      <c r="J193" s="106"/>
      <c r="K193" s="107" t="str">
        <f t="shared" si="5"/>
        <v/>
      </c>
      <c r="L193" s="108"/>
      <c r="M193" s="108"/>
      <c r="N193" s="109"/>
    </row>
    <row r="194" spans="1:14" x14ac:dyDescent="0.2">
      <c r="A194" s="136"/>
      <c r="B194" s="106"/>
      <c r="C194" s="106"/>
      <c r="D194" s="106"/>
      <c r="E194" s="106"/>
      <c r="F194" s="106"/>
      <c r="G194" s="106"/>
      <c r="H194" s="106"/>
      <c r="I194" s="106"/>
      <c r="J194" s="106"/>
      <c r="K194" s="110" t="str">
        <f t="shared" si="5"/>
        <v/>
      </c>
      <c r="L194" s="111"/>
      <c r="M194" s="111"/>
      <c r="N194" s="112"/>
    </row>
    <row r="195" spans="1:14" x14ac:dyDescent="0.2">
      <c r="A195" s="135"/>
      <c r="B195" s="106"/>
      <c r="C195" s="106"/>
      <c r="D195" s="106"/>
      <c r="E195" s="106"/>
      <c r="F195" s="106"/>
      <c r="G195" s="106"/>
      <c r="H195" s="106"/>
      <c r="I195" s="106"/>
      <c r="J195" s="106"/>
      <c r="K195" s="107" t="str">
        <f t="shared" si="5"/>
        <v/>
      </c>
      <c r="L195" s="108"/>
      <c r="M195" s="108"/>
      <c r="N195" s="109"/>
    </row>
    <row r="196" spans="1:14" x14ac:dyDescent="0.2">
      <c r="A196" s="136"/>
      <c r="B196" s="106"/>
      <c r="C196" s="106"/>
      <c r="D196" s="106"/>
      <c r="E196" s="106"/>
      <c r="F196" s="106"/>
      <c r="G196" s="106"/>
      <c r="H196" s="106"/>
      <c r="I196" s="106"/>
      <c r="J196" s="106"/>
      <c r="K196" s="110" t="str">
        <f t="shared" si="5"/>
        <v/>
      </c>
      <c r="L196" s="111"/>
      <c r="M196" s="111"/>
      <c r="N196" s="112"/>
    </row>
    <row r="197" spans="1:14" x14ac:dyDescent="0.2">
      <c r="A197" s="135"/>
      <c r="B197" s="106"/>
      <c r="C197" s="106"/>
      <c r="D197" s="106"/>
      <c r="E197" s="106"/>
      <c r="F197" s="106"/>
      <c r="G197" s="106"/>
      <c r="H197" s="106"/>
      <c r="I197" s="106"/>
      <c r="J197" s="106"/>
      <c r="K197" s="107" t="str">
        <f t="shared" si="5"/>
        <v/>
      </c>
      <c r="L197" s="108"/>
      <c r="M197" s="108"/>
      <c r="N197" s="109"/>
    </row>
    <row r="198" spans="1:14" x14ac:dyDescent="0.2">
      <c r="A198" s="136"/>
      <c r="B198" s="106"/>
      <c r="C198" s="106"/>
      <c r="D198" s="106"/>
      <c r="E198" s="106"/>
      <c r="F198" s="106"/>
      <c r="G198" s="106"/>
      <c r="H198" s="106"/>
      <c r="I198" s="106"/>
      <c r="J198" s="106"/>
      <c r="K198" s="110" t="str">
        <f t="shared" si="5"/>
        <v/>
      </c>
      <c r="L198" s="111"/>
      <c r="M198" s="111"/>
      <c r="N198" s="112"/>
    </row>
    <row r="199" spans="1:14" x14ac:dyDescent="0.2">
      <c r="A199" s="135"/>
      <c r="B199" s="106"/>
      <c r="C199" s="106"/>
      <c r="D199" s="106"/>
      <c r="E199" s="106"/>
      <c r="F199" s="106"/>
      <c r="G199" s="106"/>
      <c r="H199" s="106"/>
      <c r="I199" s="106"/>
      <c r="J199" s="106"/>
      <c r="K199" s="107" t="str">
        <f t="shared" ref="K199:K206" si="6">IF($A199="","",N($B199)*1000+N($C199)*500+N($D199)*100+N($E199)*50+N($F199)*20+N($G199)*10+N($H199)*5+N($I199)*2+N($J199)*1)</f>
        <v/>
      </c>
      <c r="L199" s="108"/>
      <c r="M199" s="108"/>
      <c r="N199" s="109"/>
    </row>
    <row r="200" spans="1:14" x14ac:dyDescent="0.2">
      <c r="A200" s="136"/>
      <c r="B200" s="106"/>
      <c r="C200" s="106"/>
      <c r="D200" s="106"/>
      <c r="E200" s="106"/>
      <c r="F200" s="106"/>
      <c r="G200" s="106"/>
      <c r="H200" s="106"/>
      <c r="I200" s="106"/>
      <c r="J200" s="106"/>
      <c r="K200" s="110" t="str">
        <f t="shared" si="6"/>
        <v/>
      </c>
      <c r="L200" s="111"/>
      <c r="M200" s="111"/>
      <c r="N200" s="112"/>
    </row>
    <row r="201" spans="1:14" x14ac:dyDescent="0.2">
      <c r="A201" s="135"/>
      <c r="B201" s="106"/>
      <c r="C201" s="106"/>
      <c r="D201" s="106"/>
      <c r="E201" s="106"/>
      <c r="F201" s="106"/>
      <c r="G201" s="106"/>
      <c r="H201" s="106"/>
      <c r="I201" s="106"/>
      <c r="J201" s="106"/>
      <c r="K201" s="107" t="str">
        <f t="shared" si="6"/>
        <v/>
      </c>
      <c r="L201" s="108"/>
      <c r="M201" s="108"/>
      <c r="N201" s="109"/>
    </row>
    <row r="202" spans="1:14" x14ac:dyDescent="0.2">
      <c r="A202" s="136"/>
      <c r="B202" s="106"/>
      <c r="C202" s="106"/>
      <c r="D202" s="106"/>
      <c r="E202" s="106"/>
      <c r="F202" s="106"/>
      <c r="G202" s="106"/>
      <c r="H202" s="106"/>
      <c r="I202" s="106"/>
      <c r="J202" s="106"/>
      <c r="K202" s="110" t="str">
        <f t="shared" si="6"/>
        <v/>
      </c>
      <c r="L202" s="111"/>
      <c r="M202" s="111"/>
      <c r="N202" s="112"/>
    </row>
    <row r="203" spans="1:14" x14ac:dyDescent="0.2">
      <c r="A203" s="135"/>
      <c r="B203" s="106"/>
      <c r="C203" s="106"/>
      <c r="D203" s="106"/>
      <c r="E203" s="106"/>
      <c r="F203" s="106"/>
      <c r="G203" s="106"/>
      <c r="H203" s="106"/>
      <c r="I203" s="106"/>
      <c r="J203" s="106"/>
      <c r="K203" s="107" t="str">
        <f t="shared" si="6"/>
        <v/>
      </c>
      <c r="L203" s="108"/>
      <c r="M203" s="108"/>
      <c r="N203" s="109"/>
    </row>
    <row r="204" spans="1:14" x14ac:dyDescent="0.2">
      <c r="A204" s="136"/>
      <c r="B204" s="106"/>
      <c r="C204" s="106"/>
      <c r="D204" s="106"/>
      <c r="E204" s="106"/>
      <c r="F204" s="106"/>
      <c r="G204" s="106"/>
      <c r="H204" s="106"/>
      <c r="I204" s="106"/>
      <c r="J204" s="106"/>
      <c r="K204" s="110" t="str">
        <f t="shared" si="6"/>
        <v/>
      </c>
      <c r="L204" s="111"/>
      <c r="M204" s="111"/>
      <c r="N204" s="112"/>
    </row>
    <row r="205" spans="1:14" x14ac:dyDescent="0.2">
      <c r="A205" s="135"/>
      <c r="B205" s="106"/>
      <c r="C205" s="106"/>
      <c r="D205" s="106"/>
      <c r="E205" s="106"/>
      <c r="F205" s="106"/>
      <c r="G205" s="106"/>
      <c r="H205" s="106"/>
      <c r="I205" s="106"/>
      <c r="J205" s="106"/>
      <c r="K205" s="107" t="str">
        <f t="shared" si="6"/>
        <v/>
      </c>
      <c r="L205" s="108"/>
      <c r="M205" s="108"/>
      <c r="N205" s="109"/>
    </row>
    <row r="206" spans="1:14" x14ac:dyDescent="0.2">
      <c r="A206" s="136"/>
      <c r="B206" s="106"/>
      <c r="C206" s="106"/>
      <c r="D206" s="106"/>
      <c r="E206" s="106"/>
      <c r="F206" s="106"/>
      <c r="G206" s="106"/>
      <c r="H206" s="106"/>
      <c r="I206" s="106"/>
      <c r="J206" s="106"/>
      <c r="K206" s="110" t="str">
        <f t="shared" si="6"/>
        <v/>
      </c>
      <c r="L206" s="111"/>
      <c r="M206" s="111"/>
      <c r="N206" s="112"/>
    </row>
    <row r="207" spans="1:14" x14ac:dyDescent="0.2">
      <c r="A207" s="137" t="s">
        <v>598</v>
      </c>
      <c r="B207" s="113">
        <f t="shared" ref="B207:K207" si="7">SUM(B7:B206)</f>
        <v>0</v>
      </c>
      <c r="C207" s="113">
        <f t="shared" si="7"/>
        <v>0</v>
      </c>
      <c r="D207" s="113">
        <f t="shared" si="7"/>
        <v>0</v>
      </c>
      <c r="E207" s="113">
        <f t="shared" si="7"/>
        <v>0</v>
      </c>
      <c r="F207" s="113">
        <f t="shared" si="7"/>
        <v>0</v>
      </c>
      <c r="G207" s="113">
        <f t="shared" si="7"/>
        <v>0</v>
      </c>
      <c r="H207" s="113">
        <f t="shared" si="7"/>
        <v>0</v>
      </c>
      <c r="I207" s="113">
        <f t="shared" si="7"/>
        <v>0</v>
      </c>
      <c r="J207" s="113">
        <f t="shared" si="7"/>
        <v>0</v>
      </c>
      <c r="K207" s="114">
        <f t="shared" si="7"/>
        <v>0</v>
      </c>
      <c r="L207" s="115"/>
      <c r="M207" s="115"/>
      <c r="N207" s="115"/>
    </row>
    <row r="209" spans="1:1" x14ac:dyDescent="0.2">
      <c r="A209" s="116" t="s">
        <v>599</v>
      </c>
    </row>
    <row r="210" spans="1:1" x14ac:dyDescent="0.2">
      <c r="A210" s="117" t="s">
        <v>600</v>
      </c>
    </row>
    <row r="211" spans="1:1" x14ac:dyDescent="0.2">
      <c r="A211" s="117" t="s">
        <v>601</v>
      </c>
    </row>
  </sheetData>
  <mergeCells count="4">
    <mergeCell ref="K4:L4"/>
    <mergeCell ref="M4:N4"/>
    <mergeCell ref="A2:N2"/>
    <mergeCell ref="A1:N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  <pageSetUpPr fitToPage="1"/>
  </sheetPr>
  <dimension ref="A1:H502"/>
  <sheetViews>
    <sheetView showGridLines="0" workbookViewId="0">
      <pane ySplit="2" topLeftCell="A21" activePane="bottomLeft" state="frozen"/>
      <selection pane="bottomLeft" activeCell="F21" sqref="F21"/>
    </sheetView>
  </sheetViews>
  <sheetFormatPr baseColWidth="10" defaultColWidth="8.83203125" defaultRowHeight="15" x14ac:dyDescent="0.2"/>
  <cols>
    <col min="1" max="1" width="10.33203125" bestFit="1" customWidth="1"/>
    <col min="2" max="2" width="24" customWidth="1"/>
    <col min="5" max="6" width="12.5" bestFit="1" customWidth="1"/>
    <col min="7" max="7" width="13.5" bestFit="1" customWidth="1"/>
    <col min="8" max="8" width="28" customWidth="1"/>
  </cols>
  <sheetData>
    <row r="1" spans="1:8" ht="32" customHeight="1" x14ac:dyDescent="0.2">
      <c r="A1" s="155" t="s">
        <v>602</v>
      </c>
      <c r="B1" s="153"/>
      <c r="C1" s="153"/>
      <c r="D1" s="153"/>
      <c r="E1" s="153"/>
      <c r="F1" s="153"/>
      <c r="G1" s="153"/>
      <c r="H1" s="153"/>
    </row>
    <row r="2" spans="1:8" ht="28" customHeight="1" x14ac:dyDescent="0.2">
      <c r="A2" s="3" t="s">
        <v>11</v>
      </c>
      <c r="B2" s="3" t="s">
        <v>603</v>
      </c>
      <c r="C2" s="3" t="s">
        <v>604</v>
      </c>
      <c r="D2" s="3" t="s">
        <v>605</v>
      </c>
      <c r="E2" s="3" t="s">
        <v>43</v>
      </c>
      <c r="F2" s="3" t="s">
        <v>44</v>
      </c>
      <c r="G2" s="3" t="s">
        <v>606</v>
      </c>
      <c r="H2" s="3" t="s">
        <v>607</v>
      </c>
    </row>
    <row r="3" spans="1:8" x14ac:dyDescent="0.2">
      <c r="A3" s="130">
        <v>66916</v>
      </c>
      <c r="B3" s="4" t="s">
        <v>608</v>
      </c>
      <c r="C3" s="4" t="s">
        <v>609</v>
      </c>
      <c r="D3" s="4"/>
      <c r="E3" s="5"/>
      <c r="F3" s="5">
        <v>0</v>
      </c>
      <c r="G3" s="5">
        <f>IF($B3="","",$F3-$E3)</f>
        <v>0</v>
      </c>
      <c r="H3" s="4" t="s">
        <v>610</v>
      </c>
    </row>
    <row r="4" spans="1:8" x14ac:dyDescent="0.2">
      <c r="A4" s="130">
        <v>66916</v>
      </c>
      <c r="B4" s="4" t="s">
        <v>18</v>
      </c>
      <c r="C4" s="4" t="s">
        <v>611</v>
      </c>
      <c r="D4" s="4"/>
      <c r="E4" s="5">
        <v>0</v>
      </c>
      <c r="F4" s="5">
        <v>30294</v>
      </c>
      <c r="G4" s="5">
        <f t="shared" ref="G4:G67" si="0">IF($B4="","",$G3+$F4-$E4)</f>
        <v>30294</v>
      </c>
      <c r="H4" s="4" t="s">
        <v>612</v>
      </c>
    </row>
    <row r="5" spans="1:8" x14ac:dyDescent="0.2">
      <c r="A5" s="130">
        <v>66916</v>
      </c>
      <c r="B5" s="4" t="s">
        <v>19</v>
      </c>
      <c r="C5" s="4" t="s">
        <v>613</v>
      </c>
      <c r="D5" s="4"/>
      <c r="E5" s="5">
        <v>46566.06</v>
      </c>
      <c r="F5" s="5">
        <v>0</v>
      </c>
      <c r="G5" s="5">
        <f t="shared" si="0"/>
        <v>-16272.059999999998</v>
      </c>
      <c r="H5" s="4" t="s">
        <v>614</v>
      </c>
    </row>
    <row r="6" spans="1:8" x14ac:dyDescent="0.2">
      <c r="A6" s="130">
        <v>66917</v>
      </c>
      <c r="B6" s="4" t="s">
        <v>18</v>
      </c>
      <c r="C6" s="4" t="s">
        <v>611</v>
      </c>
      <c r="D6" s="4"/>
      <c r="E6" s="5">
        <v>0</v>
      </c>
      <c r="F6" s="5">
        <v>56542</v>
      </c>
      <c r="G6" s="5">
        <f t="shared" si="0"/>
        <v>40269.94</v>
      </c>
      <c r="H6" s="4" t="s">
        <v>612</v>
      </c>
    </row>
    <row r="7" spans="1:8" x14ac:dyDescent="0.2">
      <c r="A7" s="130">
        <v>66917</v>
      </c>
      <c r="B7" s="4" t="s">
        <v>19</v>
      </c>
      <c r="C7" s="4" t="s">
        <v>613</v>
      </c>
      <c r="D7" s="4"/>
      <c r="E7" s="5">
        <v>18628.82</v>
      </c>
      <c r="F7" s="5">
        <v>0</v>
      </c>
      <c r="G7" s="5">
        <f t="shared" si="0"/>
        <v>21641.120000000003</v>
      </c>
      <c r="H7" s="4" t="s">
        <v>614</v>
      </c>
    </row>
    <row r="8" spans="1:8" x14ac:dyDescent="0.2">
      <c r="A8" s="130">
        <v>66918</v>
      </c>
      <c r="B8" s="4" t="s">
        <v>18</v>
      </c>
      <c r="C8" s="4" t="s">
        <v>611</v>
      </c>
      <c r="D8" s="4"/>
      <c r="E8" s="5">
        <v>0</v>
      </c>
      <c r="F8" s="5">
        <v>31244</v>
      </c>
      <c r="G8" s="5">
        <f t="shared" si="0"/>
        <v>52885.120000000003</v>
      </c>
      <c r="H8" s="4" t="s">
        <v>612</v>
      </c>
    </row>
    <row r="9" spans="1:8" x14ac:dyDescent="0.2">
      <c r="A9" s="130">
        <v>66918</v>
      </c>
      <c r="B9" s="4" t="s">
        <v>19</v>
      </c>
      <c r="C9" s="4" t="s">
        <v>613</v>
      </c>
      <c r="D9" s="4"/>
      <c r="E9" s="5">
        <v>52313.7</v>
      </c>
      <c r="F9" s="5">
        <v>0</v>
      </c>
      <c r="G9" s="5">
        <f t="shared" si="0"/>
        <v>571.42000000000553</v>
      </c>
      <c r="H9" s="4" t="s">
        <v>614</v>
      </c>
    </row>
    <row r="10" spans="1:8" x14ac:dyDescent="0.2">
      <c r="A10" s="130">
        <v>66919</v>
      </c>
      <c r="B10" s="4" t="s">
        <v>18</v>
      </c>
      <c r="C10" s="4" t="s">
        <v>611</v>
      </c>
      <c r="D10" s="4"/>
      <c r="E10" s="5">
        <v>0</v>
      </c>
      <c r="F10" s="5">
        <v>36698.99</v>
      </c>
      <c r="G10" s="5">
        <f t="shared" si="0"/>
        <v>37270.410000000003</v>
      </c>
      <c r="H10" s="4" t="s">
        <v>612</v>
      </c>
    </row>
    <row r="11" spans="1:8" x14ac:dyDescent="0.2">
      <c r="A11" s="130">
        <v>66919</v>
      </c>
      <c r="B11" s="4" t="s">
        <v>19</v>
      </c>
      <c r="C11" s="4" t="s">
        <v>613</v>
      </c>
      <c r="D11" s="4"/>
      <c r="E11" s="5">
        <v>21620.59</v>
      </c>
      <c r="F11" s="5">
        <v>0</v>
      </c>
      <c r="G11" s="5">
        <f t="shared" si="0"/>
        <v>15649.820000000003</v>
      </c>
      <c r="H11" s="4" t="s">
        <v>614</v>
      </c>
    </row>
    <row r="12" spans="1:8" x14ac:dyDescent="0.2">
      <c r="A12" s="130">
        <v>66920</v>
      </c>
      <c r="B12" s="4" t="s">
        <v>18</v>
      </c>
      <c r="C12" s="4" t="s">
        <v>611</v>
      </c>
      <c r="D12" s="4"/>
      <c r="E12" s="5">
        <v>0</v>
      </c>
      <c r="F12" s="5">
        <v>32424</v>
      </c>
      <c r="G12" s="5">
        <f t="shared" si="0"/>
        <v>48073.820000000007</v>
      </c>
      <c r="H12" s="4" t="s">
        <v>612</v>
      </c>
    </row>
    <row r="13" spans="1:8" x14ac:dyDescent="0.2">
      <c r="A13" s="130">
        <v>66920</v>
      </c>
      <c r="B13" s="4" t="s">
        <v>19</v>
      </c>
      <c r="C13" s="4" t="s">
        <v>613</v>
      </c>
      <c r="D13" s="4"/>
      <c r="E13" s="5">
        <v>42413.84</v>
      </c>
      <c r="F13" s="5">
        <v>0</v>
      </c>
      <c r="G13" s="5">
        <f t="shared" si="0"/>
        <v>5659.9800000000105</v>
      </c>
      <c r="H13" s="4" t="s">
        <v>614</v>
      </c>
    </row>
    <row r="14" spans="1:8" x14ac:dyDescent="0.2">
      <c r="A14" s="130">
        <v>66921</v>
      </c>
      <c r="B14" s="4" t="s">
        <v>18</v>
      </c>
      <c r="C14" s="4" t="s">
        <v>611</v>
      </c>
      <c r="D14" s="4"/>
      <c r="E14" s="5">
        <v>0</v>
      </c>
      <c r="F14" s="5">
        <v>51791</v>
      </c>
      <c r="G14" s="5">
        <f t="shared" si="0"/>
        <v>57450.98000000001</v>
      </c>
      <c r="H14" s="4" t="s">
        <v>612</v>
      </c>
    </row>
    <row r="15" spans="1:8" x14ac:dyDescent="0.2">
      <c r="A15" s="130">
        <v>66921</v>
      </c>
      <c r="B15" s="4" t="s">
        <v>19</v>
      </c>
      <c r="C15" s="4" t="s">
        <v>613</v>
      </c>
      <c r="D15" s="4"/>
      <c r="E15" s="5">
        <v>18422.740000000002</v>
      </c>
      <c r="F15" s="5">
        <v>0</v>
      </c>
      <c r="G15" s="5">
        <f t="shared" si="0"/>
        <v>39028.240000000005</v>
      </c>
      <c r="H15" s="4" t="s">
        <v>614</v>
      </c>
    </row>
    <row r="16" spans="1:8" x14ac:dyDescent="0.2">
      <c r="A16" s="130">
        <v>66922</v>
      </c>
      <c r="B16" s="4" t="s">
        <v>18</v>
      </c>
      <c r="C16" s="4" t="s">
        <v>611</v>
      </c>
      <c r="D16" s="4"/>
      <c r="E16" s="5">
        <v>0</v>
      </c>
      <c r="F16" s="5">
        <v>33341.019999999997</v>
      </c>
      <c r="G16" s="5">
        <f t="shared" si="0"/>
        <v>72369.260000000009</v>
      </c>
      <c r="H16" s="4" t="s">
        <v>612</v>
      </c>
    </row>
    <row r="17" spans="1:8" x14ac:dyDescent="0.2">
      <c r="A17" s="130">
        <v>66922</v>
      </c>
      <c r="B17" s="4" t="s">
        <v>19</v>
      </c>
      <c r="C17" s="4" t="s">
        <v>613</v>
      </c>
      <c r="D17" s="4"/>
      <c r="E17" s="5">
        <v>40581.21</v>
      </c>
      <c r="F17" s="5">
        <v>0</v>
      </c>
      <c r="G17" s="5">
        <f t="shared" si="0"/>
        <v>31788.05000000001</v>
      </c>
      <c r="H17" s="4" t="s">
        <v>614</v>
      </c>
    </row>
    <row r="18" spans="1:8" x14ac:dyDescent="0.2">
      <c r="A18" s="130">
        <v>66923</v>
      </c>
      <c r="B18" s="4" t="s">
        <v>18</v>
      </c>
      <c r="C18" s="4" t="s">
        <v>611</v>
      </c>
      <c r="D18" s="4"/>
      <c r="E18" s="5">
        <v>0</v>
      </c>
      <c r="F18" s="5">
        <v>35376.5</v>
      </c>
      <c r="G18" s="5">
        <f t="shared" si="0"/>
        <v>67164.550000000017</v>
      </c>
      <c r="H18" s="4" t="s">
        <v>612</v>
      </c>
    </row>
    <row r="19" spans="1:8" x14ac:dyDescent="0.2">
      <c r="A19" s="130">
        <v>66923</v>
      </c>
      <c r="B19" s="4" t="s">
        <v>19</v>
      </c>
      <c r="C19" s="4" t="s">
        <v>613</v>
      </c>
      <c r="D19" s="4"/>
      <c r="E19" s="5">
        <v>25300.68</v>
      </c>
      <c r="F19" s="5">
        <v>0</v>
      </c>
      <c r="G19" s="5">
        <f t="shared" si="0"/>
        <v>41863.870000000017</v>
      </c>
      <c r="H19" s="4" t="s">
        <v>614</v>
      </c>
    </row>
    <row r="20" spans="1:8" x14ac:dyDescent="0.2">
      <c r="A20" s="130">
        <v>66924</v>
      </c>
      <c r="B20" s="4" t="s">
        <v>18</v>
      </c>
      <c r="C20" s="4" t="s">
        <v>611</v>
      </c>
      <c r="D20" s="4"/>
      <c r="E20" s="5">
        <v>0</v>
      </c>
      <c r="F20" s="5">
        <v>58519.02</v>
      </c>
      <c r="G20" s="5">
        <f t="shared" si="0"/>
        <v>100382.89000000001</v>
      </c>
      <c r="H20" s="4" t="s">
        <v>612</v>
      </c>
    </row>
    <row r="21" spans="1:8" x14ac:dyDescent="0.2">
      <c r="A21" s="130">
        <v>66924</v>
      </c>
      <c r="B21" s="4" t="s">
        <v>19</v>
      </c>
      <c r="C21" s="4" t="s">
        <v>613</v>
      </c>
      <c r="D21" s="4"/>
      <c r="E21" s="5">
        <v>48279.74</v>
      </c>
      <c r="F21" s="5">
        <v>0</v>
      </c>
      <c r="G21" s="5">
        <f t="shared" si="0"/>
        <v>52103.150000000016</v>
      </c>
      <c r="H21" s="4" t="s">
        <v>614</v>
      </c>
    </row>
    <row r="22" spans="1:8" x14ac:dyDescent="0.2">
      <c r="A22" s="130">
        <v>66925</v>
      </c>
      <c r="B22" s="4" t="s">
        <v>18</v>
      </c>
      <c r="C22" s="4" t="s">
        <v>611</v>
      </c>
      <c r="D22" s="4"/>
      <c r="E22" s="5">
        <v>0</v>
      </c>
      <c r="F22" s="5">
        <v>36819</v>
      </c>
      <c r="G22" s="5">
        <f t="shared" si="0"/>
        <v>88922.150000000023</v>
      </c>
      <c r="H22" s="4" t="s">
        <v>612</v>
      </c>
    </row>
    <row r="23" spans="1:8" x14ac:dyDescent="0.2">
      <c r="A23" s="130">
        <v>66925</v>
      </c>
      <c r="B23" s="4" t="s">
        <v>19</v>
      </c>
      <c r="C23" s="4" t="s">
        <v>613</v>
      </c>
      <c r="D23" s="4"/>
      <c r="E23" s="5">
        <v>28056.07</v>
      </c>
      <c r="F23" s="5">
        <v>0</v>
      </c>
      <c r="G23" s="5">
        <f t="shared" si="0"/>
        <v>60866.080000000024</v>
      </c>
      <c r="H23" s="4" t="s">
        <v>614</v>
      </c>
    </row>
    <row r="24" spans="1:8" x14ac:dyDescent="0.2">
      <c r="A24" s="130">
        <v>66926</v>
      </c>
      <c r="B24" s="4" t="s">
        <v>18</v>
      </c>
      <c r="C24" s="4" t="s">
        <v>611</v>
      </c>
      <c r="D24" s="4"/>
      <c r="E24" s="5">
        <v>0</v>
      </c>
      <c r="F24" s="5">
        <v>34236</v>
      </c>
      <c r="G24" s="5">
        <f t="shared" si="0"/>
        <v>95102.080000000016</v>
      </c>
      <c r="H24" s="4" t="s">
        <v>612</v>
      </c>
    </row>
    <row r="25" spans="1:8" x14ac:dyDescent="0.2">
      <c r="A25" s="130">
        <v>66926</v>
      </c>
      <c r="B25" s="4" t="s">
        <v>19</v>
      </c>
      <c r="C25" s="4" t="s">
        <v>613</v>
      </c>
      <c r="D25" s="4"/>
      <c r="E25" s="5">
        <v>34324.28</v>
      </c>
      <c r="F25" s="5">
        <v>0</v>
      </c>
      <c r="G25" s="5">
        <f t="shared" si="0"/>
        <v>60777.800000000017</v>
      </c>
      <c r="H25" s="4" t="s">
        <v>614</v>
      </c>
    </row>
    <row r="26" spans="1:8" x14ac:dyDescent="0.2">
      <c r="A26" s="130">
        <v>66927</v>
      </c>
      <c r="B26" s="4" t="s">
        <v>18</v>
      </c>
      <c r="C26" s="4" t="s">
        <v>611</v>
      </c>
      <c r="D26" s="4"/>
      <c r="E26" s="5">
        <v>0</v>
      </c>
      <c r="F26" s="5">
        <v>29714.01</v>
      </c>
      <c r="G26" s="5">
        <f t="shared" si="0"/>
        <v>90491.810000000012</v>
      </c>
      <c r="H26" s="4" t="s">
        <v>612</v>
      </c>
    </row>
    <row r="27" spans="1:8" x14ac:dyDescent="0.2">
      <c r="A27" s="130">
        <v>66927</v>
      </c>
      <c r="B27" s="4" t="s">
        <v>19</v>
      </c>
      <c r="C27" s="4" t="s">
        <v>613</v>
      </c>
      <c r="D27" s="4"/>
      <c r="E27" s="5">
        <v>30418.59</v>
      </c>
      <c r="F27" s="5">
        <v>0</v>
      </c>
      <c r="G27" s="5">
        <f t="shared" si="0"/>
        <v>60073.220000000016</v>
      </c>
      <c r="H27" s="4" t="s">
        <v>614</v>
      </c>
    </row>
    <row r="28" spans="1:8" x14ac:dyDescent="0.2">
      <c r="A28" s="130">
        <v>66928</v>
      </c>
      <c r="B28" s="4" t="s">
        <v>18</v>
      </c>
      <c r="C28" s="4" t="s">
        <v>611</v>
      </c>
      <c r="D28" s="4"/>
      <c r="E28" s="5">
        <v>0</v>
      </c>
      <c r="F28" s="5">
        <v>27524</v>
      </c>
      <c r="G28" s="5">
        <f t="shared" si="0"/>
        <v>87597.220000000016</v>
      </c>
      <c r="H28" s="4" t="s">
        <v>612</v>
      </c>
    </row>
    <row r="29" spans="1:8" x14ac:dyDescent="0.2">
      <c r="A29" s="130">
        <v>66928</v>
      </c>
      <c r="B29" s="4" t="s">
        <v>19</v>
      </c>
      <c r="C29" s="4" t="s">
        <v>613</v>
      </c>
      <c r="D29" s="4"/>
      <c r="E29" s="5">
        <v>55786.21</v>
      </c>
      <c r="F29" s="5">
        <v>0</v>
      </c>
      <c r="G29" s="5">
        <f t="shared" si="0"/>
        <v>31811.010000000017</v>
      </c>
      <c r="H29" s="4" t="s">
        <v>614</v>
      </c>
    </row>
    <row r="30" spans="1:8" x14ac:dyDescent="0.2">
      <c r="A30" s="130">
        <v>66929</v>
      </c>
      <c r="B30" s="4" t="s">
        <v>18</v>
      </c>
      <c r="C30" s="4" t="s">
        <v>611</v>
      </c>
      <c r="D30" s="4"/>
      <c r="E30" s="5">
        <v>0</v>
      </c>
      <c r="F30" s="5">
        <v>36413.01</v>
      </c>
      <c r="G30" s="5">
        <f t="shared" si="0"/>
        <v>68224.020000000019</v>
      </c>
      <c r="H30" s="4" t="s">
        <v>612</v>
      </c>
    </row>
    <row r="31" spans="1:8" x14ac:dyDescent="0.2">
      <c r="A31" s="130">
        <v>66929</v>
      </c>
      <c r="B31" s="4" t="s">
        <v>19</v>
      </c>
      <c r="C31" s="4" t="s">
        <v>613</v>
      </c>
      <c r="D31" s="4"/>
      <c r="E31" s="5">
        <v>12102.32</v>
      </c>
      <c r="F31" s="5">
        <v>0</v>
      </c>
      <c r="G31" s="5">
        <f t="shared" si="0"/>
        <v>56121.700000000019</v>
      </c>
      <c r="H31" s="4" t="s">
        <v>614</v>
      </c>
    </row>
    <row r="32" spans="1:8" x14ac:dyDescent="0.2">
      <c r="A32" s="130">
        <v>66930</v>
      </c>
      <c r="B32" s="4" t="s">
        <v>18</v>
      </c>
      <c r="C32" s="4" t="s">
        <v>611</v>
      </c>
      <c r="D32" s="4"/>
      <c r="E32" s="5">
        <v>0</v>
      </c>
      <c r="F32" s="5">
        <v>32259</v>
      </c>
      <c r="G32" s="5">
        <f t="shared" si="0"/>
        <v>88380.700000000012</v>
      </c>
      <c r="H32" s="4" t="s">
        <v>612</v>
      </c>
    </row>
    <row r="33" spans="1:8" x14ac:dyDescent="0.2">
      <c r="A33" s="130">
        <v>66930</v>
      </c>
      <c r="B33" s="4" t="s">
        <v>19</v>
      </c>
      <c r="C33" s="4" t="s">
        <v>613</v>
      </c>
      <c r="D33" s="4"/>
      <c r="E33" s="5">
        <v>41521.839999999997</v>
      </c>
      <c r="F33" s="5">
        <v>0</v>
      </c>
      <c r="G33" s="5">
        <f t="shared" si="0"/>
        <v>46858.860000000015</v>
      </c>
      <c r="H33" s="4" t="s">
        <v>614</v>
      </c>
    </row>
    <row r="34" spans="1:8" x14ac:dyDescent="0.2">
      <c r="A34" s="130">
        <v>66931</v>
      </c>
      <c r="B34" s="4" t="s">
        <v>18</v>
      </c>
      <c r="C34" s="4" t="s">
        <v>611</v>
      </c>
      <c r="D34" s="4"/>
      <c r="E34" s="5">
        <v>0</v>
      </c>
      <c r="F34" s="5">
        <v>38035.49</v>
      </c>
      <c r="G34" s="5">
        <f t="shared" si="0"/>
        <v>84894.35</v>
      </c>
      <c r="H34" s="4" t="s">
        <v>612</v>
      </c>
    </row>
    <row r="35" spans="1:8" x14ac:dyDescent="0.2">
      <c r="A35" s="130">
        <v>66931</v>
      </c>
      <c r="B35" s="4" t="s">
        <v>19</v>
      </c>
      <c r="C35" s="4" t="s">
        <v>613</v>
      </c>
      <c r="D35" s="4"/>
      <c r="E35" s="5">
        <v>14118.2</v>
      </c>
      <c r="F35" s="5">
        <v>0</v>
      </c>
      <c r="G35" s="5">
        <f t="shared" si="0"/>
        <v>70776.150000000009</v>
      </c>
      <c r="H35" s="4" t="s">
        <v>614</v>
      </c>
    </row>
    <row r="36" spans="1:8" x14ac:dyDescent="0.2">
      <c r="A36" s="130"/>
      <c r="B36" s="4"/>
      <c r="C36" s="4"/>
      <c r="D36" s="4"/>
      <c r="E36" s="5"/>
      <c r="F36" s="5"/>
      <c r="G36" s="5" t="str">
        <f t="shared" si="0"/>
        <v/>
      </c>
      <c r="H36" s="4"/>
    </row>
    <row r="37" spans="1:8" x14ac:dyDescent="0.2">
      <c r="A37" s="130"/>
      <c r="B37" s="4"/>
      <c r="C37" s="4"/>
      <c r="D37" s="4"/>
      <c r="E37" s="5"/>
      <c r="F37" s="5"/>
      <c r="G37" s="5" t="str">
        <f t="shared" si="0"/>
        <v/>
      </c>
      <c r="H37" s="4"/>
    </row>
    <row r="38" spans="1:8" x14ac:dyDescent="0.2">
      <c r="A38" s="130"/>
      <c r="B38" s="4"/>
      <c r="C38" s="4"/>
      <c r="D38" s="4"/>
      <c r="E38" s="5"/>
      <c r="F38" s="5"/>
      <c r="G38" s="5" t="str">
        <f t="shared" si="0"/>
        <v/>
      </c>
      <c r="H38" s="4"/>
    </row>
    <row r="39" spans="1:8" x14ac:dyDescent="0.2">
      <c r="A39" s="130"/>
      <c r="B39" s="4"/>
      <c r="C39" s="4"/>
      <c r="D39" s="4"/>
      <c r="E39" s="5"/>
      <c r="F39" s="5"/>
      <c r="G39" s="5" t="str">
        <f t="shared" si="0"/>
        <v/>
      </c>
      <c r="H39" s="4"/>
    </row>
    <row r="40" spans="1:8" x14ac:dyDescent="0.2">
      <c r="A40" s="130"/>
      <c r="B40" s="4"/>
      <c r="C40" s="4"/>
      <c r="D40" s="4"/>
      <c r="E40" s="5"/>
      <c r="F40" s="5"/>
      <c r="G40" s="5" t="str">
        <f t="shared" si="0"/>
        <v/>
      </c>
      <c r="H40" s="4"/>
    </row>
    <row r="41" spans="1:8" x14ac:dyDescent="0.2">
      <c r="A41" s="130"/>
      <c r="B41" s="4"/>
      <c r="C41" s="4"/>
      <c r="D41" s="4"/>
      <c r="E41" s="5"/>
      <c r="F41" s="5"/>
      <c r="G41" s="5" t="str">
        <f t="shared" si="0"/>
        <v/>
      </c>
      <c r="H41" s="4"/>
    </row>
    <row r="42" spans="1:8" x14ac:dyDescent="0.2">
      <c r="A42" s="130"/>
      <c r="B42" s="4"/>
      <c r="C42" s="4"/>
      <c r="D42" s="4"/>
      <c r="E42" s="5"/>
      <c r="F42" s="5"/>
      <c r="G42" s="5" t="str">
        <f t="shared" si="0"/>
        <v/>
      </c>
      <c r="H42" s="4"/>
    </row>
    <row r="43" spans="1:8" x14ac:dyDescent="0.2">
      <c r="A43" s="130"/>
      <c r="B43" s="4"/>
      <c r="C43" s="4"/>
      <c r="D43" s="4"/>
      <c r="E43" s="5"/>
      <c r="F43" s="5"/>
      <c r="G43" s="5" t="str">
        <f t="shared" si="0"/>
        <v/>
      </c>
      <c r="H43" s="4"/>
    </row>
    <row r="44" spans="1:8" x14ac:dyDescent="0.2">
      <c r="A44" s="130"/>
      <c r="B44" s="4"/>
      <c r="C44" s="4"/>
      <c r="D44" s="4"/>
      <c r="E44" s="5"/>
      <c r="F44" s="5"/>
      <c r="G44" s="5" t="str">
        <f t="shared" si="0"/>
        <v/>
      </c>
      <c r="H44" s="4"/>
    </row>
    <row r="45" spans="1:8" x14ac:dyDescent="0.2">
      <c r="A45" s="130"/>
      <c r="B45" s="4"/>
      <c r="C45" s="4"/>
      <c r="D45" s="4"/>
      <c r="E45" s="5"/>
      <c r="F45" s="5"/>
      <c r="G45" s="5" t="str">
        <f t="shared" si="0"/>
        <v/>
      </c>
      <c r="H45" s="4"/>
    </row>
    <row r="46" spans="1:8" x14ac:dyDescent="0.2">
      <c r="A46" s="130"/>
      <c r="B46" s="4"/>
      <c r="C46" s="4"/>
      <c r="D46" s="4"/>
      <c r="E46" s="5"/>
      <c r="F46" s="5"/>
      <c r="G46" s="5" t="str">
        <f t="shared" si="0"/>
        <v/>
      </c>
      <c r="H46" s="4"/>
    </row>
    <row r="47" spans="1:8" x14ac:dyDescent="0.2">
      <c r="A47" s="130"/>
      <c r="B47" s="4"/>
      <c r="C47" s="4"/>
      <c r="D47" s="4"/>
      <c r="E47" s="5"/>
      <c r="F47" s="5"/>
      <c r="G47" s="5" t="str">
        <f t="shared" si="0"/>
        <v/>
      </c>
      <c r="H47" s="4"/>
    </row>
    <row r="48" spans="1:8" x14ac:dyDescent="0.2">
      <c r="A48" s="130"/>
      <c r="B48" s="4"/>
      <c r="C48" s="4"/>
      <c r="D48" s="4"/>
      <c r="E48" s="5"/>
      <c r="F48" s="5"/>
      <c r="G48" s="5" t="str">
        <f t="shared" si="0"/>
        <v/>
      </c>
      <c r="H48" s="4"/>
    </row>
    <row r="49" spans="1:8" x14ac:dyDescent="0.2">
      <c r="A49" s="130"/>
      <c r="B49" s="4"/>
      <c r="C49" s="4"/>
      <c r="D49" s="4"/>
      <c r="E49" s="5"/>
      <c r="F49" s="5"/>
      <c r="G49" s="5" t="str">
        <f t="shared" si="0"/>
        <v/>
      </c>
      <c r="H49" s="4"/>
    </row>
    <row r="50" spans="1:8" x14ac:dyDescent="0.2">
      <c r="A50" s="130"/>
      <c r="B50" s="4"/>
      <c r="C50" s="4"/>
      <c r="D50" s="4"/>
      <c r="E50" s="5"/>
      <c r="F50" s="5"/>
      <c r="G50" s="5" t="str">
        <f t="shared" si="0"/>
        <v/>
      </c>
      <c r="H50" s="4"/>
    </row>
    <row r="51" spans="1:8" x14ac:dyDescent="0.2">
      <c r="A51" s="130"/>
      <c r="B51" s="4"/>
      <c r="C51" s="4"/>
      <c r="D51" s="4"/>
      <c r="E51" s="5"/>
      <c r="F51" s="5"/>
      <c r="G51" s="5" t="str">
        <f t="shared" si="0"/>
        <v/>
      </c>
      <c r="H51" s="4"/>
    </row>
    <row r="52" spans="1:8" x14ac:dyDescent="0.2">
      <c r="A52" s="130"/>
      <c r="B52" s="4"/>
      <c r="C52" s="4"/>
      <c r="D52" s="4"/>
      <c r="E52" s="5"/>
      <c r="F52" s="5"/>
      <c r="G52" s="5" t="str">
        <f t="shared" si="0"/>
        <v/>
      </c>
      <c r="H52" s="4"/>
    </row>
    <row r="53" spans="1:8" x14ac:dyDescent="0.2">
      <c r="A53" s="130"/>
      <c r="B53" s="4"/>
      <c r="C53" s="4"/>
      <c r="D53" s="4"/>
      <c r="E53" s="5"/>
      <c r="F53" s="5"/>
      <c r="G53" s="5" t="str">
        <f t="shared" si="0"/>
        <v/>
      </c>
      <c r="H53" s="4"/>
    </row>
    <row r="54" spans="1:8" x14ac:dyDescent="0.2">
      <c r="A54" s="130"/>
      <c r="B54" s="4"/>
      <c r="C54" s="4"/>
      <c r="D54" s="4"/>
      <c r="E54" s="5"/>
      <c r="F54" s="5"/>
      <c r="G54" s="5" t="str">
        <f t="shared" si="0"/>
        <v/>
      </c>
      <c r="H54" s="4"/>
    </row>
    <row r="55" spans="1:8" x14ac:dyDescent="0.2">
      <c r="A55" s="130"/>
      <c r="B55" s="4"/>
      <c r="C55" s="4"/>
      <c r="D55" s="4"/>
      <c r="E55" s="5"/>
      <c r="F55" s="5"/>
      <c r="G55" s="5" t="str">
        <f t="shared" si="0"/>
        <v/>
      </c>
      <c r="H55" s="4"/>
    </row>
    <row r="56" spans="1:8" x14ac:dyDescent="0.2">
      <c r="A56" s="130"/>
      <c r="B56" s="4"/>
      <c r="C56" s="4"/>
      <c r="D56" s="4"/>
      <c r="E56" s="5"/>
      <c r="F56" s="5"/>
      <c r="G56" s="5" t="str">
        <f t="shared" si="0"/>
        <v/>
      </c>
      <c r="H56" s="4"/>
    </row>
    <row r="57" spans="1:8" x14ac:dyDescent="0.2">
      <c r="A57" s="130"/>
      <c r="B57" s="4"/>
      <c r="C57" s="4"/>
      <c r="D57" s="4"/>
      <c r="E57" s="5"/>
      <c r="F57" s="5"/>
      <c r="G57" s="5" t="str">
        <f t="shared" si="0"/>
        <v/>
      </c>
      <c r="H57" s="4"/>
    </row>
    <row r="58" spans="1:8" x14ac:dyDescent="0.2">
      <c r="A58" s="130"/>
      <c r="B58" s="4"/>
      <c r="C58" s="4"/>
      <c r="D58" s="4"/>
      <c r="E58" s="5"/>
      <c r="F58" s="5"/>
      <c r="G58" s="5" t="str">
        <f t="shared" si="0"/>
        <v/>
      </c>
      <c r="H58" s="4"/>
    </row>
    <row r="59" spans="1:8" x14ac:dyDescent="0.2">
      <c r="A59" s="130"/>
      <c r="B59" s="4"/>
      <c r="C59" s="4"/>
      <c r="D59" s="4"/>
      <c r="E59" s="5"/>
      <c r="F59" s="5"/>
      <c r="G59" s="5" t="str">
        <f t="shared" si="0"/>
        <v/>
      </c>
      <c r="H59" s="4"/>
    </row>
    <row r="60" spans="1:8" x14ac:dyDescent="0.2">
      <c r="A60" s="130"/>
      <c r="B60" s="4"/>
      <c r="C60" s="4"/>
      <c r="D60" s="4"/>
      <c r="E60" s="5"/>
      <c r="F60" s="5"/>
      <c r="G60" s="5" t="str">
        <f t="shared" si="0"/>
        <v/>
      </c>
      <c r="H60" s="4"/>
    </row>
    <row r="61" spans="1:8" x14ac:dyDescent="0.2">
      <c r="A61" s="130"/>
      <c r="B61" s="4"/>
      <c r="C61" s="4"/>
      <c r="D61" s="4"/>
      <c r="E61" s="5"/>
      <c r="F61" s="5"/>
      <c r="G61" s="5" t="str">
        <f t="shared" si="0"/>
        <v/>
      </c>
      <c r="H61" s="4"/>
    </row>
    <row r="62" spans="1:8" x14ac:dyDescent="0.2">
      <c r="A62" s="130"/>
      <c r="B62" s="4"/>
      <c r="C62" s="4"/>
      <c r="D62" s="4"/>
      <c r="E62" s="5"/>
      <c r="F62" s="5"/>
      <c r="G62" s="5" t="str">
        <f t="shared" si="0"/>
        <v/>
      </c>
      <c r="H62" s="4"/>
    </row>
    <row r="63" spans="1:8" x14ac:dyDescent="0.2">
      <c r="A63" s="130"/>
      <c r="B63" s="4"/>
      <c r="C63" s="4"/>
      <c r="D63" s="4"/>
      <c r="E63" s="5"/>
      <c r="F63" s="5"/>
      <c r="G63" s="5" t="str">
        <f t="shared" si="0"/>
        <v/>
      </c>
      <c r="H63" s="4"/>
    </row>
    <row r="64" spans="1:8" x14ac:dyDescent="0.2">
      <c r="A64" s="130"/>
      <c r="B64" s="4"/>
      <c r="C64" s="4"/>
      <c r="D64" s="4"/>
      <c r="E64" s="5"/>
      <c r="F64" s="5"/>
      <c r="G64" s="5" t="str">
        <f t="shared" si="0"/>
        <v/>
      </c>
      <c r="H64" s="4"/>
    </row>
    <row r="65" spans="1:8" x14ac:dyDescent="0.2">
      <c r="A65" s="130"/>
      <c r="B65" s="4"/>
      <c r="C65" s="4"/>
      <c r="D65" s="4"/>
      <c r="E65" s="5"/>
      <c r="F65" s="5"/>
      <c r="G65" s="5" t="str">
        <f t="shared" si="0"/>
        <v/>
      </c>
      <c r="H65" s="4"/>
    </row>
    <row r="66" spans="1:8" x14ac:dyDescent="0.2">
      <c r="A66" s="130"/>
      <c r="B66" s="4"/>
      <c r="C66" s="4"/>
      <c r="D66" s="4"/>
      <c r="E66" s="5"/>
      <c r="F66" s="5"/>
      <c r="G66" s="5" t="str">
        <f t="shared" si="0"/>
        <v/>
      </c>
      <c r="H66" s="4"/>
    </row>
    <row r="67" spans="1:8" x14ac:dyDescent="0.2">
      <c r="A67" s="130"/>
      <c r="B67" s="4"/>
      <c r="C67" s="4"/>
      <c r="D67" s="4"/>
      <c r="E67" s="5"/>
      <c r="F67" s="5"/>
      <c r="G67" s="5" t="str">
        <f t="shared" si="0"/>
        <v/>
      </c>
      <c r="H67" s="4"/>
    </row>
    <row r="68" spans="1:8" x14ac:dyDescent="0.2">
      <c r="A68" s="130"/>
      <c r="B68" s="4"/>
      <c r="C68" s="4"/>
      <c r="D68" s="4"/>
      <c r="E68" s="5"/>
      <c r="F68" s="5"/>
      <c r="G68" s="5" t="str">
        <f t="shared" ref="G68:G131" si="1">IF($B68="","",$G67+$F68-$E68)</f>
        <v/>
      </c>
      <c r="H68" s="4"/>
    </row>
    <row r="69" spans="1:8" x14ac:dyDescent="0.2">
      <c r="A69" s="130"/>
      <c r="B69" s="4"/>
      <c r="C69" s="4"/>
      <c r="D69" s="4"/>
      <c r="E69" s="5"/>
      <c r="F69" s="5"/>
      <c r="G69" s="5" t="str">
        <f t="shared" si="1"/>
        <v/>
      </c>
      <c r="H69" s="4"/>
    </row>
    <row r="70" spans="1:8" x14ac:dyDescent="0.2">
      <c r="A70" s="130"/>
      <c r="B70" s="4"/>
      <c r="C70" s="4"/>
      <c r="D70" s="4"/>
      <c r="E70" s="5"/>
      <c r="F70" s="5"/>
      <c r="G70" s="5" t="str">
        <f t="shared" si="1"/>
        <v/>
      </c>
      <c r="H70" s="4"/>
    </row>
    <row r="71" spans="1:8" x14ac:dyDescent="0.2">
      <c r="A71" s="130"/>
      <c r="B71" s="4"/>
      <c r="C71" s="4"/>
      <c r="D71" s="4"/>
      <c r="E71" s="5"/>
      <c r="F71" s="5"/>
      <c r="G71" s="5" t="str">
        <f t="shared" si="1"/>
        <v/>
      </c>
      <c r="H71" s="4"/>
    </row>
    <row r="72" spans="1:8" x14ac:dyDescent="0.2">
      <c r="A72" s="130"/>
      <c r="B72" s="4"/>
      <c r="C72" s="4"/>
      <c r="D72" s="4"/>
      <c r="E72" s="5"/>
      <c r="F72" s="5"/>
      <c r="G72" s="5" t="str">
        <f t="shared" si="1"/>
        <v/>
      </c>
      <c r="H72" s="4"/>
    </row>
    <row r="73" spans="1:8" x14ac:dyDescent="0.2">
      <c r="A73" s="130"/>
      <c r="B73" s="4"/>
      <c r="C73" s="4"/>
      <c r="D73" s="4"/>
      <c r="E73" s="5"/>
      <c r="F73" s="5"/>
      <c r="G73" s="5" t="str">
        <f t="shared" si="1"/>
        <v/>
      </c>
      <c r="H73" s="4"/>
    </row>
    <row r="74" spans="1:8" x14ac:dyDescent="0.2">
      <c r="A74" s="130"/>
      <c r="B74" s="4"/>
      <c r="C74" s="4"/>
      <c r="D74" s="4"/>
      <c r="E74" s="5"/>
      <c r="F74" s="5"/>
      <c r="G74" s="5" t="str">
        <f t="shared" si="1"/>
        <v/>
      </c>
      <c r="H74" s="4"/>
    </row>
    <row r="75" spans="1:8" x14ac:dyDescent="0.2">
      <c r="A75" s="130"/>
      <c r="B75" s="4"/>
      <c r="C75" s="4"/>
      <c r="D75" s="4"/>
      <c r="E75" s="5"/>
      <c r="F75" s="5"/>
      <c r="G75" s="5" t="str">
        <f t="shared" si="1"/>
        <v/>
      </c>
      <c r="H75" s="4"/>
    </row>
    <row r="76" spans="1:8" x14ac:dyDescent="0.2">
      <c r="A76" s="130"/>
      <c r="B76" s="4"/>
      <c r="C76" s="4"/>
      <c r="D76" s="4"/>
      <c r="E76" s="5"/>
      <c r="F76" s="5"/>
      <c r="G76" s="5" t="str">
        <f t="shared" si="1"/>
        <v/>
      </c>
      <c r="H76" s="4"/>
    </row>
    <row r="77" spans="1:8" x14ac:dyDescent="0.2">
      <c r="A77" s="130"/>
      <c r="B77" s="4"/>
      <c r="C77" s="4"/>
      <c r="D77" s="4"/>
      <c r="E77" s="5"/>
      <c r="F77" s="5"/>
      <c r="G77" s="5" t="str">
        <f t="shared" si="1"/>
        <v/>
      </c>
      <c r="H77" s="4"/>
    </row>
    <row r="78" spans="1:8" x14ac:dyDescent="0.2">
      <c r="A78" s="130"/>
      <c r="B78" s="4"/>
      <c r="C78" s="4"/>
      <c r="D78" s="4"/>
      <c r="E78" s="5"/>
      <c r="F78" s="5"/>
      <c r="G78" s="5" t="str">
        <f t="shared" si="1"/>
        <v/>
      </c>
      <c r="H78" s="4"/>
    </row>
    <row r="79" spans="1:8" x14ac:dyDescent="0.2">
      <c r="A79" s="130"/>
      <c r="B79" s="4"/>
      <c r="C79" s="4"/>
      <c r="D79" s="4"/>
      <c r="E79" s="5"/>
      <c r="F79" s="5"/>
      <c r="G79" s="5" t="str">
        <f t="shared" si="1"/>
        <v/>
      </c>
      <c r="H79" s="4"/>
    </row>
    <row r="80" spans="1:8" x14ac:dyDescent="0.2">
      <c r="A80" s="130"/>
      <c r="B80" s="4"/>
      <c r="C80" s="4"/>
      <c r="D80" s="4"/>
      <c r="E80" s="5"/>
      <c r="F80" s="5"/>
      <c r="G80" s="5" t="str">
        <f t="shared" si="1"/>
        <v/>
      </c>
      <c r="H80" s="4"/>
    </row>
    <row r="81" spans="1:8" x14ac:dyDescent="0.2">
      <c r="A81" s="130"/>
      <c r="B81" s="4"/>
      <c r="C81" s="4"/>
      <c r="D81" s="4"/>
      <c r="E81" s="5"/>
      <c r="F81" s="5"/>
      <c r="G81" s="5" t="str">
        <f t="shared" si="1"/>
        <v/>
      </c>
      <c r="H81" s="4"/>
    </row>
    <row r="82" spans="1:8" x14ac:dyDescent="0.2">
      <c r="A82" s="130"/>
      <c r="B82" s="4"/>
      <c r="C82" s="4"/>
      <c r="D82" s="4"/>
      <c r="E82" s="5"/>
      <c r="F82" s="5"/>
      <c r="G82" s="5" t="str">
        <f t="shared" si="1"/>
        <v/>
      </c>
      <c r="H82" s="4"/>
    </row>
    <row r="83" spans="1:8" x14ac:dyDescent="0.2">
      <c r="A83" s="130"/>
      <c r="B83" s="4"/>
      <c r="C83" s="4"/>
      <c r="D83" s="4"/>
      <c r="E83" s="5"/>
      <c r="F83" s="5"/>
      <c r="G83" s="5" t="str">
        <f t="shared" si="1"/>
        <v/>
      </c>
      <c r="H83" s="4"/>
    </row>
    <row r="84" spans="1:8" x14ac:dyDescent="0.2">
      <c r="A84" s="130"/>
      <c r="B84" s="4"/>
      <c r="C84" s="4"/>
      <c r="D84" s="4"/>
      <c r="E84" s="5"/>
      <c r="F84" s="5"/>
      <c r="G84" s="5" t="str">
        <f t="shared" si="1"/>
        <v/>
      </c>
      <c r="H84" s="4"/>
    </row>
    <row r="85" spans="1:8" x14ac:dyDescent="0.2">
      <c r="A85" s="130"/>
      <c r="B85" s="4"/>
      <c r="C85" s="4"/>
      <c r="D85" s="4"/>
      <c r="E85" s="5"/>
      <c r="F85" s="5"/>
      <c r="G85" s="5" t="str">
        <f t="shared" si="1"/>
        <v/>
      </c>
      <c r="H85" s="4"/>
    </row>
    <row r="86" spans="1:8" x14ac:dyDescent="0.2">
      <c r="A86" s="130"/>
      <c r="B86" s="4"/>
      <c r="C86" s="4"/>
      <c r="D86" s="4"/>
      <c r="E86" s="5"/>
      <c r="F86" s="5"/>
      <c r="G86" s="5" t="str">
        <f t="shared" si="1"/>
        <v/>
      </c>
      <c r="H86" s="4"/>
    </row>
    <row r="87" spans="1:8" x14ac:dyDescent="0.2">
      <c r="A87" s="130"/>
      <c r="B87" s="4"/>
      <c r="C87" s="4"/>
      <c r="D87" s="4"/>
      <c r="E87" s="5"/>
      <c r="F87" s="5"/>
      <c r="G87" s="5" t="str">
        <f t="shared" si="1"/>
        <v/>
      </c>
      <c r="H87" s="4"/>
    </row>
    <row r="88" spans="1:8" x14ac:dyDescent="0.2">
      <c r="A88" s="130"/>
      <c r="B88" s="4"/>
      <c r="C88" s="4"/>
      <c r="D88" s="4"/>
      <c r="E88" s="5"/>
      <c r="F88" s="5"/>
      <c r="G88" s="5" t="str">
        <f t="shared" si="1"/>
        <v/>
      </c>
      <c r="H88" s="4"/>
    </row>
    <row r="89" spans="1:8" x14ac:dyDescent="0.2">
      <c r="A89" s="130"/>
      <c r="B89" s="4"/>
      <c r="C89" s="4"/>
      <c r="D89" s="4"/>
      <c r="E89" s="5"/>
      <c r="F89" s="5"/>
      <c r="G89" s="5" t="str">
        <f t="shared" si="1"/>
        <v/>
      </c>
      <c r="H89" s="4"/>
    </row>
    <row r="90" spans="1:8" x14ac:dyDescent="0.2">
      <c r="A90" s="130"/>
      <c r="B90" s="4"/>
      <c r="C90" s="4"/>
      <c r="D90" s="4"/>
      <c r="E90" s="5"/>
      <c r="F90" s="5"/>
      <c r="G90" s="5" t="str">
        <f t="shared" si="1"/>
        <v/>
      </c>
      <c r="H90" s="4"/>
    </row>
    <row r="91" spans="1:8" x14ac:dyDescent="0.2">
      <c r="A91" s="130"/>
      <c r="B91" s="4"/>
      <c r="C91" s="4"/>
      <c r="D91" s="4"/>
      <c r="E91" s="5"/>
      <c r="F91" s="5"/>
      <c r="G91" s="5" t="str">
        <f t="shared" si="1"/>
        <v/>
      </c>
      <c r="H91" s="4"/>
    </row>
    <row r="92" spans="1:8" x14ac:dyDescent="0.2">
      <c r="A92" s="130"/>
      <c r="B92" s="4"/>
      <c r="C92" s="4"/>
      <c r="D92" s="4"/>
      <c r="E92" s="5"/>
      <c r="F92" s="5"/>
      <c r="G92" s="5" t="str">
        <f t="shared" si="1"/>
        <v/>
      </c>
      <c r="H92" s="4"/>
    </row>
    <row r="93" spans="1:8" x14ac:dyDescent="0.2">
      <c r="A93" s="130"/>
      <c r="B93" s="4"/>
      <c r="C93" s="4"/>
      <c r="D93" s="4"/>
      <c r="E93" s="5"/>
      <c r="F93" s="5"/>
      <c r="G93" s="5" t="str">
        <f t="shared" si="1"/>
        <v/>
      </c>
      <c r="H93" s="4"/>
    </row>
    <row r="94" spans="1:8" x14ac:dyDescent="0.2">
      <c r="A94" s="130"/>
      <c r="B94" s="4"/>
      <c r="C94" s="4"/>
      <c r="D94" s="4"/>
      <c r="E94" s="5"/>
      <c r="F94" s="5"/>
      <c r="G94" s="5" t="str">
        <f t="shared" si="1"/>
        <v/>
      </c>
      <c r="H94" s="4"/>
    </row>
    <row r="95" spans="1:8" x14ac:dyDescent="0.2">
      <c r="A95" s="130"/>
      <c r="B95" s="4"/>
      <c r="C95" s="4"/>
      <c r="D95" s="4"/>
      <c r="E95" s="5"/>
      <c r="F95" s="5"/>
      <c r="G95" s="5" t="str">
        <f t="shared" si="1"/>
        <v/>
      </c>
      <c r="H95" s="4"/>
    </row>
    <row r="96" spans="1:8" x14ac:dyDescent="0.2">
      <c r="A96" s="130"/>
      <c r="B96" s="4"/>
      <c r="C96" s="4"/>
      <c r="D96" s="4"/>
      <c r="E96" s="5"/>
      <c r="F96" s="5"/>
      <c r="G96" s="5" t="str">
        <f t="shared" si="1"/>
        <v/>
      </c>
      <c r="H96" s="4"/>
    </row>
    <row r="97" spans="1:8" x14ac:dyDescent="0.2">
      <c r="A97" s="130"/>
      <c r="B97" s="4"/>
      <c r="C97" s="4"/>
      <c r="D97" s="4"/>
      <c r="E97" s="5"/>
      <c r="F97" s="5"/>
      <c r="G97" s="5" t="str">
        <f t="shared" si="1"/>
        <v/>
      </c>
      <c r="H97" s="4"/>
    </row>
    <row r="98" spans="1:8" x14ac:dyDescent="0.2">
      <c r="A98" s="130"/>
      <c r="B98" s="4"/>
      <c r="C98" s="4"/>
      <c r="D98" s="4"/>
      <c r="E98" s="5"/>
      <c r="F98" s="5"/>
      <c r="G98" s="5" t="str">
        <f t="shared" si="1"/>
        <v/>
      </c>
      <c r="H98" s="4"/>
    </row>
    <row r="99" spans="1:8" x14ac:dyDescent="0.2">
      <c r="A99" s="130"/>
      <c r="B99" s="4"/>
      <c r="C99" s="4"/>
      <c r="D99" s="4"/>
      <c r="E99" s="5"/>
      <c r="F99" s="5"/>
      <c r="G99" s="5" t="str">
        <f t="shared" si="1"/>
        <v/>
      </c>
      <c r="H99" s="4"/>
    </row>
    <row r="100" spans="1:8" x14ac:dyDescent="0.2">
      <c r="A100" s="130"/>
      <c r="B100" s="4"/>
      <c r="C100" s="4"/>
      <c r="D100" s="4"/>
      <c r="E100" s="5"/>
      <c r="F100" s="5"/>
      <c r="G100" s="5" t="str">
        <f t="shared" si="1"/>
        <v/>
      </c>
      <c r="H100" s="4"/>
    </row>
    <row r="101" spans="1:8" x14ac:dyDescent="0.2">
      <c r="A101" s="130"/>
      <c r="B101" s="4"/>
      <c r="C101" s="4"/>
      <c r="D101" s="4"/>
      <c r="E101" s="5"/>
      <c r="F101" s="5"/>
      <c r="G101" s="5" t="str">
        <f t="shared" si="1"/>
        <v/>
      </c>
      <c r="H101" s="4"/>
    </row>
    <row r="102" spans="1:8" x14ac:dyDescent="0.2">
      <c r="A102" s="130"/>
      <c r="B102" s="4"/>
      <c r="C102" s="4"/>
      <c r="D102" s="4"/>
      <c r="E102" s="5"/>
      <c r="F102" s="5"/>
      <c r="G102" s="5" t="str">
        <f t="shared" si="1"/>
        <v/>
      </c>
      <c r="H102" s="4"/>
    </row>
    <row r="103" spans="1:8" x14ac:dyDescent="0.2">
      <c r="A103" s="130"/>
      <c r="B103" s="4"/>
      <c r="C103" s="4"/>
      <c r="D103" s="4"/>
      <c r="E103" s="5"/>
      <c r="F103" s="5"/>
      <c r="G103" s="5" t="str">
        <f t="shared" si="1"/>
        <v/>
      </c>
      <c r="H103" s="4"/>
    </row>
    <row r="104" spans="1:8" x14ac:dyDescent="0.2">
      <c r="A104" s="130"/>
      <c r="B104" s="4"/>
      <c r="C104" s="4"/>
      <c r="D104" s="4"/>
      <c r="E104" s="5"/>
      <c r="F104" s="5"/>
      <c r="G104" s="5" t="str">
        <f t="shared" si="1"/>
        <v/>
      </c>
      <c r="H104" s="4"/>
    </row>
    <row r="105" spans="1:8" x14ac:dyDescent="0.2">
      <c r="A105" s="130"/>
      <c r="B105" s="4"/>
      <c r="C105" s="4"/>
      <c r="D105" s="4"/>
      <c r="E105" s="5"/>
      <c r="F105" s="5"/>
      <c r="G105" s="5" t="str">
        <f t="shared" si="1"/>
        <v/>
      </c>
      <c r="H105" s="4"/>
    </row>
    <row r="106" spans="1:8" x14ac:dyDescent="0.2">
      <c r="A106" s="130"/>
      <c r="B106" s="4"/>
      <c r="C106" s="4"/>
      <c r="D106" s="4"/>
      <c r="E106" s="5"/>
      <c r="F106" s="5"/>
      <c r="G106" s="5" t="str">
        <f t="shared" si="1"/>
        <v/>
      </c>
      <c r="H106" s="4"/>
    </row>
    <row r="107" spans="1:8" x14ac:dyDescent="0.2">
      <c r="A107" s="130"/>
      <c r="B107" s="4"/>
      <c r="C107" s="4"/>
      <c r="D107" s="4"/>
      <c r="E107" s="5"/>
      <c r="F107" s="5"/>
      <c r="G107" s="5" t="str">
        <f t="shared" si="1"/>
        <v/>
      </c>
      <c r="H107" s="4"/>
    </row>
    <row r="108" spans="1:8" x14ac:dyDescent="0.2">
      <c r="A108" s="130"/>
      <c r="B108" s="4"/>
      <c r="C108" s="4"/>
      <c r="D108" s="4"/>
      <c r="E108" s="5"/>
      <c r="F108" s="5"/>
      <c r="G108" s="5" t="str">
        <f t="shared" si="1"/>
        <v/>
      </c>
      <c r="H108" s="4"/>
    </row>
    <row r="109" spans="1:8" x14ac:dyDescent="0.2">
      <c r="A109" s="130"/>
      <c r="B109" s="4"/>
      <c r="C109" s="4"/>
      <c r="D109" s="4"/>
      <c r="E109" s="5"/>
      <c r="F109" s="5"/>
      <c r="G109" s="5" t="str">
        <f t="shared" si="1"/>
        <v/>
      </c>
      <c r="H109" s="4"/>
    </row>
    <row r="110" spans="1:8" x14ac:dyDescent="0.2">
      <c r="A110" s="130"/>
      <c r="B110" s="4"/>
      <c r="C110" s="4"/>
      <c r="D110" s="4"/>
      <c r="E110" s="5"/>
      <c r="F110" s="5"/>
      <c r="G110" s="5" t="str">
        <f t="shared" si="1"/>
        <v/>
      </c>
      <c r="H110" s="4"/>
    </row>
    <row r="111" spans="1:8" x14ac:dyDescent="0.2">
      <c r="A111" s="130"/>
      <c r="B111" s="4"/>
      <c r="C111" s="4"/>
      <c r="D111" s="4"/>
      <c r="E111" s="5"/>
      <c r="F111" s="5"/>
      <c r="G111" s="5" t="str">
        <f t="shared" si="1"/>
        <v/>
      </c>
      <c r="H111" s="4"/>
    </row>
    <row r="112" spans="1:8" x14ac:dyDescent="0.2">
      <c r="A112" s="130"/>
      <c r="B112" s="4"/>
      <c r="C112" s="4"/>
      <c r="D112" s="4"/>
      <c r="E112" s="5"/>
      <c r="F112" s="5"/>
      <c r="G112" s="5" t="str">
        <f t="shared" si="1"/>
        <v/>
      </c>
      <c r="H112" s="4"/>
    </row>
    <row r="113" spans="1:8" x14ac:dyDescent="0.2">
      <c r="A113" s="130"/>
      <c r="B113" s="4"/>
      <c r="C113" s="4"/>
      <c r="D113" s="4"/>
      <c r="E113" s="5"/>
      <c r="F113" s="5"/>
      <c r="G113" s="5" t="str">
        <f t="shared" si="1"/>
        <v/>
      </c>
      <c r="H113" s="4"/>
    </row>
    <row r="114" spans="1:8" x14ac:dyDescent="0.2">
      <c r="A114" s="130"/>
      <c r="B114" s="4"/>
      <c r="C114" s="4"/>
      <c r="D114" s="4"/>
      <c r="E114" s="5"/>
      <c r="F114" s="5"/>
      <c r="G114" s="5" t="str">
        <f t="shared" si="1"/>
        <v/>
      </c>
      <c r="H114" s="4"/>
    </row>
    <row r="115" spans="1:8" x14ac:dyDescent="0.2">
      <c r="A115" s="130"/>
      <c r="B115" s="4"/>
      <c r="C115" s="4"/>
      <c r="D115" s="4"/>
      <c r="E115" s="5"/>
      <c r="F115" s="5"/>
      <c r="G115" s="5" t="str">
        <f t="shared" si="1"/>
        <v/>
      </c>
      <c r="H115" s="4"/>
    </row>
    <row r="116" spans="1:8" x14ac:dyDescent="0.2">
      <c r="A116" s="130"/>
      <c r="B116" s="4"/>
      <c r="C116" s="4"/>
      <c r="D116" s="4"/>
      <c r="E116" s="5"/>
      <c r="F116" s="5"/>
      <c r="G116" s="5" t="str">
        <f t="shared" si="1"/>
        <v/>
      </c>
      <c r="H116" s="4"/>
    </row>
    <row r="117" spans="1:8" x14ac:dyDescent="0.2">
      <c r="A117" s="130"/>
      <c r="B117" s="4"/>
      <c r="C117" s="4"/>
      <c r="D117" s="4"/>
      <c r="E117" s="5"/>
      <c r="F117" s="5"/>
      <c r="G117" s="5" t="str">
        <f t="shared" si="1"/>
        <v/>
      </c>
      <c r="H117" s="4"/>
    </row>
    <row r="118" spans="1:8" x14ac:dyDescent="0.2">
      <c r="A118" s="130"/>
      <c r="B118" s="4"/>
      <c r="C118" s="4"/>
      <c r="D118" s="4"/>
      <c r="E118" s="5"/>
      <c r="F118" s="5"/>
      <c r="G118" s="5" t="str">
        <f t="shared" si="1"/>
        <v/>
      </c>
      <c r="H118" s="4"/>
    </row>
    <row r="119" spans="1:8" x14ac:dyDescent="0.2">
      <c r="A119" s="130"/>
      <c r="B119" s="4"/>
      <c r="C119" s="4"/>
      <c r="D119" s="4"/>
      <c r="E119" s="5"/>
      <c r="F119" s="5"/>
      <c r="G119" s="5" t="str">
        <f t="shared" si="1"/>
        <v/>
      </c>
      <c r="H119" s="4"/>
    </row>
    <row r="120" spans="1:8" x14ac:dyDescent="0.2">
      <c r="A120" s="130"/>
      <c r="B120" s="4"/>
      <c r="C120" s="4"/>
      <c r="D120" s="4"/>
      <c r="E120" s="5"/>
      <c r="F120" s="5"/>
      <c r="G120" s="5" t="str">
        <f t="shared" si="1"/>
        <v/>
      </c>
      <c r="H120" s="4"/>
    </row>
    <row r="121" spans="1:8" x14ac:dyDescent="0.2">
      <c r="A121" s="130"/>
      <c r="B121" s="4"/>
      <c r="C121" s="4"/>
      <c r="D121" s="4"/>
      <c r="E121" s="5"/>
      <c r="F121" s="5"/>
      <c r="G121" s="5" t="str">
        <f t="shared" si="1"/>
        <v/>
      </c>
      <c r="H121" s="4"/>
    </row>
    <row r="122" spans="1:8" x14ac:dyDescent="0.2">
      <c r="A122" s="130"/>
      <c r="B122" s="4"/>
      <c r="C122" s="4"/>
      <c r="D122" s="4"/>
      <c r="E122" s="5"/>
      <c r="F122" s="5"/>
      <c r="G122" s="5" t="str">
        <f t="shared" si="1"/>
        <v/>
      </c>
      <c r="H122" s="4"/>
    </row>
    <row r="123" spans="1:8" x14ac:dyDescent="0.2">
      <c r="A123" s="130"/>
      <c r="B123" s="4"/>
      <c r="C123" s="4"/>
      <c r="D123" s="4"/>
      <c r="E123" s="5"/>
      <c r="F123" s="5"/>
      <c r="G123" s="5" t="str">
        <f t="shared" si="1"/>
        <v/>
      </c>
      <c r="H123" s="4"/>
    </row>
    <row r="124" spans="1:8" x14ac:dyDescent="0.2">
      <c r="A124" s="130"/>
      <c r="B124" s="4"/>
      <c r="C124" s="4"/>
      <c r="D124" s="4"/>
      <c r="E124" s="5"/>
      <c r="F124" s="5"/>
      <c r="G124" s="5" t="str">
        <f t="shared" si="1"/>
        <v/>
      </c>
      <c r="H124" s="4"/>
    </row>
    <row r="125" spans="1:8" x14ac:dyDescent="0.2">
      <c r="A125" s="130"/>
      <c r="B125" s="4"/>
      <c r="C125" s="4"/>
      <c r="D125" s="4"/>
      <c r="E125" s="5"/>
      <c r="F125" s="5"/>
      <c r="G125" s="5" t="str">
        <f t="shared" si="1"/>
        <v/>
      </c>
      <c r="H125" s="4"/>
    </row>
    <row r="126" spans="1:8" x14ac:dyDescent="0.2">
      <c r="A126" s="130"/>
      <c r="B126" s="4"/>
      <c r="C126" s="4"/>
      <c r="D126" s="4"/>
      <c r="E126" s="5"/>
      <c r="F126" s="5"/>
      <c r="G126" s="5" t="str">
        <f t="shared" si="1"/>
        <v/>
      </c>
      <c r="H126" s="4"/>
    </row>
    <row r="127" spans="1:8" x14ac:dyDescent="0.2">
      <c r="A127" s="130"/>
      <c r="B127" s="4"/>
      <c r="C127" s="4"/>
      <c r="D127" s="4"/>
      <c r="E127" s="5"/>
      <c r="F127" s="5"/>
      <c r="G127" s="5" t="str">
        <f t="shared" si="1"/>
        <v/>
      </c>
      <c r="H127" s="4"/>
    </row>
    <row r="128" spans="1:8" x14ac:dyDescent="0.2">
      <c r="A128" s="130"/>
      <c r="B128" s="4"/>
      <c r="C128" s="4"/>
      <c r="D128" s="4"/>
      <c r="E128" s="5"/>
      <c r="F128" s="5"/>
      <c r="G128" s="5" t="str">
        <f t="shared" si="1"/>
        <v/>
      </c>
      <c r="H128" s="4"/>
    </row>
    <row r="129" spans="1:8" x14ac:dyDescent="0.2">
      <c r="A129" s="130"/>
      <c r="B129" s="4"/>
      <c r="C129" s="4"/>
      <c r="D129" s="4"/>
      <c r="E129" s="5"/>
      <c r="F129" s="5"/>
      <c r="G129" s="5" t="str">
        <f t="shared" si="1"/>
        <v/>
      </c>
      <c r="H129" s="4"/>
    </row>
    <row r="130" spans="1:8" x14ac:dyDescent="0.2">
      <c r="A130" s="130"/>
      <c r="B130" s="4"/>
      <c r="C130" s="4"/>
      <c r="D130" s="4"/>
      <c r="E130" s="5"/>
      <c r="F130" s="5"/>
      <c r="G130" s="5" t="str">
        <f t="shared" si="1"/>
        <v/>
      </c>
      <c r="H130" s="4"/>
    </row>
    <row r="131" spans="1:8" x14ac:dyDescent="0.2">
      <c r="A131" s="130"/>
      <c r="B131" s="4"/>
      <c r="C131" s="4"/>
      <c r="D131" s="4"/>
      <c r="E131" s="5"/>
      <c r="F131" s="5"/>
      <c r="G131" s="5" t="str">
        <f t="shared" si="1"/>
        <v/>
      </c>
      <c r="H131" s="4"/>
    </row>
    <row r="132" spans="1:8" x14ac:dyDescent="0.2">
      <c r="A132" s="130"/>
      <c r="B132" s="4"/>
      <c r="C132" s="4"/>
      <c r="D132" s="4"/>
      <c r="E132" s="5"/>
      <c r="F132" s="5"/>
      <c r="G132" s="5" t="str">
        <f t="shared" ref="G132:G195" si="2">IF($B132="","",$G131+$F132-$E132)</f>
        <v/>
      </c>
      <c r="H132" s="4"/>
    </row>
    <row r="133" spans="1:8" x14ac:dyDescent="0.2">
      <c r="A133" s="130"/>
      <c r="B133" s="4"/>
      <c r="C133" s="4"/>
      <c r="D133" s="4"/>
      <c r="E133" s="5"/>
      <c r="F133" s="5"/>
      <c r="G133" s="5" t="str">
        <f t="shared" si="2"/>
        <v/>
      </c>
      <c r="H133" s="4"/>
    </row>
    <row r="134" spans="1:8" x14ac:dyDescent="0.2">
      <c r="A134" s="130"/>
      <c r="B134" s="4"/>
      <c r="C134" s="4"/>
      <c r="D134" s="4"/>
      <c r="E134" s="5"/>
      <c r="F134" s="5"/>
      <c r="G134" s="5" t="str">
        <f t="shared" si="2"/>
        <v/>
      </c>
      <c r="H134" s="4"/>
    </row>
    <row r="135" spans="1:8" x14ac:dyDescent="0.2">
      <c r="A135" s="130"/>
      <c r="B135" s="4"/>
      <c r="C135" s="4"/>
      <c r="D135" s="4"/>
      <c r="E135" s="5"/>
      <c r="F135" s="5"/>
      <c r="G135" s="5" t="str">
        <f t="shared" si="2"/>
        <v/>
      </c>
      <c r="H135" s="4"/>
    </row>
    <row r="136" spans="1:8" x14ac:dyDescent="0.2">
      <c r="A136" s="130"/>
      <c r="B136" s="4"/>
      <c r="C136" s="4"/>
      <c r="D136" s="4"/>
      <c r="E136" s="5"/>
      <c r="F136" s="5"/>
      <c r="G136" s="5" t="str">
        <f t="shared" si="2"/>
        <v/>
      </c>
      <c r="H136" s="4"/>
    </row>
    <row r="137" spans="1:8" x14ac:dyDescent="0.2">
      <c r="A137" s="130"/>
      <c r="B137" s="4"/>
      <c r="C137" s="4"/>
      <c r="D137" s="4"/>
      <c r="E137" s="5"/>
      <c r="F137" s="5"/>
      <c r="G137" s="5" t="str">
        <f t="shared" si="2"/>
        <v/>
      </c>
      <c r="H137" s="4"/>
    </row>
    <row r="138" spans="1:8" x14ac:dyDescent="0.2">
      <c r="A138" s="130"/>
      <c r="B138" s="4"/>
      <c r="C138" s="4"/>
      <c r="D138" s="4"/>
      <c r="E138" s="5"/>
      <c r="F138" s="5"/>
      <c r="G138" s="5" t="str">
        <f t="shared" si="2"/>
        <v/>
      </c>
      <c r="H138" s="4"/>
    </row>
    <row r="139" spans="1:8" x14ac:dyDescent="0.2">
      <c r="A139" s="130"/>
      <c r="B139" s="4"/>
      <c r="C139" s="4"/>
      <c r="D139" s="4"/>
      <c r="E139" s="5"/>
      <c r="F139" s="5"/>
      <c r="G139" s="5" t="str">
        <f t="shared" si="2"/>
        <v/>
      </c>
      <c r="H139" s="4"/>
    </row>
    <row r="140" spans="1:8" x14ac:dyDescent="0.2">
      <c r="A140" s="130"/>
      <c r="B140" s="4"/>
      <c r="C140" s="4"/>
      <c r="D140" s="4"/>
      <c r="E140" s="5"/>
      <c r="F140" s="5"/>
      <c r="G140" s="5" t="str">
        <f t="shared" si="2"/>
        <v/>
      </c>
      <c r="H140" s="4"/>
    </row>
    <row r="141" spans="1:8" x14ac:dyDescent="0.2">
      <c r="A141" s="130"/>
      <c r="B141" s="4"/>
      <c r="C141" s="4"/>
      <c r="D141" s="4"/>
      <c r="E141" s="5"/>
      <c r="F141" s="5"/>
      <c r="G141" s="5" t="str">
        <f t="shared" si="2"/>
        <v/>
      </c>
      <c r="H141" s="4"/>
    </row>
    <row r="142" spans="1:8" x14ac:dyDescent="0.2">
      <c r="A142" s="130"/>
      <c r="B142" s="4"/>
      <c r="C142" s="4"/>
      <c r="D142" s="4"/>
      <c r="E142" s="5"/>
      <c r="F142" s="5"/>
      <c r="G142" s="5" t="str">
        <f t="shared" si="2"/>
        <v/>
      </c>
      <c r="H142" s="4"/>
    </row>
    <row r="143" spans="1:8" x14ac:dyDescent="0.2">
      <c r="A143" s="130"/>
      <c r="B143" s="4"/>
      <c r="C143" s="4"/>
      <c r="D143" s="4"/>
      <c r="E143" s="5"/>
      <c r="F143" s="5"/>
      <c r="G143" s="5" t="str">
        <f t="shared" si="2"/>
        <v/>
      </c>
      <c r="H143" s="4"/>
    </row>
    <row r="144" spans="1:8" x14ac:dyDescent="0.2">
      <c r="A144" s="130"/>
      <c r="B144" s="4"/>
      <c r="C144" s="4"/>
      <c r="D144" s="4"/>
      <c r="E144" s="5"/>
      <c r="F144" s="5"/>
      <c r="G144" s="5" t="str">
        <f t="shared" si="2"/>
        <v/>
      </c>
      <c r="H144" s="4"/>
    </row>
    <row r="145" spans="1:8" x14ac:dyDescent="0.2">
      <c r="A145" s="130"/>
      <c r="B145" s="4"/>
      <c r="C145" s="4"/>
      <c r="D145" s="4"/>
      <c r="E145" s="5"/>
      <c r="F145" s="5"/>
      <c r="G145" s="5" t="str">
        <f t="shared" si="2"/>
        <v/>
      </c>
      <c r="H145" s="4"/>
    </row>
    <row r="146" spans="1:8" x14ac:dyDescent="0.2">
      <c r="A146" s="130"/>
      <c r="B146" s="4"/>
      <c r="C146" s="4"/>
      <c r="D146" s="4"/>
      <c r="E146" s="5"/>
      <c r="F146" s="5"/>
      <c r="G146" s="5" t="str">
        <f t="shared" si="2"/>
        <v/>
      </c>
      <c r="H146" s="4"/>
    </row>
    <row r="147" spans="1:8" x14ac:dyDescent="0.2">
      <c r="A147" s="130"/>
      <c r="B147" s="4"/>
      <c r="C147" s="4"/>
      <c r="D147" s="4"/>
      <c r="E147" s="5"/>
      <c r="F147" s="5"/>
      <c r="G147" s="5" t="str">
        <f t="shared" si="2"/>
        <v/>
      </c>
      <c r="H147" s="4"/>
    </row>
    <row r="148" spans="1:8" x14ac:dyDescent="0.2">
      <c r="A148" s="130"/>
      <c r="B148" s="4"/>
      <c r="C148" s="4"/>
      <c r="D148" s="4"/>
      <c r="E148" s="5"/>
      <c r="F148" s="5"/>
      <c r="G148" s="5" t="str">
        <f t="shared" si="2"/>
        <v/>
      </c>
      <c r="H148" s="4"/>
    </row>
    <row r="149" spans="1:8" x14ac:dyDescent="0.2">
      <c r="A149" s="130"/>
      <c r="B149" s="4"/>
      <c r="C149" s="4"/>
      <c r="D149" s="4"/>
      <c r="E149" s="5"/>
      <c r="F149" s="5"/>
      <c r="G149" s="5" t="str">
        <f t="shared" si="2"/>
        <v/>
      </c>
      <c r="H149" s="4"/>
    </row>
    <row r="150" spans="1:8" x14ac:dyDescent="0.2">
      <c r="A150" s="130"/>
      <c r="B150" s="4"/>
      <c r="C150" s="4"/>
      <c r="D150" s="4"/>
      <c r="E150" s="5"/>
      <c r="F150" s="5"/>
      <c r="G150" s="5" t="str">
        <f t="shared" si="2"/>
        <v/>
      </c>
      <c r="H150" s="4"/>
    </row>
    <row r="151" spans="1:8" x14ac:dyDescent="0.2">
      <c r="A151" s="130"/>
      <c r="B151" s="4"/>
      <c r="C151" s="4"/>
      <c r="D151" s="4"/>
      <c r="E151" s="5"/>
      <c r="F151" s="5"/>
      <c r="G151" s="5" t="str">
        <f t="shared" si="2"/>
        <v/>
      </c>
      <c r="H151" s="4"/>
    </row>
    <row r="152" spans="1:8" x14ac:dyDescent="0.2">
      <c r="A152" s="130"/>
      <c r="B152" s="4"/>
      <c r="C152" s="4"/>
      <c r="D152" s="4"/>
      <c r="E152" s="5"/>
      <c r="F152" s="5"/>
      <c r="G152" s="5" t="str">
        <f t="shared" si="2"/>
        <v/>
      </c>
      <c r="H152" s="4"/>
    </row>
    <row r="153" spans="1:8" x14ac:dyDescent="0.2">
      <c r="A153" s="130"/>
      <c r="B153" s="4"/>
      <c r="C153" s="4"/>
      <c r="D153" s="4"/>
      <c r="E153" s="5"/>
      <c r="F153" s="5"/>
      <c r="G153" s="5" t="str">
        <f t="shared" si="2"/>
        <v/>
      </c>
      <c r="H153" s="4"/>
    </row>
    <row r="154" spans="1:8" x14ac:dyDescent="0.2">
      <c r="A154" s="130"/>
      <c r="B154" s="4"/>
      <c r="C154" s="4"/>
      <c r="D154" s="4"/>
      <c r="E154" s="5"/>
      <c r="F154" s="5"/>
      <c r="G154" s="5" t="str">
        <f t="shared" si="2"/>
        <v/>
      </c>
      <c r="H154" s="4"/>
    </row>
    <row r="155" spans="1:8" x14ac:dyDescent="0.2">
      <c r="A155" s="130"/>
      <c r="B155" s="4"/>
      <c r="C155" s="4"/>
      <c r="D155" s="4"/>
      <c r="E155" s="5"/>
      <c r="F155" s="5"/>
      <c r="G155" s="5" t="str">
        <f t="shared" si="2"/>
        <v/>
      </c>
      <c r="H155" s="4"/>
    </row>
    <row r="156" spans="1:8" x14ac:dyDescent="0.2">
      <c r="A156" s="130"/>
      <c r="B156" s="4"/>
      <c r="C156" s="4"/>
      <c r="D156" s="4"/>
      <c r="E156" s="5"/>
      <c r="F156" s="5"/>
      <c r="G156" s="5" t="str">
        <f t="shared" si="2"/>
        <v/>
      </c>
      <c r="H156" s="4"/>
    </row>
    <row r="157" spans="1:8" x14ac:dyDescent="0.2">
      <c r="A157" s="130"/>
      <c r="B157" s="4"/>
      <c r="C157" s="4"/>
      <c r="D157" s="4"/>
      <c r="E157" s="5"/>
      <c r="F157" s="5"/>
      <c r="G157" s="5" t="str">
        <f t="shared" si="2"/>
        <v/>
      </c>
      <c r="H157" s="4"/>
    </row>
    <row r="158" spans="1:8" x14ac:dyDescent="0.2">
      <c r="A158" s="130"/>
      <c r="B158" s="4"/>
      <c r="C158" s="4"/>
      <c r="D158" s="4"/>
      <c r="E158" s="5"/>
      <c r="F158" s="5"/>
      <c r="G158" s="5" t="str">
        <f t="shared" si="2"/>
        <v/>
      </c>
      <c r="H158" s="4"/>
    </row>
    <row r="159" spans="1:8" x14ac:dyDescent="0.2">
      <c r="A159" s="130"/>
      <c r="B159" s="4"/>
      <c r="C159" s="4"/>
      <c r="D159" s="4"/>
      <c r="E159" s="5"/>
      <c r="F159" s="5"/>
      <c r="G159" s="5" t="str">
        <f t="shared" si="2"/>
        <v/>
      </c>
      <c r="H159" s="4"/>
    </row>
    <row r="160" spans="1:8" x14ac:dyDescent="0.2">
      <c r="A160" s="130"/>
      <c r="B160" s="4"/>
      <c r="C160" s="4"/>
      <c r="D160" s="4"/>
      <c r="E160" s="5"/>
      <c r="F160" s="5"/>
      <c r="G160" s="5" t="str">
        <f t="shared" si="2"/>
        <v/>
      </c>
      <c r="H160" s="4"/>
    </row>
    <row r="161" spans="1:8" x14ac:dyDescent="0.2">
      <c r="A161" s="130"/>
      <c r="B161" s="4"/>
      <c r="C161" s="4"/>
      <c r="D161" s="4"/>
      <c r="E161" s="5"/>
      <c r="F161" s="5"/>
      <c r="G161" s="5" t="str">
        <f t="shared" si="2"/>
        <v/>
      </c>
      <c r="H161" s="4"/>
    </row>
    <row r="162" spans="1:8" x14ac:dyDescent="0.2">
      <c r="A162" s="130"/>
      <c r="B162" s="4"/>
      <c r="C162" s="4"/>
      <c r="D162" s="4"/>
      <c r="E162" s="5"/>
      <c r="F162" s="5"/>
      <c r="G162" s="5" t="str">
        <f t="shared" si="2"/>
        <v/>
      </c>
      <c r="H162" s="4"/>
    </row>
    <row r="163" spans="1:8" x14ac:dyDescent="0.2">
      <c r="A163" s="130"/>
      <c r="B163" s="4"/>
      <c r="C163" s="4"/>
      <c r="D163" s="4"/>
      <c r="E163" s="5"/>
      <c r="F163" s="5"/>
      <c r="G163" s="5" t="str">
        <f t="shared" si="2"/>
        <v/>
      </c>
      <c r="H163" s="4"/>
    </row>
    <row r="164" spans="1:8" x14ac:dyDescent="0.2">
      <c r="A164" s="130"/>
      <c r="B164" s="4"/>
      <c r="C164" s="4"/>
      <c r="D164" s="4"/>
      <c r="E164" s="5"/>
      <c r="F164" s="5"/>
      <c r="G164" s="5" t="str">
        <f t="shared" si="2"/>
        <v/>
      </c>
      <c r="H164" s="4"/>
    </row>
    <row r="165" spans="1:8" x14ac:dyDescent="0.2">
      <c r="A165" s="130"/>
      <c r="B165" s="4"/>
      <c r="C165" s="4"/>
      <c r="D165" s="4"/>
      <c r="E165" s="5"/>
      <c r="F165" s="5"/>
      <c r="G165" s="5" t="str">
        <f t="shared" si="2"/>
        <v/>
      </c>
      <c r="H165" s="4"/>
    </row>
    <row r="166" spans="1:8" x14ac:dyDescent="0.2">
      <c r="A166" s="130"/>
      <c r="B166" s="4"/>
      <c r="C166" s="4"/>
      <c r="D166" s="4"/>
      <c r="E166" s="5"/>
      <c r="F166" s="5"/>
      <c r="G166" s="5" t="str">
        <f t="shared" si="2"/>
        <v/>
      </c>
      <c r="H166" s="4"/>
    </row>
    <row r="167" spans="1:8" x14ac:dyDescent="0.2">
      <c r="A167" s="130"/>
      <c r="B167" s="4"/>
      <c r="C167" s="4"/>
      <c r="D167" s="4"/>
      <c r="E167" s="5"/>
      <c r="F167" s="5"/>
      <c r="G167" s="5" t="str">
        <f t="shared" si="2"/>
        <v/>
      </c>
      <c r="H167" s="4"/>
    </row>
    <row r="168" spans="1:8" x14ac:dyDescent="0.2">
      <c r="A168" s="130"/>
      <c r="B168" s="4"/>
      <c r="C168" s="4"/>
      <c r="D168" s="4"/>
      <c r="E168" s="5"/>
      <c r="F168" s="5"/>
      <c r="G168" s="5" t="str">
        <f t="shared" si="2"/>
        <v/>
      </c>
      <c r="H168" s="4"/>
    </row>
    <row r="169" spans="1:8" x14ac:dyDescent="0.2">
      <c r="A169" s="130"/>
      <c r="B169" s="4"/>
      <c r="C169" s="4"/>
      <c r="D169" s="4"/>
      <c r="E169" s="5"/>
      <c r="F169" s="5"/>
      <c r="G169" s="5" t="str">
        <f t="shared" si="2"/>
        <v/>
      </c>
      <c r="H169" s="4"/>
    </row>
    <row r="170" spans="1:8" x14ac:dyDescent="0.2">
      <c r="A170" s="130"/>
      <c r="B170" s="4"/>
      <c r="C170" s="4"/>
      <c r="D170" s="4"/>
      <c r="E170" s="5"/>
      <c r="F170" s="5"/>
      <c r="G170" s="5" t="str">
        <f t="shared" si="2"/>
        <v/>
      </c>
      <c r="H170" s="4"/>
    </row>
    <row r="171" spans="1:8" x14ac:dyDescent="0.2">
      <c r="A171" s="130"/>
      <c r="B171" s="4"/>
      <c r="C171" s="4"/>
      <c r="D171" s="4"/>
      <c r="E171" s="5"/>
      <c r="F171" s="5"/>
      <c r="G171" s="5" t="str">
        <f t="shared" si="2"/>
        <v/>
      </c>
      <c r="H171" s="4"/>
    </row>
    <row r="172" spans="1:8" x14ac:dyDescent="0.2">
      <c r="A172" s="130"/>
      <c r="B172" s="4"/>
      <c r="C172" s="4"/>
      <c r="D172" s="4"/>
      <c r="E172" s="5"/>
      <c r="F172" s="5"/>
      <c r="G172" s="5" t="str">
        <f t="shared" si="2"/>
        <v/>
      </c>
      <c r="H172" s="4"/>
    </row>
    <row r="173" spans="1:8" x14ac:dyDescent="0.2">
      <c r="A173" s="130"/>
      <c r="B173" s="4"/>
      <c r="C173" s="4"/>
      <c r="D173" s="4"/>
      <c r="E173" s="5"/>
      <c r="F173" s="5"/>
      <c r="G173" s="5" t="str">
        <f t="shared" si="2"/>
        <v/>
      </c>
      <c r="H173" s="4"/>
    </row>
    <row r="174" spans="1:8" x14ac:dyDescent="0.2">
      <c r="A174" s="130"/>
      <c r="B174" s="4"/>
      <c r="C174" s="4"/>
      <c r="D174" s="4"/>
      <c r="E174" s="5"/>
      <c r="F174" s="5"/>
      <c r="G174" s="5" t="str">
        <f t="shared" si="2"/>
        <v/>
      </c>
      <c r="H174" s="4"/>
    </row>
    <row r="175" spans="1:8" x14ac:dyDescent="0.2">
      <c r="A175" s="130"/>
      <c r="B175" s="4"/>
      <c r="C175" s="4"/>
      <c r="D175" s="4"/>
      <c r="E175" s="5"/>
      <c r="F175" s="5"/>
      <c r="G175" s="5" t="str">
        <f t="shared" si="2"/>
        <v/>
      </c>
      <c r="H175" s="4"/>
    </row>
    <row r="176" spans="1:8" x14ac:dyDescent="0.2">
      <c r="A176" s="130"/>
      <c r="B176" s="4"/>
      <c r="C176" s="4"/>
      <c r="D176" s="4"/>
      <c r="E176" s="5"/>
      <c r="F176" s="5"/>
      <c r="G176" s="5" t="str">
        <f t="shared" si="2"/>
        <v/>
      </c>
      <c r="H176" s="4"/>
    </row>
    <row r="177" spans="1:8" x14ac:dyDescent="0.2">
      <c r="A177" s="130"/>
      <c r="B177" s="4"/>
      <c r="C177" s="4"/>
      <c r="D177" s="4"/>
      <c r="E177" s="5"/>
      <c r="F177" s="5"/>
      <c r="G177" s="5" t="str">
        <f t="shared" si="2"/>
        <v/>
      </c>
      <c r="H177" s="4"/>
    </row>
    <row r="178" spans="1:8" x14ac:dyDescent="0.2">
      <c r="A178" s="130"/>
      <c r="B178" s="4"/>
      <c r="C178" s="4"/>
      <c r="D178" s="4"/>
      <c r="E178" s="5"/>
      <c r="F178" s="5"/>
      <c r="G178" s="5" t="str">
        <f t="shared" si="2"/>
        <v/>
      </c>
      <c r="H178" s="4"/>
    </row>
    <row r="179" spans="1:8" x14ac:dyDescent="0.2">
      <c r="A179" s="130"/>
      <c r="B179" s="4"/>
      <c r="C179" s="4"/>
      <c r="D179" s="4"/>
      <c r="E179" s="5"/>
      <c r="F179" s="5"/>
      <c r="G179" s="5" t="str">
        <f t="shared" si="2"/>
        <v/>
      </c>
      <c r="H179" s="4"/>
    </row>
    <row r="180" spans="1:8" x14ac:dyDescent="0.2">
      <c r="A180" s="130"/>
      <c r="B180" s="4"/>
      <c r="C180" s="4"/>
      <c r="D180" s="4"/>
      <c r="E180" s="5"/>
      <c r="F180" s="5"/>
      <c r="G180" s="5" t="str">
        <f t="shared" si="2"/>
        <v/>
      </c>
      <c r="H180" s="4"/>
    </row>
    <row r="181" spans="1:8" x14ac:dyDescent="0.2">
      <c r="A181" s="130"/>
      <c r="B181" s="4"/>
      <c r="C181" s="4"/>
      <c r="D181" s="4"/>
      <c r="E181" s="5"/>
      <c r="F181" s="5"/>
      <c r="G181" s="5" t="str">
        <f t="shared" si="2"/>
        <v/>
      </c>
      <c r="H181" s="4"/>
    </row>
    <row r="182" spans="1:8" x14ac:dyDescent="0.2">
      <c r="A182" s="130"/>
      <c r="B182" s="4"/>
      <c r="C182" s="4"/>
      <c r="D182" s="4"/>
      <c r="E182" s="5"/>
      <c r="F182" s="5"/>
      <c r="G182" s="5" t="str">
        <f t="shared" si="2"/>
        <v/>
      </c>
      <c r="H182" s="4"/>
    </row>
    <row r="183" spans="1:8" x14ac:dyDescent="0.2">
      <c r="A183" s="130"/>
      <c r="B183" s="4"/>
      <c r="C183" s="4"/>
      <c r="D183" s="4"/>
      <c r="E183" s="5"/>
      <c r="F183" s="5"/>
      <c r="G183" s="5" t="str">
        <f t="shared" si="2"/>
        <v/>
      </c>
      <c r="H183" s="4"/>
    </row>
    <row r="184" spans="1:8" x14ac:dyDescent="0.2">
      <c r="A184" s="130"/>
      <c r="B184" s="4"/>
      <c r="C184" s="4"/>
      <c r="D184" s="4"/>
      <c r="E184" s="5"/>
      <c r="F184" s="5"/>
      <c r="G184" s="5" t="str">
        <f t="shared" si="2"/>
        <v/>
      </c>
      <c r="H184" s="4"/>
    </row>
    <row r="185" spans="1:8" x14ac:dyDescent="0.2">
      <c r="A185" s="130"/>
      <c r="B185" s="4"/>
      <c r="C185" s="4"/>
      <c r="D185" s="4"/>
      <c r="E185" s="5"/>
      <c r="F185" s="5"/>
      <c r="G185" s="5" t="str">
        <f t="shared" si="2"/>
        <v/>
      </c>
      <c r="H185" s="4"/>
    </row>
    <row r="186" spans="1:8" x14ac:dyDescent="0.2">
      <c r="A186" s="130"/>
      <c r="B186" s="4"/>
      <c r="C186" s="4"/>
      <c r="D186" s="4"/>
      <c r="E186" s="5"/>
      <c r="F186" s="5"/>
      <c r="G186" s="5" t="str">
        <f t="shared" si="2"/>
        <v/>
      </c>
      <c r="H186" s="4"/>
    </row>
    <row r="187" spans="1:8" x14ac:dyDescent="0.2">
      <c r="A187" s="130"/>
      <c r="B187" s="4"/>
      <c r="C187" s="4"/>
      <c r="D187" s="4"/>
      <c r="E187" s="5"/>
      <c r="F187" s="5"/>
      <c r="G187" s="5" t="str">
        <f t="shared" si="2"/>
        <v/>
      </c>
      <c r="H187" s="4"/>
    </row>
    <row r="188" spans="1:8" x14ac:dyDescent="0.2">
      <c r="A188" s="130"/>
      <c r="B188" s="4"/>
      <c r="C188" s="4"/>
      <c r="D188" s="4"/>
      <c r="E188" s="5"/>
      <c r="F188" s="5"/>
      <c r="G188" s="5" t="str">
        <f t="shared" si="2"/>
        <v/>
      </c>
      <c r="H188" s="4"/>
    </row>
    <row r="189" spans="1:8" x14ac:dyDescent="0.2">
      <c r="A189" s="130"/>
      <c r="B189" s="4"/>
      <c r="C189" s="4"/>
      <c r="D189" s="4"/>
      <c r="E189" s="5"/>
      <c r="F189" s="5"/>
      <c r="G189" s="5" t="str">
        <f t="shared" si="2"/>
        <v/>
      </c>
      <c r="H189" s="4"/>
    </row>
    <row r="190" spans="1:8" x14ac:dyDescent="0.2">
      <c r="A190" s="130"/>
      <c r="B190" s="4"/>
      <c r="C190" s="4"/>
      <c r="D190" s="4"/>
      <c r="E190" s="5"/>
      <c r="F190" s="5"/>
      <c r="G190" s="5" t="str">
        <f t="shared" si="2"/>
        <v/>
      </c>
      <c r="H190" s="4"/>
    </row>
    <row r="191" spans="1:8" x14ac:dyDescent="0.2">
      <c r="A191" s="130"/>
      <c r="B191" s="4"/>
      <c r="C191" s="4"/>
      <c r="D191" s="4"/>
      <c r="E191" s="5"/>
      <c r="F191" s="5"/>
      <c r="G191" s="5" t="str">
        <f t="shared" si="2"/>
        <v/>
      </c>
      <c r="H191" s="4"/>
    </row>
    <row r="192" spans="1:8" x14ac:dyDescent="0.2">
      <c r="A192" s="130"/>
      <c r="B192" s="4"/>
      <c r="C192" s="4"/>
      <c r="D192" s="4"/>
      <c r="E192" s="5"/>
      <c r="F192" s="5"/>
      <c r="G192" s="5" t="str">
        <f t="shared" si="2"/>
        <v/>
      </c>
      <c r="H192" s="4"/>
    </row>
    <row r="193" spans="1:8" x14ac:dyDescent="0.2">
      <c r="A193" s="130"/>
      <c r="B193" s="4"/>
      <c r="C193" s="4"/>
      <c r="D193" s="4"/>
      <c r="E193" s="5"/>
      <c r="F193" s="5"/>
      <c r="G193" s="5" t="str">
        <f t="shared" si="2"/>
        <v/>
      </c>
      <c r="H193" s="4"/>
    </row>
    <row r="194" spans="1:8" x14ac:dyDescent="0.2">
      <c r="A194" s="130"/>
      <c r="B194" s="4"/>
      <c r="C194" s="4"/>
      <c r="D194" s="4"/>
      <c r="E194" s="5"/>
      <c r="F194" s="5"/>
      <c r="G194" s="5" t="str">
        <f t="shared" si="2"/>
        <v/>
      </c>
      <c r="H194" s="4"/>
    </row>
    <row r="195" spans="1:8" x14ac:dyDescent="0.2">
      <c r="A195" s="130"/>
      <c r="B195" s="4"/>
      <c r="C195" s="4"/>
      <c r="D195" s="4"/>
      <c r="E195" s="5"/>
      <c r="F195" s="5"/>
      <c r="G195" s="5" t="str">
        <f t="shared" si="2"/>
        <v/>
      </c>
      <c r="H195" s="4"/>
    </row>
    <row r="196" spans="1:8" x14ac:dyDescent="0.2">
      <c r="A196" s="130"/>
      <c r="B196" s="4"/>
      <c r="C196" s="4"/>
      <c r="D196" s="4"/>
      <c r="E196" s="5"/>
      <c r="F196" s="5"/>
      <c r="G196" s="5" t="str">
        <f t="shared" ref="G196:G259" si="3">IF($B196="","",$G195+$F196-$E196)</f>
        <v/>
      </c>
      <c r="H196" s="4"/>
    </row>
    <row r="197" spans="1:8" x14ac:dyDescent="0.2">
      <c r="A197" s="130"/>
      <c r="B197" s="4"/>
      <c r="C197" s="4"/>
      <c r="D197" s="4"/>
      <c r="E197" s="5"/>
      <c r="F197" s="5"/>
      <c r="G197" s="5" t="str">
        <f t="shared" si="3"/>
        <v/>
      </c>
      <c r="H197" s="4"/>
    </row>
    <row r="198" spans="1:8" x14ac:dyDescent="0.2">
      <c r="A198" s="130"/>
      <c r="B198" s="4"/>
      <c r="C198" s="4"/>
      <c r="D198" s="4"/>
      <c r="E198" s="5"/>
      <c r="F198" s="5"/>
      <c r="G198" s="5" t="str">
        <f t="shared" si="3"/>
        <v/>
      </c>
      <c r="H198" s="4"/>
    </row>
    <row r="199" spans="1:8" x14ac:dyDescent="0.2">
      <c r="A199" s="130"/>
      <c r="B199" s="4"/>
      <c r="C199" s="4"/>
      <c r="D199" s="4"/>
      <c r="E199" s="5"/>
      <c r="F199" s="5"/>
      <c r="G199" s="5" t="str">
        <f t="shared" si="3"/>
        <v/>
      </c>
      <c r="H199" s="4"/>
    </row>
    <row r="200" spans="1:8" x14ac:dyDescent="0.2">
      <c r="A200" s="130"/>
      <c r="B200" s="4"/>
      <c r="C200" s="4"/>
      <c r="D200" s="4"/>
      <c r="E200" s="5"/>
      <c r="F200" s="5"/>
      <c r="G200" s="5" t="str">
        <f t="shared" si="3"/>
        <v/>
      </c>
      <c r="H200" s="4"/>
    </row>
    <row r="201" spans="1:8" x14ac:dyDescent="0.2">
      <c r="A201" s="130"/>
      <c r="B201" s="4"/>
      <c r="C201" s="4"/>
      <c r="D201" s="4"/>
      <c r="E201" s="5"/>
      <c r="F201" s="5"/>
      <c r="G201" s="5" t="str">
        <f t="shared" si="3"/>
        <v/>
      </c>
      <c r="H201" s="4"/>
    </row>
    <row r="202" spans="1:8" x14ac:dyDescent="0.2">
      <c r="A202" s="130"/>
      <c r="B202" s="4"/>
      <c r="C202" s="4"/>
      <c r="D202" s="4"/>
      <c r="E202" s="5"/>
      <c r="F202" s="5"/>
      <c r="G202" s="5" t="str">
        <f t="shared" si="3"/>
        <v/>
      </c>
      <c r="H202" s="4"/>
    </row>
    <row r="203" spans="1:8" x14ac:dyDescent="0.2">
      <c r="A203" s="130"/>
      <c r="B203" s="4"/>
      <c r="C203" s="4"/>
      <c r="D203" s="4"/>
      <c r="E203" s="5"/>
      <c r="F203" s="5"/>
      <c r="G203" s="5" t="str">
        <f t="shared" si="3"/>
        <v/>
      </c>
      <c r="H203" s="4"/>
    </row>
    <row r="204" spans="1:8" x14ac:dyDescent="0.2">
      <c r="A204" s="130"/>
      <c r="B204" s="4"/>
      <c r="C204" s="4"/>
      <c r="D204" s="4"/>
      <c r="E204" s="5"/>
      <c r="F204" s="5"/>
      <c r="G204" s="5" t="str">
        <f t="shared" si="3"/>
        <v/>
      </c>
      <c r="H204" s="4"/>
    </row>
    <row r="205" spans="1:8" x14ac:dyDescent="0.2">
      <c r="A205" s="130"/>
      <c r="B205" s="4"/>
      <c r="C205" s="4"/>
      <c r="D205" s="4"/>
      <c r="E205" s="5"/>
      <c r="F205" s="5"/>
      <c r="G205" s="5" t="str">
        <f t="shared" si="3"/>
        <v/>
      </c>
      <c r="H205" s="4"/>
    </row>
    <row r="206" spans="1:8" x14ac:dyDescent="0.2">
      <c r="A206" s="130"/>
      <c r="B206" s="4"/>
      <c r="C206" s="4"/>
      <c r="D206" s="4"/>
      <c r="E206" s="5"/>
      <c r="F206" s="5"/>
      <c r="G206" s="5" t="str">
        <f t="shared" si="3"/>
        <v/>
      </c>
      <c r="H206" s="4"/>
    </row>
    <row r="207" spans="1:8" x14ac:dyDescent="0.2">
      <c r="A207" s="130"/>
      <c r="B207" s="4"/>
      <c r="C207" s="4"/>
      <c r="D207" s="4"/>
      <c r="E207" s="5"/>
      <c r="F207" s="5"/>
      <c r="G207" s="5" t="str">
        <f t="shared" si="3"/>
        <v/>
      </c>
      <c r="H207" s="4"/>
    </row>
    <row r="208" spans="1:8" x14ac:dyDescent="0.2">
      <c r="A208" s="130"/>
      <c r="B208" s="4"/>
      <c r="C208" s="4"/>
      <c r="D208" s="4"/>
      <c r="E208" s="5"/>
      <c r="F208" s="5"/>
      <c r="G208" s="5" t="str">
        <f t="shared" si="3"/>
        <v/>
      </c>
      <c r="H208" s="4"/>
    </row>
    <row r="209" spans="1:8" x14ac:dyDescent="0.2">
      <c r="A209" s="130"/>
      <c r="B209" s="4"/>
      <c r="C209" s="4"/>
      <c r="D209" s="4"/>
      <c r="E209" s="5"/>
      <c r="F209" s="5"/>
      <c r="G209" s="5" t="str">
        <f t="shared" si="3"/>
        <v/>
      </c>
      <c r="H209" s="4"/>
    </row>
    <row r="210" spans="1:8" x14ac:dyDescent="0.2">
      <c r="A210" s="130"/>
      <c r="B210" s="4"/>
      <c r="C210" s="4"/>
      <c r="D210" s="4"/>
      <c r="E210" s="5"/>
      <c r="F210" s="5"/>
      <c r="G210" s="5" t="str">
        <f t="shared" si="3"/>
        <v/>
      </c>
      <c r="H210" s="4"/>
    </row>
    <row r="211" spans="1:8" x14ac:dyDescent="0.2">
      <c r="A211" s="130"/>
      <c r="B211" s="4"/>
      <c r="C211" s="4"/>
      <c r="D211" s="4"/>
      <c r="E211" s="5"/>
      <c r="F211" s="5"/>
      <c r="G211" s="5" t="str">
        <f t="shared" si="3"/>
        <v/>
      </c>
      <c r="H211" s="4"/>
    </row>
    <row r="212" spans="1:8" x14ac:dyDescent="0.2">
      <c r="A212" s="130"/>
      <c r="B212" s="4"/>
      <c r="C212" s="4"/>
      <c r="D212" s="4"/>
      <c r="E212" s="5"/>
      <c r="F212" s="5"/>
      <c r="G212" s="5" t="str">
        <f t="shared" si="3"/>
        <v/>
      </c>
      <c r="H212" s="4"/>
    </row>
    <row r="213" spans="1:8" x14ac:dyDescent="0.2">
      <c r="A213" s="130"/>
      <c r="B213" s="4"/>
      <c r="C213" s="4"/>
      <c r="D213" s="4"/>
      <c r="E213" s="5"/>
      <c r="F213" s="5"/>
      <c r="G213" s="5" t="str">
        <f t="shared" si="3"/>
        <v/>
      </c>
      <c r="H213" s="4"/>
    </row>
    <row r="214" spans="1:8" x14ac:dyDescent="0.2">
      <c r="A214" s="130"/>
      <c r="B214" s="4"/>
      <c r="C214" s="4"/>
      <c r="D214" s="4"/>
      <c r="E214" s="5"/>
      <c r="F214" s="5"/>
      <c r="G214" s="5" t="str">
        <f t="shared" si="3"/>
        <v/>
      </c>
      <c r="H214" s="4"/>
    </row>
    <row r="215" spans="1:8" x14ac:dyDescent="0.2">
      <c r="A215" s="130"/>
      <c r="B215" s="4"/>
      <c r="C215" s="4"/>
      <c r="D215" s="4"/>
      <c r="E215" s="5"/>
      <c r="F215" s="5"/>
      <c r="G215" s="5" t="str">
        <f t="shared" si="3"/>
        <v/>
      </c>
      <c r="H215" s="4"/>
    </row>
    <row r="216" spans="1:8" x14ac:dyDescent="0.2">
      <c r="A216" s="130"/>
      <c r="B216" s="4"/>
      <c r="C216" s="4"/>
      <c r="D216" s="4"/>
      <c r="E216" s="5"/>
      <c r="F216" s="5"/>
      <c r="G216" s="5" t="str">
        <f t="shared" si="3"/>
        <v/>
      </c>
      <c r="H216" s="4"/>
    </row>
    <row r="217" spans="1:8" x14ac:dyDescent="0.2">
      <c r="A217" s="130"/>
      <c r="B217" s="4"/>
      <c r="C217" s="4"/>
      <c r="D217" s="4"/>
      <c r="E217" s="5"/>
      <c r="F217" s="5"/>
      <c r="G217" s="5" t="str">
        <f t="shared" si="3"/>
        <v/>
      </c>
      <c r="H217" s="4"/>
    </row>
    <row r="218" spans="1:8" x14ac:dyDescent="0.2">
      <c r="A218" s="130"/>
      <c r="B218" s="4"/>
      <c r="C218" s="4"/>
      <c r="D218" s="4"/>
      <c r="E218" s="5"/>
      <c r="F218" s="5"/>
      <c r="G218" s="5" t="str">
        <f t="shared" si="3"/>
        <v/>
      </c>
      <c r="H218" s="4"/>
    </row>
    <row r="219" spans="1:8" x14ac:dyDescent="0.2">
      <c r="A219" s="130"/>
      <c r="B219" s="4"/>
      <c r="C219" s="4"/>
      <c r="D219" s="4"/>
      <c r="E219" s="5"/>
      <c r="F219" s="5"/>
      <c r="G219" s="5" t="str">
        <f t="shared" si="3"/>
        <v/>
      </c>
      <c r="H219" s="4"/>
    </row>
    <row r="220" spans="1:8" x14ac:dyDescent="0.2">
      <c r="A220" s="130"/>
      <c r="B220" s="4"/>
      <c r="C220" s="4"/>
      <c r="D220" s="4"/>
      <c r="E220" s="5"/>
      <c r="F220" s="5"/>
      <c r="G220" s="5" t="str">
        <f t="shared" si="3"/>
        <v/>
      </c>
      <c r="H220" s="4"/>
    </row>
    <row r="221" spans="1:8" x14ac:dyDescent="0.2">
      <c r="A221" s="130"/>
      <c r="B221" s="4"/>
      <c r="C221" s="4"/>
      <c r="D221" s="4"/>
      <c r="E221" s="5"/>
      <c r="F221" s="5"/>
      <c r="G221" s="5" t="str">
        <f t="shared" si="3"/>
        <v/>
      </c>
      <c r="H221" s="4"/>
    </row>
    <row r="222" spans="1:8" x14ac:dyDescent="0.2">
      <c r="A222" s="130"/>
      <c r="B222" s="4"/>
      <c r="C222" s="4"/>
      <c r="D222" s="4"/>
      <c r="E222" s="5"/>
      <c r="F222" s="5"/>
      <c r="G222" s="5" t="str">
        <f t="shared" si="3"/>
        <v/>
      </c>
      <c r="H222" s="4"/>
    </row>
    <row r="223" spans="1:8" x14ac:dyDescent="0.2">
      <c r="A223" s="130"/>
      <c r="B223" s="4"/>
      <c r="C223" s="4"/>
      <c r="D223" s="4"/>
      <c r="E223" s="5"/>
      <c r="F223" s="5"/>
      <c r="G223" s="5" t="str">
        <f t="shared" si="3"/>
        <v/>
      </c>
      <c r="H223" s="4"/>
    </row>
    <row r="224" spans="1:8" x14ac:dyDescent="0.2">
      <c r="A224" s="130"/>
      <c r="B224" s="4"/>
      <c r="C224" s="4"/>
      <c r="D224" s="4"/>
      <c r="E224" s="5"/>
      <c r="F224" s="5"/>
      <c r="G224" s="5" t="str">
        <f t="shared" si="3"/>
        <v/>
      </c>
      <c r="H224" s="4"/>
    </row>
    <row r="225" spans="1:8" x14ac:dyDescent="0.2">
      <c r="A225" s="130"/>
      <c r="B225" s="4"/>
      <c r="C225" s="4"/>
      <c r="D225" s="4"/>
      <c r="E225" s="5"/>
      <c r="F225" s="5"/>
      <c r="G225" s="5" t="str">
        <f t="shared" si="3"/>
        <v/>
      </c>
      <c r="H225" s="4"/>
    </row>
    <row r="226" spans="1:8" x14ac:dyDescent="0.2">
      <c r="A226" s="130"/>
      <c r="B226" s="4"/>
      <c r="C226" s="4"/>
      <c r="D226" s="4"/>
      <c r="E226" s="5"/>
      <c r="F226" s="5"/>
      <c r="G226" s="5" t="str">
        <f t="shared" si="3"/>
        <v/>
      </c>
      <c r="H226" s="4"/>
    </row>
    <row r="227" spans="1:8" x14ac:dyDescent="0.2">
      <c r="A227" s="130"/>
      <c r="B227" s="4"/>
      <c r="C227" s="4"/>
      <c r="D227" s="4"/>
      <c r="E227" s="5"/>
      <c r="F227" s="5"/>
      <c r="G227" s="5" t="str">
        <f t="shared" si="3"/>
        <v/>
      </c>
      <c r="H227" s="4"/>
    </row>
    <row r="228" spans="1:8" x14ac:dyDescent="0.2">
      <c r="A228" s="130"/>
      <c r="B228" s="4"/>
      <c r="C228" s="4"/>
      <c r="D228" s="4"/>
      <c r="E228" s="5"/>
      <c r="F228" s="5"/>
      <c r="G228" s="5" t="str">
        <f t="shared" si="3"/>
        <v/>
      </c>
      <c r="H228" s="4"/>
    </row>
    <row r="229" spans="1:8" x14ac:dyDescent="0.2">
      <c r="A229" s="130"/>
      <c r="B229" s="4"/>
      <c r="C229" s="4"/>
      <c r="D229" s="4"/>
      <c r="E229" s="5"/>
      <c r="F229" s="5"/>
      <c r="G229" s="5" t="str">
        <f t="shared" si="3"/>
        <v/>
      </c>
      <c r="H229" s="4"/>
    </row>
    <row r="230" spans="1:8" x14ac:dyDescent="0.2">
      <c r="A230" s="130"/>
      <c r="B230" s="4"/>
      <c r="C230" s="4"/>
      <c r="D230" s="4"/>
      <c r="E230" s="5"/>
      <c r="F230" s="5"/>
      <c r="G230" s="5" t="str">
        <f t="shared" si="3"/>
        <v/>
      </c>
      <c r="H230" s="4"/>
    </row>
    <row r="231" spans="1:8" x14ac:dyDescent="0.2">
      <c r="A231" s="130"/>
      <c r="B231" s="4"/>
      <c r="C231" s="4"/>
      <c r="D231" s="4"/>
      <c r="E231" s="5"/>
      <c r="F231" s="5"/>
      <c r="G231" s="5" t="str">
        <f t="shared" si="3"/>
        <v/>
      </c>
      <c r="H231" s="4"/>
    </row>
    <row r="232" spans="1:8" x14ac:dyDescent="0.2">
      <c r="A232" s="130"/>
      <c r="B232" s="4"/>
      <c r="C232" s="4"/>
      <c r="D232" s="4"/>
      <c r="E232" s="5"/>
      <c r="F232" s="5"/>
      <c r="G232" s="5" t="str">
        <f t="shared" si="3"/>
        <v/>
      </c>
      <c r="H232" s="4"/>
    </row>
    <row r="233" spans="1:8" x14ac:dyDescent="0.2">
      <c r="A233" s="130"/>
      <c r="B233" s="4"/>
      <c r="C233" s="4"/>
      <c r="D233" s="4"/>
      <c r="E233" s="5"/>
      <c r="F233" s="5"/>
      <c r="G233" s="5" t="str">
        <f t="shared" si="3"/>
        <v/>
      </c>
      <c r="H233" s="4"/>
    </row>
    <row r="234" spans="1:8" x14ac:dyDescent="0.2">
      <c r="A234" s="130"/>
      <c r="B234" s="4"/>
      <c r="C234" s="4"/>
      <c r="D234" s="4"/>
      <c r="E234" s="5"/>
      <c r="F234" s="5"/>
      <c r="G234" s="5" t="str">
        <f t="shared" si="3"/>
        <v/>
      </c>
      <c r="H234" s="4"/>
    </row>
    <row r="235" spans="1:8" x14ac:dyDescent="0.2">
      <c r="A235" s="130"/>
      <c r="B235" s="4"/>
      <c r="C235" s="4"/>
      <c r="D235" s="4"/>
      <c r="E235" s="5"/>
      <c r="F235" s="5"/>
      <c r="G235" s="5" t="str">
        <f t="shared" si="3"/>
        <v/>
      </c>
      <c r="H235" s="4"/>
    </row>
    <row r="236" spans="1:8" x14ac:dyDescent="0.2">
      <c r="A236" s="130"/>
      <c r="B236" s="4"/>
      <c r="C236" s="4"/>
      <c r="D236" s="4"/>
      <c r="E236" s="5"/>
      <c r="F236" s="5"/>
      <c r="G236" s="5" t="str">
        <f t="shared" si="3"/>
        <v/>
      </c>
      <c r="H236" s="4"/>
    </row>
    <row r="237" spans="1:8" x14ac:dyDescent="0.2">
      <c r="A237" s="130"/>
      <c r="B237" s="4"/>
      <c r="C237" s="4"/>
      <c r="D237" s="4"/>
      <c r="E237" s="5"/>
      <c r="F237" s="5"/>
      <c r="G237" s="5" t="str">
        <f t="shared" si="3"/>
        <v/>
      </c>
      <c r="H237" s="4"/>
    </row>
    <row r="238" spans="1:8" x14ac:dyDescent="0.2">
      <c r="A238" s="130"/>
      <c r="B238" s="4"/>
      <c r="C238" s="4"/>
      <c r="D238" s="4"/>
      <c r="E238" s="5"/>
      <c r="F238" s="5"/>
      <c r="G238" s="5" t="str">
        <f t="shared" si="3"/>
        <v/>
      </c>
      <c r="H238" s="4"/>
    </row>
    <row r="239" spans="1:8" x14ac:dyDescent="0.2">
      <c r="A239" s="130"/>
      <c r="B239" s="4"/>
      <c r="C239" s="4"/>
      <c r="D239" s="4"/>
      <c r="E239" s="5"/>
      <c r="F239" s="5"/>
      <c r="G239" s="5" t="str">
        <f t="shared" si="3"/>
        <v/>
      </c>
      <c r="H239" s="4"/>
    </row>
    <row r="240" spans="1:8" x14ac:dyDescent="0.2">
      <c r="A240" s="130"/>
      <c r="B240" s="4"/>
      <c r="C240" s="4"/>
      <c r="D240" s="4"/>
      <c r="E240" s="5"/>
      <c r="F240" s="5"/>
      <c r="G240" s="5" t="str">
        <f t="shared" si="3"/>
        <v/>
      </c>
      <c r="H240" s="4"/>
    </row>
    <row r="241" spans="1:8" x14ac:dyDescent="0.2">
      <c r="A241" s="130"/>
      <c r="B241" s="4"/>
      <c r="C241" s="4"/>
      <c r="D241" s="4"/>
      <c r="E241" s="5"/>
      <c r="F241" s="5"/>
      <c r="G241" s="5" t="str">
        <f t="shared" si="3"/>
        <v/>
      </c>
      <c r="H241" s="4"/>
    </row>
    <row r="242" spans="1:8" x14ac:dyDescent="0.2">
      <c r="A242" s="130"/>
      <c r="B242" s="4"/>
      <c r="C242" s="4"/>
      <c r="D242" s="4"/>
      <c r="E242" s="5"/>
      <c r="F242" s="5"/>
      <c r="G242" s="5" t="str">
        <f t="shared" si="3"/>
        <v/>
      </c>
      <c r="H242" s="4"/>
    </row>
    <row r="243" spans="1:8" x14ac:dyDescent="0.2">
      <c r="A243" s="130"/>
      <c r="B243" s="4"/>
      <c r="C243" s="4"/>
      <c r="D243" s="4"/>
      <c r="E243" s="5"/>
      <c r="F243" s="5"/>
      <c r="G243" s="5" t="str">
        <f t="shared" si="3"/>
        <v/>
      </c>
      <c r="H243" s="4"/>
    </row>
    <row r="244" spans="1:8" x14ac:dyDescent="0.2">
      <c r="A244" s="130"/>
      <c r="B244" s="4"/>
      <c r="C244" s="4"/>
      <c r="D244" s="4"/>
      <c r="E244" s="5"/>
      <c r="F244" s="5"/>
      <c r="G244" s="5" t="str">
        <f t="shared" si="3"/>
        <v/>
      </c>
      <c r="H244" s="4"/>
    </row>
    <row r="245" spans="1:8" x14ac:dyDescent="0.2">
      <c r="A245" s="130"/>
      <c r="B245" s="4"/>
      <c r="C245" s="4"/>
      <c r="D245" s="4"/>
      <c r="E245" s="5"/>
      <c r="F245" s="5"/>
      <c r="G245" s="5" t="str">
        <f t="shared" si="3"/>
        <v/>
      </c>
      <c r="H245" s="4"/>
    </row>
    <row r="246" spans="1:8" x14ac:dyDescent="0.2">
      <c r="A246" s="130"/>
      <c r="B246" s="4"/>
      <c r="C246" s="4"/>
      <c r="D246" s="4"/>
      <c r="E246" s="5"/>
      <c r="F246" s="5"/>
      <c r="G246" s="5" t="str">
        <f t="shared" si="3"/>
        <v/>
      </c>
      <c r="H246" s="4"/>
    </row>
    <row r="247" spans="1:8" x14ac:dyDescent="0.2">
      <c r="A247" s="130"/>
      <c r="B247" s="4"/>
      <c r="C247" s="4"/>
      <c r="D247" s="4"/>
      <c r="E247" s="5"/>
      <c r="F247" s="5"/>
      <c r="G247" s="5" t="str">
        <f t="shared" si="3"/>
        <v/>
      </c>
      <c r="H247" s="4"/>
    </row>
    <row r="248" spans="1:8" x14ac:dyDescent="0.2">
      <c r="A248" s="130"/>
      <c r="B248" s="4"/>
      <c r="C248" s="4"/>
      <c r="D248" s="4"/>
      <c r="E248" s="5"/>
      <c r="F248" s="5"/>
      <c r="G248" s="5" t="str">
        <f t="shared" si="3"/>
        <v/>
      </c>
      <c r="H248" s="4"/>
    </row>
    <row r="249" spans="1:8" x14ac:dyDescent="0.2">
      <c r="A249" s="130"/>
      <c r="B249" s="4"/>
      <c r="C249" s="4"/>
      <c r="D249" s="4"/>
      <c r="E249" s="5"/>
      <c r="F249" s="5"/>
      <c r="G249" s="5" t="str">
        <f t="shared" si="3"/>
        <v/>
      </c>
      <c r="H249" s="4"/>
    </row>
    <row r="250" spans="1:8" x14ac:dyDescent="0.2">
      <c r="A250" s="130"/>
      <c r="B250" s="4"/>
      <c r="C250" s="4"/>
      <c r="D250" s="4"/>
      <c r="E250" s="5"/>
      <c r="F250" s="5"/>
      <c r="G250" s="5" t="str">
        <f t="shared" si="3"/>
        <v/>
      </c>
      <c r="H250" s="4"/>
    </row>
    <row r="251" spans="1:8" x14ac:dyDescent="0.2">
      <c r="A251" s="130"/>
      <c r="B251" s="4"/>
      <c r="C251" s="4"/>
      <c r="D251" s="4"/>
      <c r="E251" s="5"/>
      <c r="F251" s="5"/>
      <c r="G251" s="5" t="str">
        <f t="shared" si="3"/>
        <v/>
      </c>
      <c r="H251" s="4"/>
    </row>
    <row r="252" spans="1:8" x14ac:dyDescent="0.2">
      <c r="A252" s="130"/>
      <c r="B252" s="4"/>
      <c r="C252" s="4"/>
      <c r="D252" s="4"/>
      <c r="E252" s="5"/>
      <c r="F252" s="5"/>
      <c r="G252" s="5" t="str">
        <f t="shared" si="3"/>
        <v/>
      </c>
      <c r="H252" s="4"/>
    </row>
    <row r="253" spans="1:8" x14ac:dyDescent="0.2">
      <c r="A253" s="130"/>
      <c r="B253" s="4"/>
      <c r="C253" s="4"/>
      <c r="D253" s="4"/>
      <c r="E253" s="5"/>
      <c r="F253" s="5"/>
      <c r="G253" s="5" t="str">
        <f t="shared" si="3"/>
        <v/>
      </c>
      <c r="H253" s="4"/>
    </row>
    <row r="254" spans="1:8" x14ac:dyDescent="0.2">
      <c r="A254" s="130"/>
      <c r="B254" s="4"/>
      <c r="C254" s="4"/>
      <c r="D254" s="4"/>
      <c r="E254" s="5"/>
      <c r="F254" s="5"/>
      <c r="G254" s="5" t="str">
        <f t="shared" si="3"/>
        <v/>
      </c>
      <c r="H254" s="4"/>
    </row>
    <row r="255" spans="1:8" x14ac:dyDescent="0.2">
      <c r="A255" s="130"/>
      <c r="B255" s="4"/>
      <c r="C255" s="4"/>
      <c r="D255" s="4"/>
      <c r="E255" s="5"/>
      <c r="F255" s="5"/>
      <c r="G255" s="5" t="str">
        <f t="shared" si="3"/>
        <v/>
      </c>
      <c r="H255" s="4"/>
    </row>
    <row r="256" spans="1:8" x14ac:dyDescent="0.2">
      <c r="A256" s="130"/>
      <c r="B256" s="4"/>
      <c r="C256" s="4"/>
      <c r="D256" s="4"/>
      <c r="E256" s="5"/>
      <c r="F256" s="5"/>
      <c r="G256" s="5" t="str">
        <f t="shared" si="3"/>
        <v/>
      </c>
      <c r="H256" s="4"/>
    </row>
    <row r="257" spans="1:8" x14ac:dyDescent="0.2">
      <c r="A257" s="130"/>
      <c r="B257" s="4"/>
      <c r="C257" s="4"/>
      <c r="D257" s="4"/>
      <c r="E257" s="5"/>
      <c r="F257" s="5"/>
      <c r="G257" s="5" t="str">
        <f t="shared" si="3"/>
        <v/>
      </c>
      <c r="H257" s="4"/>
    </row>
    <row r="258" spans="1:8" x14ac:dyDescent="0.2">
      <c r="A258" s="130"/>
      <c r="B258" s="4"/>
      <c r="C258" s="4"/>
      <c r="D258" s="4"/>
      <c r="E258" s="5"/>
      <c r="F258" s="5"/>
      <c r="G258" s="5" t="str">
        <f t="shared" si="3"/>
        <v/>
      </c>
      <c r="H258" s="4"/>
    </row>
    <row r="259" spans="1:8" x14ac:dyDescent="0.2">
      <c r="A259" s="130"/>
      <c r="B259" s="4"/>
      <c r="C259" s="4"/>
      <c r="D259" s="4"/>
      <c r="E259" s="5"/>
      <c r="F259" s="5"/>
      <c r="G259" s="5" t="str">
        <f t="shared" si="3"/>
        <v/>
      </c>
      <c r="H259" s="4"/>
    </row>
    <row r="260" spans="1:8" x14ac:dyDescent="0.2">
      <c r="A260" s="130"/>
      <c r="B260" s="4"/>
      <c r="C260" s="4"/>
      <c r="D260" s="4"/>
      <c r="E260" s="5"/>
      <c r="F260" s="5"/>
      <c r="G260" s="5" t="str">
        <f t="shared" ref="G260:G323" si="4">IF($B260="","",$G259+$F260-$E260)</f>
        <v/>
      </c>
      <c r="H260" s="4"/>
    </row>
    <row r="261" spans="1:8" x14ac:dyDescent="0.2">
      <c r="A261" s="130"/>
      <c r="B261" s="4"/>
      <c r="C261" s="4"/>
      <c r="D261" s="4"/>
      <c r="E261" s="5"/>
      <c r="F261" s="5"/>
      <c r="G261" s="5" t="str">
        <f t="shared" si="4"/>
        <v/>
      </c>
      <c r="H261" s="4"/>
    </row>
    <row r="262" spans="1:8" x14ac:dyDescent="0.2">
      <c r="A262" s="130"/>
      <c r="B262" s="4"/>
      <c r="C262" s="4"/>
      <c r="D262" s="4"/>
      <c r="E262" s="5"/>
      <c r="F262" s="5"/>
      <c r="G262" s="5" t="str">
        <f t="shared" si="4"/>
        <v/>
      </c>
      <c r="H262" s="4"/>
    </row>
    <row r="263" spans="1:8" x14ac:dyDescent="0.2">
      <c r="A263" s="130"/>
      <c r="B263" s="4"/>
      <c r="C263" s="4"/>
      <c r="D263" s="4"/>
      <c r="E263" s="5"/>
      <c r="F263" s="5"/>
      <c r="G263" s="5" t="str">
        <f t="shared" si="4"/>
        <v/>
      </c>
      <c r="H263" s="4"/>
    </row>
    <row r="264" spans="1:8" x14ac:dyDescent="0.2">
      <c r="A264" s="130"/>
      <c r="B264" s="4"/>
      <c r="C264" s="4"/>
      <c r="D264" s="4"/>
      <c r="E264" s="5"/>
      <c r="F264" s="5"/>
      <c r="G264" s="5" t="str">
        <f t="shared" si="4"/>
        <v/>
      </c>
      <c r="H264" s="4"/>
    </row>
    <row r="265" spans="1:8" x14ac:dyDescent="0.2">
      <c r="A265" s="130"/>
      <c r="B265" s="4"/>
      <c r="C265" s="4"/>
      <c r="D265" s="4"/>
      <c r="E265" s="5"/>
      <c r="F265" s="5"/>
      <c r="G265" s="5" t="str">
        <f t="shared" si="4"/>
        <v/>
      </c>
      <c r="H265" s="4"/>
    </row>
    <row r="266" spans="1:8" x14ac:dyDescent="0.2">
      <c r="A266" s="130"/>
      <c r="B266" s="4"/>
      <c r="C266" s="4"/>
      <c r="D266" s="4"/>
      <c r="E266" s="5"/>
      <c r="F266" s="5"/>
      <c r="G266" s="5" t="str">
        <f t="shared" si="4"/>
        <v/>
      </c>
      <c r="H266" s="4"/>
    </row>
    <row r="267" spans="1:8" x14ac:dyDescent="0.2">
      <c r="A267" s="130"/>
      <c r="B267" s="4"/>
      <c r="C267" s="4"/>
      <c r="D267" s="4"/>
      <c r="E267" s="5"/>
      <c r="F267" s="5"/>
      <c r="G267" s="5" t="str">
        <f t="shared" si="4"/>
        <v/>
      </c>
      <c r="H267" s="4"/>
    </row>
    <row r="268" spans="1:8" x14ac:dyDescent="0.2">
      <c r="A268" s="130"/>
      <c r="B268" s="4"/>
      <c r="C268" s="4"/>
      <c r="D268" s="4"/>
      <c r="E268" s="5"/>
      <c r="F268" s="5"/>
      <c r="G268" s="5" t="str">
        <f t="shared" si="4"/>
        <v/>
      </c>
      <c r="H268" s="4"/>
    </row>
    <row r="269" spans="1:8" x14ac:dyDescent="0.2">
      <c r="A269" s="130"/>
      <c r="B269" s="4"/>
      <c r="C269" s="4"/>
      <c r="D269" s="4"/>
      <c r="E269" s="5"/>
      <c r="F269" s="5"/>
      <c r="G269" s="5" t="str">
        <f t="shared" si="4"/>
        <v/>
      </c>
      <c r="H269" s="4"/>
    </row>
    <row r="270" spans="1:8" x14ac:dyDescent="0.2">
      <c r="A270" s="130"/>
      <c r="B270" s="4"/>
      <c r="C270" s="4"/>
      <c r="D270" s="4"/>
      <c r="E270" s="5"/>
      <c r="F270" s="5"/>
      <c r="G270" s="5" t="str">
        <f t="shared" si="4"/>
        <v/>
      </c>
      <c r="H270" s="4"/>
    </row>
    <row r="271" spans="1:8" x14ac:dyDescent="0.2">
      <c r="A271" s="130"/>
      <c r="B271" s="4"/>
      <c r="C271" s="4"/>
      <c r="D271" s="4"/>
      <c r="E271" s="5"/>
      <c r="F271" s="5"/>
      <c r="G271" s="5" t="str">
        <f t="shared" si="4"/>
        <v/>
      </c>
      <c r="H271" s="4"/>
    </row>
    <row r="272" spans="1:8" x14ac:dyDescent="0.2">
      <c r="A272" s="130"/>
      <c r="B272" s="4"/>
      <c r="C272" s="4"/>
      <c r="D272" s="4"/>
      <c r="E272" s="5"/>
      <c r="F272" s="5"/>
      <c r="G272" s="5" t="str">
        <f t="shared" si="4"/>
        <v/>
      </c>
      <c r="H272" s="4"/>
    </row>
    <row r="273" spans="1:8" x14ac:dyDescent="0.2">
      <c r="A273" s="130"/>
      <c r="B273" s="4"/>
      <c r="C273" s="4"/>
      <c r="D273" s="4"/>
      <c r="E273" s="5"/>
      <c r="F273" s="5"/>
      <c r="G273" s="5" t="str">
        <f t="shared" si="4"/>
        <v/>
      </c>
      <c r="H273" s="4"/>
    </row>
    <row r="274" spans="1:8" x14ac:dyDescent="0.2">
      <c r="A274" s="130"/>
      <c r="B274" s="4"/>
      <c r="C274" s="4"/>
      <c r="D274" s="4"/>
      <c r="E274" s="5"/>
      <c r="F274" s="5"/>
      <c r="G274" s="5" t="str">
        <f t="shared" si="4"/>
        <v/>
      </c>
      <c r="H274" s="4"/>
    </row>
    <row r="275" spans="1:8" x14ac:dyDescent="0.2">
      <c r="A275" s="130"/>
      <c r="B275" s="4"/>
      <c r="C275" s="4"/>
      <c r="D275" s="4"/>
      <c r="E275" s="5"/>
      <c r="F275" s="5"/>
      <c r="G275" s="5" t="str">
        <f t="shared" si="4"/>
        <v/>
      </c>
      <c r="H275" s="4"/>
    </row>
    <row r="276" spans="1:8" x14ac:dyDescent="0.2">
      <c r="A276" s="130"/>
      <c r="B276" s="4"/>
      <c r="C276" s="4"/>
      <c r="D276" s="4"/>
      <c r="E276" s="5"/>
      <c r="F276" s="5"/>
      <c r="G276" s="5" t="str">
        <f t="shared" si="4"/>
        <v/>
      </c>
      <c r="H276" s="4"/>
    </row>
    <row r="277" spans="1:8" x14ac:dyDescent="0.2">
      <c r="A277" s="130"/>
      <c r="B277" s="4"/>
      <c r="C277" s="4"/>
      <c r="D277" s="4"/>
      <c r="E277" s="5"/>
      <c r="F277" s="5"/>
      <c r="G277" s="5" t="str">
        <f t="shared" si="4"/>
        <v/>
      </c>
      <c r="H277" s="4"/>
    </row>
    <row r="278" spans="1:8" x14ac:dyDescent="0.2">
      <c r="A278" s="130"/>
      <c r="B278" s="4"/>
      <c r="C278" s="4"/>
      <c r="D278" s="4"/>
      <c r="E278" s="5"/>
      <c r="F278" s="5"/>
      <c r="G278" s="5" t="str">
        <f t="shared" si="4"/>
        <v/>
      </c>
      <c r="H278" s="4"/>
    </row>
    <row r="279" spans="1:8" x14ac:dyDescent="0.2">
      <c r="A279" s="130"/>
      <c r="B279" s="4"/>
      <c r="C279" s="4"/>
      <c r="D279" s="4"/>
      <c r="E279" s="5"/>
      <c r="F279" s="5"/>
      <c r="G279" s="5" t="str">
        <f t="shared" si="4"/>
        <v/>
      </c>
      <c r="H279" s="4"/>
    </row>
    <row r="280" spans="1:8" x14ac:dyDescent="0.2">
      <c r="A280" s="130"/>
      <c r="B280" s="4"/>
      <c r="C280" s="4"/>
      <c r="D280" s="4"/>
      <c r="E280" s="5"/>
      <c r="F280" s="5"/>
      <c r="G280" s="5" t="str">
        <f t="shared" si="4"/>
        <v/>
      </c>
      <c r="H280" s="4"/>
    </row>
    <row r="281" spans="1:8" x14ac:dyDescent="0.2">
      <c r="A281" s="130"/>
      <c r="B281" s="4"/>
      <c r="C281" s="4"/>
      <c r="D281" s="4"/>
      <c r="E281" s="5"/>
      <c r="F281" s="5"/>
      <c r="G281" s="5" t="str">
        <f t="shared" si="4"/>
        <v/>
      </c>
      <c r="H281" s="4"/>
    </row>
    <row r="282" spans="1:8" x14ac:dyDescent="0.2">
      <c r="A282" s="130"/>
      <c r="B282" s="4"/>
      <c r="C282" s="4"/>
      <c r="D282" s="4"/>
      <c r="E282" s="5"/>
      <c r="F282" s="5"/>
      <c r="G282" s="5" t="str">
        <f t="shared" si="4"/>
        <v/>
      </c>
      <c r="H282" s="4"/>
    </row>
    <row r="283" spans="1:8" x14ac:dyDescent="0.2">
      <c r="A283" s="130"/>
      <c r="B283" s="4"/>
      <c r="C283" s="4"/>
      <c r="D283" s="4"/>
      <c r="E283" s="5"/>
      <c r="F283" s="5"/>
      <c r="G283" s="5" t="str">
        <f t="shared" si="4"/>
        <v/>
      </c>
      <c r="H283" s="4"/>
    </row>
    <row r="284" spans="1:8" x14ac:dyDescent="0.2">
      <c r="A284" s="130"/>
      <c r="B284" s="4"/>
      <c r="C284" s="4"/>
      <c r="D284" s="4"/>
      <c r="E284" s="5"/>
      <c r="F284" s="5"/>
      <c r="G284" s="5" t="str">
        <f t="shared" si="4"/>
        <v/>
      </c>
      <c r="H284" s="4"/>
    </row>
    <row r="285" spans="1:8" x14ac:dyDescent="0.2">
      <c r="A285" s="130"/>
      <c r="B285" s="4"/>
      <c r="C285" s="4"/>
      <c r="D285" s="4"/>
      <c r="E285" s="5"/>
      <c r="F285" s="5"/>
      <c r="G285" s="5" t="str">
        <f t="shared" si="4"/>
        <v/>
      </c>
      <c r="H285" s="4"/>
    </row>
    <row r="286" spans="1:8" x14ac:dyDescent="0.2">
      <c r="A286" s="130"/>
      <c r="B286" s="4"/>
      <c r="C286" s="4"/>
      <c r="D286" s="4"/>
      <c r="E286" s="5"/>
      <c r="F286" s="5"/>
      <c r="G286" s="5" t="str">
        <f t="shared" si="4"/>
        <v/>
      </c>
      <c r="H286" s="4"/>
    </row>
    <row r="287" spans="1:8" x14ac:dyDescent="0.2">
      <c r="A287" s="130"/>
      <c r="B287" s="4"/>
      <c r="C287" s="4"/>
      <c r="D287" s="4"/>
      <c r="E287" s="5"/>
      <c r="F287" s="5"/>
      <c r="G287" s="5" t="str">
        <f t="shared" si="4"/>
        <v/>
      </c>
      <c r="H287" s="4"/>
    </row>
    <row r="288" spans="1:8" x14ac:dyDescent="0.2">
      <c r="A288" s="130"/>
      <c r="B288" s="4"/>
      <c r="C288" s="4"/>
      <c r="D288" s="4"/>
      <c r="E288" s="5"/>
      <c r="F288" s="5"/>
      <c r="G288" s="5" t="str">
        <f t="shared" si="4"/>
        <v/>
      </c>
      <c r="H288" s="4"/>
    </row>
    <row r="289" spans="1:8" x14ac:dyDescent="0.2">
      <c r="A289" s="130"/>
      <c r="B289" s="4"/>
      <c r="C289" s="4"/>
      <c r="D289" s="4"/>
      <c r="E289" s="5"/>
      <c r="F289" s="5"/>
      <c r="G289" s="5" t="str">
        <f t="shared" si="4"/>
        <v/>
      </c>
      <c r="H289" s="4"/>
    </row>
    <row r="290" spans="1:8" x14ac:dyDescent="0.2">
      <c r="A290" s="130"/>
      <c r="B290" s="4"/>
      <c r="C290" s="4"/>
      <c r="D290" s="4"/>
      <c r="E290" s="5"/>
      <c r="F290" s="5"/>
      <c r="G290" s="5" t="str">
        <f t="shared" si="4"/>
        <v/>
      </c>
      <c r="H290" s="4"/>
    </row>
    <row r="291" spans="1:8" x14ac:dyDescent="0.2">
      <c r="A291" s="130"/>
      <c r="B291" s="4"/>
      <c r="C291" s="4"/>
      <c r="D291" s="4"/>
      <c r="E291" s="5"/>
      <c r="F291" s="5"/>
      <c r="G291" s="5" t="str">
        <f t="shared" si="4"/>
        <v/>
      </c>
      <c r="H291" s="4"/>
    </row>
    <row r="292" spans="1:8" x14ac:dyDescent="0.2">
      <c r="A292" s="130"/>
      <c r="B292" s="4"/>
      <c r="C292" s="4"/>
      <c r="D292" s="4"/>
      <c r="E292" s="5"/>
      <c r="F292" s="5"/>
      <c r="G292" s="5" t="str">
        <f t="shared" si="4"/>
        <v/>
      </c>
      <c r="H292" s="4"/>
    </row>
    <row r="293" spans="1:8" x14ac:dyDescent="0.2">
      <c r="A293" s="130"/>
      <c r="B293" s="4"/>
      <c r="C293" s="4"/>
      <c r="D293" s="4"/>
      <c r="E293" s="5"/>
      <c r="F293" s="5"/>
      <c r="G293" s="5" t="str">
        <f t="shared" si="4"/>
        <v/>
      </c>
      <c r="H293" s="4"/>
    </row>
    <row r="294" spans="1:8" x14ac:dyDescent="0.2">
      <c r="A294" s="130"/>
      <c r="B294" s="4"/>
      <c r="C294" s="4"/>
      <c r="D294" s="4"/>
      <c r="E294" s="5"/>
      <c r="F294" s="5"/>
      <c r="G294" s="5" t="str">
        <f t="shared" si="4"/>
        <v/>
      </c>
      <c r="H294" s="4"/>
    </row>
    <row r="295" spans="1:8" x14ac:dyDescent="0.2">
      <c r="A295" s="130"/>
      <c r="B295" s="4"/>
      <c r="C295" s="4"/>
      <c r="D295" s="4"/>
      <c r="E295" s="5"/>
      <c r="F295" s="5"/>
      <c r="G295" s="5" t="str">
        <f t="shared" si="4"/>
        <v/>
      </c>
      <c r="H295" s="4"/>
    </row>
    <row r="296" spans="1:8" x14ac:dyDescent="0.2">
      <c r="A296" s="130"/>
      <c r="B296" s="4"/>
      <c r="C296" s="4"/>
      <c r="D296" s="4"/>
      <c r="E296" s="5"/>
      <c r="F296" s="5"/>
      <c r="G296" s="5" t="str">
        <f t="shared" si="4"/>
        <v/>
      </c>
      <c r="H296" s="4"/>
    </row>
    <row r="297" spans="1:8" x14ac:dyDescent="0.2">
      <c r="A297" s="130"/>
      <c r="B297" s="4"/>
      <c r="C297" s="4"/>
      <c r="D297" s="4"/>
      <c r="E297" s="5"/>
      <c r="F297" s="5"/>
      <c r="G297" s="5" t="str">
        <f t="shared" si="4"/>
        <v/>
      </c>
      <c r="H297" s="4"/>
    </row>
    <row r="298" spans="1:8" x14ac:dyDescent="0.2">
      <c r="A298" s="130"/>
      <c r="B298" s="4"/>
      <c r="C298" s="4"/>
      <c r="D298" s="4"/>
      <c r="E298" s="5"/>
      <c r="F298" s="5"/>
      <c r="G298" s="5" t="str">
        <f t="shared" si="4"/>
        <v/>
      </c>
      <c r="H298" s="4"/>
    </row>
    <row r="299" spans="1:8" x14ac:dyDescent="0.2">
      <c r="A299" s="130"/>
      <c r="B299" s="4"/>
      <c r="C299" s="4"/>
      <c r="D299" s="4"/>
      <c r="E299" s="5"/>
      <c r="F299" s="5"/>
      <c r="G299" s="5" t="str">
        <f t="shared" si="4"/>
        <v/>
      </c>
      <c r="H299" s="4"/>
    </row>
    <row r="300" spans="1:8" x14ac:dyDescent="0.2">
      <c r="A300" s="130"/>
      <c r="B300" s="4"/>
      <c r="C300" s="4"/>
      <c r="D300" s="4"/>
      <c r="E300" s="5"/>
      <c r="F300" s="5"/>
      <c r="G300" s="5" t="str">
        <f t="shared" si="4"/>
        <v/>
      </c>
      <c r="H300" s="4"/>
    </row>
    <row r="301" spans="1:8" x14ac:dyDescent="0.2">
      <c r="A301" s="130"/>
      <c r="B301" s="4"/>
      <c r="C301" s="4"/>
      <c r="D301" s="4"/>
      <c r="E301" s="5"/>
      <c r="F301" s="5"/>
      <c r="G301" s="5" t="str">
        <f t="shared" si="4"/>
        <v/>
      </c>
      <c r="H301" s="4"/>
    </row>
    <row r="302" spans="1:8" x14ac:dyDescent="0.2">
      <c r="A302" s="130"/>
      <c r="B302" s="4"/>
      <c r="C302" s="4"/>
      <c r="D302" s="4"/>
      <c r="E302" s="5"/>
      <c r="F302" s="5"/>
      <c r="G302" s="5" t="str">
        <f t="shared" si="4"/>
        <v/>
      </c>
      <c r="H302" s="4"/>
    </row>
    <row r="303" spans="1:8" x14ac:dyDescent="0.2">
      <c r="A303" s="130"/>
      <c r="B303" s="4"/>
      <c r="C303" s="4"/>
      <c r="D303" s="4"/>
      <c r="E303" s="5"/>
      <c r="F303" s="5"/>
      <c r="G303" s="5" t="str">
        <f t="shared" si="4"/>
        <v/>
      </c>
      <c r="H303" s="4"/>
    </row>
    <row r="304" spans="1:8" x14ac:dyDescent="0.2">
      <c r="A304" s="130"/>
      <c r="B304" s="4"/>
      <c r="C304" s="4"/>
      <c r="D304" s="4"/>
      <c r="E304" s="5"/>
      <c r="F304" s="5"/>
      <c r="G304" s="5" t="str">
        <f t="shared" si="4"/>
        <v/>
      </c>
      <c r="H304" s="4"/>
    </row>
    <row r="305" spans="1:8" x14ac:dyDescent="0.2">
      <c r="A305" s="130"/>
      <c r="B305" s="4"/>
      <c r="C305" s="4"/>
      <c r="D305" s="4"/>
      <c r="E305" s="5"/>
      <c r="F305" s="5"/>
      <c r="G305" s="5" t="str">
        <f t="shared" si="4"/>
        <v/>
      </c>
      <c r="H305" s="4"/>
    </row>
    <row r="306" spans="1:8" x14ac:dyDescent="0.2">
      <c r="A306" s="130"/>
      <c r="B306" s="4"/>
      <c r="C306" s="4"/>
      <c r="D306" s="4"/>
      <c r="E306" s="5"/>
      <c r="F306" s="5"/>
      <c r="G306" s="5" t="str">
        <f t="shared" si="4"/>
        <v/>
      </c>
      <c r="H306" s="4"/>
    </row>
    <row r="307" spans="1:8" x14ac:dyDescent="0.2">
      <c r="A307" s="130"/>
      <c r="B307" s="4"/>
      <c r="C307" s="4"/>
      <c r="D307" s="4"/>
      <c r="E307" s="5"/>
      <c r="F307" s="5"/>
      <c r="G307" s="5" t="str">
        <f t="shared" si="4"/>
        <v/>
      </c>
      <c r="H307" s="4"/>
    </row>
    <row r="308" spans="1:8" x14ac:dyDescent="0.2">
      <c r="A308" s="130"/>
      <c r="B308" s="4"/>
      <c r="C308" s="4"/>
      <c r="D308" s="4"/>
      <c r="E308" s="5"/>
      <c r="F308" s="5"/>
      <c r="G308" s="5" t="str">
        <f t="shared" si="4"/>
        <v/>
      </c>
      <c r="H308" s="4"/>
    </row>
    <row r="309" spans="1:8" x14ac:dyDescent="0.2">
      <c r="A309" s="130"/>
      <c r="B309" s="4"/>
      <c r="C309" s="4"/>
      <c r="D309" s="4"/>
      <c r="E309" s="5"/>
      <c r="F309" s="5"/>
      <c r="G309" s="5" t="str">
        <f t="shared" si="4"/>
        <v/>
      </c>
      <c r="H309" s="4"/>
    </row>
    <row r="310" spans="1:8" x14ac:dyDescent="0.2">
      <c r="A310" s="130"/>
      <c r="B310" s="4"/>
      <c r="C310" s="4"/>
      <c r="D310" s="4"/>
      <c r="E310" s="5"/>
      <c r="F310" s="5"/>
      <c r="G310" s="5" t="str">
        <f t="shared" si="4"/>
        <v/>
      </c>
      <c r="H310" s="4"/>
    </row>
    <row r="311" spans="1:8" x14ac:dyDescent="0.2">
      <c r="A311" s="130"/>
      <c r="B311" s="4"/>
      <c r="C311" s="4"/>
      <c r="D311" s="4"/>
      <c r="E311" s="5"/>
      <c r="F311" s="5"/>
      <c r="G311" s="5" t="str">
        <f t="shared" si="4"/>
        <v/>
      </c>
      <c r="H311" s="4"/>
    </row>
    <row r="312" spans="1:8" x14ac:dyDescent="0.2">
      <c r="A312" s="130"/>
      <c r="B312" s="4"/>
      <c r="C312" s="4"/>
      <c r="D312" s="4"/>
      <c r="E312" s="5"/>
      <c r="F312" s="5"/>
      <c r="G312" s="5" t="str">
        <f t="shared" si="4"/>
        <v/>
      </c>
      <c r="H312" s="4"/>
    </row>
    <row r="313" spans="1:8" x14ac:dyDescent="0.2">
      <c r="A313" s="130"/>
      <c r="B313" s="4"/>
      <c r="C313" s="4"/>
      <c r="D313" s="4"/>
      <c r="E313" s="5"/>
      <c r="F313" s="5"/>
      <c r="G313" s="5" t="str">
        <f t="shared" si="4"/>
        <v/>
      </c>
      <c r="H313" s="4"/>
    </row>
    <row r="314" spans="1:8" x14ac:dyDescent="0.2">
      <c r="A314" s="130"/>
      <c r="B314" s="4"/>
      <c r="C314" s="4"/>
      <c r="D314" s="4"/>
      <c r="E314" s="5"/>
      <c r="F314" s="5"/>
      <c r="G314" s="5" t="str">
        <f t="shared" si="4"/>
        <v/>
      </c>
      <c r="H314" s="4"/>
    </row>
    <row r="315" spans="1:8" x14ac:dyDescent="0.2">
      <c r="A315" s="130"/>
      <c r="B315" s="4"/>
      <c r="C315" s="4"/>
      <c r="D315" s="4"/>
      <c r="E315" s="5"/>
      <c r="F315" s="5"/>
      <c r="G315" s="5" t="str">
        <f t="shared" si="4"/>
        <v/>
      </c>
      <c r="H315" s="4"/>
    </row>
    <row r="316" spans="1:8" x14ac:dyDescent="0.2">
      <c r="A316" s="130"/>
      <c r="B316" s="4"/>
      <c r="C316" s="4"/>
      <c r="D316" s="4"/>
      <c r="E316" s="5"/>
      <c r="F316" s="5"/>
      <c r="G316" s="5" t="str">
        <f t="shared" si="4"/>
        <v/>
      </c>
      <c r="H316" s="4"/>
    </row>
    <row r="317" spans="1:8" x14ac:dyDescent="0.2">
      <c r="A317" s="130"/>
      <c r="B317" s="4"/>
      <c r="C317" s="4"/>
      <c r="D317" s="4"/>
      <c r="E317" s="5"/>
      <c r="F317" s="5"/>
      <c r="G317" s="5" t="str">
        <f t="shared" si="4"/>
        <v/>
      </c>
      <c r="H317" s="4"/>
    </row>
    <row r="318" spans="1:8" x14ac:dyDescent="0.2">
      <c r="A318" s="130"/>
      <c r="B318" s="4"/>
      <c r="C318" s="4"/>
      <c r="D318" s="4"/>
      <c r="E318" s="5"/>
      <c r="F318" s="5"/>
      <c r="G318" s="5" t="str">
        <f t="shared" si="4"/>
        <v/>
      </c>
      <c r="H318" s="4"/>
    </row>
    <row r="319" spans="1:8" x14ac:dyDescent="0.2">
      <c r="A319" s="130"/>
      <c r="B319" s="4"/>
      <c r="C319" s="4"/>
      <c r="D319" s="4"/>
      <c r="E319" s="5"/>
      <c r="F319" s="5"/>
      <c r="G319" s="5" t="str">
        <f t="shared" si="4"/>
        <v/>
      </c>
      <c r="H319" s="4"/>
    </row>
    <row r="320" spans="1:8" x14ac:dyDescent="0.2">
      <c r="A320" s="130"/>
      <c r="B320" s="4"/>
      <c r="C320" s="4"/>
      <c r="D320" s="4"/>
      <c r="E320" s="5"/>
      <c r="F320" s="5"/>
      <c r="G320" s="5" t="str">
        <f t="shared" si="4"/>
        <v/>
      </c>
      <c r="H320" s="4"/>
    </row>
    <row r="321" spans="1:8" x14ac:dyDescent="0.2">
      <c r="A321" s="130"/>
      <c r="B321" s="4"/>
      <c r="C321" s="4"/>
      <c r="D321" s="4"/>
      <c r="E321" s="5"/>
      <c r="F321" s="5"/>
      <c r="G321" s="5" t="str">
        <f t="shared" si="4"/>
        <v/>
      </c>
      <c r="H321" s="4"/>
    </row>
    <row r="322" spans="1:8" x14ac:dyDescent="0.2">
      <c r="A322" s="130"/>
      <c r="B322" s="4"/>
      <c r="C322" s="4"/>
      <c r="D322" s="4"/>
      <c r="E322" s="5"/>
      <c r="F322" s="5"/>
      <c r="G322" s="5" t="str">
        <f t="shared" si="4"/>
        <v/>
      </c>
      <c r="H322" s="4"/>
    </row>
    <row r="323" spans="1:8" x14ac:dyDescent="0.2">
      <c r="A323" s="130"/>
      <c r="B323" s="4"/>
      <c r="C323" s="4"/>
      <c r="D323" s="4"/>
      <c r="E323" s="5"/>
      <c r="F323" s="5"/>
      <c r="G323" s="5" t="str">
        <f t="shared" si="4"/>
        <v/>
      </c>
      <c r="H323" s="4"/>
    </row>
    <row r="324" spans="1:8" x14ac:dyDescent="0.2">
      <c r="A324" s="130"/>
      <c r="B324" s="4"/>
      <c r="C324" s="4"/>
      <c r="D324" s="4"/>
      <c r="E324" s="5"/>
      <c r="F324" s="5"/>
      <c r="G324" s="5" t="str">
        <f t="shared" ref="G324:G387" si="5">IF($B324="","",$G323+$F324-$E324)</f>
        <v/>
      </c>
      <c r="H324" s="4"/>
    </row>
    <row r="325" spans="1:8" x14ac:dyDescent="0.2">
      <c r="A325" s="130"/>
      <c r="B325" s="4"/>
      <c r="C325" s="4"/>
      <c r="D325" s="4"/>
      <c r="E325" s="5"/>
      <c r="F325" s="5"/>
      <c r="G325" s="5" t="str">
        <f t="shared" si="5"/>
        <v/>
      </c>
      <c r="H325" s="4"/>
    </row>
    <row r="326" spans="1:8" x14ac:dyDescent="0.2">
      <c r="A326" s="130"/>
      <c r="B326" s="4"/>
      <c r="C326" s="4"/>
      <c r="D326" s="4"/>
      <c r="E326" s="5"/>
      <c r="F326" s="5"/>
      <c r="G326" s="5" t="str">
        <f t="shared" si="5"/>
        <v/>
      </c>
      <c r="H326" s="4"/>
    </row>
    <row r="327" spans="1:8" x14ac:dyDescent="0.2">
      <c r="A327" s="130"/>
      <c r="B327" s="4"/>
      <c r="C327" s="4"/>
      <c r="D327" s="4"/>
      <c r="E327" s="5"/>
      <c r="F327" s="5"/>
      <c r="G327" s="5" t="str">
        <f t="shared" si="5"/>
        <v/>
      </c>
      <c r="H327" s="4"/>
    </row>
    <row r="328" spans="1:8" x14ac:dyDescent="0.2">
      <c r="A328" s="130"/>
      <c r="B328" s="4"/>
      <c r="C328" s="4"/>
      <c r="D328" s="4"/>
      <c r="E328" s="5"/>
      <c r="F328" s="5"/>
      <c r="G328" s="5" t="str">
        <f t="shared" si="5"/>
        <v/>
      </c>
      <c r="H328" s="4"/>
    </row>
    <row r="329" spans="1:8" x14ac:dyDescent="0.2">
      <c r="A329" s="130"/>
      <c r="B329" s="4"/>
      <c r="C329" s="4"/>
      <c r="D329" s="4"/>
      <c r="E329" s="5"/>
      <c r="F329" s="5"/>
      <c r="G329" s="5" t="str">
        <f t="shared" si="5"/>
        <v/>
      </c>
      <c r="H329" s="4"/>
    </row>
    <row r="330" spans="1:8" x14ac:dyDescent="0.2">
      <c r="A330" s="130"/>
      <c r="B330" s="4"/>
      <c r="C330" s="4"/>
      <c r="D330" s="4"/>
      <c r="E330" s="5"/>
      <c r="F330" s="5"/>
      <c r="G330" s="5" t="str">
        <f t="shared" si="5"/>
        <v/>
      </c>
      <c r="H330" s="4"/>
    </row>
    <row r="331" spans="1:8" x14ac:dyDescent="0.2">
      <c r="A331" s="130"/>
      <c r="B331" s="4"/>
      <c r="C331" s="4"/>
      <c r="D331" s="4"/>
      <c r="E331" s="5"/>
      <c r="F331" s="5"/>
      <c r="G331" s="5" t="str">
        <f t="shared" si="5"/>
        <v/>
      </c>
      <c r="H331" s="4"/>
    </row>
    <row r="332" spans="1:8" x14ac:dyDescent="0.2">
      <c r="A332" s="130"/>
      <c r="B332" s="4"/>
      <c r="C332" s="4"/>
      <c r="D332" s="4"/>
      <c r="E332" s="5"/>
      <c r="F332" s="5"/>
      <c r="G332" s="5" t="str">
        <f t="shared" si="5"/>
        <v/>
      </c>
      <c r="H332" s="4"/>
    </row>
    <row r="333" spans="1:8" x14ac:dyDescent="0.2">
      <c r="A333" s="130"/>
      <c r="B333" s="4"/>
      <c r="C333" s="4"/>
      <c r="D333" s="4"/>
      <c r="E333" s="5"/>
      <c r="F333" s="5"/>
      <c r="G333" s="5" t="str">
        <f t="shared" si="5"/>
        <v/>
      </c>
      <c r="H333" s="4"/>
    </row>
    <row r="334" spans="1:8" x14ac:dyDescent="0.2">
      <c r="A334" s="130"/>
      <c r="B334" s="4"/>
      <c r="C334" s="4"/>
      <c r="D334" s="4"/>
      <c r="E334" s="5"/>
      <c r="F334" s="5"/>
      <c r="G334" s="5" t="str">
        <f t="shared" si="5"/>
        <v/>
      </c>
      <c r="H334" s="4"/>
    </row>
    <row r="335" spans="1:8" x14ac:dyDescent="0.2">
      <c r="A335" s="130"/>
      <c r="B335" s="4"/>
      <c r="C335" s="4"/>
      <c r="D335" s="4"/>
      <c r="E335" s="5"/>
      <c r="F335" s="5"/>
      <c r="G335" s="5" t="str">
        <f t="shared" si="5"/>
        <v/>
      </c>
      <c r="H335" s="4"/>
    </row>
    <row r="336" spans="1:8" x14ac:dyDescent="0.2">
      <c r="A336" s="130"/>
      <c r="B336" s="4"/>
      <c r="C336" s="4"/>
      <c r="D336" s="4"/>
      <c r="E336" s="5"/>
      <c r="F336" s="5"/>
      <c r="G336" s="5" t="str">
        <f t="shared" si="5"/>
        <v/>
      </c>
      <c r="H336" s="4"/>
    </row>
    <row r="337" spans="1:8" x14ac:dyDescent="0.2">
      <c r="A337" s="130"/>
      <c r="B337" s="4"/>
      <c r="C337" s="4"/>
      <c r="D337" s="4"/>
      <c r="E337" s="5"/>
      <c r="F337" s="5"/>
      <c r="G337" s="5" t="str">
        <f t="shared" si="5"/>
        <v/>
      </c>
      <c r="H337" s="4"/>
    </row>
    <row r="338" spans="1:8" x14ac:dyDescent="0.2">
      <c r="A338" s="130"/>
      <c r="B338" s="4"/>
      <c r="C338" s="4"/>
      <c r="D338" s="4"/>
      <c r="E338" s="5"/>
      <c r="F338" s="5"/>
      <c r="G338" s="5" t="str">
        <f t="shared" si="5"/>
        <v/>
      </c>
      <c r="H338" s="4"/>
    </row>
    <row r="339" spans="1:8" x14ac:dyDescent="0.2">
      <c r="A339" s="130"/>
      <c r="B339" s="4"/>
      <c r="C339" s="4"/>
      <c r="D339" s="4"/>
      <c r="E339" s="5"/>
      <c r="F339" s="5"/>
      <c r="G339" s="5" t="str">
        <f t="shared" si="5"/>
        <v/>
      </c>
      <c r="H339" s="4"/>
    </row>
    <row r="340" spans="1:8" x14ac:dyDescent="0.2">
      <c r="A340" s="130"/>
      <c r="B340" s="4"/>
      <c r="C340" s="4"/>
      <c r="D340" s="4"/>
      <c r="E340" s="5"/>
      <c r="F340" s="5"/>
      <c r="G340" s="5" t="str">
        <f t="shared" si="5"/>
        <v/>
      </c>
      <c r="H340" s="4"/>
    </row>
    <row r="341" spans="1:8" x14ac:dyDescent="0.2">
      <c r="A341" s="130"/>
      <c r="B341" s="4"/>
      <c r="C341" s="4"/>
      <c r="D341" s="4"/>
      <c r="E341" s="5"/>
      <c r="F341" s="5"/>
      <c r="G341" s="5" t="str">
        <f t="shared" si="5"/>
        <v/>
      </c>
      <c r="H341" s="4"/>
    </row>
    <row r="342" spans="1:8" x14ac:dyDescent="0.2">
      <c r="A342" s="130"/>
      <c r="B342" s="4"/>
      <c r="C342" s="4"/>
      <c r="D342" s="4"/>
      <c r="E342" s="5"/>
      <c r="F342" s="5"/>
      <c r="G342" s="5" t="str">
        <f t="shared" si="5"/>
        <v/>
      </c>
      <c r="H342" s="4"/>
    </row>
    <row r="343" spans="1:8" x14ac:dyDescent="0.2">
      <c r="A343" s="130"/>
      <c r="B343" s="4"/>
      <c r="C343" s="4"/>
      <c r="D343" s="4"/>
      <c r="E343" s="5"/>
      <c r="F343" s="5"/>
      <c r="G343" s="5" t="str">
        <f t="shared" si="5"/>
        <v/>
      </c>
      <c r="H343" s="4"/>
    </row>
    <row r="344" spans="1:8" x14ac:dyDescent="0.2">
      <c r="A344" s="130"/>
      <c r="B344" s="4"/>
      <c r="C344" s="4"/>
      <c r="D344" s="4"/>
      <c r="E344" s="5"/>
      <c r="F344" s="5"/>
      <c r="G344" s="5" t="str">
        <f t="shared" si="5"/>
        <v/>
      </c>
      <c r="H344" s="4"/>
    </row>
    <row r="345" spans="1:8" x14ac:dyDescent="0.2">
      <c r="A345" s="130"/>
      <c r="B345" s="4"/>
      <c r="C345" s="4"/>
      <c r="D345" s="4"/>
      <c r="E345" s="5"/>
      <c r="F345" s="5"/>
      <c r="G345" s="5" t="str">
        <f t="shared" si="5"/>
        <v/>
      </c>
      <c r="H345" s="4"/>
    </row>
    <row r="346" spans="1:8" x14ac:dyDescent="0.2">
      <c r="A346" s="130"/>
      <c r="B346" s="4"/>
      <c r="C346" s="4"/>
      <c r="D346" s="4"/>
      <c r="E346" s="5"/>
      <c r="F346" s="5"/>
      <c r="G346" s="5" t="str">
        <f t="shared" si="5"/>
        <v/>
      </c>
      <c r="H346" s="4"/>
    </row>
    <row r="347" spans="1:8" x14ac:dyDescent="0.2">
      <c r="A347" s="130"/>
      <c r="B347" s="4"/>
      <c r="C347" s="4"/>
      <c r="D347" s="4"/>
      <c r="E347" s="5"/>
      <c r="F347" s="5"/>
      <c r="G347" s="5" t="str">
        <f t="shared" si="5"/>
        <v/>
      </c>
      <c r="H347" s="4"/>
    </row>
    <row r="348" spans="1:8" x14ac:dyDescent="0.2">
      <c r="A348" s="130"/>
      <c r="B348" s="4"/>
      <c r="C348" s="4"/>
      <c r="D348" s="4"/>
      <c r="E348" s="5"/>
      <c r="F348" s="5"/>
      <c r="G348" s="5" t="str">
        <f t="shared" si="5"/>
        <v/>
      </c>
      <c r="H348" s="4"/>
    </row>
    <row r="349" spans="1:8" x14ac:dyDescent="0.2">
      <c r="A349" s="130"/>
      <c r="B349" s="4"/>
      <c r="C349" s="4"/>
      <c r="D349" s="4"/>
      <c r="E349" s="5"/>
      <c r="F349" s="5"/>
      <c r="G349" s="5" t="str">
        <f t="shared" si="5"/>
        <v/>
      </c>
      <c r="H349" s="4"/>
    </row>
    <row r="350" spans="1:8" x14ac:dyDescent="0.2">
      <c r="A350" s="130"/>
      <c r="B350" s="4"/>
      <c r="C350" s="4"/>
      <c r="D350" s="4"/>
      <c r="E350" s="5"/>
      <c r="F350" s="5"/>
      <c r="G350" s="5" t="str">
        <f t="shared" si="5"/>
        <v/>
      </c>
      <c r="H350" s="4"/>
    </row>
    <row r="351" spans="1:8" x14ac:dyDescent="0.2">
      <c r="A351" s="130"/>
      <c r="B351" s="4"/>
      <c r="C351" s="4"/>
      <c r="D351" s="4"/>
      <c r="E351" s="5"/>
      <c r="F351" s="5"/>
      <c r="G351" s="5" t="str">
        <f t="shared" si="5"/>
        <v/>
      </c>
      <c r="H351" s="4"/>
    </row>
    <row r="352" spans="1:8" x14ac:dyDescent="0.2">
      <c r="A352" s="130"/>
      <c r="B352" s="4"/>
      <c r="C352" s="4"/>
      <c r="D352" s="4"/>
      <c r="E352" s="5"/>
      <c r="F352" s="5"/>
      <c r="G352" s="5" t="str">
        <f t="shared" si="5"/>
        <v/>
      </c>
      <c r="H352" s="4"/>
    </row>
    <row r="353" spans="1:8" x14ac:dyDescent="0.2">
      <c r="A353" s="130"/>
      <c r="B353" s="4"/>
      <c r="C353" s="4"/>
      <c r="D353" s="4"/>
      <c r="E353" s="5"/>
      <c r="F353" s="5"/>
      <c r="G353" s="5" t="str">
        <f t="shared" si="5"/>
        <v/>
      </c>
      <c r="H353" s="4"/>
    </row>
    <row r="354" spans="1:8" x14ac:dyDescent="0.2">
      <c r="A354" s="130"/>
      <c r="B354" s="4"/>
      <c r="C354" s="4"/>
      <c r="D354" s="4"/>
      <c r="E354" s="5"/>
      <c r="F354" s="5"/>
      <c r="G354" s="5" t="str">
        <f t="shared" si="5"/>
        <v/>
      </c>
      <c r="H354" s="4"/>
    </row>
    <row r="355" spans="1:8" x14ac:dyDescent="0.2">
      <c r="A355" s="130"/>
      <c r="B355" s="4"/>
      <c r="C355" s="4"/>
      <c r="D355" s="4"/>
      <c r="E355" s="5"/>
      <c r="F355" s="5"/>
      <c r="G355" s="5" t="str">
        <f t="shared" si="5"/>
        <v/>
      </c>
      <c r="H355" s="4"/>
    </row>
    <row r="356" spans="1:8" x14ac:dyDescent="0.2">
      <c r="A356" s="130"/>
      <c r="B356" s="4"/>
      <c r="C356" s="4"/>
      <c r="D356" s="4"/>
      <c r="E356" s="5"/>
      <c r="F356" s="5"/>
      <c r="G356" s="5" t="str">
        <f t="shared" si="5"/>
        <v/>
      </c>
      <c r="H356" s="4"/>
    </row>
    <row r="357" spans="1:8" x14ac:dyDescent="0.2">
      <c r="A357" s="130"/>
      <c r="B357" s="4"/>
      <c r="C357" s="4"/>
      <c r="D357" s="4"/>
      <c r="E357" s="5"/>
      <c r="F357" s="5"/>
      <c r="G357" s="5" t="str">
        <f t="shared" si="5"/>
        <v/>
      </c>
      <c r="H357" s="4"/>
    </row>
    <row r="358" spans="1:8" x14ac:dyDescent="0.2">
      <c r="A358" s="130"/>
      <c r="B358" s="4"/>
      <c r="C358" s="4"/>
      <c r="D358" s="4"/>
      <c r="E358" s="5"/>
      <c r="F358" s="5"/>
      <c r="G358" s="5" t="str">
        <f t="shared" si="5"/>
        <v/>
      </c>
      <c r="H358" s="4"/>
    </row>
    <row r="359" spans="1:8" x14ac:dyDescent="0.2">
      <c r="A359" s="130"/>
      <c r="B359" s="4"/>
      <c r="C359" s="4"/>
      <c r="D359" s="4"/>
      <c r="E359" s="5"/>
      <c r="F359" s="5"/>
      <c r="G359" s="5" t="str">
        <f t="shared" si="5"/>
        <v/>
      </c>
      <c r="H359" s="4"/>
    </row>
    <row r="360" spans="1:8" x14ac:dyDescent="0.2">
      <c r="A360" s="130"/>
      <c r="B360" s="4"/>
      <c r="C360" s="4"/>
      <c r="D360" s="4"/>
      <c r="E360" s="5"/>
      <c r="F360" s="5"/>
      <c r="G360" s="5" t="str">
        <f t="shared" si="5"/>
        <v/>
      </c>
      <c r="H360" s="4"/>
    </row>
    <row r="361" spans="1:8" x14ac:dyDescent="0.2">
      <c r="A361" s="130"/>
      <c r="B361" s="4"/>
      <c r="C361" s="4"/>
      <c r="D361" s="4"/>
      <c r="E361" s="5"/>
      <c r="F361" s="5"/>
      <c r="G361" s="5" t="str">
        <f t="shared" si="5"/>
        <v/>
      </c>
      <c r="H361" s="4"/>
    </row>
    <row r="362" spans="1:8" x14ac:dyDescent="0.2">
      <c r="A362" s="130"/>
      <c r="B362" s="4"/>
      <c r="C362" s="4"/>
      <c r="D362" s="4"/>
      <c r="E362" s="5"/>
      <c r="F362" s="5"/>
      <c r="G362" s="5" t="str">
        <f t="shared" si="5"/>
        <v/>
      </c>
      <c r="H362" s="4"/>
    </row>
    <row r="363" spans="1:8" x14ac:dyDescent="0.2">
      <c r="A363" s="130"/>
      <c r="B363" s="4"/>
      <c r="C363" s="4"/>
      <c r="D363" s="4"/>
      <c r="E363" s="5"/>
      <c r="F363" s="5"/>
      <c r="G363" s="5" t="str">
        <f t="shared" si="5"/>
        <v/>
      </c>
      <c r="H363" s="4"/>
    </row>
    <row r="364" spans="1:8" x14ac:dyDescent="0.2">
      <c r="A364" s="130"/>
      <c r="B364" s="4"/>
      <c r="C364" s="4"/>
      <c r="D364" s="4"/>
      <c r="E364" s="5"/>
      <c r="F364" s="5"/>
      <c r="G364" s="5" t="str">
        <f t="shared" si="5"/>
        <v/>
      </c>
      <c r="H364" s="4"/>
    </row>
    <row r="365" spans="1:8" x14ac:dyDescent="0.2">
      <c r="A365" s="130"/>
      <c r="B365" s="4"/>
      <c r="C365" s="4"/>
      <c r="D365" s="4"/>
      <c r="E365" s="5"/>
      <c r="F365" s="5"/>
      <c r="G365" s="5" t="str">
        <f t="shared" si="5"/>
        <v/>
      </c>
      <c r="H365" s="4"/>
    </row>
    <row r="366" spans="1:8" x14ac:dyDescent="0.2">
      <c r="A366" s="130"/>
      <c r="B366" s="4"/>
      <c r="C366" s="4"/>
      <c r="D366" s="4"/>
      <c r="E366" s="5"/>
      <c r="F366" s="5"/>
      <c r="G366" s="5" t="str">
        <f t="shared" si="5"/>
        <v/>
      </c>
      <c r="H366" s="4"/>
    </row>
    <row r="367" spans="1:8" x14ac:dyDescent="0.2">
      <c r="A367" s="130"/>
      <c r="B367" s="4"/>
      <c r="C367" s="4"/>
      <c r="D367" s="4"/>
      <c r="E367" s="5"/>
      <c r="F367" s="5"/>
      <c r="G367" s="5" t="str">
        <f t="shared" si="5"/>
        <v/>
      </c>
      <c r="H367" s="4"/>
    </row>
    <row r="368" spans="1:8" x14ac:dyDescent="0.2">
      <c r="A368" s="130"/>
      <c r="B368" s="4"/>
      <c r="C368" s="4"/>
      <c r="D368" s="4"/>
      <c r="E368" s="5"/>
      <c r="F368" s="5"/>
      <c r="G368" s="5" t="str">
        <f t="shared" si="5"/>
        <v/>
      </c>
      <c r="H368" s="4"/>
    </row>
    <row r="369" spans="1:8" x14ac:dyDescent="0.2">
      <c r="A369" s="130"/>
      <c r="B369" s="4"/>
      <c r="C369" s="4"/>
      <c r="D369" s="4"/>
      <c r="E369" s="5"/>
      <c r="F369" s="5"/>
      <c r="G369" s="5" t="str">
        <f t="shared" si="5"/>
        <v/>
      </c>
      <c r="H369" s="4"/>
    </row>
    <row r="370" spans="1:8" x14ac:dyDescent="0.2">
      <c r="A370" s="130"/>
      <c r="B370" s="4"/>
      <c r="C370" s="4"/>
      <c r="D370" s="4"/>
      <c r="E370" s="5"/>
      <c r="F370" s="5"/>
      <c r="G370" s="5" t="str">
        <f t="shared" si="5"/>
        <v/>
      </c>
      <c r="H370" s="4"/>
    </row>
    <row r="371" spans="1:8" x14ac:dyDescent="0.2">
      <c r="A371" s="130"/>
      <c r="B371" s="4"/>
      <c r="C371" s="4"/>
      <c r="D371" s="4"/>
      <c r="E371" s="5"/>
      <c r="F371" s="5"/>
      <c r="G371" s="5" t="str">
        <f t="shared" si="5"/>
        <v/>
      </c>
      <c r="H371" s="4"/>
    </row>
    <row r="372" spans="1:8" x14ac:dyDescent="0.2">
      <c r="A372" s="130"/>
      <c r="B372" s="4"/>
      <c r="C372" s="4"/>
      <c r="D372" s="4"/>
      <c r="E372" s="5"/>
      <c r="F372" s="5"/>
      <c r="G372" s="5" t="str">
        <f t="shared" si="5"/>
        <v/>
      </c>
      <c r="H372" s="4"/>
    </row>
    <row r="373" spans="1:8" x14ac:dyDescent="0.2">
      <c r="A373" s="130"/>
      <c r="B373" s="4"/>
      <c r="C373" s="4"/>
      <c r="D373" s="4"/>
      <c r="E373" s="5"/>
      <c r="F373" s="5"/>
      <c r="G373" s="5" t="str">
        <f t="shared" si="5"/>
        <v/>
      </c>
      <c r="H373" s="4"/>
    </row>
    <row r="374" spans="1:8" x14ac:dyDescent="0.2">
      <c r="A374" s="130"/>
      <c r="B374" s="4"/>
      <c r="C374" s="4"/>
      <c r="D374" s="4"/>
      <c r="E374" s="5"/>
      <c r="F374" s="5"/>
      <c r="G374" s="5" t="str">
        <f t="shared" si="5"/>
        <v/>
      </c>
      <c r="H374" s="4"/>
    </row>
    <row r="375" spans="1:8" x14ac:dyDescent="0.2">
      <c r="A375" s="130"/>
      <c r="B375" s="4"/>
      <c r="C375" s="4"/>
      <c r="D375" s="4"/>
      <c r="E375" s="5"/>
      <c r="F375" s="5"/>
      <c r="G375" s="5" t="str">
        <f t="shared" si="5"/>
        <v/>
      </c>
      <c r="H375" s="4"/>
    </row>
    <row r="376" spans="1:8" x14ac:dyDescent="0.2">
      <c r="A376" s="130"/>
      <c r="B376" s="4"/>
      <c r="C376" s="4"/>
      <c r="D376" s="4"/>
      <c r="E376" s="5"/>
      <c r="F376" s="5"/>
      <c r="G376" s="5" t="str">
        <f t="shared" si="5"/>
        <v/>
      </c>
      <c r="H376" s="4"/>
    </row>
    <row r="377" spans="1:8" x14ac:dyDescent="0.2">
      <c r="A377" s="130"/>
      <c r="B377" s="4"/>
      <c r="C377" s="4"/>
      <c r="D377" s="4"/>
      <c r="E377" s="5"/>
      <c r="F377" s="5"/>
      <c r="G377" s="5" t="str">
        <f t="shared" si="5"/>
        <v/>
      </c>
      <c r="H377" s="4"/>
    </row>
    <row r="378" spans="1:8" x14ac:dyDescent="0.2">
      <c r="A378" s="130"/>
      <c r="B378" s="4"/>
      <c r="C378" s="4"/>
      <c r="D378" s="4"/>
      <c r="E378" s="5"/>
      <c r="F378" s="5"/>
      <c r="G378" s="5" t="str">
        <f t="shared" si="5"/>
        <v/>
      </c>
      <c r="H378" s="4"/>
    </row>
    <row r="379" spans="1:8" x14ac:dyDescent="0.2">
      <c r="A379" s="130"/>
      <c r="B379" s="4"/>
      <c r="C379" s="4"/>
      <c r="D379" s="4"/>
      <c r="E379" s="5"/>
      <c r="F379" s="5"/>
      <c r="G379" s="5" t="str">
        <f t="shared" si="5"/>
        <v/>
      </c>
      <c r="H379" s="4"/>
    </row>
    <row r="380" spans="1:8" x14ac:dyDescent="0.2">
      <c r="A380" s="130"/>
      <c r="B380" s="4"/>
      <c r="C380" s="4"/>
      <c r="D380" s="4"/>
      <c r="E380" s="5"/>
      <c r="F380" s="5"/>
      <c r="G380" s="5" t="str">
        <f t="shared" si="5"/>
        <v/>
      </c>
      <c r="H380" s="4"/>
    </row>
    <row r="381" spans="1:8" x14ac:dyDescent="0.2">
      <c r="A381" s="130"/>
      <c r="B381" s="4"/>
      <c r="C381" s="4"/>
      <c r="D381" s="4"/>
      <c r="E381" s="5"/>
      <c r="F381" s="5"/>
      <c r="G381" s="5" t="str">
        <f t="shared" si="5"/>
        <v/>
      </c>
      <c r="H381" s="4"/>
    </row>
    <row r="382" spans="1:8" x14ac:dyDescent="0.2">
      <c r="A382" s="130"/>
      <c r="B382" s="4"/>
      <c r="C382" s="4"/>
      <c r="D382" s="4"/>
      <c r="E382" s="5"/>
      <c r="F382" s="5"/>
      <c r="G382" s="5" t="str">
        <f t="shared" si="5"/>
        <v/>
      </c>
      <c r="H382" s="4"/>
    </row>
    <row r="383" spans="1:8" x14ac:dyDescent="0.2">
      <c r="A383" s="130"/>
      <c r="B383" s="4"/>
      <c r="C383" s="4"/>
      <c r="D383" s="4"/>
      <c r="E383" s="5"/>
      <c r="F383" s="5"/>
      <c r="G383" s="5" t="str">
        <f t="shared" si="5"/>
        <v/>
      </c>
      <c r="H383" s="4"/>
    </row>
    <row r="384" spans="1:8" x14ac:dyDescent="0.2">
      <c r="A384" s="130"/>
      <c r="B384" s="4"/>
      <c r="C384" s="4"/>
      <c r="D384" s="4"/>
      <c r="E384" s="5"/>
      <c r="F384" s="5"/>
      <c r="G384" s="5" t="str">
        <f t="shared" si="5"/>
        <v/>
      </c>
      <c r="H384" s="4"/>
    </row>
    <row r="385" spans="1:8" x14ac:dyDescent="0.2">
      <c r="A385" s="130"/>
      <c r="B385" s="4"/>
      <c r="C385" s="4"/>
      <c r="D385" s="4"/>
      <c r="E385" s="5"/>
      <c r="F385" s="5"/>
      <c r="G385" s="5" t="str">
        <f t="shared" si="5"/>
        <v/>
      </c>
      <c r="H385" s="4"/>
    </row>
    <row r="386" spans="1:8" x14ac:dyDescent="0.2">
      <c r="A386" s="130"/>
      <c r="B386" s="4"/>
      <c r="C386" s="4"/>
      <c r="D386" s="4"/>
      <c r="E386" s="5"/>
      <c r="F386" s="5"/>
      <c r="G386" s="5" t="str">
        <f t="shared" si="5"/>
        <v/>
      </c>
      <c r="H386" s="4"/>
    </row>
    <row r="387" spans="1:8" x14ac:dyDescent="0.2">
      <c r="A387" s="130"/>
      <c r="B387" s="4"/>
      <c r="C387" s="4"/>
      <c r="D387" s="4"/>
      <c r="E387" s="5"/>
      <c r="F387" s="5"/>
      <c r="G387" s="5" t="str">
        <f t="shared" si="5"/>
        <v/>
      </c>
      <c r="H387" s="4"/>
    </row>
    <row r="388" spans="1:8" x14ac:dyDescent="0.2">
      <c r="A388" s="130"/>
      <c r="B388" s="4"/>
      <c r="C388" s="4"/>
      <c r="D388" s="4"/>
      <c r="E388" s="5"/>
      <c r="F388" s="5"/>
      <c r="G388" s="5" t="str">
        <f t="shared" ref="G388:G451" si="6">IF($B388="","",$G387+$F388-$E388)</f>
        <v/>
      </c>
      <c r="H388" s="4"/>
    </row>
    <row r="389" spans="1:8" x14ac:dyDescent="0.2">
      <c r="A389" s="130"/>
      <c r="B389" s="4"/>
      <c r="C389" s="4"/>
      <c r="D389" s="4"/>
      <c r="E389" s="5"/>
      <c r="F389" s="5"/>
      <c r="G389" s="5" t="str">
        <f t="shared" si="6"/>
        <v/>
      </c>
      <c r="H389" s="4"/>
    </row>
    <row r="390" spans="1:8" x14ac:dyDescent="0.2">
      <c r="A390" s="130"/>
      <c r="B390" s="4"/>
      <c r="C390" s="4"/>
      <c r="D390" s="4"/>
      <c r="E390" s="5"/>
      <c r="F390" s="5"/>
      <c r="G390" s="5" t="str">
        <f t="shared" si="6"/>
        <v/>
      </c>
      <c r="H390" s="4"/>
    </row>
    <row r="391" spans="1:8" x14ac:dyDescent="0.2">
      <c r="A391" s="130"/>
      <c r="B391" s="4"/>
      <c r="C391" s="4"/>
      <c r="D391" s="4"/>
      <c r="E391" s="5"/>
      <c r="F391" s="5"/>
      <c r="G391" s="5" t="str">
        <f t="shared" si="6"/>
        <v/>
      </c>
      <c r="H391" s="4"/>
    </row>
    <row r="392" spans="1:8" x14ac:dyDescent="0.2">
      <c r="A392" s="130"/>
      <c r="B392" s="4"/>
      <c r="C392" s="4"/>
      <c r="D392" s="4"/>
      <c r="E392" s="5"/>
      <c r="F392" s="5"/>
      <c r="G392" s="5" t="str">
        <f t="shared" si="6"/>
        <v/>
      </c>
      <c r="H392" s="4"/>
    </row>
    <row r="393" spans="1:8" x14ac:dyDescent="0.2">
      <c r="A393" s="130"/>
      <c r="B393" s="4"/>
      <c r="C393" s="4"/>
      <c r="D393" s="4"/>
      <c r="E393" s="5"/>
      <c r="F393" s="5"/>
      <c r="G393" s="5" t="str">
        <f t="shared" si="6"/>
        <v/>
      </c>
      <c r="H393" s="4"/>
    </row>
    <row r="394" spans="1:8" x14ac:dyDescent="0.2">
      <c r="A394" s="130"/>
      <c r="B394" s="4"/>
      <c r="C394" s="4"/>
      <c r="D394" s="4"/>
      <c r="E394" s="5"/>
      <c r="F394" s="5"/>
      <c r="G394" s="5" t="str">
        <f t="shared" si="6"/>
        <v/>
      </c>
      <c r="H394" s="4"/>
    </row>
    <row r="395" spans="1:8" x14ac:dyDescent="0.2">
      <c r="A395" s="130"/>
      <c r="B395" s="4"/>
      <c r="C395" s="4"/>
      <c r="D395" s="4"/>
      <c r="E395" s="5"/>
      <c r="F395" s="5"/>
      <c r="G395" s="5" t="str">
        <f t="shared" si="6"/>
        <v/>
      </c>
      <c r="H395" s="4"/>
    </row>
    <row r="396" spans="1:8" x14ac:dyDescent="0.2">
      <c r="A396" s="130"/>
      <c r="B396" s="4"/>
      <c r="C396" s="4"/>
      <c r="D396" s="4"/>
      <c r="E396" s="5"/>
      <c r="F396" s="5"/>
      <c r="G396" s="5" t="str">
        <f t="shared" si="6"/>
        <v/>
      </c>
      <c r="H396" s="4"/>
    </row>
    <row r="397" spans="1:8" x14ac:dyDescent="0.2">
      <c r="A397" s="130"/>
      <c r="B397" s="4"/>
      <c r="C397" s="4"/>
      <c r="D397" s="4"/>
      <c r="E397" s="5"/>
      <c r="F397" s="5"/>
      <c r="G397" s="5" t="str">
        <f t="shared" si="6"/>
        <v/>
      </c>
      <c r="H397" s="4"/>
    </row>
    <row r="398" spans="1:8" x14ac:dyDescent="0.2">
      <c r="A398" s="130"/>
      <c r="B398" s="4"/>
      <c r="C398" s="4"/>
      <c r="D398" s="4"/>
      <c r="E398" s="5"/>
      <c r="F398" s="5"/>
      <c r="G398" s="5" t="str">
        <f t="shared" si="6"/>
        <v/>
      </c>
      <c r="H398" s="4"/>
    </row>
    <row r="399" spans="1:8" x14ac:dyDescent="0.2">
      <c r="A399" s="130"/>
      <c r="B399" s="4"/>
      <c r="C399" s="4"/>
      <c r="D399" s="4"/>
      <c r="E399" s="5"/>
      <c r="F399" s="5"/>
      <c r="G399" s="5" t="str">
        <f t="shared" si="6"/>
        <v/>
      </c>
      <c r="H399" s="4"/>
    </row>
    <row r="400" spans="1:8" x14ac:dyDescent="0.2">
      <c r="A400" s="130"/>
      <c r="B400" s="4"/>
      <c r="C400" s="4"/>
      <c r="D400" s="4"/>
      <c r="E400" s="5"/>
      <c r="F400" s="5"/>
      <c r="G400" s="5" t="str">
        <f t="shared" si="6"/>
        <v/>
      </c>
      <c r="H400" s="4"/>
    </row>
    <row r="401" spans="1:8" x14ac:dyDescent="0.2">
      <c r="A401" s="130"/>
      <c r="B401" s="4"/>
      <c r="C401" s="4"/>
      <c r="D401" s="4"/>
      <c r="E401" s="5"/>
      <c r="F401" s="5"/>
      <c r="G401" s="5" t="str">
        <f t="shared" si="6"/>
        <v/>
      </c>
      <c r="H401" s="4"/>
    </row>
    <row r="402" spans="1:8" x14ac:dyDescent="0.2">
      <c r="A402" s="130"/>
      <c r="B402" s="4"/>
      <c r="C402" s="4"/>
      <c r="D402" s="4"/>
      <c r="E402" s="5"/>
      <c r="F402" s="5"/>
      <c r="G402" s="5" t="str">
        <f t="shared" si="6"/>
        <v/>
      </c>
      <c r="H402" s="4"/>
    </row>
    <row r="403" spans="1:8" x14ac:dyDescent="0.2">
      <c r="A403" s="130"/>
      <c r="B403" s="4"/>
      <c r="C403" s="4"/>
      <c r="D403" s="4"/>
      <c r="E403" s="5"/>
      <c r="F403" s="5"/>
      <c r="G403" s="5" t="str">
        <f t="shared" si="6"/>
        <v/>
      </c>
      <c r="H403" s="4"/>
    </row>
    <row r="404" spans="1:8" x14ac:dyDescent="0.2">
      <c r="A404" s="130"/>
      <c r="B404" s="4"/>
      <c r="C404" s="4"/>
      <c r="D404" s="4"/>
      <c r="E404" s="5"/>
      <c r="F404" s="5"/>
      <c r="G404" s="5" t="str">
        <f t="shared" si="6"/>
        <v/>
      </c>
      <c r="H404" s="4"/>
    </row>
    <row r="405" spans="1:8" x14ac:dyDescent="0.2">
      <c r="A405" s="130"/>
      <c r="B405" s="4"/>
      <c r="C405" s="4"/>
      <c r="D405" s="4"/>
      <c r="E405" s="5"/>
      <c r="F405" s="5"/>
      <c r="G405" s="5" t="str">
        <f t="shared" si="6"/>
        <v/>
      </c>
      <c r="H405" s="4"/>
    </row>
    <row r="406" spans="1:8" x14ac:dyDescent="0.2">
      <c r="A406" s="130"/>
      <c r="B406" s="4"/>
      <c r="C406" s="4"/>
      <c r="D406" s="4"/>
      <c r="E406" s="5"/>
      <c r="F406" s="5"/>
      <c r="G406" s="5" t="str">
        <f t="shared" si="6"/>
        <v/>
      </c>
      <c r="H406" s="4"/>
    </row>
    <row r="407" spans="1:8" x14ac:dyDescent="0.2">
      <c r="A407" s="130"/>
      <c r="B407" s="4"/>
      <c r="C407" s="4"/>
      <c r="D407" s="4"/>
      <c r="E407" s="5"/>
      <c r="F407" s="5"/>
      <c r="G407" s="5" t="str">
        <f t="shared" si="6"/>
        <v/>
      </c>
      <c r="H407" s="4"/>
    </row>
    <row r="408" spans="1:8" x14ac:dyDescent="0.2">
      <c r="A408" s="130"/>
      <c r="B408" s="4"/>
      <c r="C408" s="4"/>
      <c r="D408" s="4"/>
      <c r="E408" s="5"/>
      <c r="F408" s="5"/>
      <c r="G408" s="5" t="str">
        <f t="shared" si="6"/>
        <v/>
      </c>
      <c r="H408" s="4"/>
    </row>
    <row r="409" spans="1:8" x14ac:dyDescent="0.2">
      <c r="A409" s="130"/>
      <c r="B409" s="4"/>
      <c r="C409" s="4"/>
      <c r="D409" s="4"/>
      <c r="E409" s="5"/>
      <c r="F409" s="5"/>
      <c r="G409" s="5" t="str">
        <f t="shared" si="6"/>
        <v/>
      </c>
      <c r="H409" s="4"/>
    </row>
    <row r="410" spans="1:8" x14ac:dyDescent="0.2">
      <c r="A410" s="130"/>
      <c r="B410" s="4"/>
      <c r="C410" s="4"/>
      <c r="D410" s="4"/>
      <c r="E410" s="5"/>
      <c r="F410" s="5"/>
      <c r="G410" s="5" t="str">
        <f t="shared" si="6"/>
        <v/>
      </c>
      <c r="H410" s="4"/>
    </row>
    <row r="411" spans="1:8" x14ac:dyDescent="0.2">
      <c r="A411" s="130"/>
      <c r="B411" s="4"/>
      <c r="C411" s="4"/>
      <c r="D411" s="4"/>
      <c r="E411" s="5"/>
      <c r="F411" s="5"/>
      <c r="G411" s="5" t="str">
        <f t="shared" si="6"/>
        <v/>
      </c>
      <c r="H411" s="4"/>
    </row>
    <row r="412" spans="1:8" x14ac:dyDescent="0.2">
      <c r="A412" s="130"/>
      <c r="B412" s="4"/>
      <c r="C412" s="4"/>
      <c r="D412" s="4"/>
      <c r="E412" s="5"/>
      <c r="F412" s="5"/>
      <c r="G412" s="5" t="str">
        <f t="shared" si="6"/>
        <v/>
      </c>
      <c r="H412" s="4"/>
    </row>
    <row r="413" spans="1:8" x14ac:dyDescent="0.2">
      <c r="A413" s="130"/>
      <c r="B413" s="4"/>
      <c r="C413" s="4"/>
      <c r="D413" s="4"/>
      <c r="E413" s="5"/>
      <c r="F413" s="5"/>
      <c r="G413" s="5" t="str">
        <f t="shared" si="6"/>
        <v/>
      </c>
      <c r="H413" s="4"/>
    </row>
    <row r="414" spans="1:8" x14ac:dyDescent="0.2">
      <c r="A414" s="130"/>
      <c r="B414" s="4"/>
      <c r="C414" s="4"/>
      <c r="D414" s="4"/>
      <c r="E414" s="5"/>
      <c r="F414" s="5"/>
      <c r="G414" s="5" t="str">
        <f t="shared" si="6"/>
        <v/>
      </c>
      <c r="H414" s="4"/>
    </row>
    <row r="415" spans="1:8" x14ac:dyDescent="0.2">
      <c r="A415" s="130"/>
      <c r="B415" s="4"/>
      <c r="C415" s="4"/>
      <c r="D415" s="4"/>
      <c r="E415" s="5"/>
      <c r="F415" s="5"/>
      <c r="G415" s="5" t="str">
        <f t="shared" si="6"/>
        <v/>
      </c>
      <c r="H415" s="4"/>
    </row>
    <row r="416" spans="1:8" x14ac:dyDescent="0.2">
      <c r="A416" s="130"/>
      <c r="B416" s="4"/>
      <c r="C416" s="4"/>
      <c r="D416" s="4"/>
      <c r="E416" s="5"/>
      <c r="F416" s="5"/>
      <c r="G416" s="5" t="str">
        <f t="shared" si="6"/>
        <v/>
      </c>
      <c r="H416" s="4"/>
    </row>
    <row r="417" spans="1:8" x14ac:dyDescent="0.2">
      <c r="A417" s="130"/>
      <c r="B417" s="4"/>
      <c r="C417" s="4"/>
      <c r="D417" s="4"/>
      <c r="E417" s="5"/>
      <c r="F417" s="5"/>
      <c r="G417" s="5" t="str">
        <f t="shared" si="6"/>
        <v/>
      </c>
      <c r="H417" s="4"/>
    </row>
    <row r="418" spans="1:8" x14ac:dyDescent="0.2">
      <c r="A418" s="130"/>
      <c r="B418" s="4"/>
      <c r="C418" s="4"/>
      <c r="D418" s="4"/>
      <c r="E418" s="5"/>
      <c r="F418" s="5"/>
      <c r="G418" s="5" t="str">
        <f t="shared" si="6"/>
        <v/>
      </c>
      <c r="H418" s="4"/>
    </row>
    <row r="419" spans="1:8" x14ac:dyDescent="0.2">
      <c r="A419" s="130"/>
      <c r="B419" s="4"/>
      <c r="C419" s="4"/>
      <c r="D419" s="4"/>
      <c r="E419" s="5"/>
      <c r="F419" s="5"/>
      <c r="G419" s="5" t="str">
        <f t="shared" si="6"/>
        <v/>
      </c>
      <c r="H419" s="4"/>
    </row>
    <row r="420" spans="1:8" x14ac:dyDescent="0.2">
      <c r="A420" s="130"/>
      <c r="B420" s="4"/>
      <c r="C420" s="4"/>
      <c r="D420" s="4"/>
      <c r="E420" s="5"/>
      <c r="F420" s="5"/>
      <c r="G420" s="5" t="str">
        <f t="shared" si="6"/>
        <v/>
      </c>
      <c r="H420" s="4"/>
    </row>
    <row r="421" spans="1:8" x14ac:dyDescent="0.2">
      <c r="A421" s="130"/>
      <c r="B421" s="4"/>
      <c r="C421" s="4"/>
      <c r="D421" s="4"/>
      <c r="E421" s="5"/>
      <c r="F421" s="5"/>
      <c r="G421" s="5" t="str">
        <f t="shared" si="6"/>
        <v/>
      </c>
      <c r="H421" s="4"/>
    </row>
    <row r="422" spans="1:8" x14ac:dyDescent="0.2">
      <c r="A422" s="130"/>
      <c r="B422" s="4"/>
      <c r="C422" s="4"/>
      <c r="D422" s="4"/>
      <c r="E422" s="5"/>
      <c r="F422" s="5"/>
      <c r="G422" s="5" t="str">
        <f t="shared" si="6"/>
        <v/>
      </c>
      <c r="H422" s="4"/>
    </row>
    <row r="423" spans="1:8" x14ac:dyDescent="0.2">
      <c r="A423" s="130"/>
      <c r="B423" s="4"/>
      <c r="C423" s="4"/>
      <c r="D423" s="4"/>
      <c r="E423" s="5"/>
      <c r="F423" s="5"/>
      <c r="G423" s="5" t="str">
        <f t="shared" si="6"/>
        <v/>
      </c>
      <c r="H423" s="4"/>
    </row>
    <row r="424" spans="1:8" x14ac:dyDescent="0.2">
      <c r="A424" s="130"/>
      <c r="B424" s="4"/>
      <c r="C424" s="4"/>
      <c r="D424" s="4"/>
      <c r="E424" s="5"/>
      <c r="F424" s="5"/>
      <c r="G424" s="5" t="str">
        <f t="shared" si="6"/>
        <v/>
      </c>
      <c r="H424" s="4"/>
    </row>
    <row r="425" spans="1:8" x14ac:dyDescent="0.2">
      <c r="A425" s="130"/>
      <c r="B425" s="4"/>
      <c r="C425" s="4"/>
      <c r="D425" s="4"/>
      <c r="E425" s="5"/>
      <c r="F425" s="5"/>
      <c r="G425" s="5" t="str">
        <f t="shared" si="6"/>
        <v/>
      </c>
      <c r="H425" s="4"/>
    </row>
    <row r="426" spans="1:8" x14ac:dyDescent="0.2">
      <c r="A426" s="130"/>
      <c r="B426" s="4"/>
      <c r="C426" s="4"/>
      <c r="D426" s="4"/>
      <c r="E426" s="5"/>
      <c r="F426" s="5"/>
      <c r="G426" s="5" t="str">
        <f t="shared" si="6"/>
        <v/>
      </c>
      <c r="H426" s="4"/>
    </row>
    <row r="427" spans="1:8" x14ac:dyDescent="0.2">
      <c r="A427" s="130"/>
      <c r="B427" s="4"/>
      <c r="C427" s="4"/>
      <c r="D427" s="4"/>
      <c r="E427" s="5"/>
      <c r="F427" s="5"/>
      <c r="G427" s="5" t="str">
        <f t="shared" si="6"/>
        <v/>
      </c>
      <c r="H427" s="4"/>
    </row>
    <row r="428" spans="1:8" x14ac:dyDescent="0.2">
      <c r="A428" s="130"/>
      <c r="B428" s="4"/>
      <c r="C428" s="4"/>
      <c r="D428" s="4"/>
      <c r="E428" s="5"/>
      <c r="F428" s="5"/>
      <c r="G428" s="5" t="str">
        <f t="shared" si="6"/>
        <v/>
      </c>
      <c r="H428" s="4"/>
    </row>
    <row r="429" spans="1:8" x14ac:dyDescent="0.2">
      <c r="A429" s="130"/>
      <c r="B429" s="4"/>
      <c r="C429" s="4"/>
      <c r="D429" s="4"/>
      <c r="E429" s="5"/>
      <c r="F429" s="5"/>
      <c r="G429" s="5" t="str">
        <f t="shared" si="6"/>
        <v/>
      </c>
      <c r="H429" s="4"/>
    </row>
    <row r="430" spans="1:8" x14ac:dyDescent="0.2">
      <c r="A430" s="130"/>
      <c r="B430" s="4"/>
      <c r="C430" s="4"/>
      <c r="D430" s="4"/>
      <c r="E430" s="5"/>
      <c r="F430" s="5"/>
      <c r="G430" s="5" t="str">
        <f t="shared" si="6"/>
        <v/>
      </c>
      <c r="H430" s="4"/>
    </row>
    <row r="431" spans="1:8" x14ac:dyDescent="0.2">
      <c r="A431" s="130"/>
      <c r="B431" s="4"/>
      <c r="C431" s="4"/>
      <c r="D431" s="4"/>
      <c r="E431" s="5"/>
      <c r="F431" s="5"/>
      <c r="G431" s="5" t="str">
        <f t="shared" si="6"/>
        <v/>
      </c>
      <c r="H431" s="4"/>
    </row>
    <row r="432" spans="1:8" x14ac:dyDescent="0.2">
      <c r="A432" s="130"/>
      <c r="B432" s="4"/>
      <c r="C432" s="4"/>
      <c r="D432" s="4"/>
      <c r="E432" s="5"/>
      <c r="F432" s="5"/>
      <c r="G432" s="5" t="str">
        <f t="shared" si="6"/>
        <v/>
      </c>
      <c r="H432" s="4"/>
    </row>
    <row r="433" spans="1:8" x14ac:dyDescent="0.2">
      <c r="A433" s="130"/>
      <c r="B433" s="4"/>
      <c r="C433" s="4"/>
      <c r="D433" s="4"/>
      <c r="E433" s="5"/>
      <c r="F433" s="5"/>
      <c r="G433" s="5" t="str">
        <f t="shared" si="6"/>
        <v/>
      </c>
      <c r="H433" s="4"/>
    </row>
    <row r="434" spans="1:8" x14ac:dyDescent="0.2">
      <c r="A434" s="130"/>
      <c r="B434" s="4"/>
      <c r="C434" s="4"/>
      <c r="D434" s="4"/>
      <c r="E434" s="5"/>
      <c r="F434" s="5"/>
      <c r="G434" s="5" t="str">
        <f t="shared" si="6"/>
        <v/>
      </c>
      <c r="H434" s="4"/>
    </row>
    <row r="435" spans="1:8" x14ac:dyDescent="0.2">
      <c r="A435" s="130"/>
      <c r="B435" s="4"/>
      <c r="C435" s="4"/>
      <c r="D435" s="4"/>
      <c r="E435" s="5"/>
      <c r="F435" s="5"/>
      <c r="G435" s="5" t="str">
        <f t="shared" si="6"/>
        <v/>
      </c>
      <c r="H435" s="4"/>
    </row>
    <row r="436" spans="1:8" x14ac:dyDescent="0.2">
      <c r="A436" s="130"/>
      <c r="B436" s="4"/>
      <c r="C436" s="4"/>
      <c r="D436" s="4"/>
      <c r="E436" s="5"/>
      <c r="F436" s="5"/>
      <c r="G436" s="5" t="str">
        <f t="shared" si="6"/>
        <v/>
      </c>
      <c r="H436" s="4"/>
    </row>
    <row r="437" spans="1:8" x14ac:dyDescent="0.2">
      <c r="A437" s="130"/>
      <c r="B437" s="4"/>
      <c r="C437" s="4"/>
      <c r="D437" s="4"/>
      <c r="E437" s="5"/>
      <c r="F437" s="5"/>
      <c r="G437" s="5" t="str">
        <f t="shared" si="6"/>
        <v/>
      </c>
      <c r="H437" s="4"/>
    </row>
    <row r="438" spans="1:8" x14ac:dyDescent="0.2">
      <c r="A438" s="130"/>
      <c r="B438" s="4"/>
      <c r="C438" s="4"/>
      <c r="D438" s="4"/>
      <c r="E438" s="5"/>
      <c r="F438" s="5"/>
      <c r="G438" s="5" t="str">
        <f t="shared" si="6"/>
        <v/>
      </c>
      <c r="H438" s="4"/>
    </row>
    <row r="439" spans="1:8" x14ac:dyDescent="0.2">
      <c r="A439" s="130"/>
      <c r="B439" s="4"/>
      <c r="C439" s="4"/>
      <c r="D439" s="4"/>
      <c r="E439" s="5"/>
      <c r="F439" s="5"/>
      <c r="G439" s="5" t="str">
        <f t="shared" si="6"/>
        <v/>
      </c>
      <c r="H439" s="4"/>
    </row>
    <row r="440" spans="1:8" x14ac:dyDescent="0.2">
      <c r="A440" s="130"/>
      <c r="B440" s="4"/>
      <c r="C440" s="4"/>
      <c r="D440" s="4"/>
      <c r="E440" s="5"/>
      <c r="F440" s="5"/>
      <c r="G440" s="5" t="str">
        <f t="shared" si="6"/>
        <v/>
      </c>
      <c r="H440" s="4"/>
    </row>
    <row r="441" spans="1:8" x14ac:dyDescent="0.2">
      <c r="A441" s="130"/>
      <c r="B441" s="4"/>
      <c r="C441" s="4"/>
      <c r="D441" s="4"/>
      <c r="E441" s="5"/>
      <c r="F441" s="5"/>
      <c r="G441" s="5" t="str">
        <f t="shared" si="6"/>
        <v/>
      </c>
      <c r="H441" s="4"/>
    </row>
    <row r="442" spans="1:8" x14ac:dyDescent="0.2">
      <c r="A442" s="130"/>
      <c r="B442" s="4"/>
      <c r="C442" s="4"/>
      <c r="D442" s="4"/>
      <c r="E442" s="5"/>
      <c r="F442" s="5"/>
      <c r="G442" s="5" t="str">
        <f t="shared" si="6"/>
        <v/>
      </c>
      <c r="H442" s="4"/>
    </row>
    <row r="443" spans="1:8" x14ac:dyDescent="0.2">
      <c r="A443" s="130"/>
      <c r="B443" s="4"/>
      <c r="C443" s="4"/>
      <c r="D443" s="4"/>
      <c r="E443" s="5"/>
      <c r="F443" s="5"/>
      <c r="G443" s="5" t="str">
        <f t="shared" si="6"/>
        <v/>
      </c>
      <c r="H443" s="4"/>
    </row>
    <row r="444" spans="1:8" x14ac:dyDescent="0.2">
      <c r="A444" s="130"/>
      <c r="B444" s="4"/>
      <c r="C444" s="4"/>
      <c r="D444" s="4"/>
      <c r="E444" s="5"/>
      <c r="F444" s="5"/>
      <c r="G444" s="5" t="str">
        <f t="shared" si="6"/>
        <v/>
      </c>
      <c r="H444" s="4"/>
    </row>
    <row r="445" spans="1:8" x14ac:dyDescent="0.2">
      <c r="A445" s="130"/>
      <c r="B445" s="4"/>
      <c r="C445" s="4"/>
      <c r="D445" s="4"/>
      <c r="E445" s="5"/>
      <c r="F445" s="5"/>
      <c r="G445" s="5" t="str">
        <f t="shared" si="6"/>
        <v/>
      </c>
      <c r="H445" s="4"/>
    </row>
    <row r="446" spans="1:8" x14ac:dyDescent="0.2">
      <c r="A446" s="130"/>
      <c r="B446" s="4"/>
      <c r="C446" s="4"/>
      <c r="D446" s="4"/>
      <c r="E446" s="5"/>
      <c r="F446" s="5"/>
      <c r="G446" s="5" t="str">
        <f t="shared" si="6"/>
        <v/>
      </c>
      <c r="H446" s="4"/>
    </row>
    <row r="447" spans="1:8" x14ac:dyDescent="0.2">
      <c r="A447" s="130"/>
      <c r="B447" s="4"/>
      <c r="C447" s="4"/>
      <c r="D447" s="4"/>
      <c r="E447" s="5"/>
      <c r="F447" s="5"/>
      <c r="G447" s="5" t="str">
        <f t="shared" si="6"/>
        <v/>
      </c>
      <c r="H447" s="4"/>
    </row>
    <row r="448" spans="1:8" x14ac:dyDescent="0.2">
      <c r="A448" s="130"/>
      <c r="B448" s="4"/>
      <c r="C448" s="4"/>
      <c r="D448" s="4"/>
      <c r="E448" s="5"/>
      <c r="F448" s="5"/>
      <c r="G448" s="5" t="str">
        <f t="shared" si="6"/>
        <v/>
      </c>
      <c r="H448" s="4"/>
    </row>
    <row r="449" spans="1:8" x14ac:dyDescent="0.2">
      <c r="A449" s="130"/>
      <c r="B449" s="4"/>
      <c r="C449" s="4"/>
      <c r="D449" s="4"/>
      <c r="E449" s="5"/>
      <c r="F449" s="5"/>
      <c r="G449" s="5" t="str">
        <f t="shared" si="6"/>
        <v/>
      </c>
      <c r="H449" s="4"/>
    </row>
    <row r="450" spans="1:8" x14ac:dyDescent="0.2">
      <c r="A450" s="130"/>
      <c r="B450" s="4"/>
      <c r="C450" s="4"/>
      <c r="D450" s="4"/>
      <c r="E450" s="5"/>
      <c r="F450" s="5"/>
      <c r="G450" s="5" t="str">
        <f t="shared" si="6"/>
        <v/>
      </c>
      <c r="H450" s="4"/>
    </row>
    <row r="451" spans="1:8" x14ac:dyDescent="0.2">
      <c r="A451" s="130"/>
      <c r="B451" s="4"/>
      <c r="C451" s="4"/>
      <c r="D451" s="4"/>
      <c r="E451" s="5"/>
      <c r="F451" s="5"/>
      <c r="G451" s="5" t="str">
        <f t="shared" si="6"/>
        <v/>
      </c>
      <c r="H451" s="4"/>
    </row>
    <row r="452" spans="1:8" x14ac:dyDescent="0.2">
      <c r="A452" s="130"/>
      <c r="B452" s="4"/>
      <c r="C452" s="4"/>
      <c r="D452" s="4"/>
      <c r="E452" s="5"/>
      <c r="F452" s="5"/>
      <c r="G452" s="5" t="str">
        <f t="shared" ref="G452:G502" si="7">IF($B452="","",$G451+$F452-$E452)</f>
        <v/>
      </c>
      <c r="H452" s="4"/>
    </row>
    <row r="453" spans="1:8" x14ac:dyDescent="0.2">
      <c r="A453" s="130"/>
      <c r="B453" s="4"/>
      <c r="C453" s="4"/>
      <c r="D453" s="4"/>
      <c r="E453" s="5"/>
      <c r="F453" s="5"/>
      <c r="G453" s="5" t="str">
        <f t="shared" si="7"/>
        <v/>
      </c>
      <c r="H453" s="4"/>
    </row>
    <row r="454" spans="1:8" x14ac:dyDescent="0.2">
      <c r="A454" s="130"/>
      <c r="B454" s="4"/>
      <c r="C454" s="4"/>
      <c r="D454" s="4"/>
      <c r="E454" s="5"/>
      <c r="F454" s="5"/>
      <c r="G454" s="5" t="str">
        <f t="shared" si="7"/>
        <v/>
      </c>
      <c r="H454" s="4"/>
    </row>
    <row r="455" spans="1:8" x14ac:dyDescent="0.2">
      <c r="A455" s="130"/>
      <c r="B455" s="4"/>
      <c r="C455" s="4"/>
      <c r="D455" s="4"/>
      <c r="E455" s="5"/>
      <c r="F455" s="5"/>
      <c r="G455" s="5" t="str">
        <f t="shared" si="7"/>
        <v/>
      </c>
      <c r="H455" s="4"/>
    </row>
    <row r="456" spans="1:8" x14ac:dyDescent="0.2">
      <c r="A456" s="130"/>
      <c r="B456" s="4"/>
      <c r="C456" s="4"/>
      <c r="D456" s="4"/>
      <c r="E456" s="5"/>
      <c r="F456" s="5"/>
      <c r="G456" s="5" t="str">
        <f t="shared" si="7"/>
        <v/>
      </c>
      <c r="H456" s="4"/>
    </row>
    <row r="457" spans="1:8" x14ac:dyDescent="0.2">
      <c r="A457" s="130"/>
      <c r="B457" s="4"/>
      <c r="C457" s="4"/>
      <c r="D457" s="4"/>
      <c r="E457" s="5"/>
      <c r="F457" s="5"/>
      <c r="G457" s="5" t="str">
        <f t="shared" si="7"/>
        <v/>
      </c>
      <c r="H457" s="4"/>
    </row>
    <row r="458" spans="1:8" x14ac:dyDescent="0.2">
      <c r="A458" s="130"/>
      <c r="B458" s="4"/>
      <c r="C458" s="4"/>
      <c r="D458" s="4"/>
      <c r="E458" s="5"/>
      <c r="F458" s="5"/>
      <c r="G458" s="5" t="str">
        <f t="shared" si="7"/>
        <v/>
      </c>
      <c r="H458" s="4"/>
    </row>
    <row r="459" spans="1:8" x14ac:dyDescent="0.2">
      <c r="A459" s="130"/>
      <c r="B459" s="4"/>
      <c r="C459" s="4"/>
      <c r="D459" s="4"/>
      <c r="E459" s="5"/>
      <c r="F459" s="5"/>
      <c r="G459" s="5" t="str">
        <f t="shared" si="7"/>
        <v/>
      </c>
      <c r="H459" s="4"/>
    </row>
    <row r="460" spans="1:8" x14ac:dyDescent="0.2">
      <c r="A460" s="130"/>
      <c r="B460" s="4"/>
      <c r="C460" s="4"/>
      <c r="D460" s="4"/>
      <c r="E460" s="5"/>
      <c r="F460" s="5"/>
      <c r="G460" s="5" t="str">
        <f t="shared" si="7"/>
        <v/>
      </c>
      <c r="H460" s="4"/>
    </row>
    <row r="461" spans="1:8" x14ac:dyDescent="0.2">
      <c r="A461" s="130"/>
      <c r="B461" s="4"/>
      <c r="C461" s="4"/>
      <c r="D461" s="4"/>
      <c r="E461" s="5"/>
      <c r="F461" s="5"/>
      <c r="G461" s="5" t="str">
        <f t="shared" si="7"/>
        <v/>
      </c>
      <c r="H461" s="4"/>
    </row>
    <row r="462" spans="1:8" x14ac:dyDescent="0.2">
      <c r="A462" s="130"/>
      <c r="B462" s="4"/>
      <c r="C462" s="4"/>
      <c r="D462" s="4"/>
      <c r="E462" s="5"/>
      <c r="F462" s="5"/>
      <c r="G462" s="5" t="str">
        <f t="shared" si="7"/>
        <v/>
      </c>
      <c r="H462" s="4"/>
    </row>
    <row r="463" spans="1:8" x14ac:dyDescent="0.2">
      <c r="A463" s="130"/>
      <c r="B463" s="4"/>
      <c r="C463" s="4"/>
      <c r="D463" s="4"/>
      <c r="E463" s="5"/>
      <c r="F463" s="5"/>
      <c r="G463" s="5" t="str">
        <f t="shared" si="7"/>
        <v/>
      </c>
      <c r="H463" s="4"/>
    </row>
    <row r="464" spans="1:8" x14ac:dyDescent="0.2">
      <c r="A464" s="130"/>
      <c r="B464" s="4"/>
      <c r="C464" s="4"/>
      <c r="D464" s="4"/>
      <c r="E464" s="5"/>
      <c r="F464" s="5"/>
      <c r="G464" s="5" t="str">
        <f t="shared" si="7"/>
        <v/>
      </c>
      <c r="H464" s="4"/>
    </row>
    <row r="465" spans="1:8" x14ac:dyDescent="0.2">
      <c r="A465" s="130"/>
      <c r="B465" s="4"/>
      <c r="C465" s="4"/>
      <c r="D465" s="4"/>
      <c r="E465" s="5"/>
      <c r="F465" s="5"/>
      <c r="G465" s="5" t="str">
        <f t="shared" si="7"/>
        <v/>
      </c>
      <c r="H465" s="4"/>
    </row>
    <row r="466" spans="1:8" x14ac:dyDescent="0.2">
      <c r="A466" s="130"/>
      <c r="B466" s="4"/>
      <c r="C466" s="4"/>
      <c r="D466" s="4"/>
      <c r="E466" s="5"/>
      <c r="F466" s="5"/>
      <c r="G466" s="5" t="str">
        <f t="shared" si="7"/>
        <v/>
      </c>
      <c r="H466" s="4"/>
    </row>
    <row r="467" spans="1:8" x14ac:dyDescent="0.2">
      <c r="A467" s="130"/>
      <c r="B467" s="4"/>
      <c r="C467" s="4"/>
      <c r="D467" s="4"/>
      <c r="E467" s="5"/>
      <c r="F467" s="5"/>
      <c r="G467" s="5" t="str">
        <f t="shared" si="7"/>
        <v/>
      </c>
      <c r="H467" s="4"/>
    </row>
    <row r="468" spans="1:8" x14ac:dyDescent="0.2">
      <c r="A468" s="130"/>
      <c r="B468" s="4"/>
      <c r="C468" s="4"/>
      <c r="D468" s="4"/>
      <c r="E468" s="5"/>
      <c r="F468" s="5"/>
      <c r="G468" s="5" t="str">
        <f t="shared" si="7"/>
        <v/>
      </c>
      <c r="H468" s="4"/>
    </row>
    <row r="469" spans="1:8" x14ac:dyDescent="0.2">
      <c r="A469" s="130"/>
      <c r="B469" s="4"/>
      <c r="C469" s="4"/>
      <c r="D469" s="4"/>
      <c r="E469" s="5"/>
      <c r="F469" s="5"/>
      <c r="G469" s="5" t="str">
        <f t="shared" si="7"/>
        <v/>
      </c>
      <c r="H469" s="4"/>
    </row>
    <row r="470" spans="1:8" x14ac:dyDescent="0.2">
      <c r="A470" s="130"/>
      <c r="B470" s="4"/>
      <c r="C470" s="4"/>
      <c r="D470" s="4"/>
      <c r="E470" s="5"/>
      <c r="F470" s="5"/>
      <c r="G470" s="5" t="str">
        <f t="shared" si="7"/>
        <v/>
      </c>
      <c r="H470" s="4"/>
    </row>
    <row r="471" spans="1:8" x14ac:dyDescent="0.2">
      <c r="A471" s="130"/>
      <c r="B471" s="4"/>
      <c r="C471" s="4"/>
      <c r="D471" s="4"/>
      <c r="E471" s="5"/>
      <c r="F471" s="5"/>
      <c r="G471" s="5" t="str">
        <f t="shared" si="7"/>
        <v/>
      </c>
      <c r="H471" s="4"/>
    </row>
    <row r="472" spans="1:8" x14ac:dyDescent="0.2">
      <c r="A472" s="130"/>
      <c r="B472" s="4"/>
      <c r="C472" s="4"/>
      <c r="D472" s="4"/>
      <c r="E472" s="5"/>
      <c r="F472" s="5"/>
      <c r="G472" s="5" t="str">
        <f t="shared" si="7"/>
        <v/>
      </c>
      <c r="H472" s="4"/>
    </row>
    <row r="473" spans="1:8" x14ac:dyDescent="0.2">
      <c r="A473" s="130"/>
      <c r="B473" s="4"/>
      <c r="C473" s="4"/>
      <c r="D473" s="4"/>
      <c r="E473" s="5"/>
      <c r="F473" s="5"/>
      <c r="G473" s="5" t="str">
        <f t="shared" si="7"/>
        <v/>
      </c>
      <c r="H473" s="4"/>
    </row>
    <row r="474" spans="1:8" x14ac:dyDescent="0.2">
      <c r="A474" s="130"/>
      <c r="B474" s="4"/>
      <c r="C474" s="4"/>
      <c r="D474" s="4"/>
      <c r="E474" s="5"/>
      <c r="F474" s="5"/>
      <c r="G474" s="5" t="str">
        <f t="shared" si="7"/>
        <v/>
      </c>
      <c r="H474" s="4"/>
    </row>
    <row r="475" spans="1:8" x14ac:dyDescent="0.2">
      <c r="A475" s="130"/>
      <c r="B475" s="4"/>
      <c r="C475" s="4"/>
      <c r="D475" s="4"/>
      <c r="E475" s="5"/>
      <c r="F475" s="5"/>
      <c r="G475" s="5" t="str">
        <f t="shared" si="7"/>
        <v/>
      </c>
      <c r="H475" s="4"/>
    </row>
    <row r="476" spans="1:8" x14ac:dyDescent="0.2">
      <c r="A476" s="130"/>
      <c r="B476" s="4"/>
      <c r="C476" s="4"/>
      <c r="D476" s="4"/>
      <c r="E476" s="5"/>
      <c r="F476" s="5"/>
      <c r="G476" s="5" t="str">
        <f t="shared" si="7"/>
        <v/>
      </c>
      <c r="H476" s="4"/>
    </row>
    <row r="477" spans="1:8" x14ac:dyDescent="0.2">
      <c r="A477" s="130"/>
      <c r="B477" s="4"/>
      <c r="C477" s="4"/>
      <c r="D477" s="4"/>
      <c r="E477" s="5"/>
      <c r="F477" s="5"/>
      <c r="G477" s="5" t="str">
        <f t="shared" si="7"/>
        <v/>
      </c>
      <c r="H477" s="4"/>
    </row>
    <row r="478" spans="1:8" x14ac:dyDescent="0.2">
      <c r="A478" s="130"/>
      <c r="B478" s="4"/>
      <c r="C478" s="4"/>
      <c r="D478" s="4"/>
      <c r="E478" s="5"/>
      <c r="F478" s="5"/>
      <c r="G478" s="5" t="str">
        <f t="shared" si="7"/>
        <v/>
      </c>
      <c r="H478" s="4"/>
    </row>
    <row r="479" spans="1:8" x14ac:dyDescent="0.2">
      <c r="A479" s="130"/>
      <c r="B479" s="4"/>
      <c r="C479" s="4"/>
      <c r="D479" s="4"/>
      <c r="E479" s="5"/>
      <c r="F479" s="5"/>
      <c r="G479" s="5" t="str">
        <f t="shared" si="7"/>
        <v/>
      </c>
      <c r="H479" s="4"/>
    </row>
    <row r="480" spans="1:8" x14ac:dyDescent="0.2">
      <c r="A480" s="130"/>
      <c r="B480" s="4"/>
      <c r="C480" s="4"/>
      <c r="D480" s="4"/>
      <c r="E480" s="5"/>
      <c r="F480" s="5"/>
      <c r="G480" s="5" t="str">
        <f t="shared" si="7"/>
        <v/>
      </c>
      <c r="H480" s="4"/>
    </row>
    <row r="481" spans="1:8" x14ac:dyDescent="0.2">
      <c r="A481" s="130"/>
      <c r="B481" s="4"/>
      <c r="C481" s="4"/>
      <c r="D481" s="4"/>
      <c r="E481" s="5"/>
      <c r="F481" s="5"/>
      <c r="G481" s="5" t="str">
        <f t="shared" si="7"/>
        <v/>
      </c>
      <c r="H481" s="4"/>
    </row>
    <row r="482" spans="1:8" x14ac:dyDescent="0.2">
      <c r="A482" s="130"/>
      <c r="B482" s="4"/>
      <c r="C482" s="4"/>
      <c r="D482" s="4"/>
      <c r="E482" s="5"/>
      <c r="F482" s="5"/>
      <c r="G482" s="5" t="str">
        <f t="shared" si="7"/>
        <v/>
      </c>
      <c r="H482" s="4"/>
    </row>
    <row r="483" spans="1:8" x14ac:dyDescent="0.2">
      <c r="A483" s="130"/>
      <c r="B483" s="4"/>
      <c r="C483" s="4"/>
      <c r="D483" s="4"/>
      <c r="E483" s="5"/>
      <c r="F483" s="5"/>
      <c r="G483" s="5" t="str">
        <f t="shared" si="7"/>
        <v/>
      </c>
      <c r="H483" s="4"/>
    </row>
    <row r="484" spans="1:8" x14ac:dyDescent="0.2">
      <c r="A484" s="130"/>
      <c r="B484" s="4"/>
      <c r="C484" s="4"/>
      <c r="D484" s="4"/>
      <c r="E484" s="5"/>
      <c r="F484" s="5"/>
      <c r="G484" s="5" t="str">
        <f t="shared" si="7"/>
        <v/>
      </c>
      <c r="H484" s="4"/>
    </row>
    <row r="485" spans="1:8" x14ac:dyDescent="0.2">
      <c r="A485" s="130"/>
      <c r="B485" s="4"/>
      <c r="C485" s="4"/>
      <c r="D485" s="4"/>
      <c r="E485" s="5"/>
      <c r="F485" s="5"/>
      <c r="G485" s="5" t="str">
        <f t="shared" si="7"/>
        <v/>
      </c>
      <c r="H485" s="4"/>
    </row>
    <row r="486" spans="1:8" x14ac:dyDescent="0.2">
      <c r="A486" s="130"/>
      <c r="B486" s="4"/>
      <c r="C486" s="4"/>
      <c r="D486" s="4"/>
      <c r="E486" s="5"/>
      <c r="F486" s="5"/>
      <c r="G486" s="5" t="str">
        <f t="shared" si="7"/>
        <v/>
      </c>
      <c r="H486" s="4"/>
    </row>
    <row r="487" spans="1:8" x14ac:dyDescent="0.2">
      <c r="A487" s="130"/>
      <c r="B487" s="4"/>
      <c r="C487" s="4"/>
      <c r="D487" s="4"/>
      <c r="E487" s="5"/>
      <c r="F487" s="5"/>
      <c r="G487" s="5" t="str">
        <f t="shared" si="7"/>
        <v/>
      </c>
      <c r="H487" s="4"/>
    </row>
    <row r="488" spans="1:8" x14ac:dyDescent="0.2">
      <c r="A488" s="130"/>
      <c r="B488" s="4"/>
      <c r="C488" s="4"/>
      <c r="D488" s="4"/>
      <c r="E488" s="5"/>
      <c r="F488" s="5"/>
      <c r="G488" s="5" t="str">
        <f t="shared" si="7"/>
        <v/>
      </c>
      <c r="H488" s="4"/>
    </row>
    <row r="489" spans="1:8" x14ac:dyDescent="0.2">
      <c r="A489" s="130"/>
      <c r="B489" s="4"/>
      <c r="C489" s="4"/>
      <c r="D489" s="4"/>
      <c r="E489" s="5"/>
      <c r="F489" s="5"/>
      <c r="G489" s="5" t="str">
        <f t="shared" si="7"/>
        <v/>
      </c>
      <c r="H489" s="4"/>
    </row>
    <row r="490" spans="1:8" x14ac:dyDescent="0.2">
      <c r="A490" s="130"/>
      <c r="B490" s="4"/>
      <c r="C490" s="4"/>
      <c r="D490" s="4"/>
      <c r="E490" s="5"/>
      <c r="F490" s="5"/>
      <c r="G490" s="5" t="str">
        <f t="shared" si="7"/>
        <v/>
      </c>
      <c r="H490" s="4"/>
    </row>
    <row r="491" spans="1:8" x14ac:dyDescent="0.2">
      <c r="A491" s="130"/>
      <c r="B491" s="4"/>
      <c r="C491" s="4"/>
      <c r="D491" s="4"/>
      <c r="E491" s="5"/>
      <c r="F491" s="5"/>
      <c r="G491" s="5" t="str">
        <f t="shared" si="7"/>
        <v/>
      </c>
      <c r="H491" s="4"/>
    </row>
    <row r="492" spans="1:8" x14ac:dyDescent="0.2">
      <c r="A492" s="130"/>
      <c r="B492" s="4"/>
      <c r="C492" s="4"/>
      <c r="D492" s="4"/>
      <c r="E492" s="5"/>
      <c r="F492" s="5"/>
      <c r="G492" s="5" t="str">
        <f t="shared" si="7"/>
        <v/>
      </c>
      <c r="H492" s="4"/>
    </row>
    <row r="493" spans="1:8" x14ac:dyDescent="0.2">
      <c r="A493" s="130"/>
      <c r="B493" s="4"/>
      <c r="C493" s="4"/>
      <c r="D493" s="4"/>
      <c r="E493" s="5"/>
      <c r="F493" s="5"/>
      <c r="G493" s="5" t="str">
        <f t="shared" si="7"/>
        <v/>
      </c>
      <c r="H493" s="4"/>
    </row>
    <row r="494" spans="1:8" x14ac:dyDescent="0.2">
      <c r="A494" s="130"/>
      <c r="B494" s="4"/>
      <c r="C494" s="4"/>
      <c r="D494" s="4"/>
      <c r="E494" s="5"/>
      <c r="F494" s="5"/>
      <c r="G494" s="5" t="str">
        <f t="shared" si="7"/>
        <v/>
      </c>
      <c r="H494" s="4"/>
    </row>
    <row r="495" spans="1:8" x14ac:dyDescent="0.2">
      <c r="A495" s="130"/>
      <c r="B495" s="4"/>
      <c r="C495" s="4"/>
      <c r="D495" s="4"/>
      <c r="E495" s="5"/>
      <c r="F495" s="5"/>
      <c r="G495" s="5" t="str">
        <f t="shared" si="7"/>
        <v/>
      </c>
      <c r="H495" s="4"/>
    </row>
    <row r="496" spans="1:8" x14ac:dyDescent="0.2">
      <c r="A496" s="130"/>
      <c r="B496" s="4"/>
      <c r="C496" s="4"/>
      <c r="D496" s="4"/>
      <c r="E496" s="5"/>
      <c r="F496" s="5"/>
      <c r="G496" s="5" t="str">
        <f t="shared" si="7"/>
        <v/>
      </c>
      <c r="H496" s="4"/>
    </row>
    <row r="497" spans="1:8" x14ac:dyDescent="0.2">
      <c r="A497" s="130"/>
      <c r="B497" s="4"/>
      <c r="C497" s="4"/>
      <c r="D497" s="4"/>
      <c r="E497" s="5"/>
      <c r="F497" s="5"/>
      <c r="G497" s="5" t="str">
        <f t="shared" si="7"/>
        <v/>
      </c>
      <c r="H497" s="4"/>
    </row>
    <row r="498" spans="1:8" x14ac:dyDescent="0.2">
      <c r="A498" s="130"/>
      <c r="B498" s="4"/>
      <c r="C498" s="4"/>
      <c r="D498" s="4"/>
      <c r="E498" s="5"/>
      <c r="F498" s="5"/>
      <c r="G498" s="5" t="str">
        <f t="shared" si="7"/>
        <v/>
      </c>
      <c r="H498" s="4"/>
    </row>
    <row r="499" spans="1:8" x14ac:dyDescent="0.2">
      <c r="A499" s="130"/>
      <c r="B499" s="4"/>
      <c r="C499" s="4"/>
      <c r="D499" s="4"/>
      <c r="E499" s="5"/>
      <c r="F499" s="5"/>
      <c r="G499" s="5" t="str">
        <f t="shared" si="7"/>
        <v/>
      </c>
      <c r="H499" s="4"/>
    </row>
    <row r="500" spans="1:8" x14ac:dyDescent="0.2">
      <c r="A500" s="130"/>
      <c r="B500" s="4"/>
      <c r="C500" s="4"/>
      <c r="D500" s="4"/>
      <c r="E500" s="5"/>
      <c r="F500" s="5"/>
      <c r="G500" s="5" t="str">
        <f t="shared" si="7"/>
        <v/>
      </c>
      <c r="H500" s="4"/>
    </row>
    <row r="501" spans="1:8" x14ac:dyDescent="0.2">
      <c r="A501" s="130"/>
      <c r="B501" s="4"/>
      <c r="C501" s="4"/>
      <c r="D501" s="4"/>
      <c r="E501" s="5"/>
      <c r="F501" s="5"/>
      <c r="G501" s="5" t="str">
        <f t="shared" si="7"/>
        <v/>
      </c>
      <c r="H501" s="4"/>
    </row>
    <row r="502" spans="1:8" x14ac:dyDescent="0.2">
      <c r="A502" s="130"/>
      <c r="B502" s="4"/>
      <c r="C502" s="4"/>
      <c r="D502" s="4"/>
      <c r="E502" s="5"/>
      <c r="F502" s="5"/>
      <c r="G502" s="5" t="str">
        <f t="shared" si="7"/>
        <v/>
      </c>
      <c r="H502" s="4"/>
    </row>
  </sheetData>
  <mergeCells count="1">
    <mergeCell ref="A1:H1"/>
  </mergeCells>
  <conditionalFormatting sqref="A3:H502">
    <cfRule type="expression" dxfId="11" priority="1">
      <formula>AND($A3&lt;&gt;"",MOD(ROW(),2)=0)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Settings!$G$16:$G$23</xm:f>
          </x14:formula1>
          <xm:sqref>C3:C502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55A11"/>
    <pageSetUpPr fitToPage="1"/>
  </sheetPr>
  <dimension ref="A1:I502"/>
  <sheetViews>
    <sheetView showGridLines="0" workbookViewId="0">
      <pane ySplit="2" topLeftCell="A485" activePane="bottomLeft" state="frozen"/>
      <selection pane="bottomLeft" activeCell="H502" sqref="H502"/>
    </sheetView>
  </sheetViews>
  <sheetFormatPr baseColWidth="10" defaultColWidth="8.83203125" defaultRowHeight="15" x14ac:dyDescent="0.2"/>
  <cols>
    <col min="1" max="1" width="24" customWidth="1"/>
    <col min="3" max="3" width="12" customWidth="1"/>
    <col min="4" max="4" width="26" customWidth="1"/>
    <col min="5" max="5" width="16" bestFit="1" customWidth="1"/>
    <col min="6" max="7" width="13.5" bestFit="1" customWidth="1"/>
    <col min="8" max="8" width="15.6640625" bestFit="1" customWidth="1"/>
    <col min="9" max="9" width="14.6640625" customWidth="1"/>
  </cols>
  <sheetData>
    <row r="1" spans="1:9" ht="32" customHeight="1" x14ac:dyDescent="0.2">
      <c r="A1" s="155" t="s">
        <v>615</v>
      </c>
      <c r="B1" s="153"/>
      <c r="C1" s="153"/>
      <c r="D1" s="153"/>
      <c r="E1" s="153"/>
      <c r="F1" s="153"/>
      <c r="G1" s="153"/>
      <c r="H1" s="153"/>
      <c r="I1" s="153"/>
    </row>
    <row r="2" spans="1:9" ht="28" customHeight="1" x14ac:dyDescent="0.2">
      <c r="A2" s="3" t="s">
        <v>41</v>
      </c>
      <c r="B2" s="3" t="s">
        <v>42</v>
      </c>
      <c r="C2" s="3" t="s">
        <v>616</v>
      </c>
      <c r="D2" s="3" t="s">
        <v>617</v>
      </c>
      <c r="E2" s="3" t="s">
        <v>608</v>
      </c>
      <c r="F2" s="3" t="s">
        <v>618</v>
      </c>
      <c r="G2" s="3" t="s">
        <v>619</v>
      </c>
      <c r="H2" s="3" t="s">
        <v>620</v>
      </c>
      <c r="I2" s="3" t="s">
        <v>15</v>
      </c>
    </row>
    <row r="3" spans="1:9" x14ac:dyDescent="0.2">
      <c r="A3" s="4" t="s">
        <v>621</v>
      </c>
      <c r="B3" s="4" t="s">
        <v>622</v>
      </c>
      <c r="C3" s="4"/>
      <c r="D3" s="4"/>
      <c r="E3" s="5">
        <v>0</v>
      </c>
      <c r="F3" s="5">
        <f>IF($A3="","",SUMIF(Party_Ledger!$B:$B,$A3,Party_Ledger!$F:$F))</f>
        <v>122505</v>
      </c>
      <c r="G3" s="5">
        <f>IF($A3="","",SUMIF(Party_Ledger!$B:$B,$A3,Party_Ledger!$G:$G))</f>
        <v>0</v>
      </c>
      <c r="H3" s="5">
        <f t="shared" ref="H3:H66" si="0">IF($A3="","",$E3+$F3-$G3)</f>
        <v>122505</v>
      </c>
      <c r="I3" s="4" t="str">
        <f t="shared" ref="I3:I66" si="1">IF($A3="","",IF(ROUND($H3,0)=0,"Settled",IF($H3&gt;0,"Outstanding","Advance")))</f>
        <v>Outstanding</v>
      </c>
    </row>
    <row r="4" spans="1:9" x14ac:dyDescent="0.2">
      <c r="A4" s="4" t="s">
        <v>623</v>
      </c>
      <c r="B4" s="4" t="s">
        <v>622</v>
      </c>
      <c r="C4" s="4"/>
      <c r="D4" s="4"/>
      <c r="E4" s="5">
        <v>0</v>
      </c>
      <c r="F4" s="5">
        <f>IF($A4="","",SUMIF(Party_Ledger!$B:$B,$A4,Party_Ledger!$F:$F))</f>
        <v>5185</v>
      </c>
      <c r="G4" s="5">
        <f>IF($A4="","",SUMIF(Party_Ledger!$B:$B,$A4,Party_Ledger!$G:$G))</f>
        <v>0</v>
      </c>
      <c r="H4" s="5">
        <f t="shared" si="0"/>
        <v>5185</v>
      </c>
      <c r="I4" s="4" t="str">
        <f t="shared" si="1"/>
        <v>Outstanding</v>
      </c>
    </row>
    <row r="5" spans="1:9" x14ac:dyDescent="0.2">
      <c r="A5" s="4" t="s">
        <v>99</v>
      </c>
      <c r="B5" s="4" t="s">
        <v>622</v>
      </c>
      <c r="C5" s="4"/>
      <c r="D5" s="4"/>
      <c r="E5" s="5">
        <v>0</v>
      </c>
      <c r="F5" s="5">
        <f>IF($A5="","",SUMIF(Party_Ledger!$B:$B,$A5,Party_Ledger!$F:$F))</f>
        <v>3010</v>
      </c>
      <c r="G5" s="5">
        <f>IF($A5="","",SUMIF(Party_Ledger!$B:$B,$A5,Party_Ledger!$G:$G))</f>
        <v>0</v>
      </c>
      <c r="H5" s="5">
        <f t="shared" si="0"/>
        <v>3010</v>
      </c>
      <c r="I5" s="4" t="str">
        <f t="shared" si="1"/>
        <v>Outstanding</v>
      </c>
    </row>
    <row r="6" spans="1:9" x14ac:dyDescent="0.2">
      <c r="A6" s="4" t="s">
        <v>209</v>
      </c>
      <c r="B6" s="4" t="s">
        <v>622</v>
      </c>
      <c r="C6" s="4"/>
      <c r="D6" s="4"/>
      <c r="E6" s="5">
        <v>0</v>
      </c>
      <c r="F6" s="5">
        <f>IF($A6="","",SUMIF(Party_Ledger!$B:$B,$A6,Party_Ledger!$F:$F))</f>
        <v>2200</v>
      </c>
      <c r="G6" s="5">
        <f>IF($A6="","",SUMIF(Party_Ledger!$B:$B,$A6,Party_Ledger!$G:$G))</f>
        <v>0</v>
      </c>
      <c r="H6" s="5">
        <f t="shared" si="0"/>
        <v>2200</v>
      </c>
      <c r="I6" s="4" t="str">
        <f t="shared" si="1"/>
        <v>Outstanding</v>
      </c>
    </row>
    <row r="7" spans="1:9" x14ac:dyDescent="0.2">
      <c r="A7" s="4" t="s">
        <v>83</v>
      </c>
      <c r="B7" s="4" t="s">
        <v>622</v>
      </c>
      <c r="C7" s="4"/>
      <c r="D7" s="4"/>
      <c r="E7" s="5">
        <v>0</v>
      </c>
      <c r="F7" s="5">
        <f>IF($A7="","",SUMIF(Party_Ledger!$B:$B,$A7,Party_Ledger!$F:$F))</f>
        <v>37840</v>
      </c>
      <c r="G7" s="5">
        <f>IF($A7="","",SUMIF(Party_Ledger!$B:$B,$A7,Party_Ledger!$G:$G))</f>
        <v>0</v>
      </c>
      <c r="H7" s="5">
        <f t="shared" si="0"/>
        <v>37840</v>
      </c>
      <c r="I7" s="4" t="str">
        <f t="shared" si="1"/>
        <v>Outstanding</v>
      </c>
    </row>
    <row r="8" spans="1:9" x14ac:dyDescent="0.2">
      <c r="A8" s="4" t="s">
        <v>624</v>
      </c>
      <c r="B8" s="4" t="s">
        <v>622</v>
      </c>
      <c r="C8" s="4"/>
      <c r="D8" s="4"/>
      <c r="E8" s="5">
        <v>0</v>
      </c>
      <c r="F8" s="5">
        <f>IF($A8="","",SUMIF(Party_Ledger!$B:$B,$A8,Party_Ledger!$F:$F))</f>
        <v>1100</v>
      </c>
      <c r="G8" s="5">
        <f>IF($A8="","",SUMIF(Party_Ledger!$B:$B,$A8,Party_Ledger!$G:$G))</f>
        <v>0</v>
      </c>
      <c r="H8" s="5">
        <f t="shared" si="0"/>
        <v>1100</v>
      </c>
      <c r="I8" s="4" t="str">
        <f t="shared" si="1"/>
        <v>Outstanding</v>
      </c>
    </row>
    <row r="9" spans="1:9" x14ac:dyDescent="0.2">
      <c r="A9" s="4" t="s">
        <v>625</v>
      </c>
      <c r="B9" s="4" t="s">
        <v>622</v>
      </c>
      <c r="C9" s="4"/>
      <c r="D9" s="4"/>
      <c r="E9" s="5">
        <v>0</v>
      </c>
      <c r="F9" s="5">
        <f>IF($A9="","",SUMIF(Party_Ledger!$B:$B,$A9,Party_Ledger!$F:$F))</f>
        <v>7310</v>
      </c>
      <c r="G9" s="5">
        <f>IF($A9="","",SUMIF(Party_Ledger!$B:$B,$A9,Party_Ledger!$G:$G))</f>
        <v>0</v>
      </c>
      <c r="H9" s="5">
        <f t="shared" si="0"/>
        <v>7310</v>
      </c>
      <c r="I9" s="4" t="str">
        <f t="shared" si="1"/>
        <v>Outstanding</v>
      </c>
    </row>
    <row r="10" spans="1:9" x14ac:dyDescent="0.2">
      <c r="A10" s="4" t="s">
        <v>113</v>
      </c>
      <c r="B10" s="4" t="s">
        <v>622</v>
      </c>
      <c r="C10" s="4"/>
      <c r="D10" s="4"/>
      <c r="E10" s="5">
        <v>0</v>
      </c>
      <c r="F10" s="5">
        <f>IF($A10="","",SUMIF(Party_Ledger!$B:$B,$A10,Party_Ledger!$F:$F))</f>
        <v>16500</v>
      </c>
      <c r="G10" s="5">
        <f>IF($A10="","",SUMIF(Party_Ledger!$B:$B,$A10,Party_Ledger!$G:$G))</f>
        <v>0</v>
      </c>
      <c r="H10" s="5">
        <f t="shared" si="0"/>
        <v>16500</v>
      </c>
      <c r="I10" s="4" t="str">
        <f t="shared" si="1"/>
        <v>Outstanding</v>
      </c>
    </row>
    <row r="11" spans="1:9" x14ac:dyDescent="0.2">
      <c r="A11" s="4" t="s">
        <v>95</v>
      </c>
      <c r="B11" s="4" t="s">
        <v>622</v>
      </c>
      <c r="C11" s="4"/>
      <c r="D11" s="4"/>
      <c r="E11" s="5">
        <v>0</v>
      </c>
      <c r="F11" s="5">
        <f>IF($A11="","",SUMIF(Party_Ledger!$B:$B,$A11,Party_Ledger!$F:$F))</f>
        <v>10370</v>
      </c>
      <c r="G11" s="5">
        <f>IF($A11="","",SUMIF(Party_Ledger!$B:$B,$A11,Party_Ledger!$G:$G))</f>
        <v>0</v>
      </c>
      <c r="H11" s="5">
        <f t="shared" si="0"/>
        <v>10370</v>
      </c>
      <c r="I11" s="4" t="str">
        <f t="shared" si="1"/>
        <v>Outstanding</v>
      </c>
    </row>
    <row r="12" spans="1:9" x14ac:dyDescent="0.2">
      <c r="A12" s="4" t="s">
        <v>626</v>
      </c>
      <c r="B12" s="4" t="s">
        <v>622</v>
      </c>
      <c r="C12" s="4"/>
      <c r="D12" s="4"/>
      <c r="E12" s="5">
        <v>0</v>
      </c>
      <c r="F12" s="5">
        <f>IF($A12="","",SUMIF(Party_Ledger!$B:$B,$A12,Party_Ledger!$F:$F))</f>
        <v>21675</v>
      </c>
      <c r="G12" s="5">
        <f>IF($A12="","",SUMIF(Party_Ledger!$B:$B,$A12,Party_Ledger!$G:$G))</f>
        <v>0</v>
      </c>
      <c r="H12" s="5">
        <f t="shared" si="0"/>
        <v>21675</v>
      </c>
      <c r="I12" s="4" t="str">
        <f t="shared" si="1"/>
        <v>Outstanding</v>
      </c>
    </row>
    <row r="13" spans="1:9" x14ac:dyDescent="0.2">
      <c r="A13" s="4" t="s">
        <v>290</v>
      </c>
      <c r="B13" s="4" t="s">
        <v>622</v>
      </c>
      <c r="C13" s="4"/>
      <c r="D13" s="4"/>
      <c r="E13" s="5">
        <v>0</v>
      </c>
      <c r="F13" s="5">
        <f>IF($A13="","",SUMIF(Party_Ledger!$B:$B,$A13,Party_Ledger!$F:$F))</f>
        <v>1270</v>
      </c>
      <c r="G13" s="5">
        <f>IF($A13="","",SUMIF(Party_Ledger!$B:$B,$A13,Party_Ledger!$G:$G))</f>
        <v>0</v>
      </c>
      <c r="H13" s="5">
        <f t="shared" si="0"/>
        <v>1270</v>
      </c>
      <c r="I13" s="4" t="str">
        <f t="shared" si="1"/>
        <v>Outstanding</v>
      </c>
    </row>
    <row r="14" spans="1:9" x14ac:dyDescent="0.2">
      <c r="A14" s="4" t="s">
        <v>116</v>
      </c>
      <c r="B14" s="4" t="s">
        <v>622</v>
      </c>
      <c r="C14" s="4"/>
      <c r="D14" s="4"/>
      <c r="E14" s="5">
        <v>0</v>
      </c>
      <c r="F14" s="5">
        <f>IF($A14="","",SUMIF(Party_Ledger!$B:$B,$A14,Party_Ledger!$F:$F))</f>
        <v>8925</v>
      </c>
      <c r="G14" s="5">
        <f>IF($A14="","",SUMIF(Party_Ledger!$B:$B,$A14,Party_Ledger!$G:$G))</f>
        <v>0</v>
      </c>
      <c r="H14" s="5">
        <f t="shared" si="0"/>
        <v>8925</v>
      </c>
      <c r="I14" s="4" t="str">
        <f t="shared" si="1"/>
        <v>Outstanding</v>
      </c>
    </row>
    <row r="15" spans="1:9" x14ac:dyDescent="0.2">
      <c r="A15" s="4" t="s">
        <v>118</v>
      </c>
      <c r="B15" s="4" t="s">
        <v>622</v>
      </c>
      <c r="C15" s="4"/>
      <c r="D15" s="4"/>
      <c r="E15" s="5">
        <v>0</v>
      </c>
      <c r="F15" s="5">
        <f>IF($A15="","",SUMIF(Party_Ledger!$B:$B,$A15,Party_Ledger!$F:$F))</f>
        <v>7650</v>
      </c>
      <c r="G15" s="5">
        <f>IF($A15="","",SUMIF(Party_Ledger!$B:$B,$A15,Party_Ledger!$G:$G))</f>
        <v>0</v>
      </c>
      <c r="H15" s="5">
        <f t="shared" si="0"/>
        <v>7650</v>
      </c>
      <c r="I15" s="4" t="str">
        <f t="shared" si="1"/>
        <v>Outstanding</v>
      </c>
    </row>
    <row r="16" spans="1:9" x14ac:dyDescent="0.2">
      <c r="A16" s="4" t="s">
        <v>81</v>
      </c>
      <c r="B16" s="4" t="s">
        <v>622</v>
      </c>
      <c r="C16" s="4"/>
      <c r="D16" s="4"/>
      <c r="E16" s="5">
        <v>0</v>
      </c>
      <c r="F16" s="5">
        <f>IF($A16="","",SUMIF(Party_Ledger!$B:$B,$A16,Party_Ledger!$F:$F))</f>
        <v>7947</v>
      </c>
      <c r="G16" s="5">
        <f>IF($A16="","",SUMIF(Party_Ledger!$B:$B,$A16,Party_Ledger!$G:$G))</f>
        <v>0</v>
      </c>
      <c r="H16" s="5">
        <f t="shared" si="0"/>
        <v>7947</v>
      </c>
      <c r="I16" s="4" t="str">
        <f t="shared" si="1"/>
        <v>Outstanding</v>
      </c>
    </row>
    <row r="17" spans="1:9" x14ac:dyDescent="0.2">
      <c r="A17" s="4" t="s">
        <v>627</v>
      </c>
      <c r="B17" s="4" t="s">
        <v>622</v>
      </c>
      <c r="C17" s="4"/>
      <c r="D17" s="4"/>
      <c r="E17" s="5">
        <v>0</v>
      </c>
      <c r="F17" s="5">
        <f>IF($A17="","",SUMIF(Party_Ledger!$B:$B,$A17,Party_Ledger!$F:$F))</f>
        <v>26385.5</v>
      </c>
      <c r="G17" s="5">
        <f>IF($A17="","",SUMIF(Party_Ledger!$B:$B,$A17,Party_Ledger!$G:$G))</f>
        <v>0</v>
      </c>
      <c r="H17" s="5">
        <f t="shared" si="0"/>
        <v>26385.5</v>
      </c>
      <c r="I17" s="4" t="str">
        <f t="shared" si="1"/>
        <v>Outstanding</v>
      </c>
    </row>
    <row r="18" spans="1:9" x14ac:dyDescent="0.2">
      <c r="A18" s="4" t="s">
        <v>192</v>
      </c>
      <c r="B18" s="4" t="s">
        <v>622</v>
      </c>
      <c r="C18" s="4"/>
      <c r="D18" s="4"/>
      <c r="E18" s="5">
        <v>0</v>
      </c>
      <c r="F18" s="5">
        <f>IF($A18="","",SUMIF(Party_Ledger!$B:$B,$A18,Party_Ledger!$F:$F))</f>
        <v>1600</v>
      </c>
      <c r="G18" s="5">
        <f>IF($A18="","",SUMIF(Party_Ledger!$B:$B,$A18,Party_Ledger!$G:$G))</f>
        <v>0</v>
      </c>
      <c r="H18" s="5">
        <f t="shared" si="0"/>
        <v>1600</v>
      </c>
      <c r="I18" s="4" t="str">
        <f t="shared" si="1"/>
        <v>Outstanding</v>
      </c>
    </row>
    <row r="19" spans="1:9" x14ac:dyDescent="0.2">
      <c r="A19" s="4" t="s">
        <v>155</v>
      </c>
      <c r="B19" s="4" t="s">
        <v>622</v>
      </c>
      <c r="C19" s="4"/>
      <c r="D19" s="4"/>
      <c r="E19" s="5">
        <v>0</v>
      </c>
      <c r="F19" s="5">
        <f>IF($A19="","",SUMIF(Party_Ledger!$B:$B,$A19,Party_Ledger!$F:$F))</f>
        <v>2400</v>
      </c>
      <c r="G19" s="5">
        <f>IF($A19="","",SUMIF(Party_Ledger!$B:$B,$A19,Party_Ledger!$G:$G))</f>
        <v>0</v>
      </c>
      <c r="H19" s="5">
        <f t="shared" si="0"/>
        <v>2400</v>
      </c>
      <c r="I19" s="4" t="str">
        <f t="shared" si="1"/>
        <v>Outstanding</v>
      </c>
    </row>
    <row r="20" spans="1:9" x14ac:dyDescent="0.2">
      <c r="A20" s="4" t="s">
        <v>97</v>
      </c>
      <c r="B20" s="4" t="s">
        <v>622</v>
      </c>
      <c r="C20" s="4"/>
      <c r="D20" s="4"/>
      <c r="E20" s="5">
        <v>0</v>
      </c>
      <c r="F20" s="5">
        <f>IF($A20="","",SUMIF(Party_Ledger!$B:$B,$A20,Party_Ledger!$F:$F))</f>
        <v>12440.04</v>
      </c>
      <c r="G20" s="5">
        <f>IF($A20="","",SUMIF(Party_Ledger!$B:$B,$A20,Party_Ledger!$G:$G))</f>
        <v>0</v>
      </c>
      <c r="H20" s="5">
        <f t="shared" si="0"/>
        <v>12440.04</v>
      </c>
      <c r="I20" s="4" t="str">
        <f t="shared" si="1"/>
        <v>Outstanding</v>
      </c>
    </row>
    <row r="21" spans="1:9" x14ac:dyDescent="0.2">
      <c r="A21" s="4" t="s">
        <v>73</v>
      </c>
      <c r="B21" s="4" t="s">
        <v>622</v>
      </c>
      <c r="C21" s="4"/>
      <c r="D21" s="4"/>
      <c r="E21" s="5">
        <v>0</v>
      </c>
      <c r="F21" s="5">
        <f>IF($A21="","",SUMIF(Party_Ledger!$B:$B,$A21,Party_Ledger!$F:$F))</f>
        <v>13600</v>
      </c>
      <c r="G21" s="5">
        <f>IF($A21="","",SUMIF(Party_Ledger!$B:$B,$A21,Party_Ledger!$G:$G))</f>
        <v>0</v>
      </c>
      <c r="H21" s="5">
        <f t="shared" si="0"/>
        <v>13600</v>
      </c>
      <c r="I21" s="4" t="str">
        <f t="shared" si="1"/>
        <v>Outstanding</v>
      </c>
    </row>
    <row r="22" spans="1:9" x14ac:dyDescent="0.2">
      <c r="A22" s="4" t="s">
        <v>264</v>
      </c>
      <c r="B22" s="4" t="s">
        <v>622</v>
      </c>
      <c r="C22" s="4"/>
      <c r="D22" s="4"/>
      <c r="E22" s="5">
        <v>0</v>
      </c>
      <c r="F22" s="5">
        <f>IF($A22="","",SUMIF(Party_Ledger!$B:$B,$A22,Party_Ledger!$F:$F))</f>
        <v>2200</v>
      </c>
      <c r="G22" s="5">
        <f>IF($A22="","",SUMIF(Party_Ledger!$B:$B,$A22,Party_Ledger!$G:$G))</f>
        <v>0</v>
      </c>
      <c r="H22" s="5">
        <f t="shared" si="0"/>
        <v>2200</v>
      </c>
      <c r="I22" s="4" t="str">
        <f t="shared" si="1"/>
        <v>Outstanding</v>
      </c>
    </row>
    <row r="23" spans="1:9" x14ac:dyDescent="0.2">
      <c r="A23" s="4" t="s">
        <v>628</v>
      </c>
      <c r="B23" s="4" t="s">
        <v>622</v>
      </c>
      <c r="C23" s="4"/>
      <c r="D23" s="4"/>
      <c r="E23" s="5">
        <v>0</v>
      </c>
      <c r="F23" s="5">
        <f>IF($A23="","",SUMIF(Party_Ledger!$B:$B,$A23,Party_Ledger!$F:$F))</f>
        <v>510</v>
      </c>
      <c r="G23" s="5">
        <f>IF($A23="","",SUMIF(Party_Ledger!$B:$B,$A23,Party_Ledger!$G:$G))</f>
        <v>0</v>
      </c>
      <c r="H23" s="5">
        <f t="shared" si="0"/>
        <v>510</v>
      </c>
      <c r="I23" s="4" t="str">
        <f t="shared" si="1"/>
        <v>Outstanding</v>
      </c>
    </row>
    <row r="24" spans="1:9" x14ac:dyDescent="0.2">
      <c r="A24" s="4" t="s">
        <v>141</v>
      </c>
      <c r="B24" s="4" t="s">
        <v>622</v>
      </c>
      <c r="C24" s="4"/>
      <c r="D24" s="4"/>
      <c r="E24" s="5">
        <v>0</v>
      </c>
      <c r="F24" s="5">
        <f>IF($A24="","",SUMIF(Party_Ledger!$B:$B,$A24,Party_Ledger!$F:$F))</f>
        <v>805</v>
      </c>
      <c r="G24" s="5">
        <f>IF($A24="","",SUMIF(Party_Ledger!$B:$B,$A24,Party_Ledger!$G:$G))</f>
        <v>0</v>
      </c>
      <c r="H24" s="5">
        <f t="shared" si="0"/>
        <v>805</v>
      </c>
      <c r="I24" s="4" t="str">
        <f t="shared" si="1"/>
        <v>Outstanding</v>
      </c>
    </row>
    <row r="25" spans="1:9" x14ac:dyDescent="0.2">
      <c r="A25" s="4" t="s">
        <v>252</v>
      </c>
      <c r="B25" s="4" t="s">
        <v>622</v>
      </c>
      <c r="C25" s="4"/>
      <c r="D25" s="4"/>
      <c r="E25" s="5">
        <v>0</v>
      </c>
      <c r="F25" s="5">
        <f>IF($A25="","",SUMIF(Party_Ledger!$B:$B,$A25,Party_Ledger!$F:$F))</f>
        <v>3400</v>
      </c>
      <c r="G25" s="5">
        <f>IF($A25="","",SUMIF(Party_Ledger!$B:$B,$A25,Party_Ledger!$G:$G))</f>
        <v>0</v>
      </c>
      <c r="H25" s="5">
        <f t="shared" si="0"/>
        <v>3400</v>
      </c>
      <c r="I25" s="4" t="str">
        <f t="shared" si="1"/>
        <v>Outstanding</v>
      </c>
    </row>
    <row r="26" spans="1:9" x14ac:dyDescent="0.2">
      <c r="A26" s="4" t="s">
        <v>211</v>
      </c>
      <c r="B26" s="4" t="s">
        <v>622</v>
      </c>
      <c r="C26" s="4"/>
      <c r="D26" s="4"/>
      <c r="E26" s="5">
        <v>0</v>
      </c>
      <c r="F26" s="5">
        <f>IF($A26="","",SUMIF(Party_Ledger!$B:$B,$A26,Party_Ledger!$F:$F))</f>
        <v>1800</v>
      </c>
      <c r="G26" s="5">
        <f>IF($A26="","",SUMIF(Party_Ledger!$B:$B,$A26,Party_Ledger!$G:$G))</f>
        <v>0</v>
      </c>
      <c r="H26" s="5">
        <f t="shared" si="0"/>
        <v>1800</v>
      </c>
      <c r="I26" s="4" t="str">
        <f t="shared" si="1"/>
        <v>Outstanding</v>
      </c>
    </row>
    <row r="27" spans="1:9" x14ac:dyDescent="0.2">
      <c r="A27" s="4" t="s">
        <v>89</v>
      </c>
      <c r="B27" s="4" t="s">
        <v>622</v>
      </c>
      <c r="C27" s="4"/>
      <c r="D27" s="4"/>
      <c r="E27" s="5">
        <v>0</v>
      </c>
      <c r="F27" s="5">
        <f>IF($A27="","",SUMIF(Party_Ledger!$B:$B,$A27,Party_Ledger!$F:$F))</f>
        <v>50347.5</v>
      </c>
      <c r="G27" s="5">
        <f>IF($A27="","",SUMIF(Party_Ledger!$B:$B,$A27,Party_Ledger!$G:$G))</f>
        <v>0</v>
      </c>
      <c r="H27" s="5">
        <f t="shared" si="0"/>
        <v>50347.5</v>
      </c>
      <c r="I27" s="4" t="str">
        <f t="shared" si="1"/>
        <v>Outstanding</v>
      </c>
    </row>
    <row r="28" spans="1:9" x14ac:dyDescent="0.2">
      <c r="A28" s="4" t="s">
        <v>66</v>
      </c>
      <c r="B28" s="4" t="s">
        <v>622</v>
      </c>
      <c r="C28" s="4"/>
      <c r="D28" s="4"/>
      <c r="E28" s="5">
        <v>0</v>
      </c>
      <c r="F28" s="5">
        <f>IF($A28="","",SUMIF(Party_Ledger!$B:$B,$A28,Party_Ledger!$F:$F))</f>
        <v>31450</v>
      </c>
      <c r="G28" s="5">
        <f>IF($A28="","",SUMIF(Party_Ledger!$B:$B,$A28,Party_Ledger!$G:$G))</f>
        <v>0</v>
      </c>
      <c r="H28" s="5">
        <f t="shared" si="0"/>
        <v>31450</v>
      </c>
      <c r="I28" s="4" t="str">
        <f t="shared" si="1"/>
        <v>Outstanding</v>
      </c>
    </row>
    <row r="29" spans="1:9" x14ac:dyDescent="0.2">
      <c r="A29" s="4" t="s">
        <v>347</v>
      </c>
      <c r="B29" s="4" t="s">
        <v>622</v>
      </c>
      <c r="C29" s="4"/>
      <c r="D29" s="4"/>
      <c r="E29" s="5">
        <v>0</v>
      </c>
      <c r="F29" s="5">
        <f>IF($A29="","",SUMIF(Party_Ledger!$B:$B,$A29,Party_Ledger!$F:$F))</f>
        <v>1680</v>
      </c>
      <c r="G29" s="5">
        <f>IF($A29="","",SUMIF(Party_Ledger!$B:$B,$A29,Party_Ledger!$G:$G))</f>
        <v>0</v>
      </c>
      <c r="H29" s="5">
        <f t="shared" si="0"/>
        <v>1680</v>
      </c>
      <c r="I29" s="4" t="str">
        <f t="shared" si="1"/>
        <v>Outstanding</v>
      </c>
    </row>
    <row r="30" spans="1:9" x14ac:dyDescent="0.2">
      <c r="A30" s="4" t="s">
        <v>629</v>
      </c>
      <c r="B30" s="4" t="s">
        <v>622</v>
      </c>
      <c r="C30" s="4"/>
      <c r="D30" s="4"/>
      <c r="E30" s="5">
        <v>0</v>
      </c>
      <c r="F30" s="5">
        <f>IF($A30="","",SUMIF(Party_Ledger!$B:$B,$A30,Party_Ledger!$F:$F))</f>
        <v>11815</v>
      </c>
      <c r="G30" s="5">
        <f>IF($A30="","",SUMIF(Party_Ledger!$B:$B,$A30,Party_Ledger!$G:$G))</f>
        <v>0</v>
      </c>
      <c r="H30" s="5">
        <f t="shared" si="0"/>
        <v>11815</v>
      </c>
      <c r="I30" s="4" t="str">
        <f t="shared" si="1"/>
        <v>Outstanding</v>
      </c>
    </row>
    <row r="31" spans="1:9" x14ac:dyDescent="0.2">
      <c r="A31" s="4" t="s">
        <v>91</v>
      </c>
      <c r="B31" s="4" t="s">
        <v>622</v>
      </c>
      <c r="C31" s="4"/>
      <c r="D31" s="4"/>
      <c r="E31" s="5">
        <v>0</v>
      </c>
      <c r="F31" s="5">
        <f>IF($A31="","",SUMIF(Party_Ledger!$B:$B,$A31,Party_Ledger!$F:$F))</f>
        <v>33186</v>
      </c>
      <c r="G31" s="5">
        <f>IF($A31="","",SUMIF(Party_Ledger!$B:$B,$A31,Party_Ledger!$G:$G))</f>
        <v>0</v>
      </c>
      <c r="H31" s="5">
        <f t="shared" si="0"/>
        <v>33186</v>
      </c>
      <c r="I31" s="4" t="str">
        <f t="shared" si="1"/>
        <v>Outstanding</v>
      </c>
    </row>
    <row r="32" spans="1:9" x14ac:dyDescent="0.2">
      <c r="A32" s="4" t="s">
        <v>630</v>
      </c>
      <c r="B32" s="4" t="s">
        <v>622</v>
      </c>
      <c r="C32" s="4"/>
      <c r="D32" s="4"/>
      <c r="E32" s="5">
        <v>0</v>
      </c>
      <c r="F32" s="5">
        <f>IF($A32="","",SUMIF(Party_Ledger!$B:$B,$A32,Party_Ledger!$F:$F))</f>
        <v>39950</v>
      </c>
      <c r="G32" s="5">
        <f>IF($A32="","",SUMIF(Party_Ledger!$B:$B,$A32,Party_Ledger!$G:$G))</f>
        <v>0</v>
      </c>
      <c r="H32" s="5">
        <f t="shared" si="0"/>
        <v>39950</v>
      </c>
      <c r="I32" s="4" t="str">
        <f t="shared" si="1"/>
        <v>Outstanding</v>
      </c>
    </row>
    <row r="33" spans="1:9" x14ac:dyDescent="0.2">
      <c r="A33" s="4" t="s">
        <v>59</v>
      </c>
      <c r="B33" s="4" t="s">
        <v>622</v>
      </c>
      <c r="C33" s="4"/>
      <c r="D33" s="4"/>
      <c r="E33" s="5">
        <v>0</v>
      </c>
      <c r="F33" s="5">
        <f>IF($A33="","",SUMIF(Party_Ledger!$B:$B,$A33,Party_Ledger!$F:$F))</f>
        <v>71190</v>
      </c>
      <c r="G33" s="5">
        <f>IF($A33="","",SUMIF(Party_Ledger!$B:$B,$A33,Party_Ledger!$G:$G))</f>
        <v>0</v>
      </c>
      <c r="H33" s="5">
        <f t="shared" si="0"/>
        <v>71190</v>
      </c>
      <c r="I33" s="4" t="str">
        <f t="shared" si="1"/>
        <v>Outstanding</v>
      </c>
    </row>
    <row r="34" spans="1:9" x14ac:dyDescent="0.2">
      <c r="A34" s="4" t="s">
        <v>206</v>
      </c>
      <c r="B34" s="4" t="s">
        <v>622</v>
      </c>
      <c r="C34" s="4"/>
      <c r="D34" s="4"/>
      <c r="E34" s="5">
        <v>0</v>
      </c>
      <c r="F34" s="5">
        <f>IF($A34="","",SUMIF(Party_Ledger!$B:$B,$A34,Party_Ledger!$F:$F))</f>
        <v>11000</v>
      </c>
      <c r="G34" s="5">
        <f>IF($A34="","",SUMIF(Party_Ledger!$B:$B,$A34,Party_Ledger!$G:$G))</f>
        <v>0</v>
      </c>
      <c r="H34" s="5">
        <f t="shared" si="0"/>
        <v>11000</v>
      </c>
      <c r="I34" s="4" t="str">
        <f t="shared" si="1"/>
        <v>Outstanding</v>
      </c>
    </row>
    <row r="35" spans="1:9" x14ac:dyDescent="0.2">
      <c r="A35" s="4" t="s">
        <v>270</v>
      </c>
      <c r="B35" s="4" t="s">
        <v>622</v>
      </c>
      <c r="C35" s="4"/>
      <c r="D35" s="4"/>
      <c r="E35" s="5">
        <v>0</v>
      </c>
      <c r="F35" s="5">
        <f>IF($A35="","",SUMIF(Party_Ledger!$B:$B,$A35,Party_Ledger!$F:$F))</f>
        <v>13200</v>
      </c>
      <c r="G35" s="5">
        <f>IF($A35="","",SUMIF(Party_Ledger!$B:$B,$A35,Party_Ledger!$G:$G))</f>
        <v>0</v>
      </c>
      <c r="H35" s="5">
        <f t="shared" si="0"/>
        <v>13200</v>
      </c>
      <c r="I35" s="4" t="str">
        <f t="shared" si="1"/>
        <v>Outstanding</v>
      </c>
    </row>
    <row r="36" spans="1:9" x14ac:dyDescent="0.2">
      <c r="A36" s="4" t="s">
        <v>631</v>
      </c>
      <c r="B36" s="4" t="s">
        <v>622</v>
      </c>
      <c r="C36" s="4"/>
      <c r="D36" s="4"/>
      <c r="E36" s="5">
        <v>0</v>
      </c>
      <c r="F36" s="5">
        <f>IF($A36="","",SUMIF(Party_Ledger!$B:$B,$A36,Party_Ledger!$F:$F))</f>
        <v>18785</v>
      </c>
      <c r="G36" s="5">
        <f>IF($A36="","",SUMIF(Party_Ledger!$B:$B,$A36,Party_Ledger!$G:$G))</f>
        <v>0</v>
      </c>
      <c r="H36" s="5">
        <f t="shared" si="0"/>
        <v>18785</v>
      </c>
      <c r="I36" s="4" t="str">
        <f t="shared" si="1"/>
        <v>Outstanding</v>
      </c>
    </row>
    <row r="37" spans="1:9" x14ac:dyDescent="0.2">
      <c r="A37" s="4" t="s">
        <v>452</v>
      </c>
      <c r="B37" s="4" t="s">
        <v>632</v>
      </c>
      <c r="C37" s="4"/>
      <c r="D37" s="4"/>
      <c r="E37" s="5">
        <v>0</v>
      </c>
      <c r="F37" s="5">
        <f>IF($A37="","",SUMIF(Party_Ledger!$B:$B,$A37,Party_Ledger!$F:$F))</f>
        <v>0</v>
      </c>
      <c r="G37" s="5">
        <f>IF($A37="","",SUMIF(Party_Ledger!$B:$B,$A37,Party_Ledger!$G:$G))</f>
        <v>181908</v>
      </c>
      <c r="H37" s="5">
        <f t="shared" si="0"/>
        <v>-181908</v>
      </c>
      <c r="I37" s="4" t="str">
        <f t="shared" si="1"/>
        <v>Advance</v>
      </c>
    </row>
    <row r="38" spans="1:9" x14ac:dyDescent="0.2">
      <c r="A38" s="4" t="s">
        <v>527</v>
      </c>
      <c r="B38" s="4" t="s">
        <v>632</v>
      </c>
      <c r="C38" s="4"/>
      <c r="D38" s="4"/>
      <c r="E38" s="5">
        <v>0</v>
      </c>
      <c r="F38" s="5">
        <f>IF($A38="","",SUMIF(Party_Ledger!$B:$B,$A38,Party_Ledger!$F:$F))</f>
        <v>0</v>
      </c>
      <c r="G38" s="5">
        <f>IF($A38="","",SUMIF(Party_Ledger!$B:$B,$A38,Party_Ledger!$G:$G))</f>
        <v>40500</v>
      </c>
      <c r="H38" s="5">
        <f t="shared" si="0"/>
        <v>-40500</v>
      </c>
      <c r="I38" s="4" t="str">
        <f t="shared" si="1"/>
        <v>Advance</v>
      </c>
    </row>
    <row r="39" spans="1:9" x14ac:dyDescent="0.2">
      <c r="A39" s="4" t="s">
        <v>450</v>
      </c>
      <c r="B39" s="4" t="s">
        <v>632</v>
      </c>
      <c r="C39" s="4"/>
      <c r="D39" s="4"/>
      <c r="E39" s="5">
        <v>0</v>
      </c>
      <c r="F39" s="5">
        <f>IF($A39="","",SUMIF(Party_Ledger!$B:$B,$A39,Party_Ledger!$F:$F))</f>
        <v>0</v>
      </c>
      <c r="G39" s="5">
        <f>IF($A39="","",SUMIF(Party_Ledger!$B:$B,$A39,Party_Ledger!$G:$G))</f>
        <v>6643.6900000000005</v>
      </c>
      <c r="H39" s="5">
        <f t="shared" si="0"/>
        <v>-6643.6900000000005</v>
      </c>
      <c r="I39" s="4" t="str">
        <f t="shared" si="1"/>
        <v>Advance</v>
      </c>
    </row>
    <row r="40" spans="1:9" x14ac:dyDescent="0.2">
      <c r="A40" s="4" t="s">
        <v>633</v>
      </c>
      <c r="B40" s="4" t="s">
        <v>632</v>
      </c>
      <c r="C40" s="4"/>
      <c r="D40" s="4"/>
      <c r="E40" s="5">
        <v>0</v>
      </c>
      <c r="F40" s="5">
        <f>IF($A40="","",SUMIF(Party_Ledger!$B:$B,$A40,Party_Ledger!$F:$F))</f>
        <v>0</v>
      </c>
      <c r="G40" s="5">
        <f>IF($A40="","",SUMIF(Party_Ledger!$B:$B,$A40,Party_Ledger!$G:$G))</f>
        <v>123647.45999999998</v>
      </c>
      <c r="H40" s="5">
        <f t="shared" si="0"/>
        <v>-123647.45999999998</v>
      </c>
      <c r="I40" s="4" t="str">
        <f t="shared" si="1"/>
        <v>Advance</v>
      </c>
    </row>
    <row r="41" spans="1:9" x14ac:dyDescent="0.2">
      <c r="A41" s="4" t="s">
        <v>446</v>
      </c>
      <c r="B41" s="4" t="s">
        <v>632</v>
      </c>
      <c r="C41" s="4"/>
      <c r="D41" s="4"/>
      <c r="E41" s="5">
        <v>0</v>
      </c>
      <c r="F41" s="5">
        <f>IF($A41="","",SUMIF(Party_Ledger!$B:$B,$A41,Party_Ledger!$F:$F))</f>
        <v>0</v>
      </c>
      <c r="G41" s="5">
        <f>IF($A41="","",SUMIF(Party_Ledger!$B:$B,$A41,Party_Ledger!$G:$G))</f>
        <v>33903.32</v>
      </c>
      <c r="H41" s="5">
        <f t="shared" si="0"/>
        <v>-33903.32</v>
      </c>
      <c r="I41" s="4" t="str">
        <f t="shared" si="1"/>
        <v>Advance</v>
      </c>
    </row>
    <row r="42" spans="1:9" x14ac:dyDescent="0.2">
      <c r="A42" s="4" t="s">
        <v>448</v>
      </c>
      <c r="B42" s="4" t="s">
        <v>632</v>
      </c>
      <c r="C42" s="4"/>
      <c r="D42" s="4"/>
      <c r="E42" s="5">
        <v>0</v>
      </c>
      <c r="F42" s="5">
        <f>IF($A42="","",SUMIF(Party_Ledger!$B:$B,$A42,Party_Ledger!$F:$F))</f>
        <v>0</v>
      </c>
      <c r="G42" s="5">
        <f>IF($A42="","",SUMIF(Party_Ledger!$B:$B,$A42,Party_Ledger!$G:$G))</f>
        <v>9452.42</v>
      </c>
      <c r="H42" s="5">
        <f t="shared" si="0"/>
        <v>-9452.42</v>
      </c>
      <c r="I42" s="4" t="str">
        <f t="shared" si="1"/>
        <v>Advance</v>
      </c>
    </row>
    <row r="43" spans="1:9" x14ac:dyDescent="0.2">
      <c r="A43" s="4" t="s">
        <v>455</v>
      </c>
      <c r="B43" s="4" t="s">
        <v>632</v>
      </c>
      <c r="C43" s="4"/>
      <c r="D43" s="4"/>
      <c r="E43" s="5">
        <v>0</v>
      </c>
      <c r="F43" s="5">
        <f>IF($A43="","",SUMIF(Party_Ledger!$B:$B,$A43,Party_Ledger!$F:$F))</f>
        <v>0</v>
      </c>
      <c r="G43" s="5">
        <f>IF($A43="","",SUMIF(Party_Ledger!$B:$B,$A43,Party_Ledger!$G:$G))</f>
        <v>134400</v>
      </c>
      <c r="H43" s="5">
        <f t="shared" si="0"/>
        <v>-134400</v>
      </c>
      <c r="I43" s="4" t="str">
        <f t="shared" si="1"/>
        <v>Advance</v>
      </c>
    </row>
    <row r="44" spans="1:9" x14ac:dyDescent="0.2">
      <c r="A44" s="4" t="s">
        <v>440</v>
      </c>
      <c r="B44" s="4" t="s">
        <v>632</v>
      </c>
      <c r="C44" s="4"/>
      <c r="D44" s="4"/>
      <c r="E44" s="5">
        <v>0</v>
      </c>
      <c r="F44" s="5">
        <f>IF($A44="","",SUMIF(Party_Ledger!$B:$B,$A44,Party_Ledger!$F:$F))</f>
        <v>0</v>
      </c>
      <c r="G44" s="5">
        <f>IF($A44="","",SUMIF(Party_Ledger!$B:$B,$A44,Party_Ledger!$G:$G))</f>
        <v>106685</v>
      </c>
      <c r="H44" s="5">
        <f t="shared" si="0"/>
        <v>-106685</v>
      </c>
      <c r="I44" s="4" t="str">
        <f>IF($A44="","",IF(ROUND($H44,0)=0,"Settled",IF($H44&gt;0,"Outstanding","Advance")))</f>
        <v>Advance</v>
      </c>
    </row>
    <row r="45" spans="1:9" x14ac:dyDescent="0.2">
      <c r="A45" s="4"/>
      <c r="B45" s="4"/>
      <c r="C45" s="4"/>
      <c r="D45" s="4"/>
      <c r="E45" s="5"/>
      <c r="F45" s="5" t="str">
        <f>IF($A45="","",SUMIF(Party_Ledger!$B:$B,$A45,Party_Ledger!$F:$F))</f>
        <v/>
      </c>
      <c r="G45" s="5" t="str">
        <f>IF($A45="","",SUMIF(Party_Ledger!$B:$B,$A45,Party_Ledger!$G:$G))</f>
        <v/>
      </c>
      <c r="H45" s="5" t="str">
        <f t="shared" si="0"/>
        <v/>
      </c>
      <c r="I45" s="4" t="str">
        <f t="shared" si="1"/>
        <v/>
      </c>
    </row>
    <row r="46" spans="1:9" x14ac:dyDescent="0.2">
      <c r="A46" s="4"/>
      <c r="B46" s="4"/>
      <c r="C46" s="4"/>
      <c r="D46" s="4"/>
      <c r="E46" s="5"/>
      <c r="F46" s="5" t="str">
        <f>IF($A46="","",SUMIF(Party_Ledger!$B:$B,$A46,Party_Ledger!$F:$F))</f>
        <v/>
      </c>
      <c r="G46" s="5" t="str">
        <f>IF($A46="","",SUMIF(Party_Ledger!$B:$B,$A46,Party_Ledger!$G:$G))</f>
        <v/>
      </c>
      <c r="H46" s="5" t="str">
        <f t="shared" si="0"/>
        <v/>
      </c>
      <c r="I46" s="4" t="str">
        <f t="shared" si="1"/>
        <v/>
      </c>
    </row>
    <row r="47" spans="1:9" x14ac:dyDescent="0.2">
      <c r="A47" s="4"/>
      <c r="B47" s="4"/>
      <c r="C47" s="4"/>
      <c r="D47" s="4"/>
      <c r="E47" s="5"/>
      <c r="F47" s="5" t="str">
        <f>IF($A47="","",SUMIF(Party_Ledger!$B:$B,$A47,Party_Ledger!$F:$F))</f>
        <v/>
      </c>
      <c r="G47" s="5" t="str">
        <f>IF($A47="","",SUMIF(Party_Ledger!$B:$B,$A47,Party_Ledger!$G:$G))</f>
        <v/>
      </c>
      <c r="H47" s="5" t="str">
        <f t="shared" si="0"/>
        <v/>
      </c>
      <c r="I47" s="4" t="str">
        <f t="shared" si="1"/>
        <v/>
      </c>
    </row>
    <row r="48" spans="1:9" x14ac:dyDescent="0.2">
      <c r="A48" s="4"/>
      <c r="B48" s="4"/>
      <c r="C48" s="4"/>
      <c r="D48" s="4"/>
      <c r="E48" s="5"/>
      <c r="F48" s="5" t="str">
        <f>IF($A48="","",SUMIF(Party_Ledger!$B:$B,$A48,Party_Ledger!$F:$F))</f>
        <v/>
      </c>
      <c r="G48" s="5" t="str">
        <f>IF($A48="","",SUMIF(Party_Ledger!$B:$B,$A48,Party_Ledger!$G:$G))</f>
        <v/>
      </c>
      <c r="H48" s="5" t="str">
        <f t="shared" si="0"/>
        <v/>
      </c>
      <c r="I48" s="4" t="str">
        <f t="shared" si="1"/>
        <v/>
      </c>
    </row>
    <row r="49" spans="1:9" x14ac:dyDescent="0.2">
      <c r="A49" s="4"/>
      <c r="B49" s="4"/>
      <c r="C49" s="4"/>
      <c r="D49" s="4"/>
      <c r="E49" s="5"/>
      <c r="F49" s="5" t="str">
        <f>IF($A49="","",SUMIF(Party_Ledger!$B:$B,$A49,Party_Ledger!$F:$F))</f>
        <v/>
      </c>
      <c r="G49" s="5" t="str">
        <f>IF($A49="","",SUMIF(Party_Ledger!$B:$B,$A49,Party_Ledger!$G:$G))</f>
        <v/>
      </c>
      <c r="H49" s="5" t="str">
        <f t="shared" si="0"/>
        <v/>
      </c>
      <c r="I49" s="4" t="str">
        <f t="shared" si="1"/>
        <v/>
      </c>
    </row>
    <row r="50" spans="1:9" x14ac:dyDescent="0.2">
      <c r="A50" s="4"/>
      <c r="B50" s="4"/>
      <c r="C50" s="4"/>
      <c r="D50" s="4"/>
      <c r="E50" s="5"/>
      <c r="F50" s="5" t="str">
        <f>IF($A50="","",SUMIF(Party_Ledger!$B:$B,$A50,Party_Ledger!$F:$F))</f>
        <v/>
      </c>
      <c r="G50" s="5" t="str">
        <f>IF($A50="","",SUMIF(Party_Ledger!$B:$B,$A50,Party_Ledger!$G:$G))</f>
        <v/>
      </c>
      <c r="H50" s="5" t="str">
        <f t="shared" si="0"/>
        <v/>
      </c>
      <c r="I50" s="4" t="str">
        <f t="shared" si="1"/>
        <v/>
      </c>
    </row>
    <row r="51" spans="1:9" x14ac:dyDescent="0.2">
      <c r="A51" s="4"/>
      <c r="B51" s="4"/>
      <c r="C51" s="4"/>
      <c r="D51" s="4"/>
      <c r="E51" s="5"/>
      <c r="F51" s="5" t="str">
        <f>IF($A51="","",SUMIF(Party_Ledger!$B:$B,$A51,Party_Ledger!$F:$F))</f>
        <v/>
      </c>
      <c r="G51" s="5" t="str">
        <f>IF($A51="","",SUMIF(Party_Ledger!$B:$B,$A51,Party_Ledger!$G:$G))</f>
        <v/>
      </c>
      <c r="H51" s="5" t="str">
        <f t="shared" si="0"/>
        <v/>
      </c>
      <c r="I51" s="4" t="str">
        <f t="shared" si="1"/>
        <v/>
      </c>
    </row>
    <row r="52" spans="1:9" x14ac:dyDescent="0.2">
      <c r="A52" s="4"/>
      <c r="B52" s="4"/>
      <c r="C52" s="4"/>
      <c r="D52" s="4"/>
      <c r="E52" s="5"/>
      <c r="F52" s="5" t="str">
        <f>IF($A52="","",SUMIF(Party_Ledger!$B:$B,$A52,Party_Ledger!$F:$F))</f>
        <v/>
      </c>
      <c r="G52" s="5" t="str">
        <f>IF($A52="","",SUMIF(Party_Ledger!$B:$B,$A52,Party_Ledger!$G:$G))</f>
        <v/>
      </c>
      <c r="H52" s="5" t="str">
        <f t="shared" si="0"/>
        <v/>
      </c>
      <c r="I52" s="4" t="str">
        <f t="shared" si="1"/>
        <v/>
      </c>
    </row>
    <row r="53" spans="1:9" x14ac:dyDescent="0.2">
      <c r="A53" s="4"/>
      <c r="B53" s="4"/>
      <c r="C53" s="4"/>
      <c r="D53" s="4"/>
      <c r="E53" s="5"/>
      <c r="F53" s="5" t="str">
        <f>IF($A53="","",SUMIF(Party_Ledger!$B:$B,$A53,Party_Ledger!$F:$F))</f>
        <v/>
      </c>
      <c r="G53" s="5" t="str">
        <f>IF($A53="","",SUMIF(Party_Ledger!$B:$B,$A53,Party_Ledger!$G:$G))</f>
        <v/>
      </c>
      <c r="H53" s="5" t="str">
        <f t="shared" si="0"/>
        <v/>
      </c>
      <c r="I53" s="4" t="str">
        <f t="shared" si="1"/>
        <v/>
      </c>
    </row>
    <row r="54" spans="1:9" x14ac:dyDescent="0.2">
      <c r="A54" s="4"/>
      <c r="B54" s="4"/>
      <c r="C54" s="4"/>
      <c r="D54" s="4"/>
      <c r="E54" s="5"/>
      <c r="F54" s="5" t="str">
        <f>IF($A54="","",SUMIF(Party_Ledger!$B:$B,$A54,Party_Ledger!$F:$F))</f>
        <v/>
      </c>
      <c r="G54" s="5" t="str">
        <f>IF($A54="","",SUMIF(Party_Ledger!$B:$B,$A54,Party_Ledger!$G:$G))</f>
        <v/>
      </c>
      <c r="H54" s="5" t="str">
        <f t="shared" si="0"/>
        <v/>
      </c>
      <c r="I54" s="4" t="str">
        <f t="shared" si="1"/>
        <v/>
      </c>
    </row>
    <row r="55" spans="1:9" x14ac:dyDescent="0.2">
      <c r="A55" s="4"/>
      <c r="B55" s="4"/>
      <c r="C55" s="4"/>
      <c r="D55" s="4"/>
      <c r="E55" s="5"/>
      <c r="F55" s="5" t="str">
        <f>IF($A55="","",SUMIF(Party_Ledger!$B:$B,$A55,Party_Ledger!$F:$F))</f>
        <v/>
      </c>
      <c r="G55" s="5" t="str">
        <f>IF($A55="","",SUMIF(Party_Ledger!$B:$B,$A55,Party_Ledger!$G:$G))</f>
        <v/>
      </c>
      <c r="H55" s="5" t="str">
        <f t="shared" si="0"/>
        <v/>
      </c>
      <c r="I55" s="4" t="str">
        <f t="shared" si="1"/>
        <v/>
      </c>
    </row>
    <row r="56" spans="1:9" x14ac:dyDescent="0.2">
      <c r="A56" s="4"/>
      <c r="B56" s="4"/>
      <c r="C56" s="4"/>
      <c r="D56" s="4"/>
      <c r="E56" s="5"/>
      <c r="F56" s="5" t="str">
        <f>IF($A56="","",SUMIF(Party_Ledger!$B:$B,$A56,Party_Ledger!$F:$F))</f>
        <v/>
      </c>
      <c r="G56" s="5" t="str">
        <f>IF($A56="","",SUMIF(Party_Ledger!$B:$B,$A56,Party_Ledger!$G:$G))</f>
        <v/>
      </c>
      <c r="H56" s="5" t="str">
        <f t="shared" si="0"/>
        <v/>
      </c>
      <c r="I56" s="4" t="str">
        <f t="shared" si="1"/>
        <v/>
      </c>
    </row>
    <row r="57" spans="1:9" x14ac:dyDescent="0.2">
      <c r="A57" s="4"/>
      <c r="B57" s="4"/>
      <c r="C57" s="4"/>
      <c r="D57" s="4"/>
      <c r="E57" s="5"/>
      <c r="F57" s="5" t="str">
        <f>IF($A57="","",SUMIF(Party_Ledger!$B:$B,$A57,Party_Ledger!$F:$F))</f>
        <v/>
      </c>
      <c r="G57" s="5" t="str">
        <f>IF($A57="","",SUMIF(Party_Ledger!$B:$B,$A57,Party_Ledger!$G:$G))</f>
        <v/>
      </c>
      <c r="H57" s="5" t="str">
        <f t="shared" si="0"/>
        <v/>
      </c>
      <c r="I57" s="4" t="str">
        <f t="shared" si="1"/>
        <v/>
      </c>
    </row>
    <row r="58" spans="1:9" x14ac:dyDescent="0.2">
      <c r="A58" s="4"/>
      <c r="B58" s="4"/>
      <c r="C58" s="4"/>
      <c r="D58" s="4"/>
      <c r="E58" s="5"/>
      <c r="F58" s="5" t="str">
        <f>IF($A58="","",SUMIF(Party_Ledger!$B:$B,$A58,Party_Ledger!$F:$F))</f>
        <v/>
      </c>
      <c r="G58" s="5" t="str">
        <f>IF($A58="","",SUMIF(Party_Ledger!$B:$B,$A58,Party_Ledger!$G:$G))</f>
        <v/>
      </c>
      <c r="H58" s="5" t="str">
        <f t="shared" si="0"/>
        <v/>
      </c>
      <c r="I58" s="4" t="str">
        <f t="shared" si="1"/>
        <v/>
      </c>
    </row>
    <row r="59" spans="1:9" x14ac:dyDescent="0.2">
      <c r="A59" s="4"/>
      <c r="B59" s="4"/>
      <c r="C59" s="4"/>
      <c r="D59" s="4"/>
      <c r="E59" s="5"/>
      <c r="F59" s="5" t="str">
        <f>IF($A59="","",SUMIF(Party_Ledger!$B:$B,$A59,Party_Ledger!$F:$F))</f>
        <v/>
      </c>
      <c r="G59" s="5" t="str">
        <f>IF($A59="","",SUMIF(Party_Ledger!$B:$B,$A59,Party_Ledger!$G:$G))</f>
        <v/>
      </c>
      <c r="H59" s="5" t="str">
        <f t="shared" si="0"/>
        <v/>
      </c>
      <c r="I59" s="4" t="str">
        <f t="shared" si="1"/>
        <v/>
      </c>
    </row>
    <row r="60" spans="1:9" x14ac:dyDescent="0.2">
      <c r="A60" s="4"/>
      <c r="B60" s="4"/>
      <c r="C60" s="4"/>
      <c r="D60" s="4"/>
      <c r="E60" s="5"/>
      <c r="F60" s="5" t="str">
        <f>IF($A60="","",SUMIF(Party_Ledger!$B:$B,$A60,Party_Ledger!$F:$F))</f>
        <v/>
      </c>
      <c r="G60" s="5" t="str">
        <f>IF($A60="","",SUMIF(Party_Ledger!$B:$B,$A60,Party_Ledger!$G:$G))</f>
        <v/>
      </c>
      <c r="H60" s="5" t="str">
        <f t="shared" si="0"/>
        <v/>
      </c>
      <c r="I60" s="4" t="str">
        <f t="shared" si="1"/>
        <v/>
      </c>
    </row>
    <row r="61" spans="1:9" x14ac:dyDescent="0.2">
      <c r="A61" s="4"/>
      <c r="B61" s="4"/>
      <c r="C61" s="4"/>
      <c r="D61" s="4"/>
      <c r="E61" s="5"/>
      <c r="F61" s="5" t="str">
        <f>IF($A61="","",SUMIF(Party_Ledger!$B:$B,$A61,Party_Ledger!$F:$F))</f>
        <v/>
      </c>
      <c r="G61" s="5" t="str">
        <f>IF($A61="","",SUMIF(Party_Ledger!$B:$B,$A61,Party_Ledger!$G:$G))</f>
        <v/>
      </c>
      <c r="H61" s="5" t="str">
        <f t="shared" si="0"/>
        <v/>
      </c>
      <c r="I61" s="4" t="str">
        <f t="shared" si="1"/>
        <v/>
      </c>
    </row>
    <row r="62" spans="1:9" x14ac:dyDescent="0.2">
      <c r="A62" s="4"/>
      <c r="B62" s="4"/>
      <c r="C62" s="4"/>
      <c r="D62" s="4"/>
      <c r="E62" s="5"/>
      <c r="F62" s="5" t="str">
        <f>IF($A62="","",SUMIF(Party_Ledger!$B:$B,$A62,Party_Ledger!$F:$F))</f>
        <v/>
      </c>
      <c r="G62" s="5" t="str">
        <f>IF($A62="","",SUMIF(Party_Ledger!$B:$B,$A62,Party_Ledger!$G:$G))</f>
        <v/>
      </c>
      <c r="H62" s="5" t="str">
        <f t="shared" si="0"/>
        <v/>
      </c>
      <c r="I62" s="4" t="str">
        <f t="shared" si="1"/>
        <v/>
      </c>
    </row>
    <row r="63" spans="1:9" x14ac:dyDescent="0.2">
      <c r="A63" s="4"/>
      <c r="B63" s="4"/>
      <c r="C63" s="4"/>
      <c r="D63" s="4"/>
      <c r="E63" s="5"/>
      <c r="F63" s="5" t="str">
        <f>IF($A63="","",SUMIF(Party_Ledger!$B:$B,$A63,Party_Ledger!$F:$F))</f>
        <v/>
      </c>
      <c r="G63" s="5" t="str">
        <f>IF($A63="","",SUMIF(Party_Ledger!$B:$B,$A63,Party_Ledger!$G:$G))</f>
        <v/>
      </c>
      <c r="H63" s="5" t="str">
        <f t="shared" si="0"/>
        <v/>
      </c>
      <c r="I63" s="4" t="str">
        <f t="shared" si="1"/>
        <v/>
      </c>
    </row>
    <row r="64" spans="1:9" x14ac:dyDescent="0.2">
      <c r="A64" s="4"/>
      <c r="B64" s="4"/>
      <c r="C64" s="4"/>
      <c r="D64" s="4"/>
      <c r="E64" s="5"/>
      <c r="F64" s="5" t="str">
        <f>IF($A64="","",SUMIF(Party_Ledger!$B:$B,$A64,Party_Ledger!$F:$F))</f>
        <v/>
      </c>
      <c r="G64" s="5" t="str">
        <f>IF($A64="","",SUMIF(Party_Ledger!$B:$B,$A64,Party_Ledger!$G:$G))</f>
        <v/>
      </c>
      <c r="H64" s="5" t="str">
        <f t="shared" si="0"/>
        <v/>
      </c>
      <c r="I64" s="4" t="str">
        <f t="shared" si="1"/>
        <v/>
      </c>
    </row>
    <row r="65" spans="1:9" x14ac:dyDescent="0.2">
      <c r="A65" s="4"/>
      <c r="B65" s="4"/>
      <c r="C65" s="4"/>
      <c r="D65" s="4"/>
      <c r="E65" s="5"/>
      <c r="F65" s="5" t="str">
        <f>IF($A65="","",SUMIF(Party_Ledger!$B:$B,$A65,Party_Ledger!$F:$F))</f>
        <v/>
      </c>
      <c r="G65" s="5" t="str">
        <f>IF($A65="","",SUMIF(Party_Ledger!$B:$B,$A65,Party_Ledger!$G:$G))</f>
        <v/>
      </c>
      <c r="H65" s="5" t="str">
        <f t="shared" si="0"/>
        <v/>
      </c>
      <c r="I65" s="4" t="str">
        <f t="shared" si="1"/>
        <v/>
      </c>
    </row>
    <row r="66" spans="1:9" x14ac:dyDescent="0.2">
      <c r="A66" s="4"/>
      <c r="B66" s="4"/>
      <c r="C66" s="4"/>
      <c r="D66" s="4"/>
      <c r="E66" s="5"/>
      <c r="F66" s="5" t="str">
        <f>IF($A66="","",SUMIF(Party_Ledger!$B:$B,$A66,Party_Ledger!$F:$F))</f>
        <v/>
      </c>
      <c r="G66" s="5" t="str">
        <f>IF($A66="","",SUMIF(Party_Ledger!$B:$B,$A66,Party_Ledger!$G:$G))</f>
        <v/>
      </c>
      <c r="H66" s="5" t="str">
        <f t="shared" si="0"/>
        <v/>
      </c>
      <c r="I66" s="4" t="str">
        <f t="shared" si="1"/>
        <v/>
      </c>
    </row>
    <row r="67" spans="1:9" x14ac:dyDescent="0.2">
      <c r="A67" s="4"/>
      <c r="B67" s="4"/>
      <c r="C67" s="4"/>
      <c r="D67" s="4"/>
      <c r="E67" s="5"/>
      <c r="F67" s="5" t="str">
        <f>IF($A67="","",SUMIF(Party_Ledger!$B:$B,$A67,Party_Ledger!$F:$F))</f>
        <v/>
      </c>
      <c r="G67" s="5" t="str">
        <f>IF($A67="","",SUMIF(Party_Ledger!$B:$B,$A67,Party_Ledger!$G:$G))</f>
        <v/>
      </c>
      <c r="H67" s="5" t="str">
        <f t="shared" ref="H67:H130" si="2">IF($A67="","",$E67+$F67-$G67)</f>
        <v/>
      </c>
      <c r="I67" s="4" t="str">
        <f t="shared" ref="I67:I130" si="3">IF($A67="","",IF(ROUND($H67,0)=0,"Settled",IF($H67&gt;0,"Outstanding","Advance")))</f>
        <v/>
      </c>
    </row>
    <row r="68" spans="1:9" x14ac:dyDescent="0.2">
      <c r="A68" s="4"/>
      <c r="B68" s="4"/>
      <c r="C68" s="4"/>
      <c r="D68" s="4"/>
      <c r="E68" s="5"/>
      <c r="F68" s="5" t="str">
        <f>IF($A68="","",SUMIF(Party_Ledger!$B:$B,$A68,Party_Ledger!$F:$F))</f>
        <v/>
      </c>
      <c r="G68" s="5" t="str">
        <f>IF($A68="","",SUMIF(Party_Ledger!$B:$B,$A68,Party_Ledger!$G:$G))</f>
        <v/>
      </c>
      <c r="H68" s="5" t="str">
        <f t="shared" si="2"/>
        <v/>
      </c>
      <c r="I68" s="4" t="str">
        <f t="shared" si="3"/>
        <v/>
      </c>
    </row>
    <row r="69" spans="1:9" x14ac:dyDescent="0.2">
      <c r="A69" s="4"/>
      <c r="B69" s="4"/>
      <c r="C69" s="4"/>
      <c r="D69" s="4"/>
      <c r="E69" s="5"/>
      <c r="F69" s="5" t="str">
        <f>IF($A69="","",SUMIF(Party_Ledger!$B:$B,$A69,Party_Ledger!$F:$F))</f>
        <v/>
      </c>
      <c r="G69" s="5" t="str">
        <f>IF($A69="","",SUMIF(Party_Ledger!$B:$B,$A69,Party_Ledger!$G:$G))</f>
        <v/>
      </c>
      <c r="H69" s="5" t="str">
        <f t="shared" si="2"/>
        <v/>
      </c>
      <c r="I69" s="4" t="str">
        <f t="shared" si="3"/>
        <v/>
      </c>
    </row>
    <row r="70" spans="1:9" x14ac:dyDescent="0.2">
      <c r="A70" s="4"/>
      <c r="B70" s="4"/>
      <c r="C70" s="4"/>
      <c r="D70" s="4"/>
      <c r="E70" s="5"/>
      <c r="F70" s="5" t="str">
        <f>IF($A70="","",SUMIF(Party_Ledger!$B:$B,$A70,Party_Ledger!$F:$F))</f>
        <v/>
      </c>
      <c r="G70" s="5" t="str">
        <f>IF($A70="","",SUMIF(Party_Ledger!$B:$B,$A70,Party_Ledger!$G:$G))</f>
        <v/>
      </c>
      <c r="H70" s="5" t="str">
        <f t="shared" si="2"/>
        <v/>
      </c>
      <c r="I70" s="4" t="str">
        <f t="shared" si="3"/>
        <v/>
      </c>
    </row>
    <row r="71" spans="1:9" x14ac:dyDescent="0.2">
      <c r="A71" s="4"/>
      <c r="B71" s="4"/>
      <c r="C71" s="4"/>
      <c r="D71" s="4"/>
      <c r="E71" s="5"/>
      <c r="F71" s="5" t="str">
        <f>IF($A71="","",SUMIF(Party_Ledger!$B:$B,$A71,Party_Ledger!$F:$F))</f>
        <v/>
      </c>
      <c r="G71" s="5" t="str">
        <f>IF($A71="","",SUMIF(Party_Ledger!$B:$B,$A71,Party_Ledger!$G:$G))</f>
        <v/>
      </c>
      <c r="H71" s="5" t="str">
        <f t="shared" si="2"/>
        <v/>
      </c>
      <c r="I71" s="4" t="str">
        <f t="shared" si="3"/>
        <v/>
      </c>
    </row>
    <row r="72" spans="1:9" x14ac:dyDescent="0.2">
      <c r="A72" s="4"/>
      <c r="B72" s="4"/>
      <c r="C72" s="4"/>
      <c r="D72" s="4"/>
      <c r="E72" s="5"/>
      <c r="F72" s="5" t="str">
        <f>IF($A72="","",SUMIF(Party_Ledger!$B:$B,$A72,Party_Ledger!$F:$F))</f>
        <v/>
      </c>
      <c r="G72" s="5" t="str">
        <f>IF($A72="","",SUMIF(Party_Ledger!$B:$B,$A72,Party_Ledger!$G:$G))</f>
        <v/>
      </c>
      <c r="H72" s="5" t="str">
        <f t="shared" si="2"/>
        <v/>
      </c>
      <c r="I72" s="4" t="str">
        <f t="shared" si="3"/>
        <v/>
      </c>
    </row>
    <row r="73" spans="1:9" x14ac:dyDescent="0.2">
      <c r="A73" s="4"/>
      <c r="B73" s="4"/>
      <c r="C73" s="4"/>
      <c r="D73" s="4"/>
      <c r="E73" s="5"/>
      <c r="F73" s="5" t="str">
        <f>IF($A73="","",SUMIF(Party_Ledger!$B:$B,$A73,Party_Ledger!$F:$F))</f>
        <v/>
      </c>
      <c r="G73" s="5" t="str">
        <f>IF($A73="","",SUMIF(Party_Ledger!$B:$B,$A73,Party_Ledger!$G:$G))</f>
        <v/>
      </c>
      <c r="H73" s="5" t="str">
        <f t="shared" si="2"/>
        <v/>
      </c>
      <c r="I73" s="4" t="str">
        <f t="shared" si="3"/>
        <v/>
      </c>
    </row>
    <row r="74" spans="1:9" x14ac:dyDescent="0.2">
      <c r="A74" s="4"/>
      <c r="B74" s="4"/>
      <c r="C74" s="4"/>
      <c r="D74" s="4"/>
      <c r="E74" s="5"/>
      <c r="F74" s="5" t="str">
        <f>IF($A74="","",SUMIF(Party_Ledger!$B:$B,$A74,Party_Ledger!$F:$F))</f>
        <v/>
      </c>
      <c r="G74" s="5" t="str">
        <f>IF($A74="","",SUMIF(Party_Ledger!$B:$B,$A74,Party_Ledger!$G:$G))</f>
        <v/>
      </c>
      <c r="H74" s="5" t="str">
        <f t="shared" si="2"/>
        <v/>
      </c>
      <c r="I74" s="4" t="str">
        <f t="shared" si="3"/>
        <v/>
      </c>
    </row>
    <row r="75" spans="1:9" x14ac:dyDescent="0.2">
      <c r="A75" s="4"/>
      <c r="B75" s="4"/>
      <c r="C75" s="4"/>
      <c r="D75" s="4"/>
      <c r="E75" s="5"/>
      <c r="F75" s="5" t="str">
        <f>IF($A75="","",SUMIF(Party_Ledger!$B:$B,$A75,Party_Ledger!$F:$F))</f>
        <v/>
      </c>
      <c r="G75" s="5" t="str">
        <f>IF($A75="","",SUMIF(Party_Ledger!$B:$B,$A75,Party_Ledger!$G:$G))</f>
        <v/>
      </c>
      <c r="H75" s="5" t="str">
        <f t="shared" si="2"/>
        <v/>
      </c>
      <c r="I75" s="4" t="str">
        <f t="shared" si="3"/>
        <v/>
      </c>
    </row>
    <row r="76" spans="1:9" x14ac:dyDescent="0.2">
      <c r="A76" s="4"/>
      <c r="B76" s="4"/>
      <c r="C76" s="4"/>
      <c r="D76" s="4"/>
      <c r="E76" s="5"/>
      <c r="F76" s="5" t="str">
        <f>IF($A76="","",SUMIF(Party_Ledger!$B:$B,$A76,Party_Ledger!$F:$F))</f>
        <v/>
      </c>
      <c r="G76" s="5" t="str">
        <f>IF($A76="","",SUMIF(Party_Ledger!$B:$B,$A76,Party_Ledger!$G:$G))</f>
        <v/>
      </c>
      <c r="H76" s="5" t="str">
        <f t="shared" si="2"/>
        <v/>
      </c>
      <c r="I76" s="4" t="str">
        <f t="shared" si="3"/>
        <v/>
      </c>
    </row>
    <row r="77" spans="1:9" x14ac:dyDescent="0.2">
      <c r="A77" s="4"/>
      <c r="B77" s="4"/>
      <c r="C77" s="4"/>
      <c r="D77" s="4"/>
      <c r="E77" s="5"/>
      <c r="F77" s="5" t="str">
        <f>IF($A77="","",SUMIF(Party_Ledger!$B:$B,$A77,Party_Ledger!$F:$F))</f>
        <v/>
      </c>
      <c r="G77" s="5" t="str">
        <f>IF($A77="","",SUMIF(Party_Ledger!$B:$B,$A77,Party_Ledger!$G:$G))</f>
        <v/>
      </c>
      <c r="H77" s="5" t="str">
        <f t="shared" si="2"/>
        <v/>
      </c>
      <c r="I77" s="4" t="str">
        <f t="shared" si="3"/>
        <v/>
      </c>
    </row>
    <row r="78" spans="1:9" x14ac:dyDescent="0.2">
      <c r="A78" s="4"/>
      <c r="B78" s="4"/>
      <c r="C78" s="4"/>
      <c r="D78" s="4"/>
      <c r="E78" s="5"/>
      <c r="F78" s="5" t="str">
        <f>IF($A78="","",SUMIF(Party_Ledger!$B:$B,$A78,Party_Ledger!$F:$F))</f>
        <v/>
      </c>
      <c r="G78" s="5" t="str">
        <f>IF($A78="","",SUMIF(Party_Ledger!$B:$B,$A78,Party_Ledger!$G:$G))</f>
        <v/>
      </c>
      <c r="H78" s="5" t="str">
        <f t="shared" si="2"/>
        <v/>
      </c>
      <c r="I78" s="4" t="str">
        <f t="shared" si="3"/>
        <v/>
      </c>
    </row>
    <row r="79" spans="1:9" x14ac:dyDescent="0.2">
      <c r="A79" s="4"/>
      <c r="B79" s="4"/>
      <c r="C79" s="4"/>
      <c r="D79" s="4"/>
      <c r="E79" s="5"/>
      <c r="F79" s="5" t="str">
        <f>IF($A79="","",SUMIF(Party_Ledger!$B:$B,$A79,Party_Ledger!$F:$F))</f>
        <v/>
      </c>
      <c r="G79" s="5" t="str">
        <f>IF($A79="","",SUMIF(Party_Ledger!$B:$B,$A79,Party_Ledger!$G:$G))</f>
        <v/>
      </c>
      <c r="H79" s="5" t="str">
        <f t="shared" si="2"/>
        <v/>
      </c>
      <c r="I79" s="4" t="str">
        <f t="shared" si="3"/>
        <v/>
      </c>
    </row>
    <row r="80" spans="1:9" x14ac:dyDescent="0.2">
      <c r="A80" s="4"/>
      <c r="B80" s="4"/>
      <c r="C80" s="4"/>
      <c r="D80" s="4"/>
      <c r="E80" s="5"/>
      <c r="F80" s="5" t="str">
        <f>IF($A80="","",SUMIF(Party_Ledger!$B:$B,$A80,Party_Ledger!$F:$F))</f>
        <v/>
      </c>
      <c r="G80" s="5" t="str">
        <f>IF($A80="","",SUMIF(Party_Ledger!$B:$B,$A80,Party_Ledger!$G:$G))</f>
        <v/>
      </c>
      <c r="H80" s="5" t="str">
        <f t="shared" si="2"/>
        <v/>
      </c>
      <c r="I80" s="4" t="str">
        <f t="shared" si="3"/>
        <v/>
      </c>
    </row>
    <row r="81" spans="1:9" x14ac:dyDescent="0.2">
      <c r="A81" s="4"/>
      <c r="B81" s="4"/>
      <c r="C81" s="4"/>
      <c r="D81" s="4"/>
      <c r="E81" s="5"/>
      <c r="F81" s="5" t="str">
        <f>IF($A81="","",SUMIF(Party_Ledger!$B:$B,$A81,Party_Ledger!$F:$F))</f>
        <v/>
      </c>
      <c r="G81" s="5" t="str">
        <f>IF($A81="","",SUMIF(Party_Ledger!$B:$B,$A81,Party_Ledger!$G:$G))</f>
        <v/>
      </c>
      <c r="H81" s="5" t="str">
        <f t="shared" si="2"/>
        <v/>
      </c>
      <c r="I81" s="4" t="str">
        <f t="shared" si="3"/>
        <v/>
      </c>
    </row>
    <row r="82" spans="1:9" x14ac:dyDescent="0.2">
      <c r="A82" s="4"/>
      <c r="B82" s="4"/>
      <c r="C82" s="4"/>
      <c r="D82" s="4"/>
      <c r="E82" s="5"/>
      <c r="F82" s="5" t="str">
        <f>IF($A82="","",SUMIF(Party_Ledger!$B:$B,$A82,Party_Ledger!$F:$F))</f>
        <v/>
      </c>
      <c r="G82" s="5" t="str">
        <f>IF($A82="","",SUMIF(Party_Ledger!$B:$B,$A82,Party_Ledger!$G:$G))</f>
        <v/>
      </c>
      <c r="H82" s="5" t="str">
        <f t="shared" si="2"/>
        <v/>
      </c>
      <c r="I82" s="4" t="str">
        <f t="shared" si="3"/>
        <v/>
      </c>
    </row>
    <row r="83" spans="1:9" x14ac:dyDescent="0.2">
      <c r="A83" s="4"/>
      <c r="B83" s="4"/>
      <c r="C83" s="4"/>
      <c r="D83" s="4"/>
      <c r="E83" s="5"/>
      <c r="F83" s="5" t="str">
        <f>IF($A83="","",SUMIF(Party_Ledger!$B:$B,$A83,Party_Ledger!$F:$F))</f>
        <v/>
      </c>
      <c r="G83" s="5" t="str">
        <f>IF($A83="","",SUMIF(Party_Ledger!$B:$B,$A83,Party_Ledger!$G:$G))</f>
        <v/>
      </c>
      <c r="H83" s="5" t="str">
        <f t="shared" si="2"/>
        <v/>
      </c>
      <c r="I83" s="4" t="str">
        <f t="shared" si="3"/>
        <v/>
      </c>
    </row>
    <row r="84" spans="1:9" x14ac:dyDescent="0.2">
      <c r="A84" s="4"/>
      <c r="B84" s="4"/>
      <c r="C84" s="4"/>
      <c r="D84" s="4"/>
      <c r="E84" s="5"/>
      <c r="F84" s="5" t="str">
        <f>IF($A84="","",SUMIF(Party_Ledger!$B:$B,$A84,Party_Ledger!$F:$F))</f>
        <v/>
      </c>
      <c r="G84" s="5" t="str">
        <f>IF($A84="","",SUMIF(Party_Ledger!$B:$B,$A84,Party_Ledger!$G:$G))</f>
        <v/>
      </c>
      <c r="H84" s="5" t="str">
        <f t="shared" si="2"/>
        <v/>
      </c>
      <c r="I84" s="4" t="str">
        <f t="shared" si="3"/>
        <v/>
      </c>
    </row>
    <row r="85" spans="1:9" x14ac:dyDescent="0.2">
      <c r="A85" s="4"/>
      <c r="B85" s="4"/>
      <c r="C85" s="4"/>
      <c r="D85" s="4"/>
      <c r="E85" s="5"/>
      <c r="F85" s="5" t="str">
        <f>IF($A85="","",SUMIF(Party_Ledger!$B:$B,$A85,Party_Ledger!$F:$F))</f>
        <v/>
      </c>
      <c r="G85" s="5" t="str">
        <f>IF($A85="","",SUMIF(Party_Ledger!$B:$B,$A85,Party_Ledger!$G:$G))</f>
        <v/>
      </c>
      <c r="H85" s="5" t="str">
        <f t="shared" si="2"/>
        <v/>
      </c>
      <c r="I85" s="4" t="str">
        <f t="shared" si="3"/>
        <v/>
      </c>
    </row>
    <row r="86" spans="1:9" x14ac:dyDescent="0.2">
      <c r="A86" s="4"/>
      <c r="B86" s="4"/>
      <c r="C86" s="4"/>
      <c r="D86" s="4"/>
      <c r="E86" s="5"/>
      <c r="F86" s="5" t="str">
        <f>IF($A86="","",SUMIF(Party_Ledger!$B:$B,$A86,Party_Ledger!$F:$F))</f>
        <v/>
      </c>
      <c r="G86" s="5" t="str">
        <f>IF($A86="","",SUMIF(Party_Ledger!$B:$B,$A86,Party_Ledger!$G:$G))</f>
        <v/>
      </c>
      <c r="H86" s="5" t="str">
        <f t="shared" si="2"/>
        <v/>
      </c>
      <c r="I86" s="4" t="str">
        <f t="shared" si="3"/>
        <v/>
      </c>
    </row>
    <row r="87" spans="1:9" x14ac:dyDescent="0.2">
      <c r="A87" s="4"/>
      <c r="B87" s="4"/>
      <c r="C87" s="4"/>
      <c r="D87" s="4"/>
      <c r="E87" s="5"/>
      <c r="F87" s="5" t="str">
        <f>IF($A87="","",SUMIF(Party_Ledger!$B:$B,$A87,Party_Ledger!$F:$F))</f>
        <v/>
      </c>
      <c r="G87" s="5" t="str">
        <f>IF($A87="","",SUMIF(Party_Ledger!$B:$B,$A87,Party_Ledger!$G:$G))</f>
        <v/>
      </c>
      <c r="H87" s="5" t="str">
        <f t="shared" si="2"/>
        <v/>
      </c>
      <c r="I87" s="4" t="str">
        <f t="shared" si="3"/>
        <v/>
      </c>
    </row>
    <row r="88" spans="1:9" x14ac:dyDescent="0.2">
      <c r="A88" s="4"/>
      <c r="B88" s="4"/>
      <c r="C88" s="4"/>
      <c r="D88" s="4"/>
      <c r="E88" s="5"/>
      <c r="F88" s="5" t="str">
        <f>IF($A88="","",SUMIF(Party_Ledger!$B:$B,$A88,Party_Ledger!$F:$F))</f>
        <v/>
      </c>
      <c r="G88" s="5" t="str">
        <f>IF($A88="","",SUMIF(Party_Ledger!$B:$B,$A88,Party_Ledger!$G:$G))</f>
        <v/>
      </c>
      <c r="H88" s="5" t="str">
        <f t="shared" si="2"/>
        <v/>
      </c>
      <c r="I88" s="4" t="str">
        <f t="shared" si="3"/>
        <v/>
      </c>
    </row>
    <row r="89" spans="1:9" x14ac:dyDescent="0.2">
      <c r="A89" s="4"/>
      <c r="B89" s="4"/>
      <c r="C89" s="4"/>
      <c r="D89" s="4"/>
      <c r="E89" s="5"/>
      <c r="F89" s="5" t="str">
        <f>IF($A89="","",SUMIF(Party_Ledger!$B:$B,$A89,Party_Ledger!$F:$F))</f>
        <v/>
      </c>
      <c r="G89" s="5" t="str">
        <f>IF($A89="","",SUMIF(Party_Ledger!$B:$B,$A89,Party_Ledger!$G:$G))</f>
        <v/>
      </c>
      <c r="H89" s="5" t="str">
        <f t="shared" si="2"/>
        <v/>
      </c>
      <c r="I89" s="4" t="str">
        <f t="shared" si="3"/>
        <v/>
      </c>
    </row>
    <row r="90" spans="1:9" x14ac:dyDescent="0.2">
      <c r="A90" s="4"/>
      <c r="B90" s="4"/>
      <c r="C90" s="4"/>
      <c r="D90" s="4"/>
      <c r="E90" s="5"/>
      <c r="F90" s="5" t="str">
        <f>IF($A90="","",SUMIF(Party_Ledger!$B:$B,$A90,Party_Ledger!$F:$F))</f>
        <v/>
      </c>
      <c r="G90" s="5" t="str">
        <f>IF($A90="","",SUMIF(Party_Ledger!$B:$B,$A90,Party_Ledger!$G:$G))</f>
        <v/>
      </c>
      <c r="H90" s="5" t="str">
        <f t="shared" si="2"/>
        <v/>
      </c>
      <c r="I90" s="4" t="str">
        <f t="shared" si="3"/>
        <v/>
      </c>
    </row>
    <row r="91" spans="1:9" x14ac:dyDescent="0.2">
      <c r="A91" s="4"/>
      <c r="B91" s="4"/>
      <c r="C91" s="4"/>
      <c r="D91" s="4"/>
      <c r="E91" s="5"/>
      <c r="F91" s="5" t="str">
        <f>IF($A91="","",SUMIF(Party_Ledger!$B:$B,$A91,Party_Ledger!$F:$F))</f>
        <v/>
      </c>
      <c r="G91" s="5" t="str">
        <f>IF($A91="","",SUMIF(Party_Ledger!$B:$B,$A91,Party_Ledger!$G:$G))</f>
        <v/>
      </c>
      <c r="H91" s="5" t="str">
        <f t="shared" si="2"/>
        <v/>
      </c>
      <c r="I91" s="4" t="str">
        <f t="shared" si="3"/>
        <v/>
      </c>
    </row>
    <row r="92" spans="1:9" x14ac:dyDescent="0.2">
      <c r="A92" s="4"/>
      <c r="B92" s="4"/>
      <c r="C92" s="4"/>
      <c r="D92" s="4"/>
      <c r="E92" s="5"/>
      <c r="F92" s="5" t="str">
        <f>IF($A92="","",SUMIF(Party_Ledger!$B:$B,$A92,Party_Ledger!$F:$F))</f>
        <v/>
      </c>
      <c r="G92" s="5" t="str">
        <f>IF($A92="","",SUMIF(Party_Ledger!$B:$B,$A92,Party_Ledger!$G:$G))</f>
        <v/>
      </c>
      <c r="H92" s="5" t="str">
        <f t="shared" si="2"/>
        <v/>
      </c>
      <c r="I92" s="4" t="str">
        <f t="shared" si="3"/>
        <v/>
      </c>
    </row>
    <row r="93" spans="1:9" x14ac:dyDescent="0.2">
      <c r="A93" s="4"/>
      <c r="B93" s="4"/>
      <c r="C93" s="4"/>
      <c r="D93" s="4"/>
      <c r="E93" s="5"/>
      <c r="F93" s="5" t="str">
        <f>IF($A93="","",SUMIF(Party_Ledger!$B:$B,$A93,Party_Ledger!$F:$F))</f>
        <v/>
      </c>
      <c r="G93" s="5" t="str">
        <f>IF($A93="","",SUMIF(Party_Ledger!$B:$B,$A93,Party_Ledger!$G:$G))</f>
        <v/>
      </c>
      <c r="H93" s="5" t="str">
        <f t="shared" si="2"/>
        <v/>
      </c>
      <c r="I93" s="4" t="str">
        <f t="shared" si="3"/>
        <v/>
      </c>
    </row>
    <row r="94" spans="1:9" x14ac:dyDescent="0.2">
      <c r="A94" s="4"/>
      <c r="B94" s="4"/>
      <c r="C94" s="4"/>
      <c r="D94" s="4"/>
      <c r="E94" s="5"/>
      <c r="F94" s="5" t="str">
        <f>IF($A94="","",SUMIF(Party_Ledger!$B:$B,$A94,Party_Ledger!$F:$F))</f>
        <v/>
      </c>
      <c r="G94" s="5" t="str">
        <f>IF($A94="","",SUMIF(Party_Ledger!$B:$B,$A94,Party_Ledger!$G:$G))</f>
        <v/>
      </c>
      <c r="H94" s="5" t="str">
        <f t="shared" si="2"/>
        <v/>
      </c>
      <c r="I94" s="4" t="str">
        <f t="shared" si="3"/>
        <v/>
      </c>
    </row>
    <row r="95" spans="1:9" x14ac:dyDescent="0.2">
      <c r="A95" s="4"/>
      <c r="B95" s="4"/>
      <c r="C95" s="4"/>
      <c r="D95" s="4"/>
      <c r="E95" s="5"/>
      <c r="F95" s="5" t="str">
        <f>IF($A95="","",SUMIF(Party_Ledger!$B:$B,$A95,Party_Ledger!$F:$F))</f>
        <v/>
      </c>
      <c r="G95" s="5" t="str">
        <f>IF($A95="","",SUMIF(Party_Ledger!$B:$B,$A95,Party_Ledger!$G:$G))</f>
        <v/>
      </c>
      <c r="H95" s="5" t="str">
        <f t="shared" si="2"/>
        <v/>
      </c>
      <c r="I95" s="4" t="str">
        <f t="shared" si="3"/>
        <v/>
      </c>
    </row>
    <row r="96" spans="1:9" x14ac:dyDescent="0.2">
      <c r="A96" s="4"/>
      <c r="B96" s="4"/>
      <c r="C96" s="4"/>
      <c r="D96" s="4"/>
      <c r="E96" s="5"/>
      <c r="F96" s="5" t="str">
        <f>IF($A96="","",SUMIF(Party_Ledger!$B:$B,$A96,Party_Ledger!$F:$F))</f>
        <v/>
      </c>
      <c r="G96" s="5" t="str">
        <f>IF($A96="","",SUMIF(Party_Ledger!$B:$B,$A96,Party_Ledger!$G:$G))</f>
        <v/>
      </c>
      <c r="H96" s="5" t="str">
        <f t="shared" si="2"/>
        <v/>
      </c>
      <c r="I96" s="4" t="str">
        <f t="shared" si="3"/>
        <v/>
      </c>
    </row>
    <row r="97" spans="1:9" x14ac:dyDescent="0.2">
      <c r="A97" s="4"/>
      <c r="B97" s="4"/>
      <c r="C97" s="4"/>
      <c r="D97" s="4"/>
      <c r="E97" s="5"/>
      <c r="F97" s="5" t="str">
        <f>IF($A97="","",SUMIF(Party_Ledger!$B:$B,$A97,Party_Ledger!$F:$F))</f>
        <v/>
      </c>
      <c r="G97" s="5" t="str">
        <f>IF($A97="","",SUMIF(Party_Ledger!$B:$B,$A97,Party_Ledger!$G:$G))</f>
        <v/>
      </c>
      <c r="H97" s="5" t="str">
        <f t="shared" si="2"/>
        <v/>
      </c>
      <c r="I97" s="4" t="str">
        <f t="shared" si="3"/>
        <v/>
      </c>
    </row>
    <row r="98" spans="1:9" x14ac:dyDescent="0.2">
      <c r="A98" s="4"/>
      <c r="B98" s="4"/>
      <c r="C98" s="4"/>
      <c r="D98" s="4"/>
      <c r="E98" s="5"/>
      <c r="F98" s="5" t="str">
        <f>IF($A98="","",SUMIF(Party_Ledger!$B:$B,$A98,Party_Ledger!$F:$F))</f>
        <v/>
      </c>
      <c r="G98" s="5" t="str">
        <f>IF($A98="","",SUMIF(Party_Ledger!$B:$B,$A98,Party_Ledger!$G:$G))</f>
        <v/>
      </c>
      <c r="H98" s="5" t="str">
        <f t="shared" si="2"/>
        <v/>
      </c>
      <c r="I98" s="4" t="str">
        <f t="shared" si="3"/>
        <v/>
      </c>
    </row>
    <row r="99" spans="1:9" x14ac:dyDescent="0.2">
      <c r="A99" s="4"/>
      <c r="B99" s="4"/>
      <c r="C99" s="4"/>
      <c r="D99" s="4"/>
      <c r="E99" s="5"/>
      <c r="F99" s="5" t="str">
        <f>IF($A99="","",SUMIF(Party_Ledger!$B:$B,$A99,Party_Ledger!$F:$F))</f>
        <v/>
      </c>
      <c r="G99" s="5" t="str">
        <f>IF($A99="","",SUMIF(Party_Ledger!$B:$B,$A99,Party_Ledger!$G:$G))</f>
        <v/>
      </c>
      <c r="H99" s="5" t="str">
        <f t="shared" si="2"/>
        <v/>
      </c>
      <c r="I99" s="4" t="str">
        <f t="shared" si="3"/>
        <v/>
      </c>
    </row>
    <row r="100" spans="1:9" x14ac:dyDescent="0.2">
      <c r="A100" s="4"/>
      <c r="B100" s="4"/>
      <c r="C100" s="4"/>
      <c r="D100" s="4"/>
      <c r="E100" s="5"/>
      <c r="F100" s="5" t="str">
        <f>IF($A100="","",SUMIF(Party_Ledger!$B:$B,$A100,Party_Ledger!$F:$F))</f>
        <v/>
      </c>
      <c r="G100" s="5" t="str">
        <f>IF($A100="","",SUMIF(Party_Ledger!$B:$B,$A100,Party_Ledger!$G:$G))</f>
        <v/>
      </c>
      <c r="H100" s="5" t="str">
        <f t="shared" si="2"/>
        <v/>
      </c>
      <c r="I100" s="4" t="str">
        <f t="shared" si="3"/>
        <v/>
      </c>
    </row>
    <row r="101" spans="1:9" x14ac:dyDescent="0.2">
      <c r="A101" s="4"/>
      <c r="B101" s="4"/>
      <c r="C101" s="4"/>
      <c r="D101" s="4"/>
      <c r="E101" s="5"/>
      <c r="F101" s="5" t="str">
        <f>IF($A101="","",SUMIF(Party_Ledger!$B:$B,$A101,Party_Ledger!$F:$F))</f>
        <v/>
      </c>
      <c r="G101" s="5" t="str">
        <f>IF($A101="","",SUMIF(Party_Ledger!$B:$B,$A101,Party_Ledger!$G:$G))</f>
        <v/>
      </c>
      <c r="H101" s="5" t="str">
        <f t="shared" si="2"/>
        <v/>
      </c>
      <c r="I101" s="4" t="str">
        <f t="shared" si="3"/>
        <v/>
      </c>
    </row>
    <row r="102" spans="1:9" x14ac:dyDescent="0.2">
      <c r="A102" s="4"/>
      <c r="B102" s="4"/>
      <c r="C102" s="4"/>
      <c r="D102" s="4"/>
      <c r="E102" s="5"/>
      <c r="F102" s="5" t="str">
        <f>IF($A102="","",SUMIF(Party_Ledger!$B:$B,$A102,Party_Ledger!$F:$F))</f>
        <v/>
      </c>
      <c r="G102" s="5" t="str">
        <f>IF($A102="","",SUMIF(Party_Ledger!$B:$B,$A102,Party_Ledger!$G:$G))</f>
        <v/>
      </c>
      <c r="H102" s="5" t="str">
        <f t="shared" si="2"/>
        <v/>
      </c>
      <c r="I102" s="4" t="str">
        <f t="shared" si="3"/>
        <v/>
      </c>
    </row>
    <row r="103" spans="1:9" x14ac:dyDescent="0.2">
      <c r="A103" s="4"/>
      <c r="B103" s="4"/>
      <c r="C103" s="4"/>
      <c r="D103" s="4"/>
      <c r="E103" s="5"/>
      <c r="F103" s="5" t="str">
        <f>IF($A103="","",SUMIF(Party_Ledger!$B:$B,$A103,Party_Ledger!$F:$F))</f>
        <v/>
      </c>
      <c r="G103" s="5" t="str">
        <f>IF($A103="","",SUMIF(Party_Ledger!$B:$B,$A103,Party_Ledger!$G:$G))</f>
        <v/>
      </c>
      <c r="H103" s="5" t="str">
        <f t="shared" si="2"/>
        <v/>
      </c>
      <c r="I103" s="4" t="str">
        <f t="shared" si="3"/>
        <v/>
      </c>
    </row>
    <row r="104" spans="1:9" x14ac:dyDescent="0.2">
      <c r="A104" s="4"/>
      <c r="B104" s="4"/>
      <c r="C104" s="4"/>
      <c r="D104" s="4"/>
      <c r="E104" s="5"/>
      <c r="F104" s="5" t="str">
        <f>IF($A104="","",SUMIF(Party_Ledger!$B:$B,$A104,Party_Ledger!$F:$F))</f>
        <v/>
      </c>
      <c r="G104" s="5" t="str">
        <f>IF($A104="","",SUMIF(Party_Ledger!$B:$B,$A104,Party_Ledger!$G:$G))</f>
        <v/>
      </c>
      <c r="H104" s="5" t="str">
        <f t="shared" si="2"/>
        <v/>
      </c>
      <c r="I104" s="4" t="str">
        <f t="shared" si="3"/>
        <v/>
      </c>
    </row>
    <row r="105" spans="1:9" x14ac:dyDescent="0.2">
      <c r="A105" s="4"/>
      <c r="B105" s="4"/>
      <c r="C105" s="4"/>
      <c r="D105" s="4"/>
      <c r="E105" s="5"/>
      <c r="F105" s="5" t="str">
        <f>IF($A105="","",SUMIF(Party_Ledger!$B:$B,$A105,Party_Ledger!$F:$F))</f>
        <v/>
      </c>
      <c r="G105" s="5" t="str">
        <f>IF($A105="","",SUMIF(Party_Ledger!$B:$B,$A105,Party_Ledger!$G:$G))</f>
        <v/>
      </c>
      <c r="H105" s="5" t="str">
        <f t="shared" si="2"/>
        <v/>
      </c>
      <c r="I105" s="4" t="str">
        <f t="shared" si="3"/>
        <v/>
      </c>
    </row>
    <row r="106" spans="1:9" x14ac:dyDescent="0.2">
      <c r="A106" s="4"/>
      <c r="B106" s="4"/>
      <c r="C106" s="4"/>
      <c r="D106" s="4"/>
      <c r="E106" s="5"/>
      <c r="F106" s="5" t="str">
        <f>IF($A106="","",SUMIF(Party_Ledger!$B:$B,$A106,Party_Ledger!$F:$F))</f>
        <v/>
      </c>
      <c r="G106" s="5" t="str">
        <f>IF($A106="","",SUMIF(Party_Ledger!$B:$B,$A106,Party_Ledger!$G:$G))</f>
        <v/>
      </c>
      <c r="H106" s="5" t="str">
        <f t="shared" si="2"/>
        <v/>
      </c>
      <c r="I106" s="4" t="str">
        <f t="shared" si="3"/>
        <v/>
      </c>
    </row>
    <row r="107" spans="1:9" x14ac:dyDescent="0.2">
      <c r="A107" s="4"/>
      <c r="B107" s="4"/>
      <c r="C107" s="4"/>
      <c r="D107" s="4"/>
      <c r="E107" s="5"/>
      <c r="F107" s="5" t="str">
        <f>IF($A107="","",SUMIF(Party_Ledger!$B:$B,$A107,Party_Ledger!$F:$F))</f>
        <v/>
      </c>
      <c r="G107" s="5" t="str">
        <f>IF($A107="","",SUMIF(Party_Ledger!$B:$B,$A107,Party_Ledger!$G:$G))</f>
        <v/>
      </c>
      <c r="H107" s="5" t="str">
        <f t="shared" si="2"/>
        <v/>
      </c>
      <c r="I107" s="4" t="str">
        <f t="shared" si="3"/>
        <v/>
      </c>
    </row>
    <row r="108" spans="1:9" x14ac:dyDescent="0.2">
      <c r="A108" s="4"/>
      <c r="B108" s="4"/>
      <c r="C108" s="4"/>
      <c r="D108" s="4"/>
      <c r="E108" s="5"/>
      <c r="F108" s="5" t="str">
        <f>IF($A108="","",SUMIF(Party_Ledger!$B:$B,$A108,Party_Ledger!$F:$F))</f>
        <v/>
      </c>
      <c r="G108" s="5" t="str">
        <f>IF($A108="","",SUMIF(Party_Ledger!$B:$B,$A108,Party_Ledger!$G:$G))</f>
        <v/>
      </c>
      <c r="H108" s="5" t="str">
        <f t="shared" si="2"/>
        <v/>
      </c>
      <c r="I108" s="4" t="str">
        <f t="shared" si="3"/>
        <v/>
      </c>
    </row>
    <row r="109" spans="1:9" x14ac:dyDescent="0.2">
      <c r="A109" s="4"/>
      <c r="B109" s="4"/>
      <c r="C109" s="4"/>
      <c r="D109" s="4"/>
      <c r="E109" s="5"/>
      <c r="F109" s="5" t="str">
        <f>IF($A109="","",SUMIF(Party_Ledger!$B:$B,$A109,Party_Ledger!$F:$F))</f>
        <v/>
      </c>
      <c r="G109" s="5" t="str">
        <f>IF($A109="","",SUMIF(Party_Ledger!$B:$B,$A109,Party_Ledger!$G:$G))</f>
        <v/>
      </c>
      <c r="H109" s="5" t="str">
        <f t="shared" si="2"/>
        <v/>
      </c>
      <c r="I109" s="4" t="str">
        <f t="shared" si="3"/>
        <v/>
      </c>
    </row>
    <row r="110" spans="1:9" x14ac:dyDescent="0.2">
      <c r="A110" s="4"/>
      <c r="B110" s="4"/>
      <c r="C110" s="4"/>
      <c r="D110" s="4"/>
      <c r="E110" s="5"/>
      <c r="F110" s="5" t="str">
        <f>IF($A110="","",SUMIF(Party_Ledger!$B:$B,$A110,Party_Ledger!$F:$F))</f>
        <v/>
      </c>
      <c r="G110" s="5" t="str">
        <f>IF($A110="","",SUMIF(Party_Ledger!$B:$B,$A110,Party_Ledger!$G:$G))</f>
        <v/>
      </c>
      <c r="H110" s="5" t="str">
        <f t="shared" si="2"/>
        <v/>
      </c>
      <c r="I110" s="4" t="str">
        <f t="shared" si="3"/>
        <v/>
      </c>
    </row>
    <row r="111" spans="1:9" x14ac:dyDescent="0.2">
      <c r="A111" s="4"/>
      <c r="B111" s="4"/>
      <c r="C111" s="4"/>
      <c r="D111" s="4"/>
      <c r="E111" s="5"/>
      <c r="F111" s="5" t="str">
        <f>IF($A111="","",SUMIF(Party_Ledger!$B:$B,$A111,Party_Ledger!$F:$F))</f>
        <v/>
      </c>
      <c r="G111" s="5" t="str">
        <f>IF($A111="","",SUMIF(Party_Ledger!$B:$B,$A111,Party_Ledger!$G:$G))</f>
        <v/>
      </c>
      <c r="H111" s="5" t="str">
        <f t="shared" si="2"/>
        <v/>
      </c>
      <c r="I111" s="4" t="str">
        <f t="shared" si="3"/>
        <v/>
      </c>
    </row>
    <row r="112" spans="1:9" x14ac:dyDescent="0.2">
      <c r="A112" s="4"/>
      <c r="B112" s="4"/>
      <c r="C112" s="4"/>
      <c r="D112" s="4"/>
      <c r="E112" s="5"/>
      <c r="F112" s="5" t="str">
        <f>IF($A112="","",SUMIF(Party_Ledger!$B:$B,$A112,Party_Ledger!$F:$F))</f>
        <v/>
      </c>
      <c r="G112" s="5" t="str">
        <f>IF($A112="","",SUMIF(Party_Ledger!$B:$B,$A112,Party_Ledger!$G:$G))</f>
        <v/>
      </c>
      <c r="H112" s="5" t="str">
        <f t="shared" si="2"/>
        <v/>
      </c>
      <c r="I112" s="4" t="str">
        <f t="shared" si="3"/>
        <v/>
      </c>
    </row>
    <row r="113" spans="1:9" x14ac:dyDescent="0.2">
      <c r="A113" s="4"/>
      <c r="B113" s="4"/>
      <c r="C113" s="4"/>
      <c r="D113" s="4"/>
      <c r="E113" s="5"/>
      <c r="F113" s="5" t="str">
        <f>IF($A113="","",SUMIF(Party_Ledger!$B:$B,$A113,Party_Ledger!$F:$F))</f>
        <v/>
      </c>
      <c r="G113" s="5" t="str">
        <f>IF($A113="","",SUMIF(Party_Ledger!$B:$B,$A113,Party_Ledger!$G:$G))</f>
        <v/>
      </c>
      <c r="H113" s="5" t="str">
        <f t="shared" si="2"/>
        <v/>
      </c>
      <c r="I113" s="4" t="str">
        <f t="shared" si="3"/>
        <v/>
      </c>
    </row>
    <row r="114" spans="1:9" x14ac:dyDescent="0.2">
      <c r="A114" s="4"/>
      <c r="B114" s="4"/>
      <c r="C114" s="4"/>
      <c r="D114" s="4"/>
      <c r="E114" s="5"/>
      <c r="F114" s="5" t="str">
        <f>IF($A114="","",SUMIF(Party_Ledger!$B:$B,$A114,Party_Ledger!$F:$F))</f>
        <v/>
      </c>
      <c r="G114" s="5" t="str">
        <f>IF($A114="","",SUMIF(Party_Ledger!$B:$B,$A114,Party_Ledger!$G:$G))</f>
        <v/>
      </c>
      <c r="H114" s="5" t="str">
        <f t="shared" si="2"/>
        <v/>
      </c>
      <c r="I114" s="4" t="str">
        <f t="shared" si="3"/>
        <v/>
      </c>
    </row>
    <row r="115" spans="1:9" x14ac:dyDescent="0.2">
      <c r="A115" s="4"/>
      <c r="B115" s="4"/>
      <c r="C115" s="4"/>
      <c r="D115" s="4"/>
      <c r="E115" s="5"/>
      <c r="F115" s="5" t="str">
        <f>IF($A115="","",SUMIF(Party_Ledger!$B:$B,$A115,Party_Ledger!$F:$F))</f>
        <v/>
      </c>
      <c r="G115" s="5" t="str">
        <f>IF($A115="","",SUMIF(Party_Ledger!$B:$B,$A115,Party_Ledger!$G:$G))</f>
        <v/>
      </c>
      <c r="H115" s="5" t="str">
        <f t="shared" si="2"/>
        <v/>
      </c>
      <c r="I115" s="4" t="str">
        <f t="shared" si="3"/>
        <v/>
      </c>
    </row>
    <row r="116" spans="1:9" x14ac:dyDescent="0.2">
      <c r="A116" s="4"/>
      <c r="B116" s="4"/>
      <c r="C116" s="4"/>
      <c r="D116" s="4"/>
      <c r="E116" s="5"/>
      <c r="F116" s="5" t="str">
        <f>IF($A116="","",SUMIF(Party_Ledger!$B:$B,$A116,Party_Ledger!$F:$F))</f>
        <v/>
      </c>
      <c r="G116" s="5" t="str">
        <f>IF($A116="","",SUMIF(Party_Ledger!$B:$B,$A116,Party_Ledger!$G:$G))</f>
        <v/>
      </c>
      <c r="H116" s="5" t="str">
        <f t="shared" si="2"/>
        <v/>
      </c>
      <c r="I116" s="4" t="str">
        <f t="shared" si="3"/>
        <v/>
      </c>
    </row>
    <row r="117" spans="1:9" x14ac:dyDescent="0.2">
      <c r="A117" s="4"/>
      <c r="B117" s="4"/>
      <c r="C117" s="4"/>
      <c r="D117" s="4"/>
      <c r="E117" s="5"/>
      <c r="F117" s="5" t="str">
        <f>IF($A117="","",SUMIF(Party_Ledger!$B:$B,$A117,Party_Ledger!$F:$F))</f>
        <v/>
      </c>
      <c r="G117" s="5" t="str">
        <f>IF($A117="","",SUMIF(Party_Ledger!$B:$B,$A117,Party_Ledger!$G:$G))</f>
        <v/>
      </c>
      <c r="H117" s="5" t="str">
        <f t="shared" si="2"/>
        <v/>
      </c>
      <c r="I117" s="4" t="str">
        <f t="shared" si="3"/>
        <v/>
      </c>
    </row>
    <row r="118" spans="1:9" x14ac:dyDescent="0.2">
      <c r="A118" s="4"/>
      <c r="B118" s="4"/>
      <c r="C118" s="4"/>
      <c r="D118" s="4"/>
      <c r="E118" s="5"/>
      <c r="F118" s="5" t="str">
        <f>IF($A118="","",SUMIF(Party_Ledger!$B:$B,$A118,Party_Ledger!$F:$F))</f>
        <v/>
      </c>
      <c r="G118" s="5" t="str">
        <f>IF($A118="","",SUMIF(Party_Ledger!$B:$B,$A118,Party_Ledger!$G:$G))</f>
        <v/>
      </c>
      <c r="H118" s="5" t="str">
        <f t="shared" si="2"/>
        <v/>
      </c>
      <c r="I118" s="4" t="str">
        <f t="shared" si="3"/>
        <v/>
      </c>
    </row>
    <row r="119" spans="1:9" x14ac:dyDescent="0.2">
      <c r="A119" s="4"/>
      <c r="B119" s="4"/>
      <c r="C119" s="4"/>
      <c r="D119" s="4"/>
      <c r="E119" s="5"/>
      <c r="F119" s="5" t="str">
        <f>IF($A119="","",SUMIF(Party_Ledger!$B:$B,$A119,Party_Ledger!$F:$F))</f>
        <v/>
      </c>
      <c r="G119" s="5" t="str">
        <f>IF($A119="","",SUMIF(Party_Ledger!$B:$B,$A119,Party_Ledger!$G:$G))</f>
        <v/>
      </c>
      <c r="H119" s="5" t="str">
        <f t="shared" si="2"/>
        <v/>
      </c>
      <c r="I119" s="4" t="str">
        <f t="shared" si="3"/>
        <v/>
      </c>
    </row>
    <row r="120" spans="1:9" x14ac:dyDescent="0.2">
      <c r="A120" s="4"/>
      <c r="B120" s="4"/>
      <c r="C120" s="4"/>
      <c r="D120" s="4"/>
      <c r="E120" s="5"/>
      <c r="F120" s="5" t="str">
        <f>IF($A120="","",SUMIF(Party_Ledger!$B:$B,$A120,Party_Ledger!$F:$F))</f>
        <v/>
      </c>
      <c r="G120" s="5" t="str">
        <f>IF($A120="","",SUMIF(Party_Ledger!$B:$B,$A120,Party_Ledger!$G:$G))</f>
        <v/>
      </c>
      <c r="H120" s="5" t="str">
        <f t="shared" si="2"/>
        <v/>
      </c>
      <c r="I120" s="4" t="str">
        <f t="shared" si="3"/>
        <v/>
      </c>
    </row>
    <row r="121" spans="1:9" x14ac:dyDescent="0.2">
      <c r="A121" s="4"/>
      <c r="B121" s="4"/>
      <c r="C121" s="4"/>
      <c r="D121" s="4"/>
      <c r="E121" s="5"/>
      <c r="F121" s="5" t="str">
        <f>IF($A121="","",SUMIF(Party_Ledger!$B:$B,$A121,Party_Ledger!$F:$F))</f>
        <v/>
      </c>
      <c r="G121" s="5" t="str">
        <f>IF($A121="","",SUMIF(Party_Ledger!$B:$B,$A121,Party_Ledger!$G:$G))</f>
        <v/>
      </c>
      <c r="H121" s="5" t="str">
        <f t="shared" si="2"/>
        <v/>
      </c>
      <c r="I121" s="4" t="str">
        <f t="shared" si="3"/>
        <v/>
      </c>
    </row>
    <row r="122" spans="1:9" x14ac:dyDescent="0.2">
      <c r="A122" s="4"/>
      <c r="B122" s="4"/>
      <c r="C122" s="4"/>
      <c r="D122" s="4"/>
      <c r="E122" s="5"/>
      <c r="F122" s="5" t="str">
        <f>IF($A122="","",SUMIF(Party_Ledger!$B:$B,$A122,Party_Ledger!$F:$F))</f>
        <v/>
      </c>
      <c r="G122" s="5" t="str">
        <f>IF($A122="","",SUMIF(Party_Ledger!$B:$B,$A122,Party_Ledger!$G:$G))</f>
        <v/>
      </c>
      <c r="H122" s="5" t="str">
        <f t="shared" si="2"/>
        <v/>
      </c>
      <c r="I122" s="4" t="str">
        <f t="shared" si="3"/>
        <v/>
      </c>
    </row>
    <row r="123" spans="1:9" x14ac:dyDescent="0.2">
      <c r="A123" s="4"/>
      <c r="B123" s="4"/>
      <c r="C123" s="4"/>
      <c r="D123" s="4"/>
      <c r="E123" s="5"/>
      <c r="F123" s="5" t="str">
        <f>IF($A123="","",SUMIF(Party_Ledger!$B:$B,$A123,Party_Ledger!$F:$F))</f>
        <v/>
      </c>
      <c r="G123" s="5" t="str">
        <f>IF($A123="","",SUMIF(Party_Ledger!$B:$B,$A123,Party_Ledger!$G:$G))</f>
        <v/>
      </c>
      <c r="H123" s="5" t="str">
        <f t="shared" si="2"/>
        <v/>
      </c>
      <c r="I123" s="4" t="str">
        <f t="shared" si="3"/>
        <v/>
      </c>
    </row>
    <row r="124" spans="1:9" x14ac:dyDescent="0.2">
      <c r="A124" s="4"/>
      <c r="B124" s="4"/>
      <c r="C124" s="4"/>
      <c r="D124" s="4"/>
      <c r="E124" s="5"/>
      <c r="F124" s="5" t="str">
        <f>IF($A124="","",SUMIF(Party_Ledger!$B:$B,$A124,Party_Ledger!$F:$F))</f>
        <v/>
      </c>
      <c r="G124" s="5" t="str">
        <f>IF($A124="","",SUMIF(Party_Ledger!$B:$B,$A124,Party_Ledger!$G:$G))</f>
        <v/>
      </c>
      <c r="H124" s="5" t="str">
        <f t="shared" si="2"/>
        <v/>
      </c>
      <c r="I124" s="4" t="str">
        <f t="shared" si="3"/>
        <v/>
      </c>
    </row>
    <row r="125" spans="1:9" x14ac:dyDescent="0.2">
      <c r="A125" s="4"/>
      <c r="B125" s="4"/>
      <c r="C125" s="4"/>
      <c r="D125" s="4"/>
      <c r="E125" s="5"/>
      <c r="F125" s="5" t="str">
        <f>IF($A125="","",SUMIF(Party_Ledger!$B:$B,$A125,Party_Ledger!$F:$F))</f>
        <v/>
      </c>
      <c r="G125" s="5" t="str">
        <f>IF($A125="","",SUMIF(Party_Ledger!$B:$B,$A125,Party_Ledger!$G:$G))</f>
        <v/>
      </c>
      <c r="H125" s="5" t="str">
        <f t="shared" si="2"/>
        <v/>
      </c>
      <c r="I125" s="4" t="str">
        <f t="shared" si="3"/>
        <v/>
      </c>
    </row>
    <row r="126" spans="1:9" x14ac:dyDescent="0.2">
      <c r="A126" s="4"/>
      <c r="B126" s="4"/>
      <c r="C126" s="4"/>
      <c r="D126" s="4"/>
      <c r="E126" s="5"/>
      <c r="F126" s="5" t="str">
        <f>IF($A126="","",SUMIF(Party_Ledger!$B:$B,$A126,Party_Ledger!$F:$F))</f>
        <v/>
      </c>
      <c r="G126" s="5" t="str">
        <f>IF($A126="","",SUMIF(Party_Ledger!$B:$B,$A126,Party_Ledger!$G:$G))</f>
        <v/>
      </c>
      <c r="H126" s="5" t="str">
        <f t="shared" si="2"/>
        <v/>
      </c>
      <c r="I126" s="4" t="str">
        <f t="shared" si="3"/>
        <v/>
      </c>
    </row>
    <row r="127" spans="1:9" x14ac:dyDescent="0.2">
      <c r="A127" s="4"/>
      <c r="B127" s="4"/>
      <c r="C127" s="4"/>
      <c r="D127" s="4"/>
      <c r="E127" s="5"/>
      <c r="F127" s="5" t="str">
        <f>IF($A127="","",SUMIF(Party_Ledger!$B:$B,$A127,Party_Ledger!$F:$F))</f>
        <v/>
      </c>
      <c r="G127" s="5" t="str">
        <f>IF($A127="","",SUMIF(Party_Ledger!$B:$B,$A127,Party_Ledger!$G:$G))</f>
        <v/>
      </c>
      <c r="H127" s="5" t="str">
        <f t="shared" si="2"/>
        <v/>
      </c>
      <c r="I127" s="4" t="str">
        <f t="shared" si="3"/>
        <v/>
      </c>
    </row>
    <row r="128" spans="1:9" x14ac:dyDescent="0.2">
      <c r="A128" s="4"/>
      <c r="B128" s="4"/>
      <c r="C128" s="4"/>
      <c r="D128" s="4"/>
      <c r="E128" s="5"/>
      <c r="F128" s="5" t="str">
        <f>IF($A128="","",SUMIF(Party_Ledger!$B:$B,$A128,Party_Ledger!$F:$F))</f>
        <v/>
      </c>
      <c r="G128" s="5" t="str">
        <f>IF($A128="","",SUMIF(Party_Ledger!$B:$B,$A128,Party_Ledger!$G:$G))</f>
        <v/>
      </c>
      <c r="H128" s="5" t="str">
        <f t="shared" si="2"/>
        <v/>
      </c>
      <c r="I128" s="4" t="str">
        <f t="shared" si="3"/>
        <v/>
      </c>
    </row>
    <row r="129" spans="1:9" x14ac:dyDescent="0.2">
      <c r="A129" s="4"/>
      <c r="B129" s="4"/>
      <c r="C129" s="4"/>
      <c r="D129" s="4"/>
      <c r="E129" s="5"/>
      <c r="F129" s="5" t="str">
        <f>IF($A129="","",SUMIF(Party_Ledger!$B:$B,$A129,Party_Ledger!$F:$F))</f>
        <v/>
      </c>
      <c r="G129" s="5" t="str">
        <f>IF($A129="","",SUMIF(Party_Ledger!$B:$B,$A129,Party_Ledger!$G:$G))</f>
        <v/>
      </c>
      <c r="H129" s="5" t="str">
        <f t="shared" si="2"/>
        <v/>
      </c>
      <c r="I129" s="4" t="str">
        <f t="shared" si="3"/>
        <v/>
      </c>
    </row>
    <row r="130" spans="1:9" x14ac:dyDescent="0.2">
      <c r="A130" s="4"/>
      <c r="B130" s="4"/>
      <c r="C130" s="4"/>
      <c r="D130" s="4"/>
      <c r="E130" s="5"/>
      <c r="F130" s="5" t="str">
        <f>IF($A130="","",SUMIF(Party_Ledger!$B:$B,$A130,Party_Ledger!$F:$F))</f>
        <v/>
      </c>
      <c r="G130" s="5" t="str">
        <f>IF($A130="","",SUMIF(Party_Ledger!$B:$B,$A130,Party_Ledger!$G:$G))</f>
        <v/>
      </c>
      <c r="H130" s="5" t="str">
        <f t="shared" si="2"/>
        <v/>
      </c>
      <c r="I130" s="4" t="str">
        <f t="shared" si="3"/>
        <v/>
      </c>
    </row>
    <row r="131" spans="1:9" x14ac:dyDescent="0.2">
      <c r="A131" s="4"/>
      <c r="B131" s="4"/>
      <c r="C131" s="4"/>
      <c r="D131" s="4"/>
      <c r="E131" s="5"/>
      <c r="F131" s="5" t="str">
        <f>IF($A131="","",SUMIF(Party_Ledger!$B:$B,$A131,Party_Ledger!$F:$F))</f>
        <v/>
      </c>
      <c r="G131" s="5" t="str">
        <f>IF($A131="","",SUMIF(Party_Ledger!$B:$B,$A131,Party_Ledger!$G:$G))</f>
        <v/>
      </c>
      <c r="H131" s="5" t="str">
        <f t="shared" ref="H131:H194" si="4">IF($A131="","",$E131+$F131-$G131)</f>
        <v/>
      </c>
      <c r="I131" s="4" t="str">
        <f t="shared" ref="I131:I194" si="5">IF($A131="","",IF(ROUND($H131,0)=0,"Settled",IF($H131&gt;0,"Outstanding","Advance")))</f>
        <v/>
      </c>
    </row>
    <row r="132" spans="1:9" x14ac:dyDescent="0.2">
      <c r="A132" s="4"/>
      <c r="B132" s="4"/>
      <c r="C132" s="4"/>
      <c r="D132" s="4"/>
      <c r="E132" s="5"/>
      <c r="F132" s="5" t="str">
        <f>IF($A132="","",SUMIF(Party_Ledger!$B:$B,$A132,Party_Ledger!$F:$F))</f>
        <v/>
      </c>
      <c r="G132" s="5" t="str">
        <f>IF($A132="","",SUMIF(Party_Ledger!$B:$B,$A132,Party_Ledger!$G:$G))</f>
        <v/>
      </c>
      <c r="H132" s="5" t="str">
        <f t="shared" si="4"/>
        <v/>
      </c>
      <c r="I132" s="4" t="str">
        <f t="shared" si="5"/>
        <v/>
      </c>
    </row>
    <row r="133" spans="1:9" x14ac:dyDescent="0.2">
      <c r="A133" s="4"/>
      <c r="B133" s="4"/>
      <c r="C133" s="4"/>
      <c r="D133" s="4"/>
      <c r="E133" s="5"/>
      <c r="F133" s="5" t="str">
        <f>IF($A133="","",SUMIF(Party_Ledger!$B:$B,$A133,Party_Ledger!$F:$F))</f>
        <v/>
      </c>
      <c r="G133" s="5" t="str">
        <f>IF($A133="","",SUMIF(Party_Ledger!$B:$B,$A133,Party_Ledger!$G:$G))</f>
        <v/>
      </c>
      <c r="H133" s="5" t="str">
        <f t="shared" si="4"/>
        <v/>
      </c>
      <c r="I133" s="4" t="str">
        <f t="shared" si="5"/>
        <v/>
      </c>
    </row>
    <row r="134" spans="1:9" x14ac:dyDescent="0.2">
      <c r="A134" s="4"/>
      <c r="B134" s="4"/>
      <c r="C134" s="4"/>
      <c r="D134" s="4"/>
      <c r="E134" s="5"/>
      <c r="F134" s="5" t="str">
        <f>IF($A134="","",SUMIF(Party_Ledger!$B:$B,$A134,Party_Ledger!$F:$F))</f>
        <v/>
      </c>
      <c r="G134" s="5" t="str">
        <f>IF($A134="","",SUMIF(Party_Ledger!$B:$B,$A134,Party_Ledger!$G:$G))</f>
        <v/>
      </c>
      <c r="H134" s="5" t="str">
        <f t="shared" si="4"/>
        <v/>
      </c>
      <c r="I134" s="4" t="str">
        <f t="shared" si="5"/>
        <v/>
      </c>
    </row>
    <row r="135" spans="1:9" x14ac:dyDescent="0.2">
      <c r="A135" s="4"/>
      <c r="B135" s="4"/>
      <c r="C135" s="4"/>
      <c r="D135" s="4"/>
      <c r="E135" s="5"/>
      <c r="F135" s="5" t="str">
        <f>IF($A135="","",SUMIF(Party_Ledger!$B:$B,$A135,Party_Ledger!$F:$F))</f>
        <v/>
      </c>
      <c r="G135" s="5" t="str">
        <f>IF($A135="","",SUMIF(Party_Ledger!$B:$B,$A135,Party_Ledger!$G:$G))</f>
        <v/>
      </c>
      <c r="H135" s="5" t="str">
        <f t="shared" si="4"/>
        <v/>
      </c>
      <c r="I135" s="4" t="str">
        <f t="shared" si="5"/>
        <v/>
      </c>
    </row>
    <row r="136" spans="1:9" x14ac:dyDescent="0.2">
      <c r="A136" s="4"/>
      <c r="B136" s="4"/>
      <c r="C136" s="4"/>
      <c r="D136" s="4"/>
      <c r="E136" s="5"/>
      <c r="F136" s="5" t="str">
        <f>IF($A136="","",SUMIF(Party_Ledger!$B:$B,$A136,Party_Ledger!$F:$F))</f>
        <v/>
      </c>
      <c r="G136" s="5" t="str">
        <f>IF($A136="","",SUMIF(Party_Ledger!$B:$B,$A136,Party_Ledger!$G:$G))</f>
        <v/>
      </c>
      <c r="H136" s="5" t="str">
        <f t="shared" si="4"/>
        <v/>
      </c>
      <c r="I136" s="4" t="str">
        <f t="shared" si="5"/>
        <v/>
      </c>
    </row>
    <row r="137" spans="1:9" x14ac:dyDescent="0.2">
      <c r="A137" s="4"/>
      <c r="B137" s="4"/>
      <c r="C137" s="4"/>
      <c r="D137" s="4"/>
      <c r="E137" s="5"/>
      <c r="F137" s="5" t="str">
        <f>IF($A137="","",SUMIF(Party_Ledger!$B:$B,$A137,Party_Ledger!$F:$F))</f>
        <v/>
      </c>
      <c r="G137" s="5" t="str">
        <f>IF($A137="","",SUMIF(Party_Ledger!$B:$B,$A137,Party_Ledger!$G:$G))</f>
        <v/>
      </c>
      <c r="H137" s="5" t="str">
        <f t="shared" si="4"/>
        <v/>
      </c>
      <c r="I137" s="4" t="str">
        <f t="shared" si="5"/>
        <v/>
      </c>
    </row>
    <row r="138" spans="1:9" x14ac:dyDescent="0.2">
      <c r="A138" s="4"/>
      <c r="B138" s="4"/>
      <c r="C138" s="4"/>
      <c r="D138" s="4"/>
      <c r="E138" s="5"/>
      <c r="F138" s="5" t="str">
        <f>IF($A138="","",SUMIF(Party_Ledger!$B:$B,$A138,Party_Ledger!$F:$F))</f>
        <v/>
      </c>
      <c r="G138" s="5" t="str">
        <f>IF($A138="","",SUMIF(Party_Ledger!$B:$B,$A138,Party_Ledger!$G:$G))</f>
        <v/>
      </c>
      <c r="H138" s="5" t="str">
        <f t="shared" si="4"/>
        <v/>
      </c>
      <c r="I138" s="4" t="str">
        <f t="shared" si="5"/>
        <v/>
      </c>
    </row>
    <row r="139" spans="1:9" x14ac:dyDescent="0.2">
      <c r="A139" s="4"/>
      <c r="B139" s="4"/>
      <c r="C139" s="4"/>
      <c r="D139" s="4"/>
      <c r="E139" s="5"/>
      <c r="F139" s="5" t="str">
        <f>IF($A139="","",SUMIF(Party_Ledger!$B:$B,$A139,Party_Ledger!$F:$F))</f>
        <v/>
      </c>
      <c r="G139" s="5" t="str">
        <f>IF($A139="","",SUMIF(Party_Ledger!$B:$B,$A139,Party_Ledger!$G:$G))</f>
        <v/>
      </c>
      <c r="H139" s="5" t="str">
        <f t="shared" si="4"/>
        <v/>
      </c>
      <c r="I139" s="4" t="str">
        <f t="shared" si="5"/>
        <v/>
      </c>
    </row>
    <row r="140" spans="1:9" x14ac:dyDescent="0.2">
      <c r="A140" s="4"/>
      <c r="B140" s="4"/>
      <c r="C140" s="4"/>
      <c r="D140" s="4"/>
      <c r="E140" s="5"/>
      <c r="F140" s="5" t="str">
        <f>IF($A140="","",SUMIF(Party_Ledger!$B:$B,$A140,Party_Ledger!$F:$F))</f>
        <v/>
      </c>
      <c r="G140" s="5" t="str">
        <f>IF($A140="","",SUMIF(Party_Ledger!$B:$B,$A140,Party_Ledger!$G:$G))</f>
        <v/>
      </c>
      <c r="H140" s="5" t="str">
        <f t="shared" si="4"/>
        <v/>
      </c>
      <c r="I140" s="4" t="str">
        <f t="shared" si="5"/>
        <v/>
      </c>
    </row>
    <row r="141" spans="1:9" x14ac:dyDescent="0.2">
      <c r="A141" s="4"/>
      <c r="B141" s="4"/>
      <c r="C141" s="4"/>
      <c r="D141" s="4"/>
      <c r="E141" s="5"/>
      <c r="F141" s="5" t="str">
        <f>IF($A141="","",SUMIF(Party_Ledger!$B:$B,$A141,Party_Ledger!$F:$F))</f>
        <v/>
      </c>
      <c r="G141" s="5" t="str">
        <f>IF($A141="","",SUMIF(Party_Ledger!$B:$B,$A141,Party_Ledger!$G:$G))</f>
        <v/>
      </c>
      <c r="H141" s="5" t="str">
        <f t="shared" si="4"/>
        <v/>
      </c>
      <c r="I141" s="4" t="str">
        <f t="shared" si="5"/>
        <v/>
      </c>
    </row>
    <row r="142" spans="1:9" x14ac:dyDescent="0.2">
      <c r="A142" s="4"/>
      <c r="B142" s="4"/>
      <c r="C142" s="4"/>
      <c r="D142" s="4"/>
      <c r="E142" s="5"/>
      <c r="F142" s="5" t="str">
        <f>IF($A142="","",SUMIF(Party_Ledger!$B:$B,$A142,Party_Ledger!$F:$F))</f>
        <v/>
      </c>
      <c r="G142" s="5" t="str">
        <f>IF($A142="","",SUMIF(Party_Ledger!$B:$B,$A142,Party_Ledger!$G:$G))</f>
        <v/>
      </c>
      <c r="H142" s="5" t="str">
        <f t="shared" si="4"/>
        <v/>
      </c>
      <c r="I142" s="4" t="str">
        <f t="shared" si="5"/>
        <v/>
      </c>
    </row>
    <row r="143" spans="1:9" x14ac:dyDescent="0.2">
      <c r="A143" s="4"/>
      <c r="B143" s="4"/>
      <c r="C143" s="4"/>
      <c r="D143" s="4"/>
      <c r="E143" s="5"/>
      <c r="F143" s="5" t="str">
        <f>IF($A143="","",SUMIF(Party_Ledger!$B:$B,$A143,Party_Ledger!$F:$F))</f>
        <v/>
      </c>
      <c r="G143" s="5" t="str">
        <f>IF($A143="","",SUMIF(Party_Ledger!$B:$B,$A143,Party_Ledger!$G:$G))</f>
        <v/>
      </c>
      <c r="H143" s="5" t="str">
        <f t="shared" si="4"/>
        <v/>
      </c>
      <c r="I143" s="4" t="str">
        <f t="shared" si="5"/>
        <v/>
      </c>
    </row>
    <row r="144" spans="1:9" x14ac:dyDescent="0.2">
      <c r="A144" s="4"/>
      <c r="B144" s="4"/>
      <c r="C144" s="4"/>
      <c r="D144" s="4"/>
      <c r="E144" s="5"/>
      <c r="F144" s="5" t="str">
        <f>IF($A144="","",SUMIF(Party_Ledger!$B:$B,$A144,Party_Ledger!$F:$F))</f>
        <v/>
      </c>
      <c r="G144" s="5" t="str">
        <f>IF($A144="","",SUMIF(Party_Ledger!$B:$B,$A144,Party_Ledger!$G:$G))</f>
        <v/>
      </c>
      <c r="H144" s="5" t="str">
        <f t="shared" si="4"/>
        <v/>
      </c>
      <c r="I144" s="4" t="str">
        <f t="shared" si="5"/>
        <v/>
      </c>
    </row>
    <row r="145" spans="1:9" x14ac:dyDescent="0.2">
      <c r="A145" s="4"/>
      <c r="B145" s="4"/>
      <c r="C145" s="4"/>
      <c r="D145" s="4"/>
      <c r="E145" s="5"/>
      <c r="F145" s="5" t="str">
        <f>IF($A145="","",SUMIF(Party_Ledger!$B:$B,$A145,Party_Ledger!$F:$F))</f>
        <v/>
      </c>
      <c r="G145" s="5" t="str">
        <f>IF($A145="","",SUMIF(Party_Ledger!$B:$B,$A145,Party_Ledger!$G:$G))</f>
        <v/>
      </c>
      <c r="H145" s="5" t="str">
        <f t="shared" si="4"/>
        <v/>
      </c>
      <c r="I145" s="4" t="str">
        <f t="shared" si="5"/>
        <v/>
      </c>
    </row>
    <row r="146" spans="1:9" x14ac:dyDescent="0.2">
      <c r="A146" s="4"/>
      <c r="B146" s="4"/>
      <c r="C146" s="4"/>
      <c r="D146" s="4"/>
      <c r="E146" s="5"/>
      <c r="F146" s="5" t="str">
        <f>IF($A146="","",SUMIF(Party_Ledger!$B:$B,$A146,Party_Ledger!$F:$F))</f>
        <v/>
      </c>
      <c r="G146" s="5" t="str">
        <f>IF($A146="","",SUMIF(Party_Ledger!$B:$B,$A146,Party_Ledger!$G:$G))</f>
        <v/>
      </c>
      <c r="H146" s="5" t="str">
        <f t="shared" si="4"/>
        <v/>
      </c>
      <c r="I146" s="4" t="str">
        <f t="shared" si="5"/>
        <v/>
      </c>
    </row>
    <row r="147" spans="1:9" x14ac:dyDescent="0.2">
      <c r="A147" s="4"/>
      <c r="B147" s="4"/>
      <c r="C147" s="4"/>
      <c r="D147" s="4"/>
      <c r="E147" s="5"/>
      <c r="F147" s="5" t="str">
        <f>IF($A147="","",SUMIF(Party_Ledger!$B:$B,$A147,Party_Ledger!$F:$F))</f>
        <v/>
      </c>
      <c r="G147" s="5" t="str">
        <f>IF($A147="","",SUMIF(Party_Ledger!$B:$B,$A147,Party_Ledger!$G:$G))</f>
        <v/>
      </c>
      <c r="H147" s="5" t="str">
        <f t="shared" si="4"/>
        <v/>
      </c>
      <c r="I147" s="4" t="str">
        <f t="shared" si="5"/>
        <v/>
      </c>
    </row>
    <row r="148" spans="1:9" x14ac:dyDescent="0.2">
      <c r="A148" s="4"/>
      <c r="B148" s="4"/>
      <c r="C148" s="4"/>
      <c r="D148" s="4"/>
      <c r="E148" s="5"/>
      <c r="F148" s="5" t="str">
        <f>IF($A148="","",SUMIF(Party_Ledger!$B:$B,$A148,Party_Ledger!$F:$F))</f>
        <v/>
      </c>
      <c r="G148" s="5" t="str">
        <f>IF($A148="","",SUMIF(Party_Ledger!$B:$B,$A148,Party_Ledger!$G:$G))</f>
        <v/>
      </c>
      <c r="H148" s="5" t="str">
        <f t="shared" si="4"/>
        <v/>
      </c>
      <c r="I148" s="4" t="str">
        <f t="shared" si="5"/>
        <v/>
      </c>
    </row>
    <row r="149" spans="1:9" x14ac:dyDescent="0.2">
      <c r="A149" s="4"/>
      <c r="B149" s="4"/>
      <c r="C149" s="4"/>
      <c r="D149" s="4"/>
      <c r="E149" s="5"/>
      <c r="F149" s="5" t="str">
        <f>IF($A149="","",SUMIF(Party_Ledger!$B:$B,$A149,Party_Ledger!$F:$F))</f>
        <v/>
      </c>
      <c r="G149" s="5" t="str">
        <f>IF($A149="","",SUMIF(Party_Ledger!$B:$B,$A149,Party_Ledger!$G:$G))</f>
        <v/>
      </c>
      <c r="H149" s="5" t="str">
        <f t="shared" si="4"/>
        <v/>
      </c>
      <c r="I149" s="4" t="str">
        <f t="shared" si="5"/>
        <v/>
      </c>
    </row>
    <row r="150" spans="1:9" x14ac:dyDescent="0.2">
      <c r="A150" s="4"/>
      <c r="B150" s="4"/>
      <c r="C150" s="4"/>
      <c r="D150" s="4"/>
      <c r="E150" s="5"/>
      <c r="F150" s="5" t="str">
        <f>IF($A150="","",SUMIF(Party_Ledger!$B:$B,$A150,Party_Ledger!$F:$F))</f>
        <v/>
      </c>
      <c r="G150" s="5" t="str">
        <f>IF($A150="","",SUMIF(Party_Ledger!$B:$B,$A150,Party_Ledger!$G:$G))</f>
        <v/>
      </c>
      <c r="H150" s="5" t="str">
        <f t="shared" si="4"/>
        <v/>
      </c>
      <c r="I150" s="4" t="str">
        <f t="shared" si="5"/>
        <v/>
      </c>
    </row>
    <row r="151" spans="1:9" x14ac:dyDescent="0.2">
      <c r="A151" s="4"/>
      <c r="B151" s="4"/>
      <c r="C151" s="4"/>
      <c r="D151" s="4"/>
      <c r="E151" s="5"/>
      <c r="F151" s="5" t="str">
        <f>IF($A151="","",SUMIF(Party_Ledger!$B:$B,$A151,Party_Ledger!$F:$F))</f>
        <v/>
      </c>
      <c r="G151" s="5" t="str">
        <f>IF($A151="","",SUMIF(Party_Ledger!$B:$B,$A151,Party_Ledger!$G:$G))</f>
        <v/>
      </c>
      <c r="H151" s="5" t="str">
        <f t="shared" si="4"/>
        <v/>
      </c>
      <c r="I151" s="4" t="str">
        <f t="shared" si="5"/>
        <v/>
      </c>
    </row>
    <row r="152" spans="1:9" x14ac:dyDescent="0.2">
      <c r="A152" s="4"/>
      <c r="B152" s="4"/>
      <c r="C152" s="4"/>
      <c r="D152" s="4"/>
      <c r="E152" s="5"/>
      <c r="F152" s="5" t="str">
        <f>IF($A152="","",SUMIF(Party_Ledger!$B:$B,$A152,Party_Ledger!$F:$F))</f>
        <v/>
      </c>
      <c r="G152" s="5" t="str">
        <f>IF($A152="","",SUMIF(Party_Ledger!$B:$B,$A152,Party_Ledger!$G:$G))</f>
        <v/>
      </c>
      <c r="H152" s="5" t="str">
        <f t="shared" si="4"/>
        <v/>
      </c>
      <c r="I152" s="4" t="str">
        <f t="shared" si="5"/>
        <v/>
      </c>
    </row>
    <row r="153" spans="1:9" x14ac:dyDescent="0.2">
      <c r="A153" s="4"/>
      <c r="B153" s="4"/>
      <c r="C153" s="4"/>
      <c r="D153" s="4"/>
      <c r="E153" s="5"/>
      <c r="F153" s="5" t="str">
        <f>IF($A153="","",SUMIF(Party_Ledger!$B:$B,$A153,Party_Ledger!$F:$F))</f>
        <v/>
      </c>
      <c r="G153" s="5" t="str">
        <f>IF($A153="","",SUMIF(Party_Ledger!$B:$B,$A153,Party_Ledger!$G:$G))</f>
        <v/>
      </c>
      <c r="H153" s="5" t="str">
        <f t="shared" si="4"/>
        <v/>
      </c>
      <c r="I153" s="4" t="str">
        <f t="shared" si="5"/>
        <v/>
      </c>
    </row>
    <row r="154" spans="1:9" x14ac:dyDescent="0.2">
      <c r="A154" s="4"/>
      <c r="B154" s="4"/>
      <c r="C154" s="4"/>
      <c r="D154" s="4"/>
      <c r="E154" s="5"/>
      <c r="F154" s="5" t="str">
        <f>IF($A154="","",SUMIF(Party_Ledger!$B:$B,$A154,Party_Ledger!$F:$F))</f>
        <v/>
      </c>
      <c r="G154" s="5" t="str">
        <f>IF($A154="","",SUMIF(Party_Ledger!$B:$B,$A154,Party_Ledger!$G:$G))</f>
        <v/>
      </c>
      <c r="H154" s="5" t="str">
        <f t="shared" si="4"/>
        <v/>
      </c>
      <c r="I154" s="4" t="str">
        <f t="shared" si="5"/>
        <v/>
      </c>
    </row>
    <row r="155" spans="1:9" x14ac:dyDescent="0.2">
      <c r="A155" s="4"/>
      <c r="B155" s="4"/>
      <c r="C155" s="4"/>
      <c r="D155" s="4"/>
      <c r="E155" s="5"/>
      <c r="F155" s="5" t="str">
        <f>IF($A155="","",SUMIF(Party_Ledger!$B:$B,$A155,Party_Ledger!$F:$F))</f>
        <v/>
      </c>
      <c r="G155" s="5" t="str">
        <f>IF($A155="","",SUMIF(Party_Ledger!$B:$B,$A155,Party_Ledger!$G:$G))</f>
        <v/>
      </c>
      <c r="H155" s="5" t="str">
        <f t="shared" si="4"/>
        <v/>
      </c>
      <c r="I155" s="4" t="str">
        <f t="shared" si="5"/>
        <v/>
      </c>
    </row>
    <row r="156" spans="1:9" x14ac:dyDescent="0.2">
      <c r="A156" s="4"/>
      <c r="B156" s="4"/>
      <c r="C156" s="4"/>
      <c r="D156" s="4"/>
      <c r="E156" s="5"/>
      <c r="F156" s="5" t="str">
        <f>IF($A156="","",SUMIF(Party_Ledger!$B:$B,$A156,Party_Ledger!$F:$F))</f>
        <v/>
      </c>
      <c r="G156" s="5" t="str">
        <f>IF($A156="","",SUMIF(Party_Ledger!$B:$B,$A156,Party_Ledger!$G:$G))</f>
        <v/>
      </c>
      <c r="H156" s="5" t="str">
        <f t="shared" si="4"/>
        <v/>
      </c>
      <c r="I156" s="4" t="str">
        <f t="shared" si="5"/>
        <v/>
      </c>
    </row>
    <row r="157" spans="1:9" x14ac:dyDescent="0.2">
      <c r="A157" s="4"/>
      <c r="B157" s="4"/>
      <c r="C157" s="4"/>
      <c r="D157" s="4"/>
      <c r="E157" s="5"/>
      <c r="F157" s="5" t="str">
        <f>IF($A157="","",SUMIF(Party_Ledger!$B:$B,$A157,Party_Ledger!$F:$F))</f>
        <v/>
      </c>
      <c r="G157" s="5" t="str">
        <f>IF($A157="","",SUMIF(Party_Ledger!$B:$B,$A157,Party_Ledger!$G:$G))</f>
        <v/>
      </c>
      <c r="H157" s="5" t="str">
        <f t="shared" si="4"/>
        <v/>
      </c>
      <c r="I157" s="4" t="str">
        <f t="shared" si="5"/>
        <v/>
      </c>
    </row>
    <row r="158" spans="1:9" x14ac:dyDescent="0.2">
      <c r="A158" s="4"/>
      <c r="B158" s="4"/>
      <c r="C158" s="4"/>
      <c r="D158" s="4"/>
      <c r="E158" s="5"/>
      <c r="F158" s="5" t="str">
        <f>IF($A158="","",SUMIF(Party_Ledger!$B:$B,$A158,Party_Ledger!$F:$F))</f>
        <v/>
      </c>
      <c r="G158" s="5" t="str">
        <f>IF($A158="","",SUMIF(Party_Ledger!$B:$B,$A158,Party_Ledger!$G:$G))</f>
        <v/>
      </c>
      <c r="H158" s="5" t="str">
        <f t="shared" si="4"/>
        <v/>
      </c>
      <c r="I158" s="4" t="str">
        <f t="shared" si="5"/>
        <v/>
      </c>
    </row>
    <row r="159" spans="1:9" x14ac:dyDescent="0.2">
      <c r="A159" s="4"/>
      <c r="B159" s="4"/>
      <c r="C159" s="4"/>
      <c r="D159" s="4"/>
      <c r="E159" s="5"/>
      <c r="F159" s="5" t="str">
        <f>IF($A159="","",SUMIF(Party_Ledger!$B:$B,$A159,Party_Ledger!$F:$F))</f>
        <v/>
      </c>
      <c r="G159" s="5" t="str">
        <f>IF($A159="","",SUMIF(Party_Ledger!$B:$B,$A159,Party_Ledger!$G:$G))</f>
        <v/>
      </c>
      <c r="H159" s="5" t="str">
        <f t="shared" si="4"/>
        <v/>
      </c>
      <c r="I159" s="4" t="str">
        <f t="shared" si="5"/>
        <v/>
      </c>
    </row>
    <row r="160" spans="1:9" x14ac:dyDescent="0.2">
      <c r="A160" s="4"/>
      <c r="B160" s="4"/>
      <c r="C160" s="4"/>
      <c r="D160" s="4"/>
      <c r="E160" s="5"/>
      <c r="F160" s="5" t="str">
        <f>IF($A160="","",SUMIF(Party_Ledger!$B:$B,$A160,Party_Ledger!$F:$F))</f>
        <v/>
      </c>
      <c r="G160" s="5" t="str">
        <f>IF($A160="","",SUMIF(Party_Ledger!$B:$B,$A160,Party_Ledger!$G:$G))</f>
        <v/>
      </c>
      <c r="H160" s="5" t="str">
        <f t="shared" si="4"/>
        <v/>
      </c>
      <c r="I160" s="4" t="str">
        <f t="shared" si="5"/>
        <v/>
      </c>
    </row>
    <row r="161" spans="1:9" x14ac:dyDescent="0.2">
      <c r="A161" s="4"/>
      <c r="B161" s="4"/>
      <c r="C161" s="4"/>
      <c r="D161" s="4"/>
      <c r="E161" s="5"/>
      <c r="F161" s="5" t="str">
        <f>IF($A161="","",SUMIF(Party_Ledger!$B:$B,$A161,Party_Ledger!$F:$F))</f>
        <v/>
      </c>
      <c r="G161" s="5" t="str">
        <f>IF($A161="","",SUMIF(Party_Ledger!$B:$B,$A161,Party_Ledger!$G:$G))</f>
        <v/>
      </c>
      <c r="H161" s="5" t="str">
        <f t="shared" si="4"/>
        <v/>
      </c>
      <c r="I161" s="4" t="str">
        <f t="shared" si="5"/>
        <v/>
      </c>
    </row>
    <row r="162" spans="1:9" x14ac:dyDescent="0.2">
      <c r="A162" s="4"/>
      <c r="B162" s="4"/>
      <c r="C162" s="4"/>
      <c r="D162" s="4"/>
      <c r="E162" s="5"/>
      <c r="F162" s="5" t="str">
        <f>IF($A162="","",SUMIF(Party_Ledger!$B:$B,$A162,Party_Ledger!$F:$F))</f>
        <v/>
      </c>
      <c r="G162" s="5" t="str">
        <f>IF($A162="","",SUMIF(Party_Ledger!$B:$B,$A162,Party_Ledger!$G:$G))</f>
        <v/>
      </c>
      <c r="H162" s="5" t="str">
        <f t="shared" si="4"/>
        <v/>
      </c>
      <c r="I162" s="4" t="str">
        <f t="shared" si="5"/>
        <v/>
      </c>
    </row>
    <row r="163" spans="1:9" x14ac:dyDescent="0.2">
      <c r="A163" s="4"/>
      <c r="B163" s="4"/>
      <c r="C163" s="4"/>
      <c r="D163" s="4"/>
      <c r="E163" s="5"/>
      <c r="F163" s="5" t="str">
        <f>IF($A163="","",SUMIF(Party_Ledger!$B:$B,$A163,Party_Ledger!$F:$F))</f>
        <v/>
      </c>
      <c r="G163" s="5" t="str">
        <f>IF($A163="","",SUMIF(Party_Ledger!$B:$B,$A163,Party_Ledger!$G:$G))</f>
        <v/>
      </c>
      <c r="H163" s="5" t="str">
        <f t="shared" si="4"/>
        <v/>
      </c>
      <c r="I163" s="4" t="str">
        <f t="shared" si="5"/>
        <v/>
      </c>
    </row>
    <row r="164" spans="1:9" x14ac:dyDescent="0.2">
      <c r="A164" s="4"/>
      <c r="B164" s="4"/>
      <c r="C164" s="4"/>
      <c r="D164" s="4"/>
      <c r="E164" s="5"/>
      <c r="F164" s="5" t="str">
        <f>IF($A164="","",SUMIF(Party_Ledger!$B:$B,$A164,Party_Ledger!$F:$F))</f>
        <v/>
      </c>
      <c r="G164" s="5" t="str">
        <f>IF($A164="","",SUMIF(Party_Ledger!$B:$B,$A164,Party_Ledger!$G:$G))</f>
        <v/>
      </c>
      <c r="H164" s="5" t="str">
        <f t="shared" si="4"/>
        <v/>
      </c>
      <c r="I164" s="4" t="str">
        <f t="shared" si="5"/>
        <v/>
      </c>
    </row>
    <row r="165" spans="1:9" x14ac:dyDescent="0.2">
      <c r="A165" s="4"/>
      <c r="B165" s="4"/>
      <c r="C165" s="4"/>
      <c r="D165" s="4"/>
      <c r="E165" s="5"/>
      <c r="F165" s="5" t="str">
        <f>IF($A165="","",SUMIF(Party_Ledger!$B:$B,$A165,Party_Ledger!$F:$F))</f>
        <v/>
      </c>
      <c r="G165" s="5" t="str">
        <f>IF($A165="","",SUMIF(Party_Ledger!$B:$B,$A165,Party_Ledger!$G:$G))</f>
        <v/>
      </c>
      <c r="H165" s="5" t="str">
        <f t="shared" si="4"/>
        <v/>
      </c>
      <c r="I165" s="4" t="str">
        <f t="shared" si="5"/>
        <v/>
      </c>
    </row>
    <row r="166" spans="1:9" x14ac:dyDescent="0.2">
      <c r="A166" s="4"/>
      <c r="B166" s="4"/>
      <c r="C166" s="4"/>
      <c r="D166" s="4"/>
      <c r="E166" s="5"/>
      <c r="F166" s="5" t="str">
        <f>IF($A166="","",SUMIF(Party_Ledger!$B:$B,$A166,Party_Ledger!$F:$F))</f>
        <v/>
      </c>
      <c r="G166" s="5" t="str">
        <f>IF($A166="","",SUMIF(Party_Ledger!$B:$B,$A166,Party_Ledger!$G:$G))</f>
        <v/>
      </c>
      <c r="H166" s="5" t="str">
        <f t="shared" si="4"/>
        <v/>
      </c>
      <c r="I166" s="4" t="str">
        <f t="shared" si="5"/>
        <v/>
      </c>
    </row>
    <row r="167" spans="1:9" x14ac:dyDescent="0.2">
      <c r="A167" s="4"/>
      <c r="B167" s="4"/>
      <c r="C167" s="4"/>
      <c r="D167" s="4"/>
      <c r="E167" s="5"/>
      <c r="F167" s="5" t="str">
        <f>IF($A167="","",SUMIF(Party_Ledger!$B:$B,$A167,Party_Ledger!$F:$F))</f>
        <v/>
      </c>
      <c r="G167" s="5" t="str">
        <f>IF($A167="","",SUMIF(Party_Ledger!$B:$B,$A167,Party_Ledger!$G:$G))</f>
        <v/>
      </c>
      <c r="H167" s="5" t="str">
        <f t="shared" si="4"/>
        <v/>
      </c>
      <c r="I167" s="4" t="str">
        <f t="shared" si="5"/>
        <v/>
      </c>
    </row>
    <row r="168" spans="1:9" x14ac:dyDescent="0.2">
      <c r="A168" s="4"/>
      <c r="B168" s="4"/>
      <c r="C168" s="4"/>
      <c r="D168" s="4"/>
      <c r="E168" s="5"/>
      <c r="F168" s="5" t="str">
        <f>IF($A168="","",SUMIF(Party_Ledger!$B:$B,$A168,Party_Ledger!$F:$F))</f>
        <v/>
      </c>
      <c r="G168" s="5" t="str">
        <f>IF($A168="","",SUMIF(Party_Ledger!$B:$B,$A168,Party_Ledger!$G:$G))</f>
        <v/>
      </c>
      <c r="H168" s="5" t="str">
        <f t="shared" si="4"/>
        <v/>
      </c>
      <c r="I168" s="4" t="str">
        <f t="shared" si="5"/>
        <v/>
      </c>
    </row>
    <row r="169" spans="1:9" x14ac:dyDescent="0.2">
      <c r="A169" s="4"/>
      <c r="B169" s="4"/>
      <c r="C169" s="4"/>
      <c r="D169" s="4"/>
      <c r="E169" s="5"/>
      <c r="F169" s="5" t="str">
        <f>IF($A169="","",SUMIF(Party_Ledger!$B:$B,$A169,Party_Ledger!$F:$F))</f>
        <v/>
      </c>
      <c r="G169" s="5" t="str">
        <f>IF($A169="","",SUMIF(Party_Ledger!$B:$B,$A169,Party_Ledger!$G:$G))</f>
        <v/>
      </c>
      <c r="H169" s="5" t="str">
        <f t="shared" si="4"/>
        <v/>
      </c>
      <c r="I169" s="4" t="str">
        <f t="shared" si="5"/>
        <v/>
      </c>
    </row>
    <row r="170" spans="1:9" x14ac:dyDescent="0.2">
      <c r="A170" s="4"/>
      <c r="B170" s="4"/>
      <c r="C170" s="4"/>
      <c r="D170" s="4"/>
      <c r="E170" s="5"/>
      <c r="F170" s="5" t="str">
        <f>IF($A170="","",SUMIF(Party_Ledger!$B:$B,$A170,Party_Ledger!$F:$F))</f>
        <v/>
      </c>
      <c r="G170" s="5" t="str">
        <f>IF($A170="","",SUMIF(Party_Ledger!$B:$B,$A170,Party_Ledger!$G:$G))</f>
        <v/>
      </c>
      <c r="H170" s="5" t="str">
        <f t="shared" si="4"/>
        <v/>
      </c>
      <c r="I170" s="4" t="str">
        <f t="shared" si="5"/>
        <v/>
      </c>
    </row>
    <row r="171" spans="1:9" x14ac:dyDescent="0.2">
      <c r="A171" s="4"/>
      <c r="B171" s="4"/>
      <c r="C171" s="4"/>
      <c r="D171" s="4"/>
      <c r="E171" s="5"/>
      <c r="F171" s="5" t="str">
        <f>IF($A171="","",SUMIF(Party_Ledger!$B:$B,$A171,Party_Ledger!$F:$F))</f>
        <v/>
      </c>
      <c r="G171" s="5" t="str">
        <f>IF($A171="","",SUMIF(Party_Ledger!$B:$B,$A171,Party_Ledger!$G:$G))</f>
        <v/>
      </c>
      <c r="H171" s="5" t="str">
        <f t="shared" si="4"/>
        <v/>
      </c>
      <c r="I171" s="4" t="str">
        <f t="shared" si="5"/>
        <v/>
      </c>
    </row>
    <row r="172" spans="1:9" x14ac:dyDescent="0.2">
      <c r="A172" s="4"/>
      <c r="B172" s="4"/>
      <c r="C172" s="4"/>
      <c r="D172" s="4"/>
      <c r="E172" s="5"/>
      <c r="F172" s="5" t="str">
        <f>IF($A172="","",SUMIF(Party_Ledger!$B:$B,$A172,Party_Ledger!$F:$F))</f>
        <v/>
      </c>
      <c r="G172" s="5" t="str">
        <f>IF($A172="","",SUMIF(Party_Ledger!$B:$B,$A172,Party_Ledger!$G:$G))</f>
        <v/>
      </c>
      <c r="H172" s="5" t="str">
        <f t="shared" si="4"/>
        <v/>
      </c>
      <c r="I172" s="4" t="str">
        <f t="shared" si="5"/>
        <v/>
      </c>
    </row>
    <row r="173" spans="1:9" x14ac:dyDescent="0.2">
      <c r="A173" s="4"/>
      <c r="B173" s="4"/>
      <c r="C173" s="4"/>
      <c r="D173" s="4"/>
      <c r="E173" s="5"/>
      <c r="F173" s="5" t="str">
        <f>IF($A173="","",SUMIF(Party_Ledger!$B:$B,$A173,Party_Ledger!$F:$F))</f>
        <v/>
      </c>
      <c r="G173" s="5" t="str">
        <f>IF($A173="","",SUMIF(Party_Ledger!$B:$B,$A173,Party_Ledger!$G:$G))</f>
        <v/>
      </c>
      <c r="H173" s="5" t="str">
        <f t="shared" si="4"/>
        <v/>
      </c>
      <c r="I173" s="4" t="str">
        <f t="shared" si="5"/>
        <v/>
      </c>
    </row>
    <row r="174" spans="1:9" x14ac:dyDescent="0.2">
      <c r="A174" s="4"/>
      <c r="B174" s="4"/>
      <c r="C174" s="4"/>
      <c r="D174" s="4"/>
      <c r="E174" s="5"/>
      <c r="F174" s="5" t="str">
        <f>IF($A174="","",SUMIF(Party_Ledger!$B:$B,$A174,Party_Ledger!$F:$F))</f>
        <v/>
      </c>
      <c r="G174" s="5" t="str">
        <f>IF($A174="","",SUMIF(Party_Ledger!$B:$B,$A174,Party_Ledger!$G:$G))</f>
        <v/>
      </c>
      <c r="H174" s="5" t="str">
        <f t="shared" si="4"/>
        <v/>
      </c>
      <c r="I174" s="4" t="str">
        <f t="shared" si="5"/>
        <v/>
      </c>
    </row>
    <row r="175" spans="1:9" x14ac:dyDescent="0.2">
      <c r="A175" s="4"/>
      <c r="B175" s="4"/>
      <c r="C175" s="4"/>
      <c r="D175" s="4"/>
      <c r="E175" s="5"/>
      <c r="F175" s="5" t="str">
        <f>IF($A175="","",SUMIF(Party_Ledger!$B:$B,$A175,Party_Ledger!$F:$F))</f>
        <v/>
      </c>
      <c r="G175" s="5" t="str">
        <f>IF($A175="","",SUMIF(Party_Ledger!$B:$B,$A175,Party_Ledger!$G:$G))</f>
        <v/>
      </c>
      <c r="H175" s="5" t="str">
        <f t="shared" si="4"/>
        <v/>
      </c>
      <c r="I175" s="4" t="str">
        <f t="shared" si="5"/>
        <v/>
      </c>
    </row>
    <row r="176" spans="1:9" x14ac:dyDescent="0.2">
      <c r="A176" s="4"/>
      <c r="B176" s="4"/>
      <c r="C176" s="4"/>
      <c r="D176" s="4"/>
      <c r="E176" s="5"/>
      <c r="F176" s="5" t="str">
        <f>IF($A176="","",SUMIF(Party_Ledger!$B:$B,$A176,Party_Ledger!$F:$F))</f>
        <v/>
      </c>
      <c r="G176" s="5" t="str">
        <f>IF($A176="","",SUMIF(Party_Ledger!$B:$B,$A176,Party_Ledger!$G:$G))</f>
        <v/>
      </c>
      <c r="H176" s="5" t="str">
        <f t="shared" si="4"/>
        <v/>
      </c>
      <c r="I176" s="4" t="str">
        <f t="shared" si="5"/>
        <v/>
      </c>
    </row>
    <row r="177" spans="1:9" x14ac:dyDescent="0.2">
      <c r="A177" s="4"/>
      <c r="B177" s="4"/>
      <c r="C177" s="4"/>
      <c r="D177" s="4"/>
      <c r="E177" s="5"/>
      <c r="F177" s="5" t="str">
        <f>IF($A177="","",SUMIF(Party_Ledger!$B:$B,$A177,Party_Ledger!$F:$F))</f>
        <v/>
      </c>
      <c r="G177" s="5" t="str">
        <f>IF($A177="","",SUMIF(Party_Ledger!$B:$B,$A177,Party_Ledger!$G:$G))</f>
        <v/>
      </c>
      <c r="H177" s="5" t="str">
        <f t="shared" si="4"/>
        <v/>
      </c>
      <c r="I177" s="4" t="str">
        <f t="shared" si="5"/>
        <v/>
      </c>
    </row>
    <row r="178" spans="1:9" x14ac:dyDescent="0.2">
      <c r="A178" s="4"/>
      <c r="B178" s="4"/>
      <c r="C178" s="4"/>
      <c r="D178" s="4"/>
      <c r="E178" s="5"/>
      <c r="F178" s="5" t="str">
        <f>IF($A178="","",SUMIF(Party_Ledger!$B:$B,$A178,Party_Ledger!$F:$F))</f>
        <v/>
      </c>
      <c r="G178" s="5" t="str">
        <f>IF($A178="","",SUMIF(Party_Ledger!$B:$B,$A178,Party_Ledger!$G:$G))</f>
        <v/>
      </c>
      <c r="H178" s="5" t="str">
        <f t="shared" si="4"/>
        <v/>
      </c>
      <c r="I178" s="4" t="str">
        <f t="shared" si="5"/>
        <v/>
      </c>
    </row>
    <row r="179" spans="1:9" x14ac:dyDescent="0.2">
      <c r="A179" s="4"/>
      <c r="B179" s="4"/>
      <c r="C179" s="4"/>
      <c r="D179" s="4"/>
      <c r="E179" s="5"/>
      <c r="F179" s="5" t="str">
        <f>IF($A179="","",SUMIF(Party_Ledger!$B:$B,$A179,Party_Ledger!$F:$F))</f>
        <v/>
      </c>
      <c r="G179" s="5" t="str">
        <f>IF($A179="","",SUMIF(Party_Ledger!$B:$B,$A179,Party_Ledger!$G:$G))</f>
        <v/>
      </c>
      <c r="H179" s="5" t="str">
        <f t="shared" si="4"/>
        <v/>
      </c>
      <c r="I179" s="4" t="str">
        <f t="shared" si="5"/>
        <v/>
      </c>
    </row>
    <row r="180" spans="1:9" x14ac:dyDescent="0.2">
      <c r="A180" s="4"/>
      <c r="B180" s="4"/>
      <c r="C180" s="4"/>
      <c r="D180" s="4"/>
      <c r="E180" s="5"/>
      <c r="F180" s="5" t="str">
        <f>IF($A180="","",SUMIF(Party_Ledger!$B:$B,$A180,Party_Ledger!$F:$F))</f>
        <v/>
      </c>
      <c r="G180" s="5" t="str">
        <f>IF($A180="","",SUMIF(Party_Ledger!$B:$B,$A180,Party_Ledger!$G:$G))</f>
        <v/>
      </c>
      <c r="H180" s="5" t="str">
        <f t="shared" si="4"/>
        <v/>
      </c>
      <c r="I180" s="4" t="str">
        <f t="shared" si="5"/>
        <v/>
      </c>
    </row>
    <row r="181" spans="1:9" x14ac:dyDescent="0.2">
      <c r="A181" s="4"/>
      <c r="B181" s="4"/>
      <c r="C181" s="4"/>
      <c r="D181" s="4"/>
      <c r="E181" s="5"/>
      <c r="F181" s="5" t="str">
        <f>IF($A181="","",SUMIF(Party_Ledger!$B:$B,$A181,Party_Ledger!$F:$F))</f>
        <v/>
      </c>
      <c r="G181" s="5" t="str">
        <f>IF($A181="","",SUMIF(Party_Ledger!$B:$B,$A181,Party_Ledger!$G:$G))</f>
        <v/>
      </c>
      <c r="H181" s="5" t="str">
        <f t="shared" si="4"/>
        <v/>
      </c>
      <c r="I181" s="4" t="str">
        <f t="shared" si="5"/>
        <v/>
      </c>
    </row>
    <row r="182" spans="1:9" x14ac:dyDescent="0.2">
      <c r="A182" s="4"/>
      <c r="B182" s="4"/>
      <c r="C182" s="4"/>
      <c r="D182" s="4"/>
      <c r="E182" s="5"/>
      <c r="F182" s="5" t="str">
        <f>IF($A182="","",SUMIF(Party_Ledger!$B:$B,$A182,Party_Ledger!$F:$F))</f>
        <v/>
      </c>
      <c r="G182" s="5" t="str">
        <f>IF($A182="","",SUMIF(Party_Ledger!$B:$B,$A182,Party_Ledger!$G:$G))</f>
        <v/>
      </c>
      <c r="H182" s="5" t="str">
        <f t="shared" si="4"/>
        <v/>
      </c>
      <c r="I182" s="4" t="str">
        <f t="shared" si="5"/>
        <v/>
      </c>
    </row>
    <row r="183" spans="1:9" x14ac:dyDescent="0.2">
      <c r="A183" s="4"/>
      <c r="B183" s="4"/>
      <c r="C183" s="4"/>
      <c r="D183" s="4"/>
      <c r="E183" s="5"/>
      <c r="F183" s="5" t="str">
        <f>IF($A183="","",SUMIF(Party_Ledger!$B:$B,$A183,Party_Ledger!$F:$F))</f>
        <v/>
      </c>
      <c r="G183" s="5" t="str">
        <f>IF($A183="","",SUMIF(Party_Ledger!$B:$B,$A183,Party_Ledger!$G:$G))</f>
        <v/>
      </c>
      <c r="H183" s="5" t="str">
        <f t="shared" si="4"/>
        <v/>
      </c>
      <c r="I183" s="4" t="str">
        <f t="shared" si="5"/>
        <v/>
      </c>
    </row>
    <row r="184" spans="1:9" x14ac:dyDescent="0.2">
      <c r="A184" s="4"/>
      <c r="B184" s="4"/>
      <c r="C184" s="4"/>
      <c r="D184" s="4"/>
      <c r="E184" s="5"/>
      <c r="F184" s="5" t="str">
        <f>IF($A184="","",SUMIF(Party_Ledger!$B:$B,$A184,Party_Ledger!$F:$F))</f>
        <v/>
      </c>
      <c r="G184" s="5" t="str">
        <f>IF($A184="","",SUMIF(Party_Ledger!$B:$B,$A184,Party_Ledger!$G:$G))</f>
        <v/>
      </c>
      <c r="H184" s="5" t="str">
        <f t="shared" si="4"/>
        <v/>
      </c>
      <c r="I184" s="4" t="str">
        <f t="shared" si="5"/>
        <v/>
      </c>
    </row>
    <row r="185" spans="1:9" x14ac:dyDescent="0.2">
      <c r="A185" s="4"/>
      <c r="B185" s="4"/>
      <c r="C185" s="4"/>
      <c r="D185" s="4"/>
      <c r="E185" s="5"/>
      <c r="F185" s="5" t="str">
        <f>IF($A185="","",SUMIF(Party_Ledger!$B:$B,$A185,Party_Ledger!$F:$F))</f>
        <v/>
      </c>
      <c r="G185" s="5" t="str">
        <f>IF($A185="","",SUMIF(Party_Ledger!$B:$B,$A185,Party_Ledger!$G:$G))</f>
        <v/>
      </c>
      <c r="H185" s="5" t="str">
        <f t="shared" si="4"/>
        <v/>
      </c>
      <c r="I185" s="4" t="str">
        <f t="shared" si="5"/>
        <v/>
      </c>
    </row>
    <row r="186" spans="1:9" x14ac:dyDescent="0.2">
      <c r="A186" s="4"/>
      <c r="B186" s="4"/>
      <c r="C186" s="4"/>
      <c r="D186" s="4"/>
      <c r="E186" s="5"/>
      <c r="F186" s="5" t="str">
        <f>IF($A186="","",SUMIF(Party_Ledger!$B:$B,$A186,Party_Ledger!$F:$F))</f>
        <v/>
      </c>
      <c r="G186" s="5" t="str">
        <f>IF($A186="","",SUMIF(Party_Ledger!$B:$B,$A186,Party_Ledger!$G:$G))</f>
        <v/>
      </c>
      <c r="H186" s="5" t="str">
        <f t="shared" si="4"/>
        <v/>
      </c>
      <c r="I186" s="4" t="str">
        <f t="shared" si="5"/>
        <v/>
      </c>
    </row>
    <row r="187" spans="1:9" x14ac:dyDescent="0.2">
      <c r="A187" s="4"/>
      <c r="B187" s="4"/>
      <c r="C187" s="4"/>
      <c r="D187" s="4"/>
      <c r="E187" s="5"/>
      <c r="F187" s="5" t="str">
        <f>IF($A187="","",SUMIF(Party_Ledger!$B:$B,$A187,Party_Ledger!$F:$F))</f>
        <v/>
      </c>
      <c r="G187" s="5" t="str">
        <f>IF($A187="","",SUMIF(Party_Ledger!$B:$B,$A187,Party_Ledger!$G:$G))</f>
        <v/>
      </c>
      <c r="H187" s="5" t="str">
        <f t="shared" si="4"/>
        <v/>
      </c>
      <c r="I187" s="4" t="str">
        <f t="shared" si="5"/>
        <v/>
      </c>
    </row>
    <row r="188" spans="1:9" x14ac:dyDescent="0.2">
      <c r="A188" s="4"/>
      <c r="B188" s="4"/>
      <c r="C188" s="4"/>
      <c r="D188" s="4"/>
      <c r="E188" s="5"/>
      <c r="F188" s="5" t="str">
        <f>IF($A188="","",SUMIF(Party_Ledger!$B:$B,$A188,Party_Ledger!$F:$F))</f>
        <v/>
      </c>
      <c r="G188" s="5" t="str">
        <f>IF($A188="","",SUMIF(Party_Ledger!$B:$B,$A188,Party_Ledger!$G:$G))</f>
        <v/>
      </c>
      <c r="H188" s="5" t="str">
        <f t="shared" si="4"/>
        <v/>
      </c>
      <c r="I188" s="4" t="str">
        <f t="shared" si="5"/>
        <v/>
      </c>
    </row>
    <row r="189" spans="1:9" x14ac:dyDescent="0.2">
      <c r="A189" s="4"/>
      <c r="B189" s="4"/>
      <c r="C189" s="4"/>
      <c r="D189" s="4"/>
      <c r="E189" s="5"/>
      <c r="F189" s="5" t="str">
        <f>IF($A189="","",SUMIF(Party_Ledger!$B:$B,$A189,Party_Ledger!$F:$F))</f>
        <v/>
      </c>
      <c r="G189" s="5" t="str">
        <f>IF($A189="","",SUMIF(Party_Ledger!$B:$B,$A189,Party_Ledger!$G:$G))</f>
        <v/>
      </c>
      <c r="H189" s="5" t="str">
        <f t="shared" si="4"/>
        <v/>
      </c>
      <c r="I189" s="4" t="str">
        <f t="shared" si="5"/>
        <v/>
      </c>
    </row>
    <row r="190" spans="1:9" x14ac:dyDescent="0.2">
      <c r="A190" s="4"/>
      <c r="B190" s="4"/>
      <c r="C190" s="4"/>
      <c r="D190" s="4"/>
      <c r="E190" s="5"/>
      <c r="F190" s="5" t="str">
        <f>IF($A190="","",SUMIF(Party_Ledger!$B:$B,$A190,Party_Ledger!$F:$F))</f>
        <v/>
      </c>
      <c r="G190" s="5" t="str">
        <f>IF($A190="","",SUMIF(Party_Ledger!$B:$B,$A190,Party_Ledger!$G:$G))</f>
        <v/>
      </c>
      <c r="H190" s="5" t="str">
        <f t="shared" si="4"/>
        <v/>
      </c>
      <c r="I190" s="4" t="str">
        <f t="shared" si="5"/>
        <v/>
      </c>
    </row>
    <row r="191" spans="1:9" x14ac:dyDescent="0.2">
      <c r="A191" s="4"/>
      <c r="B191" s="4"/>
      <c r="C191" s="4"/>
      <c r="D191" s="4"/>
      <c r="E191" s="5"/>
      <c r="F191" s="5" t="str">
        <f>IF($A191="","",SUMIF(Party_Ledger!$B:$B,$A191,Party_Ledger!$F:$F))</f>
        <v/>
      </c>
      <c r="G191" s="5" t="str">
        <f>IF($A191="","",SUMIF(Party_Ledger!$B:$B,$A191,Party_Ledger!$G:$G))</f>
        <v/>
      </c>
      <c r="H191" s="5" t="str">
        <f t="shared" si="4"/>
        <v/>
      </c>
      <c r="I191" s="4" t="str">
        <f t="shared" si="5"/>
        <v/>
      </c>
    </row>
    <row r="192" spans="1:9" x14ac:dyDescent="0.2">
      <c r="A192" s="4"/>
      <c r="B192" s="4"/>
      <c r="C192" s="4"/>
      <c r="D192" s="4"/>
      <c r="E192" s="5"/>
      <c r="F192" s="5" t="str">
        <f>IF($A192="","",SUMIF(Party_Ledger!$B:$B,$A192,Party_Ledger!$F:$F))</f>
        <v/>
      </c>
      <c r="G192" s="5" t="str">
        <f>IF($A192="","",SUMIF(Party_Ledger!$B:$B,$A192,Party_Ledger!$G:$G))</f>
        <v/>
      </c>
      <c r="H192" s="5" t="str">
        <f t="shared" si="4"/>
        <v/>
      </c>
      <c r="I192" s="4" t="str">
        <f t="shared" si="5"/>
        <v/>
      </c>
    </row>
    <row r="193" spans="1:9" x14ac:dyDescent="0.2">
      <c r="A193" s="4"/>
      <c r="B193" s="4"/>
      <c r="C193" s="4"/>
      <c r="D193" s="4"/>
      <c r="E193" s="5"/>
      <c r="F193" s="5" t="str">
        <f>IF($A193="","",SUMIF(Party_Ledger!$B:$B,$A193,Party_Ledger!$F:$F))</f>
        <v/>
      </c>
      <c r="G193" s="5" t="str">
        <f>IF($A193="","",SUMIF(Party_Ledger!$B:$B,$A193,Party_Ledger!$G:$G))</f>
        <v/>
      </c>
      <c r="H193" s="5" t="str">
        <f t="shared" si="4"/>
        <v/>
      </c>
      <c r="I193" s="4" t="str">
        <f t="shared" si="5"/>
        <v/>
      </c>
    </row>
    <row r="194" spans="1:9" x14ac:dyDescent="0.2">
      <c r="A194" s="4"/>
      <c r="B194" s="4"/>
      <c r="C194" s="4"/>
      <c r="D194" s="4"/>
      <c r="E194" s="5"/>
      <c r="F194" s="5" t="str">
        <f>IF($A194="","",SUMIF(Party_Ledger!$B:$B,$A194,Party_Ledger!$F:$F))</f>
        <v/>
      </c>
      <c r="G194" s="5" t="str">
        <f>IF($A194="","",SUMIF(Party_Ledger!$B:$B,$A194,Party_Ledger!$G:$G))</f>
        <v/>
      </c>
      <c r="H194" s="5" t="str">
        <f t="shared" si="4"/>
        <v/>
      </c>
      <c r="I194" s="4" t="str">
        <f t="shared" si="5"/>
        <v/>
      </c>
    </row>
    <row r="195" spans="1:9" x14ac:dyDescent="0.2">
      <c r="A195" s="4"/>
      <c r="B195" s="4"/>
      <c r="C195" s="4"/>
      <c r="D195" s="4"/>
      <c r="E195" s="5"/>
      <c r="F195" s="5" t="str">
        <f>IF($A195="","",SUMIF(Party_Ledger!$B:$B,$A195,Party_Ledger!$F:$F))</f>
        <v/>
      </c>
      <c r="G195" s="5" t="str">
        <f>IF($A195="","",SUMIF(Party_Ledger!$B:$B,$A195,Party_Ledger!$G:$G))</f>
        <v/>
      </c>
      <c r="H195" s="5" t="str">
        <f t="shared" ref="H195:H258" si="6">IF($A195="","",$E195+$F195-$G195)</f>
        <v/>
      </c>
      <c r="I195" s="4" t="str">
        <f t="shared" ref="I195:I258" si="7">IF($A195="","",IF(ROUND($H195,0)=0,"Settled",IF($H195&gt;0,"Outstanding","Advance")))</f>
        <v/>
      </c>
    </row>
    <row r="196" spans="1:9" x14ac:dyDescent="0.2">
      <c r="A196" s="4"/>
      <c r="B196" s="4"/>
      <c r="C196" s="4"/>
      <c r="D196" s="4"/>
      <c r="E196" s="5"/>
      <c r="F196" s="5" t="str">
        <f>IF($A196="","",SUMIF(Party_Ledger!$B:$B,$A196,Party_Ledger!$F:$F))</f>
        <v/>
      </c>
      <c r="G196" s="5" t="str">
        <f>IF($A196="","",SUMIF(Party_Ledger!$B:$B,$A196,Party_Ledger!$G:$G))</f>
        <v/>
      </c>
      <c r="H196" s="5" t="str">
        <f t="shared" si="6"/>
        <v/>
      </c>
      <c r="I196" s="4" t="str">
        <f t="shared" si="7"/>
        <v/>
      </c>
    </row>
    <row r="197" spans="1:9" x14ac:dyDescent="0.2">
      <c r="A197" s="4"/>
      <c r="B197" s="4"/>
      <c r="C197" s="4"/>
      <c r="D197" s="4"/>
      <c r="E197" s="5"/>
      <c r="F197" s="5" t="str">
        <f>IF($A197="","",SUMIF(Party_Ledger!$B:$B,$A197,Party_Ledger!$F:$F))</f>
        <v/>
      </c>
      <c r="G197" s="5" t="str">
        <f>IF($A197="","",SUMIF(Party_Ledger!$B:$B,$A197,Party_Ledger!$G:$G))</f>
        <v/>
      </c>
      <c r="H197" s="5" t="str">
        <f t="shared" si="6"/>
        <v/>
      </c>
      <c r="I197" s="4" t="str">
        <f t="shared" si="7"/>
        <v/>
      </c>
    </row>
    <row r="198" spans="1:9" x14ac:dyDescent="0.2">
      <c r="A198" s="4"/>
      <c r="B198" s="4"/>
      <c r="C198" s="4"/>
      <c r="D198" s="4"/>
      <c r="E198" s="5"/>
      <c r="F198" s="5" t="str">
        <f>IF($A198="","",SUMIF(Party_Ledger!$B:$B,$A198,Party_Ledger!$F:$F))</f>
        <v/>
      </c>
      <c r="G198" s="5" t="str">
        <f>IF($A198="","",SUMIF(Party_Ledger!$B:$B,$A198,Party_Ledger!$G:$G))</f>
        <v/>
      </c>
      <c r="H198" s="5" t="str">
        <f t="shared" si="6"/>
        <v/>
      </c>
      <c r="I198" s="4" t="str">
        <f t="shared" si="7"/>
        <v/>
      </c>
    </row>
    <row r="199" spans="1:9" x14ac:dyDescent="0.2">
      <c r="A199" s="4"/>
      <c r="B199" s="4"/>
      <c r="C199" s="4"/>
      <c r="D199" s="4"/>
      <c r="E199" s="5"/>
      <c r="F199" s="5" t="str">
        <f>IF($A199="","",SUMIF(Party_Ledger!$B:$B,$A199,Party_Ledger!$F:$F))</f>
        <v/>
      </c>
      <c r="G199" s="5" t="str">
        <f>IF($A199="","",SUMIF(Party_Ledger!$B:$B,$A199,Party_Ledger!$G:$G))</f>
        <v/>
      </c>
      <c r="H199" s="5" t="str">
        <f t="shared" si="6"/>
        <v/>
      </c>
      <c r="I199" s="4" t="str">
        <f t="shared" si="7"/>
        <v/>
      </c>
    </row>
    <row r="200" spans="1:9" x14ac:dyDescent="0.2">
      <c r="A200" s="4"/>
      <c r="B200" s="4"/>
      <c r="C200" s="4"/>
      <c r="D200" s="4"/>
      <c r="E200" s="5"/>
      <c r="F200" s="5" t="str">
        <f>IF($A200="","",SUMIF(Party_Ledger!$B:$B,$A200,Party_Ledger!$F:$F))</f>
        <v/>
      </c>
      <c r="G200" s="5" t="str">
        <f>IF($A200="","",SUMIF(Party_Ledger!$B:$B,$A200,Party_Ledger!$G:$G))</f>
        <v/>
      </c>
      <c r="H200" s="5" t="str">
        <f t="shared" si="6"/>
        <v/>
      </c>
      <c r="I200" s="4" t="str">
        <f t="shared" si="7"/>
        <v/>
      </c>
    </row>
    <row r="201" spans="1:9" x14ac:dyDescent="0.2">
      <c r="A201" s="4"/>
      <c r="B201" s="4"/>
      <c r="C201" s="4"/>
      <c r="D201" s="4"/>
      <c r="E201" s="5"/>
      <c r="F201" s="5" t="str">
        <f>IF($A201="","",SUMIF(Party_Ledger!$B:$B,$A201,Party_Ledger!$F:$F))</f>
        <v/>
      </c>
      <c r="G201" s="5" t="str">
        <f>IF($A201="","",SUMIF(Party_Ledger!$B:$B,$A201,Party_Ledger!$G:$G))</f>
        <v/>
      </c>
      <c r="H201" s="5" t="str">
        <f t="shared" si="6"/>
        <v/>
      </c>
      <c r="I201" s="4" t="str">
        <f t="shared" si="7"/>
        <v/>
      </c>
    </row>
    <row r="202" spans="1:9" x14ac:dyDescent="0.2">
      <c r="A202" s="4"/>
      <c r="B202" s="4"/>
      <c r="C202" s="4"/>
      <c r="D202" s="4"/>
      <c r="E202" s="5"/>
      <c r="F202" s="5" t="str">
        <f>IF($A202="","",SUMIF(Party_Ledger!$B:$B,$A202,Party_Ledger!$F:$F))</f>
        <v/>
      </c>
      <c r="G202" s="5" t="str">
        <f>IF($A202="","",SUMIF(Party_Ledger!$B:$B,$A202,Party_Ledger!$G:$G))</f>
        <v/>
      </c>
      <c r="H202" s="5" t="str">
        <f t="shared" si="6"/>
        <v/>
      </c>
      <c r="I202" s="4" t="str">
        <f t="shared" si="7"/>
        <v/>
      </c>
    </row>
    <row r="203" spans="1:9" x14ac:dyDescent="0.2">
      <c r="A203" s="4"/>
      <c r="B203" s="4"/>
      <c r="C203" s="4"/>
      <c r="D203" s="4"/>
      <c r="E203" s="5"/>
      <c r="F203" s="5" t="str">
        <f>IF($A203="","",SUMIF(Party_Ledger!$B:$B,$A203,Party_Ledger!$F:$F))</f>
        <v/>
      </c>
      <c r="G203" s="5" t="str">
        <f>IF($A203="","",SUMIF(Party_Ledger!$B:$B,$A203,Party_Ledger!$G:$G))</f>
        <v/>
      </c>
      <c r="H203" s="5" t="str">
        <f t="shared" si="6"/>
        <v/>
      </c>
      <c r="I203" s="4" t="str">
        <f t="shared" si="7"/>
        <v/>
      </c>
    </row>
    <row r="204" spans="1:9" x14ac:dyDescent="0.2">
      <c r="A204" s="4"/>
      <c r="B204" s="4"/>
      <c r="C204" s="4"/>
      <c r="D204" s="4"/>
      <c r="E204" s="5"/>
      <c r="F204" s="5" t="str">
        <f>IF($A204="","",SUMIF(Party_Ledger!$B:$B,$A204,Party_Ledger!$F:$F))</f>
        <v/>
      </c>
      <c r="G204" s="5" t="str">
        <f>IF($A204="","",SUMIF(Party_Ledger!$B:$B,$A204,Party_Ledger!$G:$G))</f>
        <v/>
      </c>
      <c r="H204" s="5" t="str">
        <f t="shared" si="6"/>
        <v/>
      </c>
      <c r="I204" s="4" t="str">
        <f t="shared" si="7"/>
        <v/>
      </c>
    </row>
    <row r="205" spans="1:9" x14ac:dyDescent="0.2">
      <c r="A205" s="4"/>
      <c r="B205" s="4"/>
      <c r="C205" s="4"/>
      <c r="D205" s="4"/>
      <c r="E205" s="5"/>
      <c r="F205" s="5" t="str">
        <f>IF($A205="","",SUMIF(Party_Ledger!$B:$B,$A205,Party_Ledger!$F:$F))</f>
        <v/>
      </c>
      <c r="G205" s="5" t="str">
        <f>IF($A205="","",SUMIF(Party_Ledger!$B:$B,$A205,Party_Ledger!$G:$G))</f>
        <v/>
      </c>
      <c r="H205" s="5" t="str">
        <f t="shared" si="6"/>
        <v/>
      </c>
      <c r="I205" s="4" t="str">
        <f t="shared" si="7"/>
        <v/>
      </c>
    </row>
    <row r="206" spans="1:9" x14ac:dyDescent="0.2">
      <c r="A206" s="4"/>
      <c r="B206" s="4"/>
      <c r="C206" s="4"/>
      <c r="D206" s="4"/>
      <c r="E206" s="5"/>
      <c r="F206" s="5" t="str">
        <f>IF($A206="","",SUMIF(Party_Ledger!$B:$B,$A206,Party_Ledger!$F:$F))</f>
        <v/>
      </c>
      <c r="G206" s="5" t="str">
        <f>IF($A206="","",SUMIF(Party_Ledger!$B:$B,$A206,Party_Ledger!$G:$G))</f>
        <v/>
      </c>
      <c r="H206" s="5" t="str">
        <f t="shared" si="6"/>
        <v/>
      </c>
      <c r="I206" s="4" t="str">
        <f t="shared" si="7"/>
        <v/>
      </c>
    </row>
    <row r="207" spans="1:9" x14ac:dyDescent="0.2">
      <c r="A207" s="4"/>
      <c r="B207" s="4"/>
      <c r="C207" s="4"/>
      <c r="D207" s="4"/>
      <c r="E207" s="5"/>
      <c r="F207" s="5" t="str">
        <f>IF($A207="","",SUMIF(Party_Ledger!$B:$B,$A207,Party_Ledger!$F:$F))</f>
        <v/>
      </c>
      <c r="G207" s="5" t="str">
        <f>IF($A207="","",SUMIF(Party_Ledger!$B:$B,$A207,Party_Ledger!$G:$G))</f>
        <v/>
      </c>
      <c r="H207" s="5" t="str">
        <f t="shared" si="6"/>
        <v/>
      </c>
      <c r="I207" s="4" t="str">
        <f t="shared" si="7"/>
        <v/>
      </c>
    </row>
    <row r="208" spans="1:9" x14ac:dyDescent="0.2">
      <c r="A208" s="4"/>
      <c r="B208" s="4"/>
      <c r="C208" s="4"/>
      <c r="D208" s="4"/>
      <c r="E208" s="5"/>
      <c r="F208" s="5" t="str">
        <f>IF($A208="","",SUMIF(Party_Ledger!$B:$B,$A208,Party_Ledger!$F:$F))</f>
        <v/>
      </c>
      <c r="G208" s="5" t="str">
        <f>IF($A208="","",SUMIF(Party_Ledger!$B:$B,$A208,Party_Ledger!$G:$G))</f>
        <v/>
      </c>
      <c r="H208" s="5" t="str">
        <f t="shared" si="6"/>
        <v/>
      </c>
      <c r="I208" s="4" t="str">
        <f t="shared" si="7"/>
        <v/>
      </c>
    </row>
    <row r="209" spans="1:9" x14ac:dyDescent="0.2">
      <c r="A209" s="4"/>
      <c r="B209" s="4"/>
      <c r="C209" s="4"/>
      <c r="D209" s="4"/>
      <c r="E209" s="5"/>
      <c r="F209" s="5" t="str">
        <f>IF($A209="","",SUMIF(Party_Ledger!$B:$B,$A209,Party_Ledger!$F:$F))</f>
        <v/>
      </c>
      <c r="G209" s="5" t="str">
        <f>IF($A209="","",SUMIF(Party_Ledger!$B:$B,$A209,Party_Ledger!$G:$G))</f>
        <v/>
      </c>
      <c r="H209" s="5" t="str">
        <f t="shared" si="6"/>
        <v/>
      </c>
      <c r="I209" s="4" t="str">
        <f t="shared" si="7"/>
        <v/>
      </c>
    </row>
    <row r="210" spans="1:9" x14ac:dyDescent="0.2">
      <c r="A210" s="4"/>
      <c r="B210" s="4"/>
      <c r="C210" s="4"/>
      <c r="D210" s="4"/>
      <c r="E210" s="5"/>
      <c r="F210" s="5" t="str">
        <f>IF($A210="","",SUMIF(Party_Ledger!$B:$B,$A210,Party_Ledger!$F:$F))</f>
        <v/>
      </c>
      <c r="G210" s="5" t="str">
        <f>IF($A210="","",SUMIF(Party_Ledger!$B:$B,$A210,Party_Ledger!$G:$G))</f>
        <v/>
      </c>
      <c r="H210" s="5" t="str">
        <f t="shared" si="6"/>
        <v/>
      </c>
      <c r="I210" s="4" t="str">
        <f t="shared" si="7"/>
        <v/>
      </c>
    </row>
    <row r="211" spans="1:9" x14ac:dyDescent="0.2">
      <c r="A211" s="4"/>
      <c r="B211" s="4"/>
      <c r="C211" s="4"/>
      <c r="D211" s="4"/>
      <c r="E211" s="5"/>
      <c r="F211" s="5" t="str">
        <f>IF($A211="","",SUMIF(Party_Ledger!$B:$B,$A211,Party_Ledger!$F:$F))</f>
        <v/>
      </c>
      <c r="G211" s="5" t="str">
        <f>IF($A211="","",SUMIF(Party_Ledger!$B:$B,$A211,Party_Ledger!$G:$G))</f>
        <v/>
      </c>
      <c r="H211" s="5" t="str">
        <f t="shared" si="6"/>
        <v/>
      </c>
      <c r="I211" s="4" t="str">
        <f t="shared" si="7"/>
        <v/>
      </c>
    </row>
    <row r="212" spans="1:9" x14ac:dyDescent="0.2">
      <c r="A212" s="4"/>
      <c r="B212" s="4"/>
      <c r="C212" s="4"/>
      <c r="D212" s="4"/>
      <c r="E212" s="5"/>
      <c r="F212" s="5" t="str">
        <f>IF($A212="","",SUMIF(Party_Ledger!$B:$B,$A212,Party_Ledger!$F:$F))</f>
        <v/>
      </c>
      <c r="G212" s="5" t="str">
        <f>IF($A212="","",SUMIF(Party_Ledger!$B:$B,$A212,Party_Ledger!$G:$G))</f>
        <v/>
      </c>
      <c r="H212" s="5" t="str">
        <f t="shared" si="6"/>
        <v/>
      </c>
      <c r="I212" s="4" t="str">
        <f t="shared" si="7"/>
        <v/>
      </c>
    </row>
    <row r="213" spans="1:9" x14ac:dyDescent="0.2">
      <c r="A213" s="4"/>
      <c r="B213" s="4"/>
      <c r="C213" s="4"/>
      <c r="D213" s="4"/>
      <c r="E213" s="5"/>
      <c r="F213" s="5" t="str">
        <f>IF($A213="","",SUMIF(Party_Ledger!$B:$B,$A213,Party_Ledger!$F:$F))</f>
        <v/>
      </c>
      <c r="G213" s="5" t="str">
        <f>IF($A213="","",SUMIF(Party_Ledger!$B:$B,$A213,Party_Ledger!$G:$G))</f>
        <v/>
      </c>
      <c r="H213" s="5" t="str">
        <f t="shared" si="6"/>
        <v/>
      </c>
      <c r="I213" s="4" t="str">
        <f t="shared" si="7"/>
        <v/>
      </c>
    </row>
    <row r="214" spans="1:9" x14ac:dyDescent="0.2">
      <c r="A214" s="4"/>
      <c r="B214" s="4"/>
      <c r="C214" s="4"/>
      <c r="D214" s="4"/>
      <c r="E214" s="5"/>
      <c r="F214" s="5" t="str">
        <f>IF($A214="","",SUMIF(Party_Ledger!$B:$B,$A214,Party_Ledger!$F:$F))</f>
        <v/>
      </c>
      <c r="G214" s="5" t="str">
        <f>IF($A214="","",SUMIF(Party_Ledger!$B:$B,$A214,Party_Ledger!$G:$G))</f>
        <v/>
      </c>
      <c r="H214" s="5" t="str">
        <f t="shared" si="6"/>
        <v/>
      </c>
      <c r="I214" s="4" t="str">
        <f t="shared" si="7"/>
        <v/>
      </c>
    </row>
    <row r="215" spans="1:9" x14ac:dyDescent="0.2">
      <c r="A215" s="4"/>
      <c r="B215" s="4"/>
      <c r="C215" s="4"/>
      <c r="D215" s="4"/>
      <c r="E215" s="5"/>
      <c r="F215" s="5" t="str">
        <f>IF($A215="","",SUMIF(Party_Ledger!$B:$B,$A215,Party_Ledger!$F:$F))</f>
        <v/>
      </c>
      <c r="G215" s="5" t="str">
        <f>IF($A215="","",SUMIF(Party_Ledger!$B:$B,$A215,Party_Ledger!$G:$G))</f>
        <v/>
      </c>
      <c r="H215" s="5" t="str">
        <f t="shared" si="6"/>
        <v/>
      </c>
      <c r="I215" s="4" t="str">
        <f t="shared" si="7"/>
        <v/>
      </c>
    </row>
    <row r="216" spans="1:9" x14ac:dyDescent="0.2">
      <c r="A216" s="4"/>
      <c r="B216" s="4"/>
      <c r="C216" s="4"/>
      <c r="D216" s="4"/>
      <c r="E216" s="5"/>
      <c r="F216" s="5" t="str">
        <f>IF($A216="","",SUMIF(Party_Ledger!$B:$B,$A216,Party_Ledger!$F:$F))</f>
        <v/>
      </c>
      <c r="G216" s="5" t="str">
        <f>IF($A216="","",SUMIF(Party_Ledger!$B:$B,$A216,Party_Ledger!$G:$G))</f>
        <v/>
      </c>
      <c r="H216" s="5" t="str">
        <f t="shared" si="6"/>
        <v/>
      </c>
      <c r="I216" s="4" t="str">
        <f t="shared" si="7"/>
        <v/>
      </c>
    </row>
    <row r="217" spans="1:9" x14ac:dyDescent="0.2">
      <c r="A217" s="4"/>
      <c r="B217" s="4"/>
      <c r="C217" s="4"/>
      <c r="D217" s="4"/>
      <c r="E217" s="5"/>
      <c r="F217" s="5" t="str">
        <f>IF($A217="","",SUMIF(Party_Ledger!$B:$B,$A217,Party_Ledger!$F:$F))</f>
        <v/>
      </c>
      <c r="G217" s="5" t="str">
        <f>IF($A217="","",SUMIF(Party_Ledger!$B:$B,$A217,Party_Ledger!$G:$G))</f>
        <v/>
      </c>
      <c r="H217" s="5" t="str">
        <f t="shared" si="6"/>
        <v/>
      </c>
      <c r="I217" s="4" t="str">
        <f t="shared" si="7"/>
        <v/>
      </c>
    </row>
    <row r="218" spans="1:9" x14ac:dyDescent="0.2">
      <c r="A218" s="4"/>
      <c r="B218" s="4"/>
      <c r="C218" s="4"/>
      <c r="D218" s="4"/>
      <c r="E218" s="5"/>
      <c r="F218" s="5" t="str">
        <f>IF($A218="","",SUMIF(Party_Ledger!$B:$B,$A218,Party_Ledger!$F:$F))</f>
        <v/>
      </c>
      <c r="G218" s="5" t="str">
        <f>IF($A218="","",SUMIF(Party_Ledger!$B:$B,$A218,Party_Ledger!$G:$G))</f>
        <v/>
      </c>
      <c r="H218" s="5" t="str">
        <f t="shared" si="6"/>
        <v/>
      </c>
      <c r="I218" s="4" t="str">
        <f t="shared" si="7"/>
        <v/>
      </c>
    </row>
    <row r="219" spans="1:9" x14ac:dyDescent="0.2">
      <c r="A219" s="4"/>
      <c r="B219" s="4"/>
      <c r="C219" s="4"/>
      <c r="D219" s="4"/>
      <c r="E219" s="5"/>
      <c r="F219" s="5" t="str">
        <f>IF($A219="","",SUMIF(Party_Ledger!$B:$B,$A219,Party_Ledger!$F:$F))</f>
        <v/>
      </c>
      <c r="G219" s="5" t="str">
        <f>IF($A219="","",SUMIF(Party_Ledger!$B:$B,$A219,Party_Ledger!$G:$G))</f>
        <v/>
      </c>
      <c r="H219" s="5" t="str">
        <f t="shared" si="6"/>
        <v/>
      </c>
      <c r="I219" s="4" t="str">
        <f t="shared" si="7"/>
        <v/>
      </c>
    </row>
    <row r="220" spans="1:9" x14ac:dyDescent="0.2">
      <c r="A220" s="4"/>
      <c r="B220" s="4"/>
      <c r="C220" s="4"/>
      <c r="D220" s="4"/>
      <c r="E220" s="5"/>
      <c r="F220" s="5" t="str">
        <f>IF($A220="","",SUMIF(Party_Ledger!$B:$B,$A220,Party_Ledger!$F:$F))</f>
        <v/>
      </c>
      <c r="G220" s="5" t="str">
        <f>IF($A220="","",SUMIF(Party_Ledger!$B:$B,$A220,Party_Ledger!$G:$G))</f>
        <v/>
      </c>
      <c r="H220" s="5" t="str">
        <f t="shared" si="6"/>
        <v/>
      </c>
      <c r="I220" s="4" t="str">
        <f t="shared" si="7"/>
        <v/>
      </c>
    </row>
    <row r="221" spans="1:9" x14ac:dyDescent="0.2">
      <c r="A221" s="4"/>
      <c r="B221" s="4"/>
      <c r="C221" s="4"/>
      <c r="D221" s="4"/>
      <c r="E221" s="5"/>
      <c r="F221" s="5" t="str">
        <f>IF($A221="","",SUMIF(Party_Ledger!$B:$B,$A221,Party_Ledger!$F:$F))</f>
        <v/>
      </c>
      <c r="G221" s="5" t="str">
        <f>IF($A221="","",SUMIF(Party_Ledger!$B:$B,$A221,Party_Ledger!$G:$G))</f>
        <v/>
      </c>
      <c r="H221" s="5" t="str">
        <f t="shared" si="6"/>
        <v/>
      </c>
      <c r="I221" s="4" t="str">
        <f t="shared" si="7"/>
        <v/>
      </c>
    </row>
    <row r="222" spans="1:9" x14ac:dyDescent="0.2">
      <c r="A222" s="4"/>
      <c r="B222" s="4"/>
      <c r="C222" s="4"/>
      <c r="D222" s="4"/>
      <c r="E222" s="5"/>
      <c r="F222" s="5" t="str">
        <f>IF($A222="","",SUMIF(Party_Ledger!$B:$B,$A222,Party_Ledger!$F:$F))</f>
        <v/>
      </c>
      <c r="G222" s="5" t="str">
        <f>IF($A222="","",SUMIF(Party_Ledger!$B:$B,$A222,Party_Ledger!$G:$G))</f>
        <v/>
      </c>
      <c r="H222" s="5" t="str">
        <f t="shared" si="6"/>
        <v/>
      </c>
      <c r="I222" s="4" t="str">
        <f t="shared" si="7"/>
        <v/>
      </c>
    </row>
    <row r="223" spans="1:9" x14ac:dyDescent="0.2">
      <c r="A223" s="4"/>
      <c r="B223" s="4"/>
      <c r="C223" s="4"/>
      <c r="D223" s="4"/>
      <c r="E223" s="5"/>
      <c r="F223" s="5" t="str">
        <f>IF($A223="","",SUMIF(Party_Ledger!$B:$B,$A223,Party_Ledger!$F:$F))</f>
        <v/>
      </c>
      <c r="G223" s="5" t="str">
        <f>IF($A223="","",SUMIF(Party_Ledger!$B:$B,$A223,Party_Ledger!$G:$G))</f>
        <v/>
      </c>
      <c r="H223" s="5" t="str">
        <f t="shared" si="6"/>
        <v/>
      </c>
      <c r="I223" s="4" t="str">
        <f t="shared" si="7"/>
        <v/>
      </c>
    </row>
    <row r="224" spans="1:9" x14ac:dyDescent="0.2">
      <c r="A224" s="4"/>
      <c r="B224" s="4"/>
      <c r="C224" s="4"/>
      <c r="D224" s="4"/>
      <c r="E224" s="5"/>
      <c r="F224" s="5" t="str">
        <f>IF($A224="","",SUMIF(Party_Ledger!$B:$B,$A224,Party_Ledger!$F:$F))</f>
        <v/>
      </c>
      <c r="G224" s="5" t="str">
        <f>IF($A224="","",SUMIF(Party_Ledger!$B:$B,$A224,Party_Ledger!$G:$G))</f>
        <v/>
      </c>
      <c r="H224" s="5" t="str">
        <f t="shared" si="6"/>
        <v/>
      </c>
      <c r="I224" s="4" t="str">
        <f t="shared" si="7"/>
        <v/>
      </c>
    </row>
    <row r="225" spans="1:9" x14ac:dyDescent="0.2">
      <c r="A225" s="4"/>
      <c r="B225" s="4"/>
      <c r="C225" s="4"/>
      <c r="D225" s="4"/>
      <c r="E225" s="5"/>
      <c r="F225" s="5" t="str">
        <f>IF($A225="","",SUMIF(Party_Ledger!$B:$B,$A225,Party_Ledger!$F:$F))</f>
        <v/>
      </c>
      <c r="G225" s="5" t="str">
        <f>IF($A225="","",SUMIF(Party_Ledger!$B:$B,$A225,Party_Ledger!$G:$G))</f>
        <v/>
      </c>
      <c r="H225" s="5" t="str">
        <f t="shared" si="6"/>
        <v/>
      </c>
      <c r="I225" s="4" t="str">
        <f t="shared" si="7"/>
        <v/>
      </c>
    </row>
    <row r="226" spans="1:9" x14ac:dyDescent="0.2">
      <c r="A226" s="4"/>
      <c r="B226" s="4"/>
      <c r="C226" s="4"/>
      <c r="D226" s="4"/>
      <c r="E226" s="5"/>
      <c r="F226" s="5" t="str">
        <f>IF($A226="","",SUMIF(Party_Ledger!$B:$B,$A226,Party_Ledger!$F:$F))</f>
        <v/>
      </c>
      <c r="G226" s="5" t="str">
        <f>IF($A226="","",SUMIF(Party_Ledger!$B:$B,$A226,Party_Ledger!$G:$G))</f>
        <v/>
      </c>
      <c r="H226" s="5" t="str">
        <f t="shared" si="6"/>
        <v/>
      </c>
      <c r="I226" s="4" t="str">
        <f t="shared" si="7"/>
        <v/>
      </c>
    </row>
    <row r="227" spans="1:9" x14ac:dyDescent="0.2">
      <c r="A227" s="4"/>
      <c r="B227" s="4"/>
      <c r="C227" s="4"/>
      <c r="D227" s="4"/>
      <c r="E227" s="5"/>
      <c r="F227" s="5" t="str">
        <f>IF($A227="","",SUMIF(Party_Ledger!$B:$B,$A227,Party_Ledger!$F:$F))</f>
        <v/>
      </c>
      <c r="G227" s="5" t="str">
        <f>IF($A227="","",SUMIF(Party_Ledger!$B:$B,$A227,Party_Ledger!$G:$G))</f>
        <v/>
      </c>
      <c r="H227" s="5" t="str">
        <f t="shared" si="6"/>
        <v/>
      </c>
      <c r="I227" s="4" t="str">
        <f t="shared" si="7"/>
        <v/>
      </c>
    </row>
    <row r="228" spans="1:9" x14ac:dyDescent="0.2">
      <c r="A228" s="4"/>
      <c r="B228" s="4"/>
      <c r="C228" s="4"/>
      <c r="D228" s="4"/>
      <c r="E228" s="5"/>
      <c r="F228" s="5" t="str">
        <f>IF($A228="","",SUMIF(Party_Ledger!$B:$B,$A228,Party_Ledger!$F:$F))</f>
        <v/>
      </c>
      <c r="G228" s="5" t="str">
        <f>IF($A228="","",SUMIF(Party_Ledger!$B:$B,$A228,Party_Ledger!$G:$G))</f>
        <v/>
      </c>
      <c r="H228" s="5" t="str">
        <f t="shared" si="6"/>
        <v/>
      </c>
      <c r="I228" s="4" t="str">
        <f t="shared" si="7"/>
        <v/>
      </c>
    </row>
    <row r="229" spans="1:9" x14ac:dyDescent="0.2">
      <c r="A229" s="4"/>
      <c r="B229" s="4"/>
      <c r="C229" s="4"/>
      <c r="D229" s="4"/>
      <c r="E229" s="5"/>
      <c r="F229" s="5" t="str">
        <f>IF($A229="","",SUMIF(Party_Ledger!$B:$B,$A229,Party_Ledger!$F:$F))</f>
        <v/>
      </c>
      <c r="G229" s="5" t="str">
        <f>IF($A229="","",SUMIF(Party_Ledger!$B:$B,$A229,Party_Ledger!$G:$G))</f>
        <v/>
      </c>
      <c r="H229" s="5" t="str">
        <f t="shared" si="6"/>
        <v/>
      </c>
      <c r="I229" s="4" t="str">
        <f t="shared" si="7"/>
        <v/>
      </c>
    </row>
    <row r="230" spans="1:9" x14ac:dyDescent="0.2">
      <c r="A230" s="4"/>
      <c r="B230" s="4"/>
      <c r="C230" s="4"/>
      <c r="D230" s="4"/>
      <c r="E230" s="5"/>
      <c r="F230" s="5" t="str">
        <f>IF($A230="","",SUMIF(Party_Ledger!$B:$B,$A230,Party_Ledger!$F:$F))</f>
        <v/>
      </c>
      <c r="G230" s="5" t="str">
        <f>IF($A230="","",SUMIF(Party_Ledger!$B:$B,$A230,Party_Ledger!$G:$G))</f>
        <v/>
      </c>
      <c r="H230" s="5" t="str">
        <f t="shared" si="6"/>
        <v/>
      </c>
      <c r="I230" s="4" t="str">
        <f t="shared" si="7"/>
        <v/>
      </c>
    </row>
    <row r="231" spans="1:9" x14ac:dyDescent="0.2">
      <c r="A231" s="4"/>
      <c r="B231" s="4"/>
      <c r="C231" s="4"/>
      <c r="D231" s="4"/>
      <c r="E231" s="5"/>
      <c r="F231" s="5" t="str">
        <f>IF($A231="","",SUMIF(Party_Ledger!$B:$B,$A231,Party_Ledger!$F:$F))</f>
        <v/>
      </c>
      <c r="G231" s="5" t="str">
        <f>IF($A231="","",SUMIF(Party_Ledger!$B:$B,$A231,Party_Ledger!$G:$G))</f>
        <v/>
      </c>
      <c r="H231" s="5" t="str">
        <f t="shared" si="6"/>
        <v/>
      </c>
      <c r="I231" s="4" t="str">
        <f t="shared" si="7"/>
        <v/>
      </c>
    </row>
    <row r="232" spans="1:9" x14ac:dyDescent="0.2">
      <c r="A232" s="4"/>
      <c r="B232" s="4"/>
      <c r="C232" s="4"/>
      <c r="D232" s="4"/>
      <c r="E232" s="5"/>
      <c r="F232" s="5" t="str">
        <f>IF($A232="","",SUMIF(Party_Ledger!$B:$B,$A232,Party_Ledger!$F:$F))</f>
        <v/>
      </c>
      <c r="G232" s="5" t="str">
        <f>IF($A232="","",SUMIF(Party_Ledger!$B:$B,$A232,Party_Ledger!$G:$G))</f>
        <v/>
      </c>
      <c r="H232" s="5" t="str">
        <f t="shared" si="6"/>
        <v/>
      </c>
      <c r="I232" s="4" t="str">
        <f t="shared" si="7"/>
        <v/>
      </c>
    </row>
    <row r="233" spans="1:9" x14ac:dyDescent="0.2">
      <c r="A233" s="4"/>
      <c r="B233" s="4"/>
      <c r="C233" s="4"/>
      <c r="D233" s="4"/>
      <c r="E233" s="5"/>
      <c r="F233" s="5" t="str">
        <f>IF($A233="","",SUMIF(Party_Ledger!$B:$B,$A233,Party_Ledger!$F:$F))</f>
        <v/>
      </c>
      <c r="G233" s="5" t="str">
        <f>IF($A233="","",SUMIF(Party_Ledger!$B:$B,$A233,Party_Ledger!$G:$G))</f>
        <v/>
      </c>
      <c r="H233" s="5" t="str">
        <f t="shared" si="6"/>
        <v/>
      </c>
      <c r="I233" s="4" t="str">
        <f t="shared" si="7"/>
        <v/>
      </c>
    </row>
    <row r="234" spans="1:9" x14ac:dyDescent="0.2">
      <c r="A234" s="4"/>
      <c r="B234" s="4"/>
      <c r="C234" s="4"/>
      <c r="D234" s="4"/>
      <c r="E234" s="5"/>
      <c r="F234" s="5" t="str">
        <f>IF($A234="","",SUMIF(Party_Ledger!$B:$B,$A234,Party_Ledger!$F:$F))</f>
        <v/>
      </c>
      <c r="G234" s="5" t="str">
        <f>IF($A234="","",SUMIF(Party_Ledger!$B:$B,$A234,Party_Ledger!$G:$G))</f>
        <v/>
      </c>
      <c r="H234" s="5" t="str">
        <f t="shared" si="6"/>
        <v/>
      </c>
      <c r="I234" s="4" t="str">
        <f t="shared" si="7"/>
        <v/>
      </c>
    </row>
    <row r="235" spans="1:9" x14ac:dyDescent="0.2">
      <c r="A235" s="4"/>
      <c r="B235" s="4"/>
      <c r="C235" s="4"/>
      <c r="D235" s="4"/>
      <c r="E235" s="5"/>
      <c r="F235" s="5" t="str">
        <f>IF($A235="","",SUMIF(Party_Ledger!$B:$B,$A235,Party_Ledger!$F:$F))</f>
        <v/>
      </c>
      <c r="G235" s="5" t="str">
        <f>IF($A235="","",SUMIF(Party_Ledger!$B:$B,$A235,Party_Ledger!$G:$G))</f>
        <v/>
      </c>
      <c r="H235" s="5" t="str">
        <f t="shared" si="6"/>
        <v/>
      </c>
      <c r="I235" s="4" t="str">
        <f t="shared" si="7"/>
        <v/>
      </c>
    </row>
    <row r="236" spans="1:9" x14ac:dyDescent="0.2">
      <c r="A236" s="4"/>
      <c r="B236" s="4"/>
      <c r="C236" s="4"/>
      <c r="D236" s="4"/>
      <c r="E236" s="5"/>
      <c r="F236" s="5" t="str">
        <f>IF($A236="","",SUMIF(Party_Ledger!$B:$B,$A236,Party_Ledger!$F:$F))</f>
        <v/>
      </c>
      <c r="G236" s="5" t="str">
        <f>IF($A236="","",SUMIF(Party_Ledger!$B:$B,$A236,Party_Ledger!$G:$G))</f>
        <v/>
      </c>
      <c r="H236" s="5" t="str">
        <f t="shared" si="6"/>
        <v/>
      </c>
      <c r="I236" s="4" t="str">
        <f t="shared" si="7"/>
        <v/>
      </c>
    </row>
    <row r="237" spans="1:9" x14ac:dyDescent="0.2">
      <c r="A237" s="4"/>
      <c r="B237" s="4"/>
      <c r="C237" s="4"/>
      <c r="D237" s="4"/>
      <c r="E237" s="5"/>
      <c r="F237" s="5" t="str">
        <f>IF($A237="","",SUMIF(Party_Ledger!$B:$B,$A237,Party_Ledger!$F:$F))</f>
        <v/>
      </c>
      <c r="G237" s="5" t="str">
        <f>IF($A237="","",SUMIF(Party_Ledger!$B:$B,$A237,Party_Ledger!$G:$G))</f>
        <v/>
      </c>
      <c r="H237" s="5" t="str">
        <f t="shared" si="6"/>
        <v/>
      </c>
      <c r="I237" s="4" t="str">
        <f t="shared" si="7"/>
        <v/>
      </c>
    </row>
    <row r="238" spans="1:9" x14ac:dyDescent="0.2">
      <c r="A238" s="4"/>
      <c r="B238" s="4"/>
      <c r="C238" s="4"/>
      <c r="D238" s="4"/>
      <c r="E238" s="5"/>
      <c r="F238" s="5" t="str">
        <f>IF($A238="","",SUMIF(Party_Ledger!$B:$B,$A238,Party_Ledger!$F:$F))</f>
        <v/>
      </c>
      <c r="G238" s="5" t="str">
        <f>IF($A238="","",SUMIF(Party_Ledger!$B:$B,$A238,Party_Ledger!$G:$G))</f>
        <v/>
      </c>
      <c r="H238" s="5" t="str">
        <f t="shared" si="6"/>
        <v/>
      </c>
      <c r="I238" s="4" t="str">
        <f t="shared" si="7"/>
        <v/>
      </c>
    </row>
    <row r="239" spans="1:9" x14ac:dyDescent="0.2">
      <c r="A239" s="4"/>
      <c r="B239" s="4"/>
      <c r="C239" s="4"/>
      <c r="D239" s="4"/>
      <c r="E239" s="5"/>
      <c r="F239" s="5" t="str">
        <f>IF($A239="","",SUMIF(Party_Ledger!$B:$B,$A239,Party_Ledger!$F:$F))</f>
        <v/>
      </c>
      <c r="G239" s="5" t="str">
        <f>IF($A239="","",SUMIF(Party_Ledger!$B:$B,$A239,Party_Ledger!$G:$G))</f>
        <v/>
      </c>
      <c r="H239" s="5" t="str">
        <f t="shared" si="6"/>
        <v/>
      </c>
      <c r="I239" s="4" t="str">
        <f t="shared" si="7"/>
        <v/>
      </c>
    </row>
    <row r="240" spans="1:9" x14ac:dyDescent="0.2">
      <c r="A240" s="4"/>
      <c r="B240" s="4"/>
      <c r="C240" s="4"/>
      <c r="D240" s="4"/>
      <c r="E240" s="5"/>
      <c r="F240" s="5" t="str">
        <f>IF($A240="","",SUMIF(Party_Ledger!$B:$B,$A240,Party_Ledger!$F:$F))</f>
        <v/>
      </c>
      <c r="G240" s="5" t="str">
        <f>IF($A240="","",SUMIF(Party_Ledger!$B:$B,$A240,Party_Ledger!$G:$G))</f>
        <v/>
      </c>
      <c r="H240" s="5" t="str">
        <f t="shared" si="6"/>
        <v/>
      </c>
      <c r="I240" s="4" t="str">
        <f t="shared" si="7"/>
        <v/>
      </c>
    </row>
    <row r="241" spans="1:9" x14ac:dyDescent="0.2">
      <c r="A241" s="4"/>
      <c r="B241" s="4"/>
      <c r="C241" s="4"/>
      <c r="D241" s="4"/>
      <c r="E241" s="5"/>
      <c r="F241" s="5" t="str">
        <f>IF($A241="","",SUMIF(Party_Ledger!$B:$B,$A241,Party_Ledger!$F:$F))</f>
        <v/>
      </c>
      <c r="G241" s="5" t="str">
        <f>IF($A241="","",SUMIF(Party_Ledger!$B:$B,$A241,Party_Ledger!$G:$G))</f>
        <v/>
      </c>
      <c r="H241" s="5" t="str">
        <f t="shared" si="6"/>
        <v/>
      </c>
      <c r="I241" s="4" t="str">
        <f t="shared" si="7"/>
        <v/>
      </c>
    </row>
    <row r="242" spans="1:9" x14ac:dyDescent="0.2">
      <c r="A242" s="4"/>
      <c r="B242" s="4"/>
      <c r="C242" s="4"/>
      <c r="D242" s="4"/>
      <c r="E242" s="5"/>
      <c r="F242" s="5" t="str">
        <f>IF($A242="","",SUMIF(Party_Ledger!$B:$B,$A242,Party_Ledger!$F:$F))</f>
        <v/>
      </c>
      <c r="G242" s="5" t="str">
        <f>IF($A242="","",SUMIF(Party_Ledger!$B:$B,$A242,Party_Ledger!$G:$G))</f>
        <v/>
      </c>
      <c r="H242" s="5" t="str">
        <f t="shared" si="6"/>
        <v/>
      </c>
      <c r="I242" s="4" t="str">
        <f t="shared" si="7"/>
        <v/>
      </c>
    </row>
    <row r="243" spans="1:9" x14ac:dyDescent="0.2">
      <c r="A243" s="4"/>
      <c r="B243" s="4"/>
      <c r="C243" s="4"/>
      <c r="D243" s="4"/>
      <c r="E243" s="5"/>
      <c r="F243" s="5" t="str">
        <f>IF($A243="","",SUMIF(Party_Ledger!$B:$B,$A243,Party_Ledger!$F:$F))</f>
        <v/>
      </c>
      <c r="G243" s="5" t="str">
        <f>IF($A243="","",SUMIF(Party_Ledger!$B:$B,$A243,Party_Ledger!$G:$G))</f>
        <v/>
      </c>
      <c r="H243" s="5" t="str">
        <f t="shared" si="6"/>
        <v/>
      </c>
      <c r="I243" s="4" t="str">
        <f t="shared" si="7"/>
        <v/>
      </c>
    </row>
    <row r="244" spans="1:9" x14ac:dyDescent="0.2">
      <c r="A244" s="4"/>
      <c r="B244" s="4"/>
      <c r="C244" s="4"/>
      <c r="D244" s="4"/>
      <c r="E244" s="5"/>
      <c r="F244" s="5" t="str">
        <f>IF($A244="","",SUMIF(Party_Ledger!$B:$B,$A244,Party_Ledger!$F:$F))</f>
        <v/>
      </c>
      <c r="G244" s="5" t="str">
        <f>IF($A244="","",SUMIF(Party_Ledger!$B:$B,$A244,Party_Ledger!$G:$G))</f>
        <v/>
      </c>
      <c r="H244" s="5" t="str">
        <f t="shared" si="6"/>
        <v/>
      </c>
      <c r="I244" s="4" t="str">
        <f t="shared" si="7"/>
        <v/>
      </c>
    </row>
    <row r="245" spans="1:9" x14ac:dyDescent="0.2">
      <c r="A245" s="4"/>
      <c r="B245" s="4"/>
      <c r="C245" s="4"/>
      <c r="D245" s="4"/>
      <c r="E245" s="5"/>
      <c r="F245" s="5" t="str">
        <f>IF($A245="","",SUMIF(Party_Ledger!$B:$B,$A245,Party_Ledger!$F:$F))</f>
        <v/>
      </c>
      <c r="G245" s="5" t="str">
        <f>IF($A245="","",SUMIF(Party_Ledger!$B:$B,$A245,Party_Ledger!$G:$G))</f>
        <v/>
      </c>
      <c r="H245" s="5" t="str">
        <f t="shared" si="6"/>
        <v/>
      </c>
      <c r="I245" s="4" t="str">
        <f t="shared" si="7"/>
        <v/>
      </c>
    </row>
    <row r="246" spans="1:9" x14ac:dyDescent="0.2">
      <c r="A246" s="4"/>
      <c r="B246" s="4"/>
      <c r="C246" s="4"/>
      <c r="D246" s="4"/>
      <c r="E246" s="5"/>
      <c r="F246" s="5" t="str">
        <f>IF($A246="","",SUMIF(Party_Ledger!$B:$B,$A246,Party_Ledger!$F:$F))</f>
        <v/>
      </c>
      <c r="G246" s="5" t="str">
        <f>IF($A246="","",SUMIF(Party_Ledger!$B:$B,$A246,Party_Ledger!$G:$G))</f>
        <v/>
      </c>
      <c r="H246" s="5" t="str">
        <f t="shared" si="6"/>
        <v/>
      </c>
      <c r="I246" s="4" t="str">
        <f t="shared" si="7"/>
        <v/>
      </c>
    </row>
    <row r="247" spans="1:9" x14ac:dyDescent="0.2">
      <c r="A247" s="4"/>
      <c r="B247" s="4"/>
      <c r="C247" s="4"/>
      <c r="D247" s="4"/>
      <c r="E247" s="5"/>
      <c r="F247" s="5" t="str">
        <f>IF($A247="","",SUMIF(Party_Ledger!$B:$B,$A247,Party_Ledger!$F:$F))</f>
        <v/>
      </c>
      <c r="G247" s="5" t="str">
        <f>IF($A247="","",SUMIF(Party_Ledger!$B:$B,$A247,Party_Ledger!$G:$G))</f>
        <v/>
      </c>
      <c r="H247" s="5" t="str">
        <f t="shared" si="6"/>
        <v/>
      </c>
      <c r="I247" s="4" t="str">
        <f t="shared" si="7"/>
        <v/>
      </c>
    </row>
    <row r="248" spans="1:9" x14ac:dyDescent="0.2">
      <c r="A248" s="4"/>
      <c r="B248" s="4"/>
      <c r="C248" s="4"/>
      <c r="D248" s="4"/>
      <c r="E248" s="5"/>
      <c r="F248" s="5" t="str">
        <f>IF($A248="","",SUMIF(Party_Ledger!$B:$B,$A248,Party_Ledger!$F:$F))</f>
        <v/>
      </c>
      <c r="G248" s="5" t="str">
        <f>IF($A248="","",SUMIF(Party_Ledger!$B:$B,$A248,Party_Ledger!$G:$G))</f>
        <v/>
      </c>
      <c r="H248" s="5" t="str">
        <f t="shared" si="6"/>
        <v/>
      </c>
      <c r="I248" s="4" t="str">
        <f t="shared" si="7"/>
        <v/>
      </c>
    </row>
    <row r="249" spans="1:9" x14ac:dyDescent="0.2">
      <c r="A249" s="4"/>
      <c r="B249" s="4"/>
      <c r="C249" s="4"/>
      <c r="D249" s="4"/>
      <c r="E249" s="5"/>
      <c r="F249" s="5" t="str">
        <f>IF($A249="","",SUMIF(Party_Ledger!$B:$B,$A249,Party_Ledger!$F:$F))</f>
        <v/>
      </c>
      <c r="G249" s="5" t="str">
        <f>IF($A249="","",SUMIF(Party_Ledger!$B:$B,$A249,Party_Ledger!$G:$G))</f>
        <v/>
      </c>
      <c r="H249" s="5" t="str">
        <f t="shared" si="6"/>
        <v/>
      </c>
      <c r="I249" s="4" t="str">
        <f t="shared" si="7"/>
        <v/>
      </c>
    </row>
    <row r="250" spans="1:9" x14ac:dyDescent="0.2">
      <c r="A250" s="4"/>
      <c r="B250" s="4"/>
      <c r="C250" s="4"/>
      <c r="D250" s="4"/>
      <c r="E250" s="5"/>
      <c r="F250" s="5" t="str">
        <f>IF($A250="","",SUMIF(Party_Ledger!$B:$B,$A250,Party_Ledger!$F:$F))</f>
        <v/>
      </c>
      <c r="G250" s="5" t="str">
        <f>IF($A250="","",SUMIF(Party_Ledger!$B:$B,$A250,Party_Ledger!$G:$G))</f>
        <v/>
      </c>
      <c r="H250" s="5" t="str">
        <f t="shared" si="6"/>
        <v/>
      </c>
      <c r="I250" s="4" t="str">
        <f t="shared" si="7"/>
        <v/>
      </c>
    </row>
    <row r="251" spans="1:9" x14ac:dyDescent="0.2">
      <c r="A251" s="4"/>
      <c r="B251" s="4"/>
      <c r="C251" s="4"/>
      <c r="D251" s="4"/>
      <c r="E251" s="5"/>
      <c r="F251" s="5" t="str">
        <f>IF($A251="","",SUMIF(Party_Ledger!$B:$B,$A251,Party_Ledger!$F:$F))</f>
        <v/>
      </c>
      <c r="G251" s="5" t="str">
        <f>IF($A251="","",SUMIF(Party_Ledger!$B:$B,$A251,Party_Ledger!$G:$G))</f>
        <v/>
      </c>
      <c r="H251" s="5" t="str">
        <f t="shared" si="6"/>
        <v/>
      </c>
      <c r="I251" s="4" t="str">
        <f t="shared" si="7"/>
        <v/>
      </c>
    </row>
    <row r="252" spans="1:9" x14ac:dyDescent="0.2">
      <c r="A252" s="4"/>
      <c r="B252" s="4"/>
      <c r="C252" s="4"/>
      <c r="D252" s="4"/>
      <c r="E252" s="5"/>
      <c r="F252" s="5" t="str">
        <f>IF($A252="","",SUMIF(Party_Ledger!$B:$B,$A252,Party_Ledger!$F:$F))</f>
        <v/>
      </c>
      <c r="G252" s="5" t="str">
        <f>IF($A252="","",SUMIF(Party_Ledger!$B:$B,$A252,Party_Ledger!$G:$G))</f>
        <v/>
      </c>
      <c r="H252" s="5" t="str">
        <f t="shared" si="6"/>
        <v/>
      </c>
      <c r="I252" s="4" t="str">
        <f t="shared" si="7"/>
        <v/>
      </c>
    </row>
    <row r="253" spans="1:9" x14ac:dyDescent="0.2">
      <c r="A253" s="4"/>
      <c r="B253" s="4"/>
      <c r="C253" s="4"/>
      <c r="D253" s="4"/>
      <c r="E253" s="5"/>
      <c r="F253" s="5" t="str">
        <f>IF($A253="","",SUMIF(Party_Ledger!$B:$B,$A253,Party_Ledger!$F:$F))</f>
        <v/>
      </c>
      <c r="G253" s="5" t="str">
        <f>IF($A253="","",SUMIF(Party_Ledger!$B:$B,$A253,Party_Ledger!$G:$G))</f>
        <v/>
      </c>
      <c r="H253" s="5" t="str">
        <f t="shared" si="6"/>
        <v/>
      </c>
      <c r="I253" s="4" t="str">
        <f t="shared" si="7"/>
        <v/>
      </c>
    </row>
    <row r="254" spans="1:9" x14ac:dyDescent="0.2">
      <c r="A254" s="4"/>
      <c r="B254" s="4"/>
      <c r="C254" s="4"/>
      <c r="D254" s="4"/>
      <c r="E254" s="5"/>
      <c r="F254" s="5" t="str">
        <f>IF($A254="","",SUMIF(Party_Ledger!$B:$B,$A254,Party_Ledger!$F:$F))</f>
        <v/>
      </c>
      <c r="G254" s="5" t="str">
        <f>IF($A254="","",SUMIF(Party_Ledger!$B:$B,$A254,Party_Ledger!$G:$G))</f>
        <v/>
      </c>
      <c r="H254" s="5" t="str">
        <f t="shared" si="6"/>
        <v/>
      </c>
      <c r="I254" s="4" t="str">
        <f t="shared" si="7"/>
        <v/>
      </c>
    </row>
    <row r="255" spans="1:9" x14ac:dyDescent="0.2">
      <c r="A255" s="4"/>
      <c r="B255" s="4"/>
      <c r="C255" s="4"/>
      <c r="D255" s="4"/>
      <c r="E255" s="5"/>
      <c r="F255" s="5" t="str">
        <f>IF($A255="","",SUMIF(Party_Ledger!$B:$B,$A255,Party_Ledger!$F:$F))</f>
        <v/>
      </c>
      <c r="G255" s="5" t="str">
        <f>IF($A255="","",SUMIF(Party_Ledger!$B:$B,$A255,Party_Ledger!$G:$G))</f>
        <v/>
      </c>
      <c r="H255" s="5" t="str">
        <f t="shared" si="6"/>
        <v/>
      </c>
      <c r="I255" s="4" t="str">
        <f t="shared" si="7"/>
        <v/>
      </c>
    </row>
    <row r="256" spans="1:9" x14ac:dyDescent="0.2">
      <c r="A256" s="4"/>
      <c r="B256" s="4"/>
      <c r="C256" s="4"/>
      <c r="D256" s="4"/>
      <c r="E256" s="5"/>
      <c r="F256" s="5" t="str">
        <f>IF($A256="","",SUMIF(Party_Ledger!$B:$B,$A256,Party_Ledger!$F:$F))</f>
        <v/>
      </c>
      <c r="G256" s="5" t="str">
        <f>IF($A256="","",SUMIF(Party_Ledger!$B:$B,$A256,Party_Ledger!$G:$G))</f>
        <v/>
      </c>
      <c r="H256" s="5" t="str">
        <f t="shared" si="6"/>
        <v/>
      </c>
      <c r="I256" s="4" t="str">
        <f t="shared" si="7"/>
        <v/>
      </c>
    </row>
    <row r="257" spans="1:9" x14ac:dyDescent="0.2">
      <c r="A257" s="4"/>
      <c r="B257" s="4"/>
      <c r="C257" s="4"/>
      <c r="D257" s="4"/>
      <c r="E257" s="5"/>
      <c r="F257" s="5" t="str">
        <f>IF($A257="","",SUMIF(Party_Ledger!$B:$B,$A257,Party_Ledger!$F:$F))</f>
        <v/>
      </c>
      <c r="G257" s="5" t="str">
        <f>IF($A257="","",SUMIF(Party_Ledger!$B:$B,$A257,Party_Ledger!$G:$G))</f>
        <v/>
      </c>
      <c r="H257" s="5" t="str">
        <f t="shared" si="6"/>
        <v/>
      </c>
      <c r="I257" s="4" t="str">
        <f t="shared" si="7"/>
        <v/>
      </c>
    </row>
    <row r="258" spans="1:9" x14ac:dyDescent="0.2">
      <c r="A258" s="4"/>
      <c r="B258" s="4"/>
      <c r="C258" s="4"/>
      <c r="D258" s="4"/>
      <c r="E258" s="5"/>
      <c r="F258" s="5" t="str">
        <f>IF($A258="","",SUMIF(Party_Ledger!$B:$B,$A258,Party_Ledger!$F:$F))</f>
        <v/>
      </c>
      <c r="G258" s="5" t="str">
        <f>IF($A258="","",SUMIF(Party_Ledger!$B:$B,$A258,Party_Ledger!$G:$G))</f>
        <v/>
      </c>
      <c r="H258" s="5" t="str">
        <f t="shared" si="6"/>
        <v/>
      </c>
      <c r="I258" s="4" t="str">
        <f t="shared" si="7"/>
        <v/>
      </c>
    </row>
    <row r="259" spans="1:9" x14ac:dyDescent="0.2">
      <c r="A259" s="4"/>
      <c r="B259" s="4"/>
      <c r="C259" s="4"/>
      <c r="D259" s="4"/>
      <c r="E259" s="5"/>
      <c r="F259" s="5" t="str">
        <f>IF($A259="","",SUMIF(Party_Ledger!$B:$B,$A259,Party_Ledger!$F:$F))</f>
        <v/>
      </c>
      <c r="G259" s="5" t="str">
        <f>IF($A259="","",SUMIF(Party_Ledger!$B:$B,$A259,Party_Ledger!$G:$G))</f>
        <v/>
      </c>
      <c r="H259" s="5" t="str">
        <f t="shared" ref="H259:H322" si="8">IF($A259="","",$E259+$F259-$G259)</f>
        <v/>
      </c>
      <c r="I259" s="4" t="str">
        <f t="shared" ref="I259:I322" si="9">IF($A259="","",IF(ROUND($H259,0)=0,"Settled",IF($H259&gt;0,"Outstanding","Advance")))</f>
        <v/>
      </c>
    </row>
    <row r="260" spans="1:9" x14ac:dyDescent="0.2">
      <c r="A260" s="4"/>
      <c r="B260" s="4"/>
      <c r="C260" s="4"/>
      <c r="D260" s="4"/>
      <c r="E260" s="5"/>
      <c r="F260" s="5" t="str">
        <f>IF($A260="","",SUMIF(Party_Ledger!$B:$B,$A260,Party_Ledger!$F:$F))</f>
        <v/>
      </c>
      <c r="G260" s="5" t="str">
        <f>IF($A260="","",SUMIF(Party_Ledger!$B:$B,$A260,Party_Ledger!$G:$G))</f>
        <v/>
      </c>
      <c r="H260" s="5" t="str">
        <f t="shared" si="8"/>
        <v/>
      </c>
      <c r="I260" s="4" t="str">
        <f t="shared" si="9"/>
        <v/>
      </c>
    </row>
    <row r="261" spans="1:9" x14ac:dyDescent="0.2">
      <c r="A261" s="4"/>
      <c r="B261" s="4"/>
      <c r="C261" s="4"/>
      <c r="D261" s="4"/>
      <c r="E261" s="5"/>
      <c r="F261" s="5" t="str">
        <f>IF($A261="","",SUMIF(Party_Ledger!$B:$B,$A261,Party_Ledger!$F:$F))</f>
        <v/>
      </c>
      <c r="G261" s="5" t="str">
        <f>IF($A261="","",SUMIF(Party_Ledger!$B:$B,$A261,Party_Ledger!$G:$G))</f>
        <v/>
      </c>
      <c r="H261" s="5" t="str">
        <f t="shared" si="8"/>
        <v/>
      </c>
      <c r="I261" s="4" t="str">
        <f t="shared" si="9"/>
        <v/>
      </c>
    </row>
    <row r="262" spans="1:9" x14ac:dyDescent="0.2">
      <c r="A262" s="4"/>
      <c r="B262" s="4"/>
      <c r="C262" s="4"/>
      <c r="D262" s="4"/>
      <c r="E262" s="5"/>
      <c r="F262" s="5" t="str">
        <f>IF($A262="","",SUMIF(Party_Ledger!$B:$B,$A262,Party_Ledger!$F:$F))</f>
        <v/>
      </c>
      <c r="G262" s="5" t="str">
        <f>IF($A262="","",SUMIF(Party_Ledger!$B:$B,$A262,Party_Ledger!$G:$G))</f>
        <v/>
      </c>
      <c r="H262" s="5" t="str">
        <f t="shared" si="8"/>
        <v/>
      </c>
      <c r="I262" s="4" t="str">
        <f t="shared" si="9"/>
        <v/>
      </c>
    </row>
    <row r="263" spans="1:9" x14ac:dyDescent="0.2">
      <c r="A263" s="4"/>
      <c r="B263" s="4"/>
      <c r="C263" s="4"/>
      <c r="D263" s="4"/>
      <c r="E263" s="5"/>
      <c r="F263" s="5" t="str">
        <f>IF($A263="","",SUMIF(Party_Ledger!$B:$B,$A263,Party_Ledger!$F:$F))</f>
        <v/>
      </c>
      <c r="G263" s="5" t="str">
        <f>IF($A263="","",SUMIF(Party_Ledger!$B:$B,$A263,Party_Ledger!$G:$G))</f>
        <v/>
      </c>
      <c r="H263" s="5" t="str">
        <f t="shared" si="8"/>
        <v/>
      </c>
      <c r="I263" s="4" t="str">
        <f t="shared" si="9"/>
        <v/>
      </c>
    </row>
    <row r="264" spans="1:9" x14ac:dyDescent="0.2">
      <c r="A264" s="4"/>
      <c r="B264" s="4"/>
      <c r="C264" s="4"/>
      <c r="D264" s="4"/>
      <c r="E264" s="5"/>
      <c r="F264" s="5" t="str">
        <f>IF($A264="","",SUMIF(Party_Ledger!$B:$B,$A264,Party_Ledger!$F:$F))</f>
        <v/>
      </c>
      <c r="G264" s="5" t="str">
        <f>IF($A264="","",SUMIF(Party_Ledger!$B:$B,$A264,Party_Ledger!$G:$G))</f>
        <v/>
      </c>
      <c r="H264" s="5" t="str">
        <f t="shared" si="8"/>
        <v/>
      </c>
      <c r="I264" s="4" t="str">
        <f t="shared" si="9"/>
        <v/>
      </c>
    </row>
    <row r="265" spans="1:9" x14ac:dyDescent="0.2">
      <c r="A265" s="4"/>
      <c r="B265" s="4"/>
      <c r="C265" s="4"/>
      <c r="D265" s="4"/>
      <c r="E265" s="5"/>
      <c r="F265" s="5" t="str">
        <f>IF($A265="","",SUMIF(Party_Ledger!$B:$B,$A265,Party_Ledger!$F:$F))</f>
        <v/>
      </c>
      <c r="G265" s="5" t="str">
        <f>IF($A265="","",SUMIF(Party_Ledger!$B:$B,$A265,Party_Ledger!$G:$G))</f>
        <v/>
      </c>
      <c r="H265" s="5" t="str">
        <f t="shared" si="8"/>
        <v/>
      </c>
      <c r="I265" s="4" t="str">
        <f t="shared" si="9"/>
        <v/>
      </c>
    </row>
    <row r="266" spans="1:9" x14ac:dyDescent="0.2">
      <c r="A266" s="4"/>
      <c r="B266" s="4"/>
      <c r="C266" s="4"/>
      <c r="D266" s="4"/>
      <c r="E266" s="5"/>
      <c r="F266" s="5" t="str">
        <f>IF($A266="","",SUMIF(Party_Ledger!$B:$B,$A266,Party_Ledger!$F:$F))</f>
        <v/>
      </c>
      <c r="G266" s="5" t="str">
        <f>IF($A266="","",SUMIF(Party_Ledger!$B:$B,$A266,Party_Ledger!$G:$G))</f>
        <v/>
      </c>
      <c r="H266" s="5" t="str">
        <f t="shared" si="8"/>
        <v/>
      </c>
      <c r="I266" s="4" t="str">
        <f t="shared" si="9"/>
        <v/>
      </c>
    </row>
    <row r="267" spans="1:9" x14ac:dyDescent="0.2">
      <c r="A267" s="4"/>
      <c r="B267" s="4"/>
      <c r="C267" s="4"/>
      <c r="D267" s="4"/>
      <c r="E267" s="5"/>
      <c r="F267" s="5" t="str">
        <f>IF($A267="","",SUMIF(Party_Ledger!$B:$B,$A267,Party_Ledger!$F:$F))</f>
        <v/>
      </c>
      <c r="G267" s="5" t="str">
        <f>IF($A267="","",SUMIF(Party_Ledger!$B:$B,$A267,Party_Ledger!$G:$G))</f>
        <v/>
      </c>
      <c r="H267" s="5" t="str">
        <f t="shared" si="8"/>
        <v/>
      </c>
      <c r="I267" s="4" t="str">
        <f t="shared" si="9"/>
        <v/>
      </c>
    </row>
    <row r="268" spans="1:9" x14ac:dyDescent="0.2">
      <c r="A268" s="4"/>
      <c r="B268" s="4"/>
      <c r="C268" s="4"/>
      <c r="D268" s="4"/>
      <c r="E268" s="5"/>
      <c r="F268" s="5" t="str">
        <f>IF($A268="","",SUMIF(Party_Ledger!$B:$B,$A268,Party_Ledger!$F:$F))</f>
        <v/>
      </c>
      <c r="G268" s="5" t="str">
        <f>IF($A268="","",SUMIF(Party_Ledger!$B:$B,$A268,Party_Ledger!$G:$G))</f>
        <v/>
      </c>
      <c r="H268" s="5" t="str">
        <f t="shared" si="8"/>
        <v/>
      </c>
      <c r="I268" s="4" t="str">
        <f t="shared" si="9"/>
        <v/>
      </c>
    </row>
    <row r="269" spans="1:9" x14ac:dyDescent="0.2">
      <c r="A269" s="4"/>
      <c r="B269" s="4"/>
      <c r="C269" s="4"/>
      <c r="D269" s="4"/>
      <c r="E269" s="5"/>
      <c r="F269" s="5" t="str">
        <f>IF($A269="","",SUMIF(Party_Ledger!$B:$B,$A269,Party_Ledger!$F:$F))</f>
        <v/>
      </c>
      <c r="G269" s="5" t="str">
        <f>IF($A269="","",SUMIF(Party_Ledger!$B:$B,$A269,Party_Ledger!$G:$G))</f>
        <v/>
      </c>
      <c r="H269" s="5" t="str">
        <f t="shared" si="8"/>
        <v/>
      </c>
      <c r="I269" s="4" t="str">
        <f t="shared" si="9"/>
        <v/>
      </c>
    </row>
    <row r="270" spans="1:9" x14ac:dyDescent="0.2">
      <c r="A270" s="4"/>
      <c r="B270" s="4"/>
      <c r="C270" s="4"/>
      <c r="D270" s="4"/>
      <c r="E270" s="5"/>
      <c r="F270" s="5" t="str">
        <f>IF($A270="","",SUMIF(Party_Ledger!$B:$B,$A270,Party_Ledger!$F:$F))</f>
        <v/>
      </c>
      <c r="G270" s="5" t="str">
        <f>IF($A270="","",SUMIF(Party_Ledger!$B:$B,$A270,Party_Ledger!$G:$G))</f>
        <v/>
      </c>
      <c r="H270" s="5" t="str">
        <f t="shared" si="8"/>
        <v/>
      </c>
      <c r="I270" s="4" t="str">
        <f t="shared" si="9"/>
        <v/>
      </c>
    </row>
    <row r="271" spans="1:9" x14ac:dyDescent="0.2">
      <c r="A271" s="4"/>
      <c r="B271" s="4"/>
      <c r="C271" s="4"/>
      <c r="D271" s="4"/>
      <c r="E271" s="5"/>
      <c r="F271" s="5" t="str">
        <f>IF($A271="","",SUMIF(Party_Ledger!$B:$B,$A271,Party_Ledger!$F:$F))</f>
        <v/>
      </c>
      <c r="G271" s="5" t="str">
        <f>IF($A271="","",SUMIF(Party_Ledger!$B:$B,$A271,Party_Ledger!$G:$G))</f>
        <v/>
      </c>
      <c r="H271" s="5" t="str">
        <f t="shared" si="8"/>
        <v/>
      </c>
      <c r="I271" s="4" t="str">
        <f t="shared" si="9"/>
        <v/>
      </c>
    </row>
    <row r="272" spans="1:9" x14ac:dyDescent="0.2">
      <c r="A272" s="4"/>
      <c r="B272" s="4"/>
      <c r="C272" s="4"/>
      <c r="D272" s="4"/>
      <c r="E272" s="5"/>
      <c r="F272" s="5" t="str">
        <f>IF($A272="","",SUMIF(Party_Ledger!$B:$B,$A272,Party_Ledger!$F:$F))</f>
        <v/>
      </c>
      <c r="G272" s="5" t="str">
        <f>IF($A272="","",SUMIF(Party_Ledger!$B:$B,$A272,Party_Ledger!$G:$G))</f>
        <v/>
      </c>
      <c r="H272" s="5" t="str">
        <f t="shared" si="8"/>
        <v/>
      </c>
      <c r="I272" s="4" t="str">
        <f t="shared" si="9"/>
        <v/>
      </c>
    </row>
    <row r="273" spans="1:9" x14ac:dyDescent="0.2">
      <c r="A273" s="4"/>
      <c r="B273" s="4"/>
      <c r="C273" s="4"/>
      <c r="D273" s="4"/>
      <c r="E273" s="5"/>
      <c r="F273" s="5" t="str">
        <f>IF($A273="","",SUMIF(Party_Ledger!$B:$B,$A273,Party_Ledger!$F:$F))</f>
        <v/>
      </c>
      <c r="G273" s="5" t="str">
        <f>IF($A273="","",SUMIF(Party_Ledger!$B:$B,$A273,Party_Ledger!$G:$G))</f>
        <v/>
      </c>
      <c r="H273" s="5" t="str">
        <f t="shared" si="8"/>
        <v/>
      </c>
      <c r="I273" s="4" t="str">
        <f t="shared" si="9"/>
        <v/>
      </c>
    </row>
    <row r="274" spans="1:9" x14ac:dyDescent="0.2">
      <c r="A274" s="4"/>
      <c r="B274" s="4"/>
      <c r="C274" s="4"/>
      <c r="D274" s="4"/>
      <c r="E274" s="5"/>
      <c r="F274" s="5" t="str">
        <f>IF($A274="","",SUMIF(Party_Ledger!$B:$B,$A274,Party_Ledger!$F:$F))</f>
        <v/>
      </c>
      <c r="G274" s="5" t="str">
        <f>IF($A274="","",SUMIF(Party_Ledger!$B:$B,$A274,Party_Ledger!$G:$G))</f>
        <v/>
      </c>
      <c r="H274" s="5" t="str">
        <f t="shared" si="8"/>
        <v/>
      </c>
      <c r="I274" s="4" t="str">
        <f t="shared" si="9"/>
        <v/>
      </c>
    </row>
    <row r="275" spans="1:9" x14ac:dyDescent="0.2">
      <c r="A275" s="4"/>
      <c r="B275" s="4"/>
      <c r="C275" s="4"/>
      <c r="D275" s="4"/>
      <c r="E275" s="5"/>
      <c r="F275" s="5" t="str">
        <f>IF($A275="","",SUMIF(Party_Ledger!$B:$B,$A275,Party_Ledger!$F:$F))</f>
        <v/>
      </c>
      <c r="G275" s="5" t="str">
        <f>IF($A275="","",SUMIF(Party_Ledger!$B:$B,$A275,Party_Ledger!$G:$G))</f>
        <v/>
      </c>
      <c r="H275" s="5" t="str">
        <f t="shared" si="8"/>
        <v/>
      </c>
      <c r="I275" s="4" t="str">
        <f t="shared" si="9"/>
        <v/>
      </c>
    </row>
    <row r="276" spans="1:9" x14ac:dyDescent="0.2">
      <c r="A276" s="4"/>
      <c r="B276" s="4"/>
      <c r="C276" s="4"/>
      <c r="D276" s="4"/>
      <c r="E276" s="5"/>
      <c r="F276" s="5" t="str">
        <f>IF($A276="","",SUMIF(Party_Ledger!$B:$B,$A276,Party_Ledger!$F:$F))</f>
        <v/>
      </c>
      <c r="G276" s="5" t="str">
        <f>IF($A276="","",SUMIF(Party_Ledger!$B:$B,$A276,Party_Ledger!$G:$G))</f>
        <v/>
      </c>
      <c r="H276" s="5" t="str">
        <f t="shared" si="8"/>
        <v/>
      </c>
      <c r="I276" s="4" t="str">
        <f t="shared" si="9"/>
        <v/>
      </c>
    </row>
    <row r="277" spans="1:9" x14ac:dyDescent="0.2">
      <c r="A277" s="4"/>
      <c r="B277" s="4"/>
      <c r="C277" s="4"/>
      <c r="D277" s="4"/>
      <c r="E277" s="5"/>
      <c r="F277" s="5" t="str">
        <f>IF($A277="","",SUMIF(Party_Ledger!$B:$B,$A277,Party_Ledger!$F:$F))</f>
        <v/>
      </c>
      <c r="G277" s="5" t="str">
        <f>IF($A277="","",SUMIF(Party_Ledger!$B:$B,$A277,Party_Ledger!$G:$G))</f>
        <v/>
      </c>
      <c r="H277" s="5" t="str">
        <f t="shared" si="8"/>
        <v/>
      </c>
      <c r="I277" s="4" t="str">
        <f t="shared" si="9"/>
        <v/>
      </c>
    </row>
    <row r="278" spans="1:9" x14ac:dyDescent="0.2">
      <c r="A278" s="4"/>
      <c r="B278" s="4"/>
      <c r="C278" s="4"/>
      <c r="D278" s="4"/>
      <c r="E278" s="5"/>
      <c r="F278" s="5" t="str">
        <f>IF($A278="","",SUMIF(Party_Ledger!$B:$B,$A278,Party_Ledger!$F:$F))</f>
        <v/>
      </c>
      <c r="G278" s="5" t="str">
        <f>IF($A278="","",SUMIF(Party_Ledger!$B:$B,$A278,Party_Ledger!$G:$G))</f>
        <v/>
      </c>
      <c r="H278" s="5" t="str">
        <f t="shared" si="8"/>
        <v/>
      </c>
      <c r="I278" s="4" t="str">
        <f t="shared" si="9"/>
        <v/>
      </c>
    </row>
    <row r="279" spans="1:9" x14ac:dyDescent="0.2">
      <c r="A279" s="4"/>
      <c r="B279" s="4"/>
      <c r="C279" s="4"/>
      <c r="D279" s="4"/>
      <c r="E279" s="5"/>
      <c r="F279" s="5" t="str">
        <f>IF($A279="","",SUMIF(Party_Ledger!$B:$B,$A279,Party_Ledger!$F:$F))</f>
        <v/>
      </c>
      <c r="G279" s="5" t="str">
        <f>IF($A279="","",SUMIF(Party_Ledger!$B:$B,$A279,Party_Ledger!$G:$G))</f>
        <v/>
      </c>
      <c r="H279" s="5" t="str">
        <f t="shared" si="8"/>
        <v/>
      </c>
      <c r="I279" s="4" t="str">
        <f t="shared" si="9"/>
        <v/>
      </c>
    </row>
    <row r="280" spans="1:9" x14ac:dyDescent="0.2">
      <c r="A280" s="4"/>
      <c r="B280" s="4"/>
      <c r="C280" s="4"/>
      <c r="D280" s="4"/>
      <c r="E280" s="5"/>
      <c r="F280" s="5" t="str">
        <f>IF($A280="","",SUMIF(Party_Ledger!$B:$B,$A280,Party_Ledger!$F:$F))</f>
        <v/>
      </c>
      <c r="G280" s="5" t="str">
        <f>IF($A280="","",SUMIF(Party_Ledger!$B:$B,$A280,Party_Ledger!$G:$G))</f>
        <v/>
      </c>
      <c r="H280" s="5" t="str">
        <f t="shared" si="8"/>
        <v/>
      </c>
      <c r="I280" s="4" t="str">
        <f t="shared" si="9"/>
        <v/>
      </c>
    </row>
    <row r="281" spans="1:9" x14ac:dyDescent="0.2">
      <c r="A281" s="4"/>
      <c r="B281" s="4"/>
      <c r="C281" s="4"/>
      <c r="D281" s="4"/>
      <c r="E281" s="5"/>
      <c r="F281" s="5" t="str">
        <f>IF($A281="","",SUMIF(Party_Ledger!$B:$B,$A281,Party_Ledger!$F:$F))</f>
        <v/>
      </c>
      <c r="G281" s="5" t="str">
        <f>IF($A281="","",SUMIF(Party_Ledger!$B:$B,$A281,Party_Ledger!$G:$G))</f>
        <v/>
      </c>
      <c r="H281" s="5" t="str">
        <f t="shared" si="8"/>
        <v/>
      </c>
      <c r="I281" s="4" t="str">
        <f t="shared" si="9"/>
        <v/>
      </c>
    </row>
    <row r="282" spans="1:9" x14ac:dyDescent="0.2">
      <c r="A282" s="4"/>
      <c r="B282" s="4"/>
      <c r="C282" s="4"/>
      <c r="D282" s="4"/>
      <c r="E282" s="5"/>
      <c r="F282" s="5" t="str">
        <f>IF($A282="","",SUMIF(Party_Ledger!$B:$B,$A282,Party_Ledger!$F:$F))</f>
        <v/>
      </c>
      <c r="G282" s="5" t="str">
        <f>IF($A282="","",SUMIF(Party_Ledger!$B:$B,$A282,Party_Ledger!$G:$G))</f>
        <v/>
      </c>
      <c r="H282" s="5" t="str">
        <f t="shared" si="8"/>
        <v/>
      </c>
      <c r="I282" s="4" t="str">
        <f t="shared" si="9"/>
        <v/>
      </c>
    </row>
    <row r="283" spans="1:9" x14ac:dyDescent="0.2">
      <c r="A283" s="4"/>
      <c r="B283" s="4"/>
      <c r="C283" s="4"/>
      <c r="D283" s="4"/>
      <c r="E283" s="5"/>
      <c r="F283" s="5" t="str">
        <f>IF($A283="","",SUMIF(Party_Ledger!$B:$B,$A283,Party_Ledger!$F:$F))</f>
        <v/>
      </c>
      <c r="G283" s="5" t="str">
        <f>IF($A283="","",SUMIF(Party_Ledger!$B:$B,$A283,Party_Ledger!$G:$G))</f>
        <v/>
      </c>
      <c r="H283" s="5" t="str">
        <f t="shared" si="8"/>
        <v/>
      </c>
      <c r="I283" s="4" t="str">
        <f t="shared" si="9"/>
        <v/>
      </c>
    </row>
    <row r="284" spans="1:9" x14ac:dyDescent="0.2">
      <c r="A284" s="4"/>
      <c r="B284" s="4"/>
      <c r="C284" s="4"/>
      <c r="D284" s="4"/>
      <c r="E284" s="5"/>
      <c r="F284" s="5" t="str">
        <f>IF($A284="","",SUMIF(Party_Ledger!$B:$B,$A284,Party_Ledger!$F:$F))</f>
        <v/>
      </c>
      <c r="G284" s="5" t="str">
        <f>IF($A284="","",SUMIF(Party_Ledger!$B:$B,$A284,Party_Ledger!$G:$G))</f>
        <v/>
      </c>
      <c r="H284" s="5" t="str">
        <f t="shared" si="8"/>
        <v/>
      </c>
      <c r="I284" s="4" t="str">
        <f t="shared" si="9"/>
        <v/>
      </c>
    </row>
    <row r="285" spans="1:9" x14ac:dyDescent="0.2">
      <c r="A285" s="4"/>
      <c r="B285" s="4"/>
      <c r="C285" s="4"/>
      <c r="D285" s="4"/>
      <c r="E285" s="5"/>
      <c r="F285" s="5" t="str">
        <f>IF($A285="","",SUMIF(Party_Ledger!$B:$B,$A285,Party_Ledger!$F:$F))</f>
        <v/>
      </c>
      <c r="G285" s="5" t="str">
        <f>IF($A285="","",SUMIF(Party_Ledger!$B:$B,$A285,Party_Ledger!$G:$G))</f>
        <v/>
      </c>
      <c r="H285" s="5" t="str">
        <f t="shared" si="8"/>
        <v/>
      </c>
      <c r="I285" s="4" t="str">
        <f t="shared" si="9"/>
        <v/>
      </c>
    </row>
    <row r="286" spans="1:9" x14ac:dyDescent="0.2">
      <c r="A286" s="4"/>
      <c r="B286" s="4"/>
      <c r="C286" s="4"/>
      <c r="D286" s="4"/>
      <c r="E286" s="5"/>
      <c r="F286" s="5" t="str">
        <f>IF($A286="","",SUMIF(Party_Ledger!$B:$B,$A286,Party_Ledger!$F:$F))</f>
        <v/>
      </c>
      <c r="G286" s="5" t="str">
        <f>IF($A286="","",SUMIF(Party_Ledger!$B:$B,$A286,Party_Ledger!$G:$G))</f>
        <v/>
      </c>
      <c r="H286" s="5" t="str">
        <f t="shared" si="8"/>
        <v/>
      </c>
      <c r="I286" s="4" t="str">
        <f t="shared" si="9"/>
        <v/>
      </c>
    </row>
    <row r="287" spans="1:9" x14ac:dyDescent="0.2">
      <c r="A287" s="4"/>
      <c r="B287" s="4"/>
      <c r="C287" s="4"/>
      <c r="D287" s="4"/>
      <c r="E287" s="5"/>
      <c r="F287" s="5" t="str">
        <f>IF($A287="","",SUMIF(Party_Ledger!$B:$B,$A287,Party_Ledger!$F:$F))</f>
        <v/>
      </c>
      <c r="G287" s="5" t="str">
        <f>IF($A287="","",SUMIF(Party_Ledger!$B:$B,$A287,Party_Ledger!$G:$G))</f>
        <v/>
      </c>
      <c r="H287" s="5" t="str">
        <f t="shared" si="8"/>
        <v/>
      </c>
      <c r="I287" s="4" t="str">
        <f t="shared" si="9"/>
        <v/>
      </c>
    </row>
    <row r="288" spans="1:9" x14ac:dyDescent="0.2">
      <c r="A288" s="4"/>
      <c r="B288" s="4"/>
      <c r="C288" s="4"/>
      <c r="D288" s="4"/>
      <c r="E288" s="5"/>
      <c r="F288" s="5" t="str">
        <f>IF($A288="","",SUMIF(Party_Ledger!$B:$B,$A288,Party_Ledger!$F:$F))</f>
        <v/>
      </c>
      <c r="G288" s="5" t="str">
        <f>IF($A288="","",SUMIF(Party_Ledger!$B:$B,$A288,Party_Ledger!$G:$G))</f>
        <v/>
      </c>
      <c r="H288" s="5" t="str">
        <f t="shared" si="8"/>
        <v/>
      </c>
      <c r="I288" s="4" t="str">
        <f t="shared" si="9"/>
        <v/>
      </c>
    </row>
    <row r="289" spans="1:9" x14ac:dyDescent="0.2">
      <c r="A289" s="4"/>
      <c r="B289" s="4"/>
      <c r="C289" s="4"/>
      <c r="D289" s="4"/>
      <c r="E289" s="5"/>
      <c r="F289" s="5" t="str">
        <f>IF($A289="","",SUMIF(Party_Ledger!$B:$B,$A289,Party_Ledger!$F:$F))</f>
        <v/>
      </c>
      <c r="G289" s="5" t="str">
        <f>IF($A289="","",SUMIF(Party_Ledger!$B:$B,$A289,Party_Ledger!$G:$G))</f>
        <v/>
      </c>
      <c r="H289" s="5" t="str">
        <f t="shared" si="8"/>
        <v/>
      </c>
      <c r="I289" s="4" t="str">
        <f t="shared" si="9"/>
        <v/>
      </c>
    </row>
    <row r="290" spans="1:9" x14ac:dyDescent="0.2">
      <c r="A290" s="4"/>
      <c r="B290" s="4"/>
      <c r="C290" s="4"/>
      <c r="D290" s="4"/>
      <c r="E290" s="5"/>
      <c r="F290" s="5" t="str">
        <f>IF($A290="","",SUMIF(Party_Ledger!$B:$B,$A290,Party_Ledger!$F:$F))</f>
        <v/>
      </c>
      <c r="G290" s="5" t="str">
        <f>IF($A290="","",SUMIF(Party_Ledger!$B:$B,$A290,Party_Ledger!$G:$G))</f>
        <v/>
      </c>
      <c r="H290" s="5" t="str">
        <f t="shared" si="8"/>
        <v/>
      </c>
      <c r="I290" s="4" t="str">
        <f t="shared" si="9"/>
        <v/>
      </c>
    </row>
    <row r="291" spans="1:9" x14ac:dyDescent="0.2">
      <c r="A291" s="4"/>
      <c r="B291" s="4"/>
      <c r="C291" s="4"/>
      <c r="D291" s="4"/>
      <c r="E291" s="5"/>
      <c r="F291" s="5" t="str">
        <f>IF($A291="","",SUMIF(Party_Ledger!$B:$B,$A291,Party_Ledger!$F:$F))</f>
        <v/>
      </c>
      <c r="G291" s="5" t="str">
        <f>IF($A291="","",SUMIF(Party_Ledger!$B:$B,$A291,Party_Ledger!$G:$G))</f>
        <v/>
      </c>
      <c r="H291" s="5" t="str">
        <f t="shared" si="8"/>
        <v/>
      </c>
      <c r="I291" s="4" t="str">
        <f t="shared" si="9"/>
        <v/>
      </c>
    </row>
    <row r="292" spans="1:9" x14ac:dyDescent="0.2">
      <c r="A292" s="4"/>
      <c r="B292" s="4"/>
      <c r="C292" s="4"/>
      <c r="D292" s="4"/>
      <c r="E292" s="5"/>
      <c r="F292" s="5" t="str">
        <f>IF($A292="","",SUMIF(Party_Ledger!$B:$B,$A292,Party_Ledger!$F:$F))</f>
        <v/>
      </c>
      <c r="G292" s="5" t="str">
        <f>IF($A292="","",SUMIF(Party_Ledger!$B:$B,$A292,Party_Ledger!$G:$G))</f>
        <v/>
      </c>
      <c r="H292" s="5" t="str">
        <f t="shared" si="8"/>
        <v/>
      </c>
      <c r="I292" s="4" t="str">
        <f t="shared" si="9"/>
        <v/>
      </c>
    </row>
    <row r="293" spans="1:9" x14ac:dyDescent="0.2">
      <c r="A293" s="4"/>
      <c r="B293" s="4"/>
      <c r="C293" s="4"/>
      <c r="D293" s="4"/>
      <c r="E293" s="5"/>
      <c r="F293" s="5" t="str">
        <f>IF($A293="","",SUMIF(Party_Ledger!$B:$B,$A293,Party_Ledger!$F:$F))</f>
        <v/>
      </c>
      <c r="G293" s="5" t="str">
        <f>IF($A293="","",SUMIF(Party_Ledger!$B:$B,$A293,Party_Ledger!$G:$G))</f>
        <v/>
      </c>
      <c r="H293" s="5" t="str">
        <f t="shared" si="8"/>
        <v/>
      </c>
      <c r="I293" s="4" t="str">
        <f t="shared" si="9"/>
        <v/>
      </c>
    </row>
    <row r="294" spans="1:9" x14ac:dyDescent="0.2">
      <c r="A294" s="4"/>
      <c r="B294" s="4"/>
      <c r="C294" s="4"/>
      <c r="D294" s="4"/>
      <c r="E294" s="5"/>
      <c r="F294" s="5" t="str">
        <f>IF($A294="","",SUMIF(Party_Ledger!$B:$B,$A294,Party_Ledger!$F:$F))</f>
        <v/>
      </c>
      <c r="G294" s="5" t="str">
        <f>IF($A294="","",SUMIF(Party_Ledger!$B:$B,$A294,Party_Ledger!$G:$G))</f>
        <v/>
      </c>
      <c r="H294" s="5" t="str">
        <f t="shared" si="8"/>
        <v/>
      </c>
      <c r="I294" s="4" t="str">
        <f t="shared" si="9"/>
        <v/>
      </c>
    </row>
    <row r="295" spans="1:9" x14ac:dyDescent="0.2">
      <c r="A295" s="4"/>
      <c r="B295" s="4"/>
      <c r="C295" s="4"/>
      <c r="D295" s="4"/>
      <c r="E295" s="5"/>
      <c r="F295" s="5" t="str">
        <f>IF($A295="","",SUMIF(Party_Ledger!$B:$B,$A295,Party_Ledger!$F:$F))</f>
        <v/>
      </c>
      <c r="G295" s="5" t="str">
        <f>IF($A295="","",SUMIF(Party_Ledger!$B:$B,$A295,Party_Ledger!$G:$G))</f>
        <v/>
      </c>
      <c r="H295" s="5" t="str">
        <f t="shared" si="8"/>
        <v/>
      </c>
      <c r="I295" s="4" t="str">
        <f t="shared" si="9"/>
        <v/>
      </c>
    </row>
    <row r="296" spans="1:9" x14ac:dyDescent="0.2">
      <c r="A296" s="4"/>
      <c r="B296" s="4"/>
      <c r="C296" s="4"/>
      <c r="D296" s="4"/>
      <c r="E296" s="5"/>
      <c r="F296" s="5" t="str">
        <f>IF($A296="","",SUMIF(Party_Ledger!$B:$B,$A296,Party_Ledger!$F:$F))</f>
        <v/>
      </c>
      <c r="G296" s="5" t="str">
        <f>IF($A296="","",SUMIF(Party_Ledger!$B:$B,$A296,Party_Ledger!$G:$G))</f>
        <v/>
      </c>
      <c r="H296" s="5" t="str">
        <f t="shared" si="8"/>
        <v/>
      </c>
      <c r="I296" s="4" t="str">
        <f t="shared" si="9"/>
        <v/>
      </c>
    </row>
    <row r="297" spans="1:9" x14ac:dyDescent="0.2">
      <c r="A297" s="4"/>
      <c r="B297" s="4"/>
      <c r="C297" s="4"/>
      <c r="D297" s="4"/>
      <c r="E297" s="5"/>
      <c r="F297" s="5" t="str">
        <f>IF($A297="","",SUMIF(Party_Ledger!$B:$B,$A297,Party_Ledger!$F:$F))</f>
        <v/>
      </c>
      <c r="G297" s="5" t="str">
        <f>IF($A297="","",SUMIF(Party_Ledger!$B:$B,$A297,Party_Ledger!$G:$G))</f>
        <v/>
      </c>
      <c r="H297" s="5" t="str">
        <f t="shared" si="8"/>
        <v/>
      </c>
      <c r="I297" s="4" t="str">
        <f t="shared" si="9"/>
        <v/>
      </c>
    </row>
    <row r="298" spans="1:9" x14ac:dyDescent="0.2">
      <c r="A298" s="4"/>
      <c r="B298" s="4"/>
      <c r="C298" s="4"/>
      <c r="D298" s="4"/>
      <c r="E298" s="5"/>
      <c r="F298" s="5" t="str">
        <f>IF($A298="","",SUMIF(Party_Ledger!$B:$B,$A298,Party_Ledger!$F:$F))</f>
        <v/>
      </c>
      <c r="G298" s="5" t="str">
        <f>IF($A298="","",SUMIF(Party_Ledger!$B:$B,$A298,Party_Ledger!$G:$G))</f>
        <v/>
      </c>
      <c r="H298" s="5" t="str">
        <f t="shared" si="8"/>
        <v/>
      </c>
      <c r="I298" s="4" t="str">
        <f t="shared" si="9"/>
        <v/>
      </c>
    </row>
    <row r="299" spans="1:9" x14ac:dyDescent="0.2">
      <c r="A299" s="4"/>
      <c r="B299" s="4"/>
      <c r="C299" s="4"/>
      <c r="D299" s="4"/>
      <c r="E299" s="5"/>
      <c r="F299" s="5" t="str">
        <f>IF($A299="","",SUMIF(Party_Ledger!$B:$B,$A299,Party_Ledger!$F:$F))</f>
        <v/>
      </c>
      <c r="G299" s="5" t="str">
        <f>IF($A299="","",SUMIF(Party_Ledger!$B:$B,$A299,Party_Ledger!$G:$G))</f>
        <v/>
      </c>
      <c r="H299" s="5" t="str">
        <f t="shared" si="8"/>
        <v/>
      </c>
      <c r="I299" s="4" t="str">
        <f t="shared" si="9"/>
        <v/>
      </c>
    </row>
    <row r="300" spans="1:9" x14ac:dyDescent="0.2">
      <c r="A300" s="4"/>
      <c r="B300" s="4"/>
      <c r="C300" s="4"/>
      <c r="D300" s="4"/>
      <c r="E300" s="5"/>
      <c r="F300" s="5" t="str">
        <f>IF($A300="","",SUMIF(Party_Ledger!$B:$B,$A300,Party_Ledger!$F:$F))</f>
        <v/>
      </c>
      <c r="G300" s="5" t="str">
        <f>IF($A300="","",SUMIF(Party_Ledger!$B:$B,$A300,Party_Ledger!$G:$G))</f>
        <v/>
      </c>
      <c r="H300" s="5" t="str">
        <f t="shared" si="8"/>
        <v/>
      </c>
      <c r="I300" s="4" t="str">
        <f t="shared" si="9"/>
        <v/>
      </c>
    </row>
    <row r="301" spans="1:9" x14ac:dyDescent="0.2">
      <c r="A301" s="4"/>
      <c r="B301" s="4"/>
      <c r="C301" s="4"/>
      <c r="D301" s="4"/>
      <c r="E301" s="5"/>
      <c r="F301" s="5" t="str">
        <f>IF($A301="","",SUMIF(Party_Ledger!$B:$B,$A301,Party_Ledger!$F:$F))</f>
        <v/>
      </c>
      <c r="G301" s="5" t="str">
        <f>IF($A301="","",SUMIF(Party_Ledger!$B:$B,$A301,Party_Ledger!$G:$G))</f>
        <v/>
      </c>
      <c r="H301" s="5" t="str">
        <f t="shared" si="8"/>
        <v/>
      </c>
      <c r="I301" s="4" t="str">
        <f t="shared" si="9"/>
        <v/>
      </c>
    </row>
    <row r="302" spans="1:9" x14ac:dyDescent="0.2">
      <c r="A302" s="4"/>
      <c r="B302" s="4"/>
      <c r="C302" s="4"/>
      <c r="D302" s="4"/>
      <c r="E302" s="5"/>
      <c r="F302" s="5" t="str">
        <f>IF($A302="","",SUMIF(Party_Ledger!$B:$B,$A302,Party_Ledger!$F:$F))</f>
        <v/>
      </c>
      <c r="G302" s="5" t="str">
        <f>IF($A302="","",SUMIF(Party_Ledger!$B:$B,$A302,Party_Ledger!$G:$G))</f>
        <v/>
      </c>
      <c r="H302" s="5" t="str">
        <f t="shared" si="8"/>
        <v/>
      </c>
      <c r="I302" s="4" t="str">
        <f t="shared" si="9"/>
        <v/>
      </c>
    </row>
    <row r="303" spans="1:9" x14ac:dyDescent="0.2">
      <c r="A303" s="4"/>
      <c r="B303" s="4"/>
      <c r="C303" s="4"/>
      <c r="D303" s="4"/>
      <c r="E303" s="5"/>
      <c r="F303" s="5" t="str">
        <f>IF($A303="","",SUMIF(Party_Ledger!$B:$B,$A303,Party_Ledger!$F:$F))</f>
        <v/>
      </c>
      <c r="G303" s="5" t="str">
        <f>IF($A303="","",SUMIF(Party_Ledger!$B:$B,$A303,Party_Ledger!$G:$G))</f>
        <v/>
      </c>
      <c r="H303" s="5" t="str">
        <f t="shared" si="8"/>
        <v/>
      </c>
      <c r="I303" s="4" t="str">
        <f t="shared" si="9"/>
        <v/>
      </c>
    </row>
    <row r="304" spans="1:9" x14ac:dyDescent="0.2">
      <c r="A304" s="4"/>
      <c r="B304" s="4"/>
      <c r="C304" s="4"/>
      <c r="D304" s="4"/>
      <c r="E304" s="5"/>
      <c r="F304" s="5" t="str">
        <f>IF($A304="","",SUMIF(Party_Ledger!$B:$B,$A304,Party_Ledger!$F:$F))</f>
        <v/>
      </c>
      <c r="G304" s="5" t="str">
        <f>IF($A304="","",SUMIF(Party_Ledger!$B:$B,$A304,Party_Ledger!$G:$G))</f>
        <v/>
      </c>
      <c r="H304" s="5" t="str">
        <f t="shared" si="8"/>
        <v/>
      </c>
      <c r="I304" s="4" t="str">
        <f t="shared" si="9"/>
        <v/>
      </c>
    </row>
    <row r="305" spans="1:9" x14ac:dyDescent="0.2">
      <c r="A305" s="4"/>
      <c r="B305" s="4"/>
      <c r="C305" s="4"/>
      <c r="D305" s="4"/>
      <c r="E305" s="5"/>
      <c r="F305" s="5" t="str">
        <f>IF($A305="","",SUMIF(Party_Ledger!$B:$B,$A305,Party_Ledger!$F:$F))</f>
        <v/>
      </c>
      <c r="G305" s="5" t="str">
        <f>IF($A305="","",SUMIF(Party_Ledger!$B:$B,$A305,Party_Ledger!$G:$G))</f>
        <v/>
      </c>
      <c r="H305" s="5" t="str">
        <f t="shared" si="8"/>
        <v/>
      </c>
      <c r="I305" s="4" t="str">
        <f t="shared" si="9"/>
        <v/>
      </c>
    </row>
    <row r="306" spans="1:9" x14ac:dyDescent="0.2">
      <c r="A306" s="4"/>
      <c r="B306" s="4"/>
      <c r="C306" s="4"/>
      <c r="D306" s="4"/>
      <c r="E306" s="5"/>
      <c r="F306" s="5" t="str">
        <f>IF($A306="","",SUMIF(Party_Ledger!$B:$B,$A306,Party_Ledger!$F:$F))</f>
        <v/>
      </c>
      <c r="G306" s="5" t="str">
        <f>IF($A306="","",SUMIF(Party_Ledger!$B:$B,$A306,Party_Ledger!$G:$G))</f>
        <v/>
      </c>
      <c r="H306" s="5" t="str">
        <f t="shared" si="8"/>
        <v/>
      </c>
      <c r="I306" s="4" t="str">
        <f t="shared" si="9"/>
        <v/>
      </c>
    </row>
    <row r="307" spans="1:9" x14ac:dyDescent="0.2">
      <c r="A307" s="4"/>
      <c r="B307" s="4"/>
      <c r="C307" s="4"/>
      <c r="D307" s="4"/>
      <c r="E307" s="5"/>
      <c r="F307" s="5" t="str">
        <f>IF($A307="","",SUMIF(Party_Ledger!$B:$B,$A307,Party_Ledger!$F:$F))</f>
        <v/>
      </c>
      <c r="G307" s="5" t="str">
        <f>IF($A307="","",SUMIF(Party_Ledger!$B:$B,$A307,Party_Ledger!$G:$G))</f>
        <v/>
      </c>
      <c r="H307" s="5" t="str">
        <f t="shared" si="8"/>
        <v/>
      </c>
      <c r="I307" s="4" t="str">
        <f t="shared" si="9"/>
        <v/>
      </c>
    </row>
    <row r="308" spans="1:9" x14ac:dyDescent="0.2">
      <c r="A308" s="4"/>
      <c r="B308" s="4"/>
      <c r="C308" s="4"/>
      <c r="D308" s="4"/>
      <c r="E308" s="5"/>
      <c r="F308" s="5" t="str">
        <f>IF($A308="","",SUMIF(Party_Ledger!$B:$B,$A308,Party_Ledger!$F:$F))</f>
        <v/>
      </c>
      <c r="G308" s="5" t="str">
        <f>IF($A308="","",SUMIF(Party_Ledger!$B:$B,$A308,Party_Ledger!$G:$G))</f>
        <v/>
      </c>
      <c r="H308" s="5" t="str">
        <f t="shared" si="8"/>
        <v/>
      </c>
      <c r="I308" s="4" t="str">
        <f t="shared" si="9"/>
        <v/>
      </c>
    </row>
    <row r="309" spans="1:9" x14ac:dyDescent="0.2">
      <c r="A309" s="4"/>
      <c r="B309" s="4"/>
      <c r="C309" s="4"/>
      <c r="D309" s="4"/>
      <c r="E309" s="5"/>
      <c r="F309" s="5" t="str">
        <f>IF($A309="","",SUMIF(Party_Ledger!$B:$B,$A309,Party_Ledger!$F:$F))</f>
        <v/>
      </c>
      <c r="G309" s="5" t="str">
        <f>IF($A309="","",SUMIF(Party_Ledger!$B:$B,$A309,Party_Ledger!$G:$G))</f>
        <v/>
      </c>
      <c r="H309" s="5" t="str">
        <f t="shared" si="8"/>
        <v/>
      </c>
      <c r="I309" s="4" t="str">
        <f t="shared" si="9"/>
        <v/>
      </c>
    </row>
    <row r="310" spans="1:9" x14ac:dyDescent="0.2">
      <c r="A310" s="4"/>
      <c r="B310" s="4"/>
      <c r="C310" s="4"/>
      <c r="D310" s="4"/>
      <c r="E310" s="5"/>
      <c r="F310" s="5" t="str">
        <f>IF($A310="","",SUMIF(Party_Ledger!$B:$B,$A310,Party_Ledger!$F:$F))</f>
        <v/>
      </c>
      <c r="G310" s="5" t="str">
        <f>IF($A310="","",SUMIF(Party_Ledger!$B:$B,$A310,Party_Ledger!$G:$G))</f>
        <v/>
      </c>
      <c r="H310" s="5" t="str">
        <f t="shared" si="8"/>
        <v/>
      </c>
      <c r="I310" s="4" t="str">
        <f t="shared" si="9"/>
        <v/>
      </c>
    </row>
    <row r="311" spans="1:9" x14ac:dyDescent="0.2">
      <c r="A311" s="4"/>
      <c r="B311" s="4"/>
      <c r="C311" s="4"/>
      <c r="D311" s="4"/>
      <c r="E311" s="5"/>
      <c r="F311" s="5" t="str">
        <f>IF($A311="","",SUMIF(Party_Ledger!$B:$B,$A311,Party_Ledger!$F:$F))</f>
        <v/>
      </c>
      <c r="G311" s="5" t="str">
        <f>IF($A311="","",SUMIF(Party_Ledger!$B:$B,$A311,Party_Ledger!$G:$G))</f>
        <v/>
      </c>
      <c r="H311" s="5" t="str">
        <f t="shared" si="8"/>
        <v/>
      </c>
      <c r="I311" s="4" t="str">
        <f t="shared" si="9"/>
        <v/>
      </c>
    </row>
    <row r="312" spans="1:9" x14ac:dyDescent="0.2">
      <c r="A312" s="4"/>
      <c r="B312" s="4"/>
      <c r="C312" s="4"/>
      <c r="D312" s="4"/>
      <c r="E312" s="5"/>
      <c r="F312" s="5" t="str">
        <f>IF($A312="","",SUMIF(Party_Ledger!$B:$B,$A312,Party_Ledger!$F:$F))</f>
        <v/>
      </c>
      <c r="G312" s="5" t="str">
        <f>IF($A312="","",SUMIF(Party_Ledger!$B:$B,$A312,Party_Ledger!$G:$G))</f>
        <v/>
      </c>
      <c r="H312" s="5" t="str">
        <f t="shared" si="8"/>
        <v/>
      </c>
      <c r="I312" s="4" t="str">
        <f t="shared" si="9"/>
        <v/>
      </c>
    </row>
    <row r="313" spans="1:9" x14ac:dyDescent="0.2">
      <c r="A313" s="4"/>
      <c r="B313" s="4"/>
      <c r="C313" s="4"/>
      <c r="D313" s="4"/>
      <c r="E313" s="5"/>
      <c r="F313" s="5" t="str">
        <f>IF($A313="","",SUMIF(Party_Ledger!$B:$B,$A313,Party_Ledger!$F:$F))</f>
        <v/>
      </c>
      <c r="G313" s="5" t="str">
        <f>IF($A313="","",SUMIF(Party_Ledger!$B:$B,$A313,Party_Ledger!$G:$G))</f>
        <v/>
      </c>
      <c r="H313" s="5" t="str">
        <f t="shared" si="8"/>
        <v/>
      </c>
      <c r="I313" s="4" t="str">
        <f t="shared" si="9"/>
        <v/>
      </c>
    </row>
    <row r="314" spans="1:9" x14ac:dyDescent="0.2">
      <c r="A314" s="4"/>
      <c r="B314" s="4"/>
      <c r="C314" s="4"/>
      <c r="D314" s="4"/>
      <c r="E314" s="5"/>
      <c r="F314" s="5" t="str">
        <f>IF($A314="","",SUMIF(Party_Ledger!$B:$B,$A314,Party_Ledger!$F:$F))</f>
        <v/>
      </c>
      <c r="G314" s="5" t="str">
        <f>IF($A314="","",SUMIF(Party_Ledger!$B:$B,$A314,Party_Ledger!$G:$G))</f>
        <v/>
      </c>
      <c r="H314" s="5" t="str">
        <f t="shared" si="8"/>
        <v/>
      </c>
      <c r="I314" s="4" t="str">
        <f t="shared" si="9"/>
        <v/>
      </c>
    </row>
    <row r="315" spans="1:9" x14ac:dyDescent="0.2">
      <c r="A315" s="4"/>
      <c r="B315" s="4"/>
      <c r="C315" s="4"/>
      <c r="D315" s="4"/>
      <c r="E315" s="5"/>
      <c r="F315" s="5" t="str">
        <f>IF($A315="","",SUMIF(Party_Ledger!$B:$B,$A315,Party_Ledger!$F:$F))</f>
        <v/>
      </c>
      <c r="G315" s="5" t="str">
        <f>IF($A315="","",SUMIF(Party_Ledger!$B:$B,$A315,Party_Ledger!$G:$G))</f>
        <v/>
      </c>
      <c r="H315" s="5" t="str">
        <f t="shared" si="8"/>
        <v/>
      </c>
      <c r="I315" s="4" t="str">
        <f t="shared" si="9"/>
        <v/>
      </c>
    </row>
    <row r="316" spans="1:9" x14ac:dyDescent="0.2">
      <c r="A316" s="4"/>
      <c r="B316" s="4"/>
      <c r="C316" s="4"/>
      <c r="D316" s="4"/>
      <c r="E316" s="5"/>
      <c r="F316" s="5" t="str">
        <f>IF($A316="","",SUMIF(Party_Ledger!$B:$B,$A316,Party_Ledger!$F:$F))</f>
        <v/>
      </c>
      <c r="G316" s="5" t="str">
        <f>IF($A316="","",SUMIF(Party_Ledger!$B:$B,$A316,Party_Ledger!$G:$G))</f>
        <v/>
      </c>
      <c r="H316" s="5" t="str">
        <f t="shared" si="8"/>
        <v/>
      </c>
      <c r="I316" s="4" t="str">
        <f t="shared" si="9"/>
        <v/>
      </c>
    </row>
    <row r="317" spans="1:9" x14ac:dyDescent="0.2">
      <c r="A317" s="4"/>
      <c r="B317" s="4"/>
      <c r="C317" s="4"/>
      <c r="D317" s="4"/>
      <c r="E317" s="5"/>
      <c r="F317" s="5" t="str">
        <f>IF($A317="","",SUMIF(Party_Ledger!$B:$B,$A317,Party_Ledger!$F:$F))</f>
        <v/>
      </c>
      <c r="G317" s="5" t="str">
        <f>IF($A317="","",SUMIF(Party_Ledger!$B:$B,$A317,Party_Ledger!$G:$G))</f>
        <v/>
      </c>
      <c r="H317" s="5" t="str">
        <f t="shared" si="8"/>
        <v/>
      </c>
      <c r="I317" s="4" t="str">
        <f t="shared" si="9"/>
        <v/>
      </c>
    </row>
    <row r="318" spans="1:9" x14ac:dyDescent="0.2">
      <c r="A318" s="4"/>
      <c r="B318" s="4"/>
      <c r="C318" s="4"/>
      <c r="D318" s="4"/>
      <c r="E318" s="5"/>
      <c r="F318" s="5" t="str">
        <f>IF($A318="","",SUMIF(Party_Ledger!$B:$B,$A318,Party_Ledger!$F:$F))</f>
        <v/>
      </c>
      <c r="G318" s="5" t="str">
        <f>IF($A318="","",SUMIF(Party_Ledger!$B:$B,$A318,Party_Ledger!$G:$G))</f>
        <v/>
      </c>
      <c r="H318" s="5" t="str">
        <f t="shared" si="8"/>
        <v/>
      </c>
      <c r="I318" s="4" t="str">
        <f t="shared" si="9"/>
        <v/>
      </c>
    </row>
    <row r="319" spans="1:9" x14ac:dyDescent="0.2">
      <c r="A319" s="4"/>
      <c r="B319" s="4"/>
      <c r="C319" s="4"/>
      <c r="D319" s="4"/>
      <c r="E319" s="5"/>
      <c r="F319" s="5" t="str">
        <f>IF($A319="","",SUMIF(Party_Ledger!$B:$B,$A319,Party_Ledger!$F:$F))</f>
        <v/>
      </c>
      <c r="G319" s="5" t="str">
        <f>IF($A319="","",SUMIF(Party_Ledger!$B:$B,$A319,Party_Ledger!$G:$G))</f>
        <v/>
      </c>
      <c r="H319" s="5" t="str">
        <f t="shared" si="8"/>
        <v/>
      </c>
      <c r="I319" s="4" t="str">
        <f t="shared" si="9"/>
        <v/>
      </c>
    </row>
    <row r="320" spans="1:9" x14ac:dyDescent="0.2">
      <c r="A320" s="4"/>
      <c r="B320" s="4"/>
      <c r="C320" s="4"/>
      <c r="D320" s="4"/>
      <c r="E320" s="5"/>
      <c r="F320" s="5" t="str">
        <f>IF($A320="","",SUMIF(Party_Ledger!$B:$B,$A320,Party_Ledger!$F:$F))</f>
        <v/>
      </c>
      <c r="G320" s="5" t="str">
        <f>IF($A320="","",SUMIF(Party_Ledger!$B:$B,$A320,Party_Ledger!$G:$G))</f>
        <v/>
      </c>
      <c r="H320" s="5" t="str">
        <f t="shared" si="8"/>
        <v/>
      </c>
      <c r="I320" s="4" t="str">
        <f t="shared" si="9"/>
        <v/>
      </c>
    </row>
    <row r="321" spans="1:9" x14ac:dyDescent="0.2">
      <c r="A321" s="4"/>
      <c r="B321" s="4"/>
      <c r="C321" s="4"/>
      <c r="D321" s="4"/>
      <c r="E321" s="5"/>
      <c r="F321" s="5" t="str">
        <f>IF($A321="","",SUMIF(Party_Ledger!$B:$B,$A321,Party_Ledger!$F:$F))</f>
        <v/>
      </c>
      <c r="G321" s="5" t="str">
        <f>IF($A321="","",SUMIF(Party_Ledger!$B:$B,$A321,Party_Ledger!$G:$G))</f>
        <v/>
      </c>
      <c r="H321" s="5" t="str">
        <f t="shared" si="8"/>
        <v/>
      </c>
      <c r="I321" s="4" t="str">
        <f t="shared" si="9"/>
        <v/>
      </c>
    </row>
    <row r="322" spans="1:9" x14ac:dyDescent="0.2">
      <c r="A322" s="4"/>
      <c r="B322" s="4"/>
      <c r="C322" s="4"/>
      <c r="D322" s="4"/>
      <c r="E322" s="5"/>
      <c r="F322" s="5" t="str">
        <f>IF($A322="","",SUMIF(Party_Ledger!$B:$B,$A322,Party_Ledger!$F:$F))</f>
        <v/>
      </c>
      <c r="G322" s="5" t="str">
        <f>IF($A322="","",SUMIF(Party_Ledger!$B:$B,$A322,Party_Ledger!$G:$G))</f>
        <v/>
      </c>
      <c r="H322" s="5" t="str">
        <f t="shared" si="8"/>
        <v/>
      </c>
      <c r="I322" s="4" t="str">
        <f t="shared" si="9"/>
        <v/>
      </c>
    </row>
    <row r="323" spans="1:9" x14ac:dyDescent="0.2">
      <c r="A323" s="4"/>
      <c r="B323" s="4"/>
      <c r="C323" s="4"/>
      <c r="D323" s="4"/>
      <c r="E323" s="5"/>
      <c r="F323" s="5" t="str">
        <f>IF($A323="","",SUMIF(Party_Ledger!$B:$B,$A323,Party_Ledger!$F:$F))</f>
        <v/>
      </c>
      <c r="G323" s="5" t="str">
        <f>IF($A323="","",SUMIF(Party_Ledger!$B:$B,$A323,Party_Ledger!$G:$G))</f>
        <v/>
      </c>
      <c r="H323" s="5" t="str">
        <f t="shared" ref="H323:H386" si="10">IF($A323="","",$E323+$F323-$G323)</f>
        <v/>
      </c>
      <c r="I323" s="4" t="str">
        <f t="shared" ref="I323:I386" si="11">IF($A323="","",IF(ROUND($H323,0)=0,"Settled",IF($H323&gt;0,"Outstanding","Advance")))</f>
        <v/>
      </c>
    </row>
    <row r="324" spans="1:9" x14ac:dyDescent="0.2">
      <c r="A324" s="4"/>
      <c r="B324" s="4"/>
      <c r="C324" s="4"/>
      <c r="D324" s="4"/>
      <c r="E324" s="5"/>
      <c r="F324" s="5" t="str">
        <f>IF($A324="","",SUMIF(Party_Ledger!$B:$B,$A324,Party_Ledger!$F:$F))</f>
        <v/>
      </c>
      <c r="G324" s="5" t="str">
        <f>IF($A324="","",SUMIF(Party_Ledger!$B:$B,$A324,Party_Ledger!$G:$G))</f>
        <v/>
      </c>
      <c r="H324" s="5" t="str">
        <f t="shared" si="10"/>
        <v/>
      </c>
      <c r="I324" s="4" t="str">
        <f t="shared" si="11"/>
        <v/>
      </c>
    </row>
    <row r="325" spans="1:9" x14ac:dyDescent="0.2">
      <c r="A325" s="4"/>
      <c r="B325" s="4"/>
      <c r="C325" s="4"/>
      <c r="D325" s="4"/>
      <c r="E325" s="5"/>
      <c r="F325" s="5" t="str">
        <f>IF($A325="","",SUMIF(Party_Ledger!$B:$B,$A325,Party_Ledger!$F:$F))</f>
        <v/>
      </c>
      <c r="G325" s="5" t="str">
        <f>IF($A325="","",SUMIF(Party_Ledger!$B:$B,$A325,Party_Ledger!$G:$G))</f>
        <v/>
      </c>
      <c r="H325" s="5" t="str">
        <f t="shared" si="10"/>
        <v/>
      </c>
      <c r="I325" s="4" t="str">
        <f t="shared" si="11"/>
        <v/>
      </c>
    </row>
    <row r="326" spans="1:9" x14ac:dyDescent="0.2">
      <c r="A326" s="4"/>
      <c r="B326" s="4"/>
      <c r="C326" s="4"/>
      <c r="D326" s="4"/>
      <c r="E326" s="5"/>
      <c r="F326" s="5" t="str">
        <f>IF($A326="","",SUMIF(Party_Ledger!$B:$B,$A326,Party_Ledger!$F:$F))</f>
        <v/>
      </c>
      <c r="G326" s="5" t="str">
        <f>IF($A326="","",SUMIF(Party_Ledger!$B:$B,$A326,Party_Ledger!$G:$G))</f>
        <v/>
      </c>
      <c r="H326" s="5" t="str">
        <f t="shared" si="10"/>
        <v/>
      </c>
      <c r="I326" s="4" t="str">
        <f t="shared" si="11"/>
        <v/>
      </c>
    </row>
    <row r="327" spans="1:9" x14ac:dyDescent="0.2">
      <c r="A327" s="4"/>
      <c r="B327" s="4"/>
      <c r="C327" s="4"/>
      <c r="D327" s="4"/>
      <c r="E327" s="5"/>
      <c r="F327" s="5" t="str">
        <f>IF($A327="","",SUMIF(Party_Ledger!$B:$B,$A327,Party_Ledger!$F:$F))</f>
        <v/>
      </c>
      <c r="G327" s="5" t="str">
        <f>IF($A327="","",SUMIF(Party_Ledger!$B:$B,$A327,Party_Ledger!$G:$G))</f>
        <v/>
      </c>
      <c r="H327" s="5" t="str">
        <f t="shared" si="10"/>
        <v/>
      </c>
      <c r="I327" s="4" t="str">
        <f t="shared" si="11"/>
        <v/>
      </c>
    </row>
    <row r="328" spans="1:9" x14ac:dyDescent="0.2">
      <c r="A328" s="4"/>
      <c r="B328" s="4"/>
      <c r="C328" s="4"/>
      <c r="D328" s="4"/>
      <c r="E328" s="5"/>
      <c r="F328" s="5" t="str">
        <f>IF($A328="","",SUMIF(Party_Ledger!$B:$B,$A328,Party_Ledger!$F:$F))</f>
        <v/>
      </c>
      <c r="G328" s="5" t="str">
        <f>IF($A328="","",SUMIF(Party_Ledger!$B:$B,$A328,Party_Ledger!$G:$G))</f>
        <v/>
      </c>
      <c r="H328" s="5" t="str">
        <f t="shared" si="10"/>
        <v/>
      </c>
      <c r="I328" s="4" t="str">
        <f t="shared" si="11"/>
        <v/>
      </c>
    </row>
    <row r="329" spans="1:9" x14ac:dyDescent="0.2">
      <c r="A329" s="4"/>
      <c r="B329" s="4"/>
      <c r="C329" s="4"/>
      <c r="D329" s="4"/>
      <c r="E329" s="5"/>
      <c r="F329" s="5" t="str">
        <f>IF($A329="","",SUMIF(Party_Ledger!$B:$B,$A329,Party_Ledger!$F:$F))</f>
        <v/>
      </c>
      <c r="G329" s="5" t="str">
        <f>IF($A329="","",SUMIF(Party_Ledger!$B:$B,$A329,Party_Ledger!$G:$G))</f>
        <v/>
      </c>
      <c r="H329" s="5" t="str">
        <f t="shared" si="10"/>
        <v/>
      </c>
      <c r="I329" s="4" t="str">
        <f t="shared" si="11"/>
        <v/>
      </c>
    </row>
    <row r="330" spans="1:9" x14ac:dyDescent="0.2">
      <c r="A330" s="4"/>
      <c r="B330" s="4"/>
      <c r="C330" s="4"/>
      <c r="D330" s="4"/>
      <c r="E330" s="5"/>
      <c r="F330" s="5" t="str">
        <f>IF($A330="","",SUMIF(Party_Ledger!$B:$B,$A330,Party_Ledger!$F:$F))</f>
        <v/>
      </c>
      <c r="G330" s="5" t="str">
        <f>IF($A330="","",SUMIF(Party_Ledger!$B:$B,$A330,Party_Ledger!$G:$G))</f>
        <v/>
      </c>
      <c r="H330" s="5" t="str">
        <f t="shared" si="10"/>
        <v/>
      </c>
      <c r="I330" s="4" t="str">
        <f t="shared" si="11"/>
        <v/>
      </c>
    </row>
    <row r="331" spans="1:9" x14ac:dyDescent="0.2">
      <c r="A331" s="4"/>
      <c r="B331" s="4"/>
      <c r="C331" s="4"/>
      <c r="D331" s="4"/>
      <c r="E331" s="5"/>
      <c r="F331" s="5" t="str">
        <f>IF($A331="","",SUMIF(Party_Ledger!$B:$B,$A331,Party_Ledger!$F:$F))</f>
        <v/>
      </c>
      <c r="G331" s="5" t="str">
        <f>IF($A331="","",SUMIF(Party_Ledger!$B:$B,$A331,Party_Ledger!$G:$G))</f>
        <v/>
      </c>
      <c r="H331" s="5" t="str">
        <f t="shared" si="10"/>
        <v/>
      </c>
      <c r="I331" s="4" t="str">
        <f t="shared" si="11"/>
        <v/>
      </c>
    </row>
    <row r="332" spans="1:9" x14ac:dyDescent="0.2">
      <c r="A332" s="4"/>
      <c r="B332" s="4"/>
      <c r="C332" s="4"/>
      <c r="D332" s="4"/>
      <c r="E332" s="5"/>
      <c r="F332" s="5" t="str">
        <f>IF($A332="","",SUMIF(Party_Ledger!$B:$B,$A332,Party_Ledger!$F:$F))</f>
        <v/>
      </c>
      <c r="G332" s="5" t="str">
        <f>IF($A332="","",SUMIF(Party_Ledger!$B:$B,$A332,Party_Ledger!$G:$G))</f>
        <v/>
      </c>
      <c r="H332" s="5" t="str">
        <f t="shared" si="10"/>
        <v/>
      </c>
      <c r="I332" s="4" t="str">
        <f t="shared" si="11"/>
        <v/>
      </c>
    </row>
    <row r="333" spans="1:9" x14ac:dyDescent="0.2">
      <c r="A333" s="4"/>
      <c r="B333" s="4"/>
      <c r="C333" s="4"/>
      <c r="D333" s="4"/>
      <c r="E333" s="5"/>
      <c r="F333" s="5" t="str">
        <f>IF($A333="","",SUMIF(Party_Ledger!$B:$B,$A333,Party_Ledger!$F:$F))</f>
        <v/>
      </c>
      <c r="G333" s="5" t="str">
        <f>IF($A333="","",SUMIF(Party_Ledger!$B:$B,$A333,Party_Ledger!$G:$G))</f>
        <v/>
      </c>
      <c r="H333" s="5" t="str">
        <f t="shared" si="10"/>
        <v/>
      </c>
      <c r="I333" s="4" t="str">
        <f t="shared" si="11"/>
        <v/>
      </c>
    </row>
    <row r="334" spans="1:9" x14ac:dyDescent="0.2">
      <c r="A334" s="4"/>
      <c r="B334" s="4"/>
      <c r="C334" s="4"/>
      <c r="D334" s="4"/>
      <c r="E334" s="5"/>
      <c r="F334" s="5" t="str">
        <f>IF($A334="","",SUMIF(Party_Ledger!$B:$B,$A334,Party_Ledger!$F:$F))</f>
        <v/>
      </c>
      <c r="G334" s="5" t="str">
        <f>IF($A334="","",SUMIF(Party_Ledger!$B:$B,$A334,Party_Ledger!$G:$G))</f>
        <v/>
      </c>
      <c r="H334" s="5" t="str">
        <f t="shared" si="10"/>
        <v/>
      </c>
      <c r="I334" s="4" t="str">
        <f t="shared" si="11"/>
        <v/>
      </c>
    </row>
    <row r="335" spans="1:9" x14ac:dyDescent="0.2">
      <c r="A335" s="4"/>
      <c r="B335" s="4"/>
      <c r="C335" s="4"/>
      <c r="D335" s="4"/>
      <c r="E335" s="5"/>
      <c r="F335" s="5" t="str">
        <f>IF($A335="","",SUMIF(Party_Ledger!$B:$B,$A335,Party_Ledger!$F:$F))</f>
        <v/>
      </c>
      <c r="G335" s="5" t="str">
        <f>IF($A335="","",SUMIF(Party_Ledger!$B:$B,$A335,Party_Ledger!$G:$G))</f>
        <v/>
      </c>
      <c r="H335" s="5" t="str">
        <f t="shared" si="10"/>
        <v/>
      </c>
      <c r="I335" s="4" t="str">
        <f t="shared" si="11"/>
        <v/>
      </c>
    </row>
    <row r="336" spans="1:9" x14ac:dyDescent="0.2">
      <c r="A336" s="4"/>
      <c r="B336" s="4"/>
      <c r="C336" s="4"/>
      <c r="D336" s="4"/>
      <c r="E336" s="5"/>
      <c r="F336" s="5" t="str">
        <f>IF($A336="","",SUMIF(Party_Ledger!$B:$B,$A336,Party_Ledger!$F:$F))</f>
        <v/>
      </c>
      <c r="G336" s="5" t="str">
        <f>IF($A336="","",SUMIF(Party_Ledger!$B:$B,$A336,Party_Ledger!$G:$G))</f>
        <v/>
      </c>
      <c r="H336" s="5" t="str">
        <f t="shared" si="10"/>
        <v/>
      </c>
      <c r="I336" s="4" t="str">
        <f t="shared" si="11"/>
        <v/>
      </c>
    </row>
    <row r="337" spans="1:9" x14ac:dyDescent="0.2">
      <c r="A337" s="4"/>
      <c r="B337" s="4"/>
      <c r="C337" s="4"/>
      <c r="D337" s="4"/>
      <c r="E337" s="5"/>
      <c r="F337" s="5" t="str">
        <f>IF($A337="","",SUMIF(Party_Ledger!$B:$B,$A337,Party_Ledger!$F:$F))</f>
        <v/>
      </c>
      <c r="G337" s="5" t="str">
        <f>IF($A337="","",SUMIF(Party_Ledger!$B:$B,$A337,Party_Ledger!$G:$G))</f>
        <v/>
      </c>
      <c r="H337" s="5" t="str">
        <f t="shared" si="10"/>
        <v/>
      </c>
      <c r="I337" s="4" t="str">
        <f t="shared" si="11"/>
        <v/>
      </c>
    </row>
    <row r="338" spans="1:9" x14ac:dyDescent="0.2">
      <c r="A338" s="4"/>
      <c r="B338" s="4"/>
      <c r="C338" s="4"/>
      <c r="D338" s="4"/>
      <c r="E338" s="5"/>
      <c r="F338" s="5" t="str">
        <f>IF($A338="","",SUMIF(Party_Ledger!$B:$B,$A338,Party_Ledger!$F:$F))</f>
        <v/>
      </c>
      <c r="G338" s="5" t="str">
        <f>IF($A338="","",SUMIF(Party_Ledger!$B:$B,$A338,Party_Ledger!$G:$G))</f>
        <v/>
      </c>
      <c r="H338" s="5" t="str">
        <f t="shared" si="10"/>
        <v/>
      </c>
      <c r="I338" s="4" t="str">
        <f t="shared" si="11"/>
        <v/>
      </c>
    </row>
    <row r="339" spans="1:9" x14ac:dyDescent="0.2">
      <c r="A339" s="4"/>
      <c r="B339" s="4"/>
      <c r="C339" s="4"/>
      <c r="D339" s="4"/>
      <c r="E339" s="5"/>
      <c r="F339" s="5" t="str">
        <f>IF($A339="","",SUMIF(Party_Ledger!$B:$B,$A339,Party_Ledger!$F:$F))</f>
        <v/>
      </c>
      <c r="G339" s="5" t="str">
        <f>IF($A339="","",SUMIF(Party_Ledger!$B:$B,$A339,Party_Ledger!$G:$G))</f>
        <v/>
      </c>
      <c r="H339" s="5" t="str">
        <f t="shared" si="10"/>
        <v/>
      </c>
      <c r="I339" s="4" t="str">
        <f t="shared" si="11"/>
        <v/>
      </c>
    </row>
    <row r="340" spans="1:9" x14ac:dyDescent="0.2">
      <c r="A340" s="4"/>
      <c r="B340" s="4"/>
      <c r="C340" s="4"/>
      <c r="D340" s="4"/>
      <c r="E340" s="5"/>
      <c r="F340" s="5" t="str">
        <f>IF($A340="","",SUMIF(Party_Ledger!$B:$B,$A340,Party_Ledger!$F:$F))</f>
        <v/>
      </c>
      <c r="G340" s="5" t="str">
        <f>IF($A340="","",SUMIF(Party_Ledger!$B:$B,$A340,Party_Ledger!$G:$G))</f>
        <v/>
      </c>
      <c r="H340" s="5" t="str">
        <f t="shared" si="10"/>
        <v/>
      </c>
      <c r="I340" s="4" t="str">
        <f t="shared" si="11"/>
        <v/>
      </c>
    </row>
    <row r="341" spans="1:9" x14ac:dyDescent="0.2">
      <c r="A341" s="4"/>
      <c r="B341" s="4"/>
      <c r="C341" s="4"/>
      <c r="D341" s="4"/>
      <c r="E341" s="5"/>
      <c r="F341" s="5" t="str">
        <f>IF($A341="","",SUMIF(Party_Ledger!$B:$B,$A341,Party_Ledger!$F:$F))</f>
        <v/>
      </c>
      <c r="G341" s="5" t="str">
        <f>IF($A341="","",SUMIF(Party_Ledger!$B:$B,$A341,Party_Ledger!$G:$G))</f>
        <v/>
      </c>
      <c r="H341" s="5" t="str">
        <f t="shared" si="10"/>
        <v/>
      </c>
      <c r="I341" s="4" t="str">
        <f t="shared" si="11"/>
        <v/>
      </c>
    </row>
    <row r="342" spans="1:9" x14ac:dyDescent="0.2">
      <c r="A342" s="4"/>
      <c r="B342" s="4"/>
      <c r="C342" s="4"/>
      <c r="D342" s="4"/>
      <c r="E342" s="5"/>
      <c r="F342" s="5" t="str">
        <f>IF($A342="","",SUMIF(Party_Ledger!$B:$B,$A342,Party_Ledger!$F:$F))</f>
        <v/>
      </c>
      <c r="G342" s="5" t="str">
        <f>IF($A342="","",SUMIF(Party_Ledger!$B:$B,$A342,Party_Ledger!$G:$G))</f>
        <v/>
      </c>
      <c r="H342" s="5" t="str">
        <f t="shared" si="10"/>
        <v/>
      </c>
      <c r="I342" s="4" t="str">
        <f t="shared" si="11"/>
        <v/>
      </c>
    </row>
    <row r="343" spans="1:9" x14ac:dyDescent="0.2">
      <c r="A343" s="4"/>
      <c r="B343" s="4"/>
      <c r="C343" s="4"/>
      <c r="D343" s="4"/>
      <c r="E343" s="5"/>
      <c r="F343" s="5" t="str">
        <f>IF($A343="","",SUMIF(Party_Ledger!$B:$B,$A343,Party_Ledger!$F:$F))</f>
        <v/>
      </c>
      <c r="G343" s="5" t="str">
        <f>IF($A343="","",SUMIF(Party_Ledger!$B:$B,$A343,Party_Ledger!$G:$G))</f>
        <v/>
      </c>
      <c r="H343" s="5" t="str">
        <f t="shared" si="10"/>
        <v/>
      </c>
      <c r="I343" s="4" t="str">
        <f t="shared" si="11"/>
        <v/>
      </c>
    </row>
    <row r="344" spans="1:9" x14ac:dyDescent="0.2">
      <c r="A344" s="4"/>
      <c r="B344" s="4"/>
      <c r="C344" s="4"/>
      <c r="D344" s="4"/>
      <c r="E344" s="5"/>
      <c r="F344" s="5" t="str">
        <f>IF($A344="","",SUMIF(Party_Ledger!$B:$B,$A344,Party_Ledger!$F:$F))</f>
        <v/>
      </c>
      <c r="G344" s="5" t="str">
        <f>IF($A344="","",SUMIF(Party_Ledger!$B:$B,$A344,Party_Ledger!$G:$G))</f>
        <v/>
      </c>
      <c r="H344" s="5" t="str">
        <f t="shared" si="10"/>
        <v/>
      </c>
      <c r="I344" s="4" t="str">
        <f t="shared" si="11"/>
        <v/>
      </c>
    </row>
    <row r="345" spans="1:9" x14ac:dyDescent="0.2">
      <c r="A345" s="4"/>
      <c r="B345" s="4"/>
      <c r="C345" s="4"/>
      <c r="D345" s="4"/>
      <c r="E345" s="5"/>
      <c r="F345" s="5" t="str">
        <f>IF($A345="","",SUMIF(Party_Ledger!$B:$B,$A345,Party_Ledger!$F:$F))</f>
        <v/>
      </c>
      <c r="G345" s="5" t="str">
        <f>IF($A345="","",SUMIF(Party_Ledger!$B:$B,$A345,Party_Ledger!$G:$G))</f>
        <v/>
      </c>
      <c r="H345" s="5" t="str">
        <f t="shared" si="10"/>
        <v/>
      </c>
      <c r="I345" s="4" t="str">
        <f t="shared" si="11"/>
        <v/>
      </c>
    </row>
    <row r="346" spans="1:9" x14ac:dyDescent="0.2">
      <c r="A346" s="4"/>
      <c r="B346" s="4"/>
      <c r="C346" s="4"/>
      <c r="D346" s="4"/>
      <c r="E346" s="5"/>
      <c r="F346" s="5" t="str">
        <f>IF($A346="","",SUMIF(Party_Ledger!$B:$B,$A346,Party_Ledger!$F:$F))</f>
        <v/>
      </c>
      <c r="G346" s="5" t="str">
        <f>IF($A346="","",SUMIF(Party_Ledger!$B:$B,$A346,Party_Ledger!$G:$G))</f>
        <v/>
      </c>
      <c r="H346" s="5" t="str">
        <f t="shared" si="10"/>
        <v/>
      </c>
      <c r="I346" s="4" t="str">
        <f t="shared" si="11"/>
        <v/>
      </c>
    </row>
    <row r="347" spans="1:9" x14ac:dyDescent="0.2">
      <c r="A347" s="4"/>
      <c r="B347" s="4"/>
      <c r="C347" s="4"/>
      <c r="D347" s="4"/>
      <c r="E347" s="5"/>
      <c r="F347" s="5" t="str">
        <f>IF($A347="","",SUMIF(Party_Ledger!$B:$B,$A347,Party_Ledger!$F:$F))</f>
        <v/>
      </c>
      <c r="G347" s="5" t="str">
        <f>IF($A347="","",SUMIF(Party_Ledger!$B:$B,$A347,Party_Ledger!$G:$G))</f>
        <v/>
      </c>
      <c r="H347" s="5" t="str">
        <f t="shared" si="10"/>
        <v/>
      </c>
      <c r="I347" s="4" t="str">
        <f t="shared" si="11"/>
        <v/>
      </c>
    </row>
    <row r="348" spans="1:9" x14ac:dyDescent="0.2">
      <c r="A348" s="4"/>
      <c r="B348" s="4"/>
      <c r="C348" s="4"/>
      <c r="D348" s="4"/>
      <c r="E348" s="5"/>
      <c r="F348" s="5" t="str">
        <f>IF($A348="","",SUMIF(Party_Ledger!$B:$B,$A348,Party_Ledger!$F:$F))</f>
        <v/>
      </c>
      <c r="G348" s="5" t="str">
        <f>IF($A348="","",SUMIF(Party_Ledger!$B:$B,$A348,Party_Ledger!$G:$G))</f>
        <v/>
      </c>
      <c r="H348" s="5" t="str">
        <f t="shared" si="10"/>
        <v/>
      </c>
      <c r="I348" s="4" t="str">
        <f t="shared" si="11"/>
        <v/>
      </c>
    </row>
    <row r="349" spans="1:9" x14ac:dyDescent="0.2">
      <c r="A349" s="4"/>
      <c r="B349" s="4"/>
      <c r="C349" s="4"/>
      <c r="D349" s="4"/>
      <c r="E349" s="5"/>
      <c r="F349" s="5" t="str">
        <f>IF($A349="","",SUMIF(Party_Ledger!$B:$B,$A349,Party_Ledger!$F:$F))</f>
        <v/>
      </c>
      <c r="G349" s="5" t="str">
        <f>IF($A349="","",SUMIF(Party_Ledger!$B:$B,$A349,Party_Ledger!$G:$G))</f>
        <v/>
      </c>
      <c r="H349" s="5" t="str">
        <f t="shared" si="10"/>
        <v/>
      </c>
      <c r="I349" s="4" t="str">
        <f t="shared" si="11"/>
        <v/>
      </c>
    </row>
    <row r="350" spans="1:9" x14ac:dyDescent="0.2">
      <c r="A350" s="4"/>
      <c r="B350" s="4"/>
      <c r="C350" s="4"/>
      <c r="D350" s="4"/>
      <c r="E350" s="5"/>
      <c r="F350" s="5" t="str">
        <f>IF($A350="","",SUMIF(Party_Ledger!$B:$B,$A350,Party_Ledger!$F:$F))</f>
        <v/>
      </c>
      <c r="G350" s="5" t="str">
        <f>IF($A350="","",SUMIF(Party_Ledger!$B:$B,$A350,Party_Ledger!$G:$G))</f>
        <v/>
      </c>
      <c r="H350" s="5" t="str">
        <f t="shared" si="10"/>
        <v/>
      </c>
      <c r="I350" s="4" t="str">
        <f t="shared" si="11"/>
        <v/>
      </c>
    </row>
    <row r="351" spans="1:9" x14ac:dyDescent="0.2">
      <c r="A351" s="4"/>
      <c r="B351" s="4"/>
      <c r="C351" s="4"/>
      <c r="D351" s="4"/>
      <c r="E351" s="5"/>
      <c r="F351" s="5" t="str">
        <f>IF($A351="","",SUMIF(Party_Ledger!$B:$B,$A351,Party_Ledger!$F:$F))</f>
        <v/>
      </c>
      <c r="G351" s="5" t="str">
        <f>IF($A351="","",SUMIF(Party_Ledger!$B:$B,$A351,Party_Ledger!$G:$G))</f>
        <v/>
      </c>
      <c r="H351" s="5" t="str">
        <f t="shared" si="10"/>
        <v/>
      </c>
      <c r="I351" s="4" t="str">
        <f t="shared" si="11"/>
        <v/>
      </c>
    </row>
    <row r="352" spans="1:9" x14ac:dyDescent="0.2">
      <c r="A352" s="4"/>
      <c r="B352" s="4"/>
      <c r="C352" s="4"/>
      <c r="D352" s="4"/>
      <c r="E352" s="5"/>
      <c r="F352" s="5" t="str">
        <f>IF($A352="","",SUMIF(Party_Ledger!$B:$B,$A352,Party_Ledger!$F:$F))</f>
        <v/>
      </c>
      <c r="G352" s="5" t="str">
        <f>IF($A352="","",SUMIF(Party_Ledger!$B:$B,$A352,Party_Ledger!$G:$G))</f>
        <v/>
      </c>
      <c r="H352" s="5" t="str">
        <f t="shared" si="10"/>
        <v/>
      </c>
      <c r="I352" s="4" t="str">
        <f t="shared" si="11"/>
        <v/>
      </c>
    </row>
    <row r="353" spans="1:9" x14ac:dyDescent="0.2">
      <c r="A353" s="4"/>
      <c r="B353" s="4"/>
      <c r="C353" s="4"/>
      <c r="D353" s="4"/>
      <c r="E353" s="5"/>
      <c r="F353" s="5" t="str">
        <f>IF($A353="","",SUMIF(Party_Ledger!$B:$B,$A353,Party_Ledger!$F:$F))</f>
        <v/>
      </c>
      <c r="G353" s="5" t="str">
        <f>IF($A353="","",SUMIF(Party_Ledger!$B:$B,$A353,Party_Ledger!$G:$G))</f>
        <v/>
      </c>
      <c r="H353" s="5" t="str">
        <f t="shared" si="10"/>
        <v/>
      </c>
      <c r="I353" s="4" t="str">
        <f t="shared" si="11"/>
        <v/>
      </c>
    </row>
    <row r="354" spans="1:9" x14ac:dyDescent="0.2">
      <c r="A354" s="4"/>
      <c r="B354" s="4"/>
      <c r="C354" s="4"/>
      <c r="D354" s="4"/>
      <c r="E354" s="5"/>
      <c r="F354" s="5" t="str">
        <f>IF($A354="","",SUMIF(Party_Ledger!$B:$B,$A354,Party_Ledger!$F:$F))</f>
        <v/>
      </c>
      <c r="G354" s="5" t="str">
        <f>IF($A354="","",SUMIF(Party_Ledger!$B:$B,$A354,Party_Ledger!$G:$G))</f>
        <v/>
      </c>
      <c r="H354" s="5" t="str">
        <f t="shared" si="10"/>
        <v/>
      </c>
      <c r="I354" s="4" t="str">
        <f t="shared" si="11"/>
        <v/>
      </c>
    </row>
    <row r="355" spans="1:9" x14ac:dyDescent="0.2">
      <c r="A355" s="4"/>
      <c r="B355" s="4"/>
      <c r="C355" s="4"/>
      <c r="D355" s="4"/>
      <c r="E355" s="5"/>
      <c r="F355" s="5" t="str">
        <f>IF($A355="","",SUMIF(Party_Ledger!$B:$B,$A355,Party_Ledger!$F:$F))</f>
        <v/>
      </c>
      <c r="G355" s="5" t="str">
        <f>IF($A355="","",SUMIF(Party_Ledger!$B:$B,$A355,Party_Ledger!$G:$G))</f>
        <v/>
      </c>
      <c r="H355" s="5" t="str">
        <f t="shared" si="10"/>
        <v/>
      </c>
      <c r="I355" s="4" t="str">
        <f t="shared" si="11"/>
        <v/>
      </c>
    </row>
    <row r="356" spans="1:9" x14ac:dyDescent="0.2">
      <c r="A356" s="4"/>
      <c r="B356" s="4"/>
      <c r="C356" s="4"/>
      <c r="D356" s="4"/>
      <c r="E356" s="5"/>
      <c r="F356" s="5" t="str">
        <f>IF($A356="","",SUMIF(Party_Ledger!$B:$B,$A356,Party_Ledger!$F:$F))</f>
        <v/>
      </c>
      <c r="G356" s="5" t="str">
        <f>IF($A356="","",SUMIF(Party_Ledger!$B:$B,$A356,Party_Ledger!$G:$G))</f>
        <v/>
      </c>
      <c r="H356" s="5" t="str">
        <f t="shared" si="10"/>
        <v/>
      </c>
      <c r="I356" s="4" t="str">
        <f t="shared" si="11"/>
        <v/>
      </c>
    </row>
    <row r="357" spans="1:9" x14ac:dyDescent="0.2">
      <c r="A357" s="4"/>
      <c r="B357" s="4"/>
      <c r="C357" s="4"/>
      <c r="D357" s="4"/>
      <c r="E357" s="5"/>
      <c r="F357" s="5" t="str">
        <f>IF($A357="","",SUMIF(Party_Ledger!$B:$B,$A357,Party_Ledger!$F:$F))</f>
        <v/>
      </c>
      <c r="G357" s="5" t="str">
        <f>IF($A357="","",SUMIF(Party_Ledger!$B:$B,$A357,Party_Ledger!$G:$G))</f>
        <v/>
      </c>
      <c r="H357" s="5" t="str">
        <f t="shared" si="10"/>
        <v/>
      </c>
      <c r="I357" s="4" t="str">
        <f t="shared" si="11"/>
        <v/>
      </c>
    </row>
    <row r="358" spans="1:9" x14ac:dyDescent="0.2">
      <c r="A358" s="4"/>
      <c r="B358" s="4"/>
      <c r="C358" s="4"/>
      <c r="D358" s="4"/>
      <c r="E358" s="5"/>
      <c r="F358" s="5" t="str">
        <f>IF($A358="","",SUMIF(Party_Ledger!$B:$B,$A358,Party_Ledger!$F:$F))</f>
        <v/>
      </c>
      <c r="G358" s="5" t="str">
        <f>IF($A358="","",SUMIF(Party_Ledger!$B:$B,$A358,Party_Ledger!$G:$G))</f>
        <v/>
      </c>
      <c r="H358" s="5" t="str">
        <f t="shared" si="10"/>
        <v/>
      </c>
      <c r="I358" s="4" t="str">
        <f t="shared" si="11"/>
        <v/>
      </c>
    </row>
    <row r="359" spans="1:9" x14ac:dyDescent="0.2">
      <c r="A359" s="4"/>
      <c r="B359" s="4"/>
      <c r="C359" s="4"/>
      <c r="D359" s="4"/>
      <c r="E359" s="5"/>
      <c r="F359" s="5" t="str">
        <f>IF($A359="","",SUMIF(Party_Ledger!$B:$B,$A359,Party_Ledger!$F:$F))</f>
        <v/>
      </c>
      <c r="G359" s="5" t="str">
        <f>IF($A359="","",SUMIF(Party_Ledger!$B:$B,$A359,Party_Ledger!$G:$G))</f>
        <v/>
      </c>
      <c r="H359" s="5" t="str">
        <f t="shared" si="10"/>
        <v/>
      </c>
      <c r="I359" s="4" t="str">
        <f t="shared" si="11"/>
        <v/>
      </c>
    </row>
    <row r="360" spans="1:9" x14ac:dyDescent="0.2">
      <c r="A360" s="4"/>
      <c r="B360" s="4"/>
      <c r="C360" s="4"/>
      <c r="D360" s="4"/>
      <c r="E360" s="5"/>
      <c r="F360" s="5" t="str">
        <f>IF($A360="","",SUMIF(Party_Ledger!$B:$B,$A360,Party_Ledger!$F:$F))</f>
        <v/>
      </c>
      <c r="G360" s="5" t="str">
        <f>IF($A360="","",SUMIF(Party_Ledger!$B:$B,$A360,Party_Ledger!$G:$G))</f>
        <v/>
      </c>
      <c r="H360" s="5" t="str">
        <f t="shared" si="10"/>
        <v/>
      </c>
      <c r="I360" s="4" t="str">
        <f t="shared" si="11"/>
        <v/>
      </c>
    </row>
    <row r="361" spans="1:9" x14ac:dyDescent="0.2">
      <c r="A361" s="4"/>
      <c r="B361" s="4"/>
      <c r="C361" s="4"/>
      <c r="D361" s="4"/>
      <c r="E361" s="5"/>
      <c r="F361" s="5" t="str">
        <f>IF($A361="","",SUMIF(Party_Ledger!$B:$B,$A361,Party_Ledger!$F:$F))</f>
        <v/>
      </c>
      <c r="G361" s="5" t="str">
        <f>IF($A361="","",SUMIF(Party_Ledger!$B:$B,$A361,Party_Ledger!$G:$G))</f>
        <v/>
      </c>
      <c r="H361" s="5" t="str">
        <f t="shared" si="10"/>
        <v/>
      </c>
      <c r="I361" s="4" t="str">
        <f t="shared" si="11"/>
        <v/>
      </c>
    </row>
    <row r="362" spans="1:9" x14ac:dyDescent="0.2">
      <c r="A362" s="4"/>
      <c r="B362" s="4"/>
      <c r="C362" s="4"/>
      <c r="D362" s="4"/>
      <c r="E362" s="5"/>
      <c r="F362" s="5" t="str">
        <f>IF($A362="","",SUMIF(Party_Ledger!$B:$B,$A362,Party_Ledger!$F:$F))</f>
        <v/>
      </c>
      <c r="G362" s="5" t="str">
        <f>IF($A362="","",SUMIF(Party_Ledger!$B:$B,$A362,Party_Ledger!$G:$G))</f>
        <v/>
      </c>
      <c r="H362" s="5" t="str">
        <f t="shared" si="10"/>
        <v/>
      </c>
      <c r="I362" s="4" t="str">
        <f t="shared" si="11"/>
        <v/>
      </c>
    </row>
    <row r="363" spans="1:9" x14ac:dyDescent="0.2">
      <c r="A363" s="4"/>
      <c r="B363" s="4"/>
      <c r="C363" s="4"/>
      <c r="D363" s="4"/>
      <c r="E363" s="5"/>
      <c r="F363" s="5" t="str">
        <f>IF($A363="","",SUMIF(Party_Ledger!$B:$B,$A363,Party_Ledger!$F:$F))</f>
        <v/>
      </c>
      <c r="G363" s="5" t="str">
        <f>IF($A363="","",SUMIF(Party_Ledger!$B:$B,$A363,Party_Ledger!$G:$G))</f>
        <v/>
      </c>
      <c r="H363" s="5" t="str">
        <f t="shared" si="10"/>
        <v/>
      </c>
      <c r="I363" s="4" t="str">
        <f t="shared" si="11"/>
        <v/>
      </c>
    </row>
    <row r="364" spans="1:9" x14ac:dyDescent="0.2">
      <c r="A364" s="4"/>
      <c r="B364" s="4"/>
      <c r="C364" s="4"/>
      <c r="D364" s="4"/>
      <c r="E364" s="5"/>
      <c r="F364" s="5" t="str">
        <f>IF($A364="","",SUMIF(Party_Ledger!$B:$B,$A364,Party_Ledger!$F:$F))</f>
        <v/>
      </c>
      <c r="G364" s="5" t="str">
        <f>IF($A364="","",SUMIF(Party_Ledger!$B:$B,$A364,Party_Ledger!$G:$G))</f>
        <v/>
      </c>
      <c r="H364" s="5" t="str">
        <f t="shared" si="10"/>
        <v/>
      </c>
      <c r="I364" s="4" t="str">
        <f t="shared" si="11"/>
        <v/>
      </c>
    </row>
    <row r="365" spans="1:9" x14ac:dyDescent="0.2">
      <c r="A365" s="4"/>
      <c r="B365" s="4"/>
      <c r="C365" s="4"/>
      <c r="D365" s="4"/>
      <c r="E365" s="5"/>
      <c r="F365" s="5" t="str">
        <f>IF($A365="","",SUMIF(Party_Ledger!$B:$B,$A365,Party_Ledger!$F:$F))</f>
        <v/>
      </c>
      <c r="G365" s="5" t="str">
        <f>IF($A365="","",SUMIF(Party_Ledger!$B:$B,$A365,Party_Ledger!$G:$G))</f>
        <v/>
      </c>
      <c r="H365" s="5" t="str">
        <f t="shared" si="10"/>
        <v/>
      </c>
      <c r="I365" s="4" t="str">
        <f t="shared" si="11"/>
        <v/>
      </c>
    </row>
    <row r="366" spans="1:9" x14ac:dyDescent="0.2">
      <c r="A366" s="4"/>
      <c r="B366" s="4"/>
      <c r="C366" s="4"/>
      <c r="D366" s="4"/>
      <c r="E366" s="5"/>
      <c r="F366" s="5" t="str">
        <f>IF($A366="","",SUMIF(Party_Ledger!$B:$B,$A366,Party_Ledger!$F:$F))</f>
        <v/>
      </c>
      <c r="G366" s="5" t="str">
        <f>IF($A366="","",SUMIF(Party_Ledger!$B:$B,$A366,Party_Ledger!$G:$G))</f>
        <v/>
      </c>
      <c r="H366" s="5" t="str">
        <f t="shared" si="10"/>
        <v/>
      </c>
      <c r="I366" s="4" t="str">
        <f t="shared" si="11"/>
        <v/>
      </c>
    </row>
    <row r="367" spans="1:9" x14ac:dyDescent="0.2">
      <c r="A367" s="4"/>
      <c r="B367" s="4"/>
      <c r="C367" s="4"/>
      <c r="D367" s="4"/>
      <c r="E367" s="5"/>
      <c r="F367" s="5" t="str">
        <f>IF($A367="","",SUMIF(Party_Ledger!$B:$B,$A367,Party_Ledger!$F:$F))</f>
        <v/>
      </c>
      <c r="G367" s="5" t="str">
        <f>IF($A367="","",SUMIF(Party_Ledger!$B:$B,$A367,Party_Ledger!$G:$G))</f>
        <v/>
      </c>
      <c r="H367" s="5" t="str">
        <f t="shared" si="10"/>
        <v/>
      </c>
      <c r="I367" s="4" t="str">
        <f t="shared" si="11"/>
        <v/>
      </c>
    </row>
    <row r="368" spans="1:9" x14ac:dyDescent="0.2">
      <c r="A368" s="4"/>
      <c r="B368" s="4"/>
      <c r="C368" s="4"/>
      <c r="D368" s="4"/>
      <c r="E368" s="5"/>
      <c r="F368" s="5" t="str">
        <f>IF($A368="","",SUMIF(Party_Ledger!$B:$B,$A368,Party_Ledger!$F:$F))</f>
        <v/>
      </c>
      <c r="G368" s="5" t="str">
        <f>IF($A368="","",SUMIF(Party_Ledger!$B:$B,$A368,Party_Ledger!$G:$G))</f>
        <v/>
      </c>
      <c r="H368" s="5" t="str">
        <f t="shared" si="10"/>
        <v/>
      </c>
      <c r="I368" s="4" t="str">
        <f t="shared" si="11"/>
        <v/>
      </c>
    </row>
    <row r="369" spans="1:9" x14ac:dyDescent="0.2">
      <c r="A369" s="4"/>
      <c r="B369" s="4"/>
      <c r="C369" s="4"/>
      <c r="D369" s="4"/>
      <c r="E369" s="5"/>
      <c r="F369" s="5" t="str">
        <f>IF($A369="","",SUMIF(Party_Ledger!$B:$B,$A369,Party_Ledger!$F:$F))</f>
        <v/>
      </c>
      <c r="G369" s="5" t="str">
        <f>IF($A369="","",SUMIF(Party_Ledger!$B:$B,$A369,Party_Ledger!$G:$G))</f>
        <v/>
      </c>
      <c r="H369" s="5" t="str">
        <f t="shared" si="10"/>
        <v/>
      </c>
      <c r="I369" s="4" t="str">
        <f t="shared" si="11"/>
        <v/>
      </c>
    </row>
    <row r="370" spans="1:9" x14ac:dyDescent="0.2">
      <c r="A370" s="4"/>
      <c r="B370" s="4"/>
      <c r="C370" s="4"/>
      <c r="D370" s="4"/>
      <c r="E370" s="5"/>
      <c r="F370" s="5" t="str">
        <f>IF($A370="","",SUMIF(Party_Ledger!$B:$B,$A370,Party_Ledger!$F:$F))</f>
        <v/>
      </c>
      <c r="G370" s="5" t="str">
        <f>IF($A370="","",SUMIF(Party_Ledger!$B:$B,$A370,Party_Ledger!$G:$G))</f>
        <v/>
      </c>
      <c r="H370" s="5" t="str">
        <f t="shared" si="10"/>
        <v/>
      </c>
      <c r="I370" s="4" t="str">
        <f t="shared" si="11"/>
        <v/>
      </c>
    </row>
    <row r="371" spans="1:9" x14ac:dyDescent="0.2">
      <c r="A371" s="4"/>
      <c r="B371" s="4"/>
      <c r="C371" s="4"/>
      <c r="D371" s="4"/>
      <c r="E371" s="5"/>
      <c r="F371" s="5" t="str">
        <f>IF($A371="","",SUMIF(Party_Ledger!$B:$B,$A371,Party_Ledger!$F:$F))</f>
        <v/>
      </c>
      <c r="G371" s="5" t="str">
        <f>IF($A371="","",SUMIF(Party_Ledger!$B:$B,$A371,Party_Ledger!$G:$G))</f>
        <v/>
      </c>
      <c r="H371" s="5" t="str">
        <f t="shared" si="10"/>
        <v/>
      </c>
      <c r="I371" s="4" t="str">
        <f t="shared" si="11"/>
        <v/>
      </c>
    </row>
    <row r="372" spans="1:9" x14ac:dyDescent="0.2">
      <c r="A372" s="4"/>
      <c r="B372" s="4"/>
      <c r="C372" s="4"/>
      <c r="D372" s="4"/>
      <c r="E372" s="5"/>
      <c r="F372" s="5" t="str">
        <f>IF($A372="","",SUMIF(Party_Ledger!$B:$B,$A372,Party_Ledger!$F:$F))</f>
        <v/>
      </c>
      <c r="G372" s="5" t="str">
        <f>IF($A372="","",SUMIF(Party_Ledger!$B:$B,$A372,Party_Ledger!$G:$G))</f>
        <v/>
      </c>
      <c r="H372" s="5" t="str">
        <f t="shared" si="10"/>
        <v/>
      </c>
      <c r="I372" s="4" t="str">
        <f t="shared" si="11"/>
        <v/>
      </c>
    </row>
    <row r="373" spans="1:9" x14ac:dyDescent="0.2">
      <c r="A373" s="4"/>
      <c r="B373" s="4"/>
      <c r="C373" s="4"/>
      <c r="D373" s="4"/>
      <c r="E373" s="5"/>
      <c r="F373" s="5" t="str">
        <f>IF($A373="","",SUMIF(Party_Ledger!$B:$B,$A373,Party_Ledger!$F:$F))</f>
        <v/>
      </c>
      <c r="G373" s="5" t="str">
        <f>IF($A373="","",SUMIF(Party_Ledger!$B:$B,$A373,Party_Ledger!$G:$G))</f>
        <v/>
      </c>
      <c r="H373" s="5" t="str">
        <f t="shared" si="10"/>
        <v/>
      </c>
      <c r="I373" s="4" t="str">
        <f t="shared" si="11"/>
        <v/>
      </c>
    </row>
    <row r="374" spans="1:9" x14ac:dyDescent="0.2">
      <c r="A374" s="4"/>
      <c r="B374" s="4"/>
      <c r="C374" s="4"/>
      <c r="D374" s="4"/>
      <c r="E374" s="5"/>
      <c r="F374" s="5" t="str">
        <f>IF($A374="","",SUMIF(Party_Ledger!$B:$B,$A374,Party_Ledger!$F:$F))</f>
        <v/>
      </c>
      <c r="G374" s="5" t="str">
        <f>IF($A374="","",SUMIF(Party_Ledger!$B:$B,$A374,Party_Ledger!$G:$G))</f>
        <v/>
      </c>
      <c r="H374" s="5" t="str">
        <f t="shared" si="10"/>
        <v/>
      </c>
      <c r="I374" s="4" t="str">
        <f t="shared" si="11"/>
        <v/>
      </c>
    </row>
    <row r="375" spans="1:9" x14ac:dyDescent="0.2">
      <c r="A375" s="4"/>
      <c r="B375" s="4"/>
      <c r="C375" s="4"/>
      <c r="D375" s="4"/>
      <c r="E375" s="5"/>
      <c r="F375" s="5" t="str">
        <f>IF($A375="","",SUMIF(Party_Ledger!$B:$B,$A375,Party_Ledger!$F:$F))</f>
        <v/>
      </c>
      <c r="G375" s="5" t="str">
        <f>IF($A375="","",SUMIF(Party_Ledger!$B:$B,$A375,Party_Ledger!$G:$G))</f>
        <v/>
      </c>
      <c r="H375" s="5" t="str">
        <f t="shared" si="10"/>
        <v/>
      </c>
      <c r="I375" s="4" t="str">
        <f t="shared" si="11"/>
        <v/>
      </c>
    </row>
    <row r="376" spans="1:9" x14ac:dyDescent="0.2">
      <c r="A376" s="4"/>
      <c r="B376" s="4"/>
      <c r="C376" s="4"/>
      <c r="D376" s="4"/>
      <c r="E376" s="5"/>
      <c r="F376" s="5" t="str">
        <f>IF($A376="","",SUMIF(Party_Ledger!$B:$B,$A376,Party_Ledger!$F:$F))</f>
        <v/>
      </c>
      <c r="G376" s="5" t="str">
        <f>IF($A376="","",SUMIF(Party_Ledger!$B:$B,$A376,Party_Ledger!$G:$G))</f>
        <v/>
      </c>
      <c r="H376" s="5" t="str">
        <f t="shared" si="10"/>
        <v/>
      </c>
      <c r="I376" s="4" t="str">
        <f t="shared" si="11"/>
        <v/>
      </c>
    </row>
    <row r="377" spans="1:9" x14ac:dyDescent="0.2">
      <c r="A377" s="4"/>
      <c r="B377" s="4"/>
      <c r="C377" s="4"/>
      <c r="D377" s="4"/>
      <c r="E377" s="5"/>
      <c r="F377" s="5" t="str">
        <f>IF($A377="","",SUMIF(Party_Ledger!$B:$B,$A377,Party_Ledger!$F:$F))</f>
        <v/>
      </c>
      <c r="G377" s="5" t="str">
        <f>IF($A377="","",SUMIF(Party_Ledger!$B:$B,$A377,Party_Ledger!$G:$G))</f>
        <v/>
      </c>
      <c r="H377" s="5" t="str">
        <f t="shared" si="10"/>
        <v/>
      </c>
      <c r="I377" s="4" t="str">
        <f t="shared" si="11"/>
        <v/>
      </c>
    </row>
    <row r="378" spans="1:9" x14ac:dyDescent="0.2">
      <c r="A378" s="4"/>
      <c r="B378" s="4"/>
      <c r="C378" s="4"/>
      <c r="D378" s="4"/>
      <c r="E378" s="5"/>
      <c r="F378" s="5" t="str">
        <f>IF($A378="","",SUMIF(Party_Ledger!$B:$B,$A378,Party_Ledger!$F:$F))</f>
        <v/>
      </c>
      <c r="G378" s="5" t="str">
        <f>IF($A378="","",SUMIF(Party_Ledger!$B:$B,$A378,Party_Ledger!$G:$G))</f>
        <v/>
      </c>
      <c r="H378" s="5" t="str">
        <f t="shared" si="10"/>
        <v/>
      </c>
      <c r="I378" s="4" t="str">
        <f t="shared" si="11"/>
        <v/>
      </c>
    </row>
    <row r="379" spans="1:9" x14ac:dyDescent="0.2">
      <c r="A379" s="4"/>
      <c r="B379" s="4"/>
      <c r="C379" s="4"/>
      <c r="D379" s="4"/>
      <c r="E379" s="5"/>
      <c r="F379" s="5" t="str">
        <f>IF($A379="","",SUMIF(Party_Ledger!$B:$B,$A379,Party_Ledger!$F:$F))</f>
        <v/>
      </c>
      <c r="G379" s="5" t="str">
        <f>IF($A379="","",SUMIF(Party_Ledger!$B:$B,$A379,Party_Ledger!$G:$G))</f>
        <v/>
      </c>
      <c r="H379" s="5" t="str">
        <f t="shared" si="10"/>
        <v/>
      </c>
      <c r="I379" s="4" t="str">
        <f t="shared" si="11"/>
        <v/>
      </c>
    </row>
    <row r="380" spans="1:9" x14ac:dyDescent="0.2">
      <c r="A380" s="4"/>
      <c r="B380" s="4"/>
      <c r="C380" s="4"/>
      <c r="D380" s="4"/>
      <c r="E380" s="5"/>
      <c r="F380" s="5" t="str">
        <f>IF($A380="","",SUMIF(Party_Ledger!$B:$B,$A380,Party_Ledger!$F:$F))</f>
        <v/>
      </c>
      <c r="G380" s="5" t="str">
        <f>IF($A380="","",SUMIF(Party_Ledger!$B:$B,$A380,Party_Ledger!$G:$G))</f>
        <v/>
      </c>
      <c r="H380" s="5" t="str">
        <f t="shared" si="10"/>
        <v/>
      </c>
      <c r="I380" s="4" t="str">
        <f t="shared" si="11"/>
        <v/>
      </c>
    </row>
    <row r="381" spans="1:9" x14ac:dyDescent="0.2">
      <c r="A381" s="4"/>
      <c r="B381" s="4"/>
      <c r="C381" s="4"/>
      <c r="D381" s="4"/>
      <c r="E381" s="5"/>
      <c r="F381" s="5" t="str">
        <f>IF($A381="","",SUMIF(Party_Ledger!$B:$B,$A381,Party_Ledger!$F:$F))</f>
        <v/>
      </c>
      <c r="G381" s="5" t="str">
        <f>IF($A381="","",SUMIF(Party_Ledger!$B:$B,$A381,Party_Ledger!$G:$G))</f>
        <v/>
      </c>
      <c r="H381" s="5" t="str">
        <f t="shared" si="10"/>
        <v/>
      </c>
      <c r="I381" s="4" t="str">
        <f t="shared" si="11"/>
        <v/>
      </c>
    </row>
    <row r="382" spans="1:9" x14ac:dyDescent="0.2">
      <c r="A382" s="4"/>
      <c r="B382" s="4"/>
      <c r="C382" s="4"/>
      <c r="D382" s="4"/>
      <c r="E382" s="5"/>
      <c r="F382" s="5" t="str">
        <f>IF($A382="","",SUMIF(Party_Ledger!$B:$B,$A382,Party_Ledger!$F:$F))</f>
        <v/>
      </c>
      <c r="G382" s="5" t="str">
        <f>IF($A382="","",SUMIF(Party_Ledger!$B:$B,$A382,Party_Ledger!$G:$G))</f>
        <v/>
      </c>
      <c r="H382" s="5" t="str">
        <f t="shared" si="10"/>
        <v/>
      </c>
      <c r="I382" s="4" t="str">
        <f t="shared" si="11"/>
        <v/>
      </c>
    </row>
    <row r="383" spans="1:9" x14ac:dyDescent="0.2">
      <c r="A383" s="4"/>
      <c r="B383" s="4"/>
      <c r="C383" s="4"/>
      <c r="D383" s="4"/>
      <c r="E383" s="5"/>
      <c r="F383" s="5" t="str">
        <f>IF($A383="","",SUMIF(Party_Ledger!$B:$B,$A383,Party_Ledger!$F:$F))</f>
        <v/>
      </c>
      <c r="G383" s="5" t="str">
        <f>IF($A383="","",SUMIF(Party_Ledger!$B:$B,$A383,Party_Ledger!$G:$G))</f>
        <v/>
      </c>
      <c r="H383" s="5" t="str">
        <f t="shared" si="10"/>
        <v/>
      </c>
      <c r="I383" s="4" t="str">
        <f t="shared" si="11"/>
        <v/>
      </c>
    </row>
    <row r="384" spans="1:9" x14ac:dyDescent="0.2">
      <c r="A384" s="4"/>
      <c r="B384" s="4"/>
      <c r="C384" s="4"/>
      <c r="D384" s="4"/>
      <c r="E384" s="5"/>
      <c r="F384" s="5" t="str">
        <f>IF($A384="","",SUMIF(Party_Ledger!$B:$B,$A384,Party_Ledger!$F:$F))</f>
        <v/>
      </c>
      <c r="G384" s="5" t="str">
        <f>IF($A384="","",SUMIF(Party_Ledger!$B:$B,$A384,Party_Ledger!$G:$G))</f>
        <v/>
      </c>
      <c r="H384" s="5" t="str">
        <f t="shared" si="10"/>
        <v/>
      </c>
      <c r="I384" s="4" t="str">
        <f t="shared" si="11"/>
        <v/>
      </c>
    </row>
    <row r="385" spans="1:9" x14ac:dyDescent="0.2">
      <c r="A385" s="4"/>
      <c r="B385" s="4"/>
      <c r="C385" s="4"/>
      <c r="D385" s="4"/>
      <c r="E385" s="5"/>
      <c r="F385" s="5" t="str">
        <f>IF($A385="","",SUMIF(Party_Ledger!$B:$B,$A385,Party_Ledger!$F:$F))</f>
        <v/>
      </c>
      <c r="G385" s="5" t="str">
        <f>IF($A385="","",SUMIF(Party_Ledger!$B:$B,$A385,Party_Ledger!$G:$G))</f>
        <v/>
      </c>
      <c r="H385" s="5" t="str">
        <f t="shared" si="10"/>
        <v/>
      </c>
      <c r="I385" s="4" t="str">
        <f t="shared" si="11"/>
        <v/>
      </c>
    </row>
    <row r="386" spans="1:9" x14ac:dyDescent="0.2">
      <c r="A386" s="4"/>
      <c r="B386" s="4"/>
      <c r="C386" s="4"/>
      <c r="D386" s="4"/>
      <c r="E386" s="5"/>
      <c r="F386" s="5" t="str">
        <f>IF($A386="","",SUMIF(Party_Ledger!$B:$B,$A386,Party_Ledger!$F:$F))</f>
        <v/>
      </c>
      <c r="G386" s="5" t="str">
        <f>IF($A386="","",SUMIF(Party_Ledger!$B:$B,$A386,Party_Ledger!$G:$G))</f>
        <v/>
      </c>
      <c r="H386" s="5" t="str">
        <f t="shared" si="10"/>
        <v/>
      </c>
      <c r="I386" s="4" t="str">
        <f t="shared" si="11"/>
        <v/>
      </c>
    </row>
    <row r="387" spans="1:9" x14ac:dyDescent="0.2">
      <c r="A387" s="4"/>
      <c r="B387" s="4"/>
      <c r="C387" s="4"/>
      <c r="D387" s="4"/>
      <c r="E387" s="5"/>
      <c r="F387" s="5" t="str">
        <f>IF($A387="","",SUMIF(Party_Ledger!$B:$B,$A387,Party_Ledger!$F:$F))</f>
        <v/>
      </c>
      <c r="G387" s="5" t="str">
        <f>IF($A387="","",SUMIF(Party_Ledger!$B:$B,$A387,Party_Ledger!$G:$G))</f>
        <v/>
      </c>
      <c r="H387" s="5" t="str">
        <f t="shared" ref="H387:H450" si="12">IF($A387="","",$E387+$F387-$G387)</f>
        <v/>
      </c>
      <c r="I387" s="4" t="str">
        <f t="shared" ref="I387:I450" si="13">IF($A387="","",IF(ROUND($H387,0)=0,"Settled",IF($H387&gt;0,"Outstanding","Advance")))</f>
        <v/>
      </c>
    </row>
    <row r="388" spans="1:9" x14ac:dyDescent="0.2">
      <c r="A388" s="4"/>
      <c r="B388" s="4"/>
      <c r="C388" s="4"/>
      <c r="D388" s="4"/>
      <c r="E388" s="5"/>
      <c r="F388" s="5" t="str">
        <f>IF($A388="","",SUMIF(Party_Ledger!$B:$B,$A388,Party_Ledger!$F:$F))</f>
        <v/>
      </c>
      <c r="G388" s="5" t="str">
        <f>IF($A388="","",SUMIF(Party_Ledger!$B:$B,$A388,Party_Ledger!$G:$G))</f>
        <v/>
      </c>
      <c r="H388" s="5" t="str">
        <f t="shared" si="12"/>
        <v/>
      </c>
      <c r="I388" s="4" t="str">
        <f t="shared" si="13"/>
        <v/>
      </c>
    </row>
    <row r="389" spans="1:9" x14ac:dyDescent="0.2">
      <c r="A389" s="4"/>
      <c r="B389" s="4"/>
      <c r="C389" s="4"/>
      <c r="D389" s="4"/>
      <c r="E389" s="5"/>
      <c r="F389" s="5" t="str">
        <f>IF($A389="","",SUMIF(Party_Ledger!$B:$B,$A389,Party_Ledger!$F:$F))</f>
        <v/>
      </c>
      <c r="G389" s="5" t="str">
        <f>IF($A389="","",SUMIF(Party_Ledger!$B:$B,$A389,Party_Ledger!$G:$G))</f>
        <v/>
      </c>
      <c r="H389" s="5" t="str">
        <f t="shared" si="12"/>
        <v/>
      </c>
      <c r="I389" s="4" t="str">
        <f t="shared" si="13"/>
        <v/>
      </c>
    </row>
    <row r="390" spans="1:9" x14ac:dyDescent="0.2">
      <c r="A390" s="4"/>
      <c r="B390" s="4"/>
      <c r="C390" s="4"/>
      <c r="D390" s="4"/>
      <c r="E390" s="5"/>
      <c r="F390" s="5" t="str">
        <f>IF($A390="","",SUMIF(Party_Ledger!$B:$B,$A390,Party_Ledger!$F:$F))</f>
        <v/>
      </c>
      <c r="G390" s="5" t="str">
        <f>IF($A390="","",SUMIF(Party_Ledger!$B:$B,$A390,Party_Ledger!$G:$G))</f>
        <v/>
      </c>
      <c r="H390" s="5" t="str">
        <f t="shared" si="12"/>
        <v/>
      </c>
      <c r="I390" s="4" t="str">
        <f t="shared" si="13"/>
        <v/>
      </c>
    </row>
    <row r="391" spans="1:9" x14ac:dyDescent="0.2">
      <c r="A391" s="4"/>
      <c r="B391" s="4"/>
      <c r="C391" s="4"/>
      <c r="D391" s="4"/>
      <c r="E391" s="5"/>
      <c r="F391" s="5" t="str">
        <f>IF($A391="","",SUMIF(Party_Ledger!$B:$B,$A391,Party_Ledger!$F:$F))</f>
        <v/>
      </c>
      <c r="G391" s="5" t="str">
        <f>IF($A391="","",SUMIF(Party_Ledger!$B:$B,$A391,Party_Ledger!$G:$G))</f>
        <v/>
      </c>
      <c r="H391" s="5" t="str">
        <f t="shared" si="12"/>
        <v/>
      </c>
      <c r="I391" s="4" t="str">
        <f t="shared" si="13"/>
        <v/>
      </c>
    </row>
    <row r="392" spans="1:9" x14ac:dyDescent="0.2">
      <c r="A392" s="4"/>
      <c r="B392" s="4"/>
      <c r="C392" s="4"/>
      <c r="D392" s="4"/>
      <c r="E392" s="5"/>
      <c r="F392" s="5" t="str">
        <f>IF($A392="","",SUMIF(Party_Ledger!$B:$B,$A392,Party_Ledger!$F:$F))</f>
        <v/>
      </c>
      <c r="G392" s="5" t="str">
        <f>IF($A392="","",SUMIF(Party_Ledger!$B:$B,$A392,Party_Ledger!$G:$G))</f>
        <v/>
      </c>
      <c r="H392" s="5" t="str">
        <f t="shared" si="12"/>
        <v/>
      </c>
      <c r="I392" s="4" t="str">
        <f t="shared" si="13"/>
        <v/>
      </c>
    </row>
    <row r="393" spans="1:9" x14ac:dyDescent="0.2">
      <c r="A393" s="4"/>
      <c r="B393" s="4"/>
      <c r="C393" s="4"/>
      <c r="D393" s="4"/>
      <c r="E393" s="5"/>
      <c r="F393" s="5" t="str">
        <f>IF($A393="","",SUMIF(Party_Ledger!$B:$B,$A393,Party_Ledger!$F:$F))</f>
        <v/>
      </c>
      <c r="G393" s="5" t="str">
        <f>IF($A393="","",SUMIF(Party_Ledger!$B:$B,$A393,Party_Ledger!$G:$G))</f>
        <v/>
      </c>
      <c r="H393" s="5" t="str">
        <f t="shared" si="12"/>
        <v/>
      </c>
      <c r="I393" s="4" t="str">
        <f t="shared" si="13"/>
        <v/>
      </c>
    </row>
    <row r="394" spans="1:9" x14ac:dyDescent="0.2">
      <c r="A394" s="4"/>
      <c r="B394" s="4"/>
      <c r="C394" s="4"/>
      <c r="D394" s="4"/>
      <c r="E394" s="5"/>
      <c r="F394" s="5" t="str">
        <f>IF($A394="","",SUMIF(Party_Ledger!$B:$B,$A394,Party_Ledger!$F:$F))</f>
        <v/>
      </c>
      <c r="G394" s="5" t="str">
        <f>IF($A394="","",SUMIF(Party_Ledger!$B:$B,$A394,Party_Ledger!$G:$G))</f>
        <v/>
      </c>
      <c r="H394" s="5" t="str">
        <f t="shared" si="12"/>
        <v/>
      </c>
      <c r="I394" s="4" t="str">
        <f t="shared" si="13"/>
        <v/>
      </c>
    </row>
    <row r="395" spans="1:9" x14ac:dyDescent="0.2">
      <c r="A395" s="4"/>
      <c r="B395" s="4"/>
      <c r="C395" s="4"/>
      <c r="D395" s="4"/>
      <c r="E395" s="5"/>
      <c r="F395" s="5" t="str">
        <f>IF($A395="","",SUMIF(Party_Ledger!$B:$B,$A395,Party_Ledger!$F:$F))</f>
        <v/>
      </c>
      <c r="G395" s="5" t="str">
        <f>IF($A395="","",SUMIF(Party_Ledger!$B:$B,$A395,Party_Ledger!$G:$G))</f>
        <v/>
      </c>
      <c r="H395" s="5" t="str">
        <f t="shared" si="12"/>
        <v/>
      </c>
      <c r="I395" s="4" t="str">
        <f t="shared" si="13"/>
        <v/>
      </c>
    </row>
    <row r="396" spans="1:9" x14ac:dyDescent="0.2">
      <c r="A396" s="4"/>
      <c r="B396" s="4"/>
      <c r="C396" s="4"/>
      <c r="D396" s="4"/>
      <c r="E396" s="5"/>
      <c r="F396" s="5" t="str">
        <f>IF($A396="","",SUMIF(Party_Ledger!$B:$B,$A396,Party_Ledger!$F:$F))</f>
        <v/>
      </c>
      <c r="G396" s="5" t="str">
        <f>IF($A396="","",SUMIF(Party_Ledger!$B:$B,$A396,Party_Ledger!$G:$G))</f>
        <v/>
      </c>
      <c r="H396" s="5" t="str">
        <f t="shared" si="12"/>
        <v/>
      </c>
      <c r="I396" s="4" t="str">
        <f t="shared" si="13"/>
        <v/>
      </c>
    </row>
    <row r="397" spans="1:9" x14ac:dyDescent="0.2">
      <c r="A397" s="4"/>
      <c r="B397" s="4"/>
      <c r="C397" s="4"/>
      <c r="D397" s="4"/>
      <c r="E397" s="5"/>
      <c r="F397" s="5" t="str">
        <f>IF($A397="","",SUMIF(Party_Ledger!$B:$B,$A397,Party_Ledger!$F:$F))</f>
        <v/>
      </c>
      <c r="G397" s="5" t="str">
        <f>IF($A397="","",SUMIF(Party_Ledger!$B:$B,$A397,Party_Ledger!$G:$G))</f>
        <v/>
      </c>
      <c r="H397" s="5" t="str">
        <f t="shared" si="12"/>
        <v/>
      </c>
      <c r="I397" s="4" t="str">
        <f t="shared" si="13"/>
        <v/>
      </c>
    </row>
    <row r="398" spans="1:9" x14ac:dyDescent="0.2">
      <c r="A398" s="4"/>
      <c r="B398" s="4"/>
      <c r="C398" s="4"/>
      <c r="D398" s="4"/>
      <c r="E398" s="5"/>
      <c r="F398" s="5" t="str">
        <f>IF($A398="","",SUMIF(Party_Ledger!$B:$B,$A398,Party_Ledger!$F:$F))</f>
        <v/>
      </c>
      <c r="G398" s="5" t="str">
        <f>IF($A398="","",SUMIF(Party_Ledger!$B:$B,$A398,Party_Ledger!$G:$G))</f>
        <v/>
      </c>
      <c r="H398" s="5" t="str">
        <f t="shared" si="12"/>
        <v/>
      </c>
      <c r="I398" s="4" t="str">
        <f t="shared" si="13"/>
        <v/>
      </c>
    </row>
    <row r="399" spans="1:9" x14ac:dyDescent="0.2">
      <c r="A399" s="4"/>
      <c r="B399" s="4"/>
      <c r="C399" s="4"/>
      <c r="D399" s="4"/>
      <c r="E399" s="5"/>
      <c r="F399" s="5" t="str">
        <f>IF($A399="","",SUMIF(Party_Ledger!$B:$B,$A399,Party_Ledger!$F:$F))</f>
        <v/>
      </c>
      <c r="G399" s="5" t="str">
        <f>IF($A399="","",SUMIF(Party_Ledger!$B:$B,$A399,Party_Ledger!$G:$G))</f>
        <v/>
      </c>
      <c r="H399" s="5" t="str">
        <f t="shared" si="12"/>
        <v/>
      </c>
      <c r="I399" s="4" t="str">
        <f t="shared" si="13"/>
        <v/>
      </c>
    </row>
    <row r="400" spans="1:9" x14ac:dyDescent="0.2">
      <c r="A400" s="4"/>
      <c r="B400" s="4"/>
      <c r="C400" s="4"/>
      <c r="D400" s="4"/>
      <c r="E400" s="5"/>
      <c r="F400" s="5" t="str">
        <f>IF($A400="","",SUMIF(Party_Ledger!$B:$B,$A400,Party_Ledger!$F:$F))</f>
        <v/>
      </c>
      <c r="G400" s="5" t="str">
        <f>IF($A400="","",SUMIF(Party_Ledger!$B:$B,$A400,Party_Ledger!$G:$G))</f>
        <v/>
      </c>
      <c r="H400" s="5" t="str">
        <f t="shared" si="12"/>
        <v/>
      </c>
      <c r="I400" s="4" t="str">
        <f t="shared" si="13"/>
        <v/>
      </c>
    </row>
    <row r="401" spans="1:9" x14ac:dyDescent="0.2">
      <c r="A401" s="4"/>
      <c r="B401" s="4"/>
      <c r="C401" s="4"/>
      <c r="D401" s="4"/>
      <c r="E401" s="5"/>
      <c r="F401" s="5" t="str">
        <f>IF($A401="","",SUMIF(Party_Ledger!$B:$B,$A401,Party_Ledger!$F:$F))</f>
        <v/>
      </c>
      <c r="G401" s="5" t="str">
        <f>IF($A401="","",SUMIF(Party_Ledger!$B:$B,$A401,Party_Ledger!$G:$G))</f>
        <v/>
      </c>
      <c r="H401" s="5" t="str">
        <f t="shared" si="12"/>
        <v/>
      </c>
      <c r="I401" s="4" t="str">
        <f t="shared" si="13"/>
        <v/>
      </c>
    </row>
    <row r="402" spans="1:9" x14ac:dyDescent="0.2">
      <c r="A402" s="4"/>
      <c r="B402" s="4"/>
      <c r="C402" s="4"/>
      <c r="D402" s="4"/>
      <c r="E402" s="5"/>
      <c r="F402" s="5" t="str">
        <f>IF($A402="","",SUMIF(Party_Ledger!$B:$B,$A402,Party_Ledger!$F:$F))</f>
        <v/>
      </c>
      <c r="G402" s="5" t="str">
        <f>IF($A402="","",SUMIF(Party_Ledger!$B:$B,$A402,Party_Ledger!$G:$G))</f>
        <v/>
      </c>
      <c r="H402" s="5" t="str">
        <f t="shared" si="12"/>
        <v/>
      </c>
      <c r="I402" s="4" t="str">
        <f t="shared" si="13"/>
        <v/>
      </c>
    </row>
    <row r="403" spans="1:9" x14ac:dyDescent="0.2">
      <c r="A403" s="4"/>
      <c r="B403" s="4"/>
      <c r="C403" s="4"/>
      <c r="D403" s="4"/>
      <c r="E403" s="5"/>
      <c r="F403" s="5" t="str">
        <f>IF($A403="","",SUMIF(Party_Ledger!$B:$B,$A403,Party_Ledger!$F:$F))</f>
        <v/>
      </c>
      <c r="G403" s="5" t="str">
        <f>IF($A403="","",SUMIF(Party_Ledger!$B:$B,$A403,Party_Ledger!$G:$G))</f>
        <v/>
      </c>
      <c r="H403" s="5" t="str">
        <f t="shared" si="12"/>
        <v/>
      </c>
      <c r="I403" s="4" t="str">
        <f t="shared" si="13"/>
        <v/>
      </c>
    </row>
    <row r="404" spans="1:9" x14ac:dyDescent="0.2">
      <c r="A404" s="4"/>
      <c r="B404" s="4"/>
      <c r="C404" s="4"/>
      <c r="D404" s="4"/>
      <c r="E404" s="5"/>
      <c r="F404" s="5" t="str">
        <f>IF($A404="","",SUMIF(Party_Ledger!$B:$B,$A404,Party_Ledger!$F:$F))</f>
        <v/>
      </c>
      <c r="G404" s="5" t="str">
        <f>IF($A404="","",SUMIF(Party_Ledger!$B:$B,$A404,Party_Ledger!$G:$G))</f>
        <v/>
      </c>
      <c r="H404" s="5" t="str">
        <f t="shared" si="12"/>
        <v/>
      </c>
      <c r="I404" s="4" t="str">
        <f t="shared" si="13"/>
        <v/>
      </c>
    </row>
    <row r="405" spans="1:9" x14ac:dyDescent="0.2">
      <c r="A405" s="4"/>
      <c r="B405" s="4"/>
      <c r="C405" s="4"/>
      <c r="D405" s="4"/>
      <c r="E405" s="5"/>
      <c r="F405" s="5" t="str">
        <f>IF($A405="","",SUMIF(Party_Ledger!$B:$B,$A405,Party_Ledger!$F:$F))</f>
        <v/>
      </c>
      <c r="G405" s="5" t="str">
        <f>IF($A405="","",SUMIF(Party_Ledger!$B:$B,$A405,Party_Ledger!$G:$G))</f>
        <v/>
      </c>
      <c r="H405" s="5" t="str">
        <f t="shared" si="12"/>
        <v/>
      </c>
      <c r="I405" s="4" t="str">
        <f t="shared" si="13"/>
        <v/>
      </c>
    </row>
    <row r="406" spans="1:9" x14ac:dyDescent="0.2">
      <c r="A406" s="4"/>
      <c r="B406" s="4"/>
      <c r="C406" s="4"/>
      <c r="D406" s="4"/>
      <c r="E406" s="5"/>
      <c r="F406" s="5" t="str">
        <f>IF($A406="","",SUMIF(Party_Ledger!$B:$B,$A406,Party_Ledger!$F:$F))</f>
        <v/>
      </c>
      <c r="G406" s="5" t="str">
        <f>IF($A406="","",SUMIF(Party_Ledger!$B:$B,$A406,Party_Ledger!$G:$G))</f>
        <v/>
      </c>
      <c r="H406" s="5" t="str">
        <f t="shared" si="12"/>
        <v/>
      </c>
      <c r="I406" s="4" t="str">
        <f t="shared" si="13"/>
        <v/>
      </c>
    </row>
    <row r="407" spans="1:9" x14ac:dyDescent="0.2">
      <c r="A407" s="4"/>
      <c r="B407" s="4"/>
      <c r="C407" s="4"/>
      <c r="D407" s="4"/>
      <c r="E407" s="5"/>
      <c r="F407" s="5" t="str">
        <f>IF($A407="","",SUMIF(Party_Ledger!$B:$B,$A407,Party_Ledger!$F:$F))</f>
        <v/>
      </c>
      <c r="G407" s="5" t="str">
        <f>IF($A407="","",SUMIF(Party_Ledger!$B:$B,$A407,Party_Ledger!$G:$G))</f>
        <v/>
      </c>
      <c r="H407" s="5" t="str">
        <f t="shared" si="12"/>
        <v/>
      </c>
      <c r="I407" s="4" t="str">
        <f t="shared" si="13"/>
        <v/>
      </c>
    </row>
    <row r="408" spans="1:9" x14ac:dyDescent="0.2">
      <c r="A408" s="4"/>
      <c r="B408" s="4"/>
      <c r="C408" s="4"/>
      <c r="D408" s="4"/>
      <c r="E408" s="5"/>
      <c r="F408" s="5" t="str">
        <f>IF($A408="","",SUMIF(Party_Ledger!$B:$B,$A408,Party_Ledger!$F:$F))</f>
        <v/>
      </c>
      <c r="G408" s="5" t="str">
        <f>IF($A408="","",SUMIF(Party_Ledger!$B:$B,$A408,Party_Ledger!$G:$G))</f>
        <v/>
      </c>
      <c r="H408" s="5" t="str">
        <f t="shared" si="12"/>
        <v/>
      </c>
      <c r="I408" s="4" t="str">
        <f t="shared" si="13"/>
        <v/>
      </c>
    </row>
    <row r="409" spans="1:9" x14ac:dyDescent="0.2">
      <c r="A409" s="4"/>
      <c r="B409" s="4"/>
      <c r="C409" s="4"/>
      <c r="D409" s="4"/>
      <c r="E409" s="5"/>
      <c r="F409" s="5" t="str">
        <f>IF($A409="","",SUMIF(Party_Ledger!$B:$B,$A409,Party_Ledger!$F:$F))</f>
        <v/>
      </c>
      <c r="G409" s="5" t="str">
        <f>IF($A409="","",SUMIF(Party_Ledger!$B:$B,$A409,Party_Ledger!$G:$G))</f>
        <v/>
      </c>
      <c r="H409" s="5" t="str">
        <f t="shared" si="12"/>
        <v/>
      </c>
      <c r="I409" s="4" t="str">
        <f t="shared" si="13"/>
        <v/>
      </c>
    </row>
    <row r="410" spans="1:9" x14ac:dyDescent="0.2">
      <c r="A410" s="4"/>
      <c r="B410" s="4"/>
      <c r="C410" s="4"/>
      <c r="D410" s="4"/>
      <c r="E410" s="5"/>
      <c r="F410" s="5" t="str">
        <f>IF($A410="","",SUMIF(Party_Ledger!$B:$B,$A410,Party_Ledger!$F:$F))</f>
        <v/>
      </c>
      <c r="G410" s="5" t="str">
        <f>IF($A410="","",SUMIF(Party_Ledger!$B:$B,$A410,Party_Ledger!$G:$G))</f>
        <v/>
      </c>
      <c r="H410" s="5" t="str">
        <f t="shared" si="12"/>
        <v/>
      </c>
      <c r="I410" s="4" t="str">
        <f t="shared" si="13"/>
        <v/>
      </c>
    </row>
    <row r="411" spans="1:9" x14ac:dyDescent="0.2">
      <c r="A411" s="4"/>
      <c r="B411" s="4"/>
      <c r="C411" s="4"/>
      <c r="D411" s="4"/>
      <c r="E411" s="5"/>
      <c r="F411" s="5" t="str">
        <f>IF($A411="","",SUMIF(Party_Ledger!$B:$B,$A411,Party_Ledger!$F:$F))</f>
        <v/>
      </c>
      <c r="G411" s="5" t="str">
        <f>IF($A411="","",SUMIF(Party_Ledger!$B:$B,$A411,Party_Ledger!$G:$G))</f>
        <v/>
      </c>
      <c r="H411" s="5" t="str">
        <f t="shared" si="12"/>
        <v/>
      </c>
      <c r="I411" s="4" t="str">
        <f t="shared" si="13"/>
        <v/>
      </c>
    </row>
    <row r="412" spans="1:9" x14ac:dyDescent="0.2">
      <c r="A412" s="4"/>
      <c r="B412" s="4"/>
      <c r="C412" s="4"/>
      <c r="D412" s="4"/>
      <c r="E412" s="5"/>
      <c r="F412" s="5" t="str">
        <f>IF($A412="","",SUMIF(Party_Ledger!$B:$B,$A412,Party_Ledger!$F:$F))</f>
        <v/>
      </c>
      <c r="G412" s="5" t="str">
        <f>IF($A412="","",SUMIF(Party_Ledger!$B:$B,$A412,Party_Ledger!$G:$G))</f>
        <v/>
      </c>
      <c r="H412" s="5" t="str">
        <f t="shared" si="12"/>
        <v/>
      </c>
      <c r="I412" s="4" t="str">
        <f t="shared" si="13"/>
        <v/>
      </c>
    </row>
    <row r="413" spans="1:9" x14ac:dyDescent="0.2">
      <c r="A413" s="4"/>
      <c r="B413" s="4"/>
      <c r="C413" s="4"/>
      <c r="D413" s="4"/>
      <c r="E413" s="5"/>
      <c r="F413" s="5" t="str">
        <f>IF($A413="","",SUMIF(Party_Ledger!$B:$B,$A413,Party_Ledger!$F:$F))</f>
        <v/>
      </c>
      <c r="G413" s="5" t="str">
        <f>IF($A413="","",SUMIF(Party_Ledger!$B:$B,$A413,Party_Ledger!$G:$G))</f>
        <v/>
      </c>
      <c r="H413" s="5" t="str">
        <f t="shared" si="12"/>
        <v/>
      </c>
      <c r="I413" s="4" t="str">
        <f t="shared" si="13"/>
        <v/>
      </c>
    </row>
    <row r="414" spans="1:9" x14ac:dyDescent="0.2">
      <c r="A414" s="4"/>
      <c r="B414" s="4"/>
      <c r="C414" s="4"/>
      <c r="D414" s="4"/>
      <c r="E414" s="5"/>
      <c r="F414" s="5" t="str">
        <f>IF($A414="","",SUMIF(Party_Ledger!$B:$B,$A414,Party_Ledger!$F:$F))</f>
        <v/>
      </c>
      <c r="G414" s="5" t="str">
        <f>IF($A414="","",SUMIF(Party_Ledger!$B:$B,$A414,Party_Ledger!$G:$G))</f>
        <v/>
      </c>
      <c r="H414" s="5" t="str">
        <f t="shared" si="12"/>
        <v/>
      </c>
      <c r="I414" s="4" t="str">
        <f t="shared" si="13"/>
        <v/>
      </c>
    </row>
    <row r="415" spans="1:9" x14ac:dyDescent="0.2">
      <c r="A415" s="4"/>
      <c r="B415" s="4"/>
      <c r="C415" s="4"/>
      <c r="D415" s="4"/>
      <c r="E415" s="5"/>
      <c r="F415" s="5" t="str">
        <f>IF($A415="","",SUMIF(Party_Ledger!$B:$B,$A415,Party_Ledger!$F:$F))</f>
        <v/>
      </c>
      <c r="G415" s="5" t="str">
        <f>IF($A415="","",SUMIF(Party_Ledger!$B:$B,$A415,Party_Ledger!$G:$G))</f>
        <v/>
      </c>
      <c r="H415" s="5" t="str">
        <f t="shared" si="12"/>
        <v/>
      </c>
      <c r="I415" s="4" t="str">
        <f t="shared" si="13"/>
        <v/>
      </c>
    </row>
    <row r="416" spans="1:9" x14ac:dyDescent="0.2">
      <c r="A416" s="4"/>
      <c r="B416" s="4"/>
      <c r="C416" s="4"/>
      <c r="D416" s="4"/>
      <c r="E416" s="5"/>
      <c r="F416" s="5" t="str">
        <f>IF($A416="","",SUMIF(Party_Ledger!$B:$B,$A416,Party_Ledger!$F:$F))</f>
        <v/>
      </c>
      <c r="G416" s="5" t="str">
        <f>IF($A416="","",SUMIF(Party_Ledger!$B:$B,$A416,Party_Ledger!$G:$G))</f>
        <v/>
      </c>
      <c r="H416" s="5" t="str">
        <f t="shared" si="12"/>
        <v/>
      </c>
      <c r="I416" s="4" t="str">
        <f t="shared" si="13"/>
        <v/>
      </c>
    </row>
    <row r="417" spans="1:9" x14ac:dyDescent="0.2">
      <c r="A417" s="4"/>
      <c r="B417" s="4"/>
      <c r="C417" s="4"/>
      <c r="D417" s="4"/>
      <c r="E417" s="5"/>
      <c r="F417" s="5" t="str">
        <f>IF($A417="","",SUMIF(Party_Ledger!$B:$B,$A417,Party_Ledger!$F:$F))</f>
        <v/>
      </c>
      <c r="G417" s="5" t="str">
        <f>IF($A417="","",SUMIF(Party_Ledger!$B:$B,$A417,Party_Ledger!$G:$G))</f>
        <v/>
      </c>
      <c r="H417" s="5" t="str">
        <f t="shared" si="12"/>
        <v/>
      </c>
      <c r="I417" s="4" t="str">
        <f t="shared" si="13"/>
        <v/>
      </c>
    </row>
    <row r="418" spans="1:9" x14ac:dyDescent="0.2">
      <c r="A418" s="4"/>
      <c r="B418" s="4"/>
      <c r="C418" s="4"/>
      <c r="D418" s="4"/>
      <c r="E418" s="5"/>
      <c r="F418" s="5" t="str">
        <f>IF($A418="","",SUMIF(Party_Ledger!$B:$B,$A418,Party_Ledger!$F:$F))</f>
        <v/>
      </c>
      <c r="G418" s="5" t="str">
        <f>IF($A418="","",SUMIF(Party_Ledger!$B:$B,$A418,Party_Ledger!$G:$G))</f>
        <v/>
      </c>
      <c r="H418" s="5" t="str">
        <f t="shared" si="12"/>
        <v/>
      </c>
      <c r="I418" s="4" t="str">
        <f t="shared" si="13"/>
        <v/>
      </c>
    </row>
    <row r="419" spans="1:9" x14ac:dyDescent="0.2">
      <c r="A419" s="4"/>
      <c r="B419" s="4"/>
      <c r="C419" s="4"/>
      <c r="D419" s="4"/>
      <c r="E419" s="5"/>
      <c r="F419" s="5" t="str">
        <f>IF($A419="","",SUMIF(Party_Ledger!$B:$B,$A419,Party_Ledger!$F:$F))</f>
        <v/>
      </c>
      <c r="G419" s="5" t="str">
        <f>IF($A419="","",SUMIF(Party_Ledger!$B:$B,$A419,Party_Ledger!$G:$G))</f>
        <v/>
      </c>
      <c r="H419" s="5" t="str">
        <f t="shared" si="12"/>
        <v/>
      </c>
      <c r="I419" s="4" t="str">
        <f t="shared" si="13"/>
        <v/>
      </c>
    </row>
    <row r="420" spans="1:9" x14ac:dyDescent="0.2">
      <c r="A420" s="4"/>
      <c r="B420" s="4"/>
      <c r="C420" s="4"/>
      <c r="D420" s="4"/>
      <c r="E420" s="5"/>
      <c r="F420" s="5" t="str">
        <f>IF($A420="","",SUMIF(Party_Ledger!$B:$B,$A420,Party_Ledger!$F:$F))</f>
        <v/>
      </c>
      <c r="G420" s="5" t="str">
        <f>IF($A420="","",SUMIF(Party_Ledger!$B:$B,$A420,Party_Ledger!$G:$G))</f>
        <v/>
      </c>
      <c r="H420" s="5" t="str">
        <f t="shared" si="12"/>
        <v/>
      </c>
      <c r="I420" s="4" t="str">
        <f t="shared" si="13"/>
        <v/>
      </c>
    </row>
    <row r="421" spans="1:9" x14ac:dyDescent="0.2">
      <c r="A421" s="4"/>
      <c r="B421" s="4"/>
      <c r="C421" s="4"/>
      <c r="D421" s="4"/>
      <c r="E421" s="5"/>
      <c r="F421" s="5" t="str">
        <f>IF($A421="","",SUMIF(Party_Ledger!$B:$B,$A421,Party_Ledger!$F:$F))</f>
        <v/>
      </c>
      <c r="G421" s="5" t="str">
        <f>IF($A421="","",SUMIF(Party_Ledger!$B:$B,$A421,Party_Ledger!$G:$G))</f>
        <v/>
      </c>
      <c r="H421" s="5" t="str">
        <f t="shared" si="12"/>
        <v/>
      </c>
      <c r="I421" s="4" t="str">
        <f t="shared" si="13"/>
        <v/>
      </c>
    </row>
    <row r="422" spans="1:9" x14ac:dyDescent="0.2">
      <c r="A422" s="4"/>
      <c r="B422" s="4"/>
      <c r="C422" s="4"/>
      <c r="D422" s="4"/>
      <c r="E422" s="5"/>
      <c r="F422" s="5" t="str">
        <f>IF($A422="","",SUMIF(Party_Ledger!$B:$B,$A422,Party_Ledger!$F:$F))</f>
        <v/>
      </c>
      <c r="G422" s="5" t="str">
        <f>IF($A422="","",SUMIF(Party_Ledger!$B:$B,$A422,Party_Ledger!$G:$G))</f>
        <v/>
      </c>
      <c r="H422" s="5" t="str">
        <f t="shared" si="12"/>
        <v/>
      </c>
      <c r="I422" s="4" t="str">
        <f t="shared" si="13"/>
        <v/>
      </c>
    </row>
    <row r="423" spans="1:9" x14ac:dyDescent="0.2">
      <c r="A423" s="4"/>
      <c r="B423" s="4"/>
      <c r="C423" s="4"/>
      <c r="D423" s="4"/>
      <c r="E423" s="5"/>
      <c r="F423" s="5" t="str">
        <f>IF($A423="","",SUMIF(Party_Ledger!$B:$B,$A423,Party_Ledger!$F:$F))</f>
        <v/>
      </c>
      <c r="G423" s="5" t="str">
        <f>IF($A423="","",SUMIF(Party_Ledger!$B:$B,$A423,Party_Ledger!$G:$G))</f>
        <v/>
      </c>
      <c r="H423" s="5" t="str">
        <f t="shared" si="12"/>
        <v/>
      </c>
      <c r="I423" s="4" t="str">
        <f t="shared" si="13"/>
        <v/>
      </c>
    </row>
    <row r="424" spans="1:9" x14ac:dyDescent="0.2">
      <c r="A424" s="4"/>
      <c r="B424" s="4"/>
      <c r="C424" s="4"/>
      <c r="D424" s="4"/>
      <c r="E424" s="5"/>
      <c r="F424" s="5" t="str">
        <f>IF($A424="","",SUMIF(Party_Ledger!$B:$B,$A424,Party_Ledger!$F:$F))</f>
        <v/>
      </c>
      <c r="G424" s="5" t="str">
        <f>IF($A424="","",SUMIF(Party_Ledger!$B:$B,$A424,Party_Ledger!$G:$G))</f>
        <v/>
      </c>
      <c r="H424" s="5" t="str">
        <f t="shared" si="12"/>
        <v/>
      </c>
      <c r="I424" s="4" t="str">
        <f t="shared" si="13"/>
        <v/>
      </c>
    </row>
    <row r="425" spans="1:9" x14ac:dyDescent="0.2">
      <c r="A425" s="4"/>
      <c r="B425" s="4"/>
      <c r="C425" s="4"/>
      <c r="D425" s="4"/>
      <c r="E425" s="5"/>
      <c r="F425" s="5" t="str">
        <f>IF($A425="","",SUMIF(Party_Ledger!$B:$B,$A425,Party_Ledger!$F:$F))</f>
        <v/>
      </c>
      <c r="G425" s="5" t="str">
        <f>IF($A425="","",SUMIF(Party_Ledger!$B:$B,$A425,Party_Ledger!$G:$G))</f>
        <v/>
      </c>
      <c r="H425" s="5" t="str">
        <f t="shared" si="12"/>
        <v/>
      </c>
      <c r="I425" s="4" t="str">
        <f t="shared" si="13"/>
        <v/>
      </c>
    </row>
    <row r="426" spans="1:9" x14ac:dyDescent="0.2">
      <c r="A426" s="4"/>
      <c r="B426" s="4"/>
      <c r="C426" s="4"/>
      <c r="D426" s="4"/>
      <c r="E426" s="5"/>
      <c r="F426" s="5" t="str">
        <f>IF($A426="","",SUMIF(Party_Ledger!$B:$B,$A426,Party_Ledger!$F:$F))</f>
        <v/>
      </c>
      <c r="G426" s="5" t="str">
        <f>IF($A426="","",SUMIF(Party_Ledger!$B:$B,$A426,Party_Ledger!$G:$G))</f>
        <v/>
      </c>
      <c r="H426" s="5" t="str">
        <f t="shared" si="12"/>
        <v/>
      </c>
      <c r="I426" s="4" t="str">
        <f t="shared" si="13"/>
        <v/>
      </c>
    </row>
    <row r="427" spans="1:9" x14ac:dyDescent="0.2">
      <c r="A427" s="4"/>
      <c r="B427" s="4"/>
      <c r="C427" s="4"/>
      <c r="D427" s="4"/>
      <c r="E427" s="5"/>
      <c r="F427" s="5" t="str">
        <f>IF($A427="","",SUMIF(Party_Ledger!$B:$B,$A427,Party_Ledger!$F:$F))</f>
        <v/>
      </c>
      <c r="G427" s="5" t="str">
        <f>IF($A427="","",SUMIF(Party_Ledger!$B:$B,$A427,Party_Ledger!$G:$G))</f>
        <v/>
      </c>
      <c r="H427" s="5" t="str">
        <f t="shared" si="12"/>
        <v/>
      </c>
      <c r="I427" s="4" t="str">
        <f t="shared" si="13"/>
        <v/>
      </c>
    </row>
    <row r="428" spans="1:9" x14ac:dyDescent="0.2">
      <c r="A428" s="4"/>
      <c r="B428" s="4"/>
      <c r="C428" s="4"/>
      <c r="D428" s="4"/>
      <c r="E428" s="5"/>
      <c r="F428" s="5" t="str">
        <f>IF($A428="","",SUMIF(Party_Ledger!$B:$B,$A428,Party_Ledger!$F:$F))</f>
        <v/>
      </c>
      <c r="G428" s="5" t="str">
        <f>IF($A428="","",SUMIF(Party_Ledger!$B:$B,$A428,Party_Ledger!$G:$G))</f>
        <v/>
      </c>
      <c r="H428" s="5" t="str">
        <f t="shared" si="12"/>
        <v/>
      </c>
      <c r="I428" s="4" t="str">
        <f t="shared" si="13"/>
        <v/>
      </c>
    </row>
    <row r="429" spans="1:9" x14ac:dyDescent="0.2">
      <c r="A429" s="4"/>
      <c r="B429" s="4"/>
      <c r="C429" s="4"/>
      <c r="D429" s="4"/>
      <c r="E429" s="5"/>
      <c r="F429" s="5" t="str">
        <f>IF($A429="","",SUMIF(Party_Ledger!$B:$B,$A429,Party_Ledger!$F:$F))</f>
        <v/>
      </c>
      <c r="G429" s="5" t="str">
        <f>IF($A429="","",SUMIF(Party_Ledger!$B:$B,$A429,Party_Ledger!$G:$G))</f>
        <v/>
      </c>
      <c r="H429" s="5" t="str">
        <f t="shared" si="12"/>
        <v/>
      </c>
      <c r="I429" s="4" t="str">
        <f t="shared" si="13"/>
        <v/>
      </c>
    </row>
    <row r="430" spans="1:9" x14ac:dyDescent="0.2">
      <c r="A430" s="4"/>
      <c r="B430" s="4"/>
      <c r="C430" s="4"/>
      <c r="D430" s="4"/>
      <c r="E430" s="5"/>
      <c r="F430" s="5" t="str">
        <f>IF($A430="","",SUMIF(Party_Ledger!$B:$B,$A430,Party_Ledger!$F:$F))</f>
        <v/>
      </c>
      <c r="G430" s="5" t="str">
        <f>IF($A430="","",SUMIF(Party_Ledger!$B:$B,$A430,Party_Ledger!$G:$G))</f>
        <v/>
      </c>
      <c r="H430" s="5" t="str">
        <f t="shared" si="12"/>
        <v/>
      </c>
      <c r="I430" s="4" t="str">
        <f t="shared" si="13"/>
        <v/>
      </c>
    </row>
    <row r="431" spans="1:9" x14ac:dyDescent="0.2">
      <c r="A431" s="4"/>
      <c r="B431" s="4"/>
      <c r="C431" s="4"/>
      <c r="D431" s="4"/>
      <c r="E431" s="5"/>
      <c r="F431" s="5" t="str">
        <f>IF($A431="","",SUMIF(Party_Ledger!$B:$B,$A431,Party_Ledger!$F:$F))</f>
        <v/>
      </c>
      <c r="G431" s="5" t="str">
        <f>IF($A431="","",SUMIF(Party_Ledger!$B:$B,$A431,Party_Ledger!$G:$G))</f>
        <v/>
      </c>
      <c r="H431" s="5" t="str">
        <f t="shared" si="12"/>
        <v/>
      </c>
      <c r="I431" s="4" t="str">
        <f t="shared" si="13"/>
        <v/>
      </c>
    </row>
    <row r="432" spans="1:9" x14ac:dyDescent="0.2">
      <c r="A432" s="4"/>
      <c r="B432" s="4"/>
      <c r="C432" s="4"/>
      <c r="D432" s="4"/>
      <c r="E432" s="5"/>
      <c r="F432" s="5" t="str">
        <f>IF($A432="","",SUMIF(Party_Ledger!$B:$B,$A432,Party_Ledger!$F:$F))</f>
        <v/>
      </c>
      <c r="G432" s="5" t="str">
        <f>IF($A432="","",SUMIF(Party_Ledger!$B:$B,$A432,Party_Ledger!$G:$G))</f>
        <v/>
      </c>
      <c r="H432" s="5" t="str">
        <f t="shared" si="12"/>
        <v/>
      </c>
      <c r="I432" s="4" t="str">
        <f t="shared" si="13"/>
        <v/>
      </c>
    </row>
    <row r="433" spans="1:9" x14ac:dyDescent="0.2">
      <c r="A433" s="4"/>
      <c r="B433" s="4"/>
      <c r="C433" s="4"/>
      <c r="D433" s="4"/>
      <c r="E433" s="5"/>
      <c r="F433" s="5" t="str">
        <f>IF($A433="","",SUMIF(Party_Ledger!$B:$B,$A433,Party_Ledger!$F:$F))</f>
        <v/>
      </c>
      <c r="G433" s="5" t="str">
        <f>IF($A433="","",SUMIF(Party_Ledger!$B:$B,$A433,Party_Ledger!$G:$G))</f>
        <v/>
      </c>
      <c r="H433" s="5" t="str">
        <f t="shared" si="12"/>
        <v/>
      </c>
      <c r="I433" s="4" t="str">
        <f t="shared" si="13"/>
        <v/>
      </c>
    </row>
    <row r="434" spans="1:9" x14ac:dyDescent="0.2">
      <c r="A434" s="4"/>
      <c r="B434" s="4"/>
      <c r="C434" s="4"/>
      <c r="D434" s="4"/>
      <c r="E434" s="5"/>
      <c r="F434" s="5" t="str">
        <f>IF($A434="","",SUMIF(Party_Ledger!$B:$B,$A434,Party_Ledger!$F:$F))</f>
        <v/>
      </c>
      <c r="G434" s="5" t="str">
        <f>IF($A434="","",SUMIF(Party_Ledger!$B:$B,$A434,Party_Ledger!$G:$G))</f>
        <v/>
      </c>
      <c r="H434" s="5" t="str">
        <f t="shared" si="12"/>
        <v/>
      </c>
      <c r="I434" s="4" t="str">
        <f t="shared" si="13"/>
        <v/>
      </c>
    </row>
    <row r="435" spans="1:9" x14ac:dyDescent="0.2">
      <c r="A435" s="4"/>
      <c r="B435" s="4"/>
      <c r="C435" s="4"/>
      <c r="D435" s="4"/>
      <c r="E435" s="5"/>
      <c r="F435" s="5" t="str">
        <f>IF($A435="","",SUMIF(Party_Ledger!$B:$B,$A435,Party_Ledger!$F:$F))</f>
        <v/>
      </c>
      <c r="G435" s="5" t="str">
        <f>IF($A435="","",SUMIF(Party_Ledger!$B:$B,$A435,Party_Ledger!$G:$G))</f>
        <v/>
      </c>
      <c r="H435" s="5" t="str">
        <f t="shared" si="12"/>
        <v/>
      </c>
      <c r="I435" s="4" t="str">
        <f t="shared" si="13"/>
        <v/>
      </c>
    </row>
    <row r="436" spans="1:9" x14ac:dyDescent="0.2">
      <c r="A436" s="4"/>
      <c r="B436" s="4"/>
      <c r="C436" s="4"/>
      <c r="D436" s="4"/>
      <c r="E436" s="5"/>
      <c r="F436" s="5" t="str">
        <f>IF($A436="","",SUMIF(Party_Ledger!$B:$B,$A436,Party_Ledger!$F:$F))</f>
        <v/>
      </c>
      <c r="G436" s="5" t="str">
        <f>IF($A436="","",SUMIF(Party_Ledger!$B:$B,$A436,Party_Ledger!$G:$G))</f>
        <v/>
      </c>
      <c r="H436" s="5" t="str">
        <f t="shared" si="12"/>
        <v/>
      </c>
      <c r="I436" s="4" t="str">
        <f t="shared" si="13"/>
        <v/>
      </c>
    </row>
    <row r="437" spans="1:9" x14ac:dyDescent="0.2">
      <c r="A437" s="4"/>
      <c r="B437" s="4"/>
      <c r="C437" s="4"/>
      <c r="D437" s="4"/>
      <c r="E437" s="5"/>
      <c r="F437" s="5" t="str">
        <f>IF($A437="","",SUMIF(Party_Ledger!$B:$B,$A437,Party_Ledger!$F:$F))</f>
        <v/>
      </c>
      <c r="G437" s="5" t="str">
        <f>IF($A437="","",SUMIF(Party_Ledger!$B:$B,$A437,Party_Ledger!$G:$G))</f>
        <v/>
      </c>
      <c r="H437" s="5" t="str">
        <f t="shared" si="12"/>
        <v/>
      </c>
      <c r="I437" s="4" t="str">
        <f t="shared" si="13"/>
        <v/>
      </c>
    </row>
    <row r="438" spans="1:9" x14ac:dyDescent="0.2">
      <c r="A438" s="4"/>
      <c r="B438" s="4"/>
      <c r="C438" s="4"/>
      <c r="D438" s="4"/>
      <c r="E438" s="5"/>
      <c r="F438" s="5" t="str">
        <f>IF($A438="","",SUMIF(Party_Ledger!$B:$B,$A438,Party_Ledger!$F:$F))</f>
        <v/>
      </c>
      <c r="G438" s="5" t="str">
        <f>IF($A438="","",SUMIF(Party_Ledger!$B:$B,$A438,Party_Ledger!$G:$G))</f>
        <v/>
      </c>
      <c r="H438" s="5" t="str">
        <f t="shared" si="12"/>
        <v/>
      </c>
      <c r="I438" s="4" t="str">
        <f t="shared" si="13"/>
        <v/>
      </c>
    </row>
    <row r="439" spans="1:9" x14ac:dyDescent="0.2">
      <c r="A439" s="4"/>
      <c r="B439" s="4"/>
      <c r="C439" s="4"/>
      <c r="D439" s="4"/>
      <c r="E439" s="5"/>
      <c r="F439" s="5" t="str">
        <f>IF($A439="","",SUMIF(Party_Ledger!$B:$B,$A439,Party_Ledger!$F:$F))</f>
        <v/>
      </c>
      <c r="G439" s="5" t="str">
        <f>IF($A439="","",SUMIF(Party_Ledger!$B:$B,$A439,Party_Ledger!$G:$G))</f>
        <v/>
      </c>
      <c r="H439" s="5" t="str">
        <f t="shared" si="12"/>
        <v/>
      </c>
      <c r="I439" s="4" t="str">
        <f t="shared" si="13"/>
        <v/>
      </c>
    </row>
    <row r="440" spans="1:9" x14ac:dyDescent="0.2">
      <c r="A440" s="4"/>
      <c r="B440" s="4"/>
      <c r="C440" s="4"/>
      <c r="D440" s="4"/>
      <c r="E440" s="5"/>
      <c r="F440" s="5" t="str">
        <f>IF($A440="","",SUMIF(Party_Ledger!$B:$B,$A440,Party_Ledger!$F:$F))</f>
        <v/>
      </c>
      <c r="G440" s="5" t="str">
        <f>IF($A440="","",SUMIF(Party_Ledger!$B:$B,$A440,Party_Ledger!$G:$G))</f>
        <v/>
      </c>
      <c r="H440" s="5" t="str">
        <f t="shared" si="12"/>
        <v/>
      </c>
      <c r="I440" s="4" t="str">
        <f t="shared" si="13"/>
        <v/>
      </c>
    </row>
    <row r="441" spans="1:9" x14ac:dyDescent="0.2">
      <c r="A441" s="4"/>
      <c r="B441" s="4"/>
      <c r="C441" s="4"/>
      <c r="D441" s="4"/>
      <c r="E441" s="5"/>
      <c r="F441" s="5" t="str">
        <f>IF($A441="","",SUMIF(Party_Ledger!$B:$B,$A441,Party_Ledger!$F:$F))</f>
        <v/>
      </c>
      <c r="G441" s="5" t="str">
        <f>IF($A441="","",SUMIF(Party_Ledger!$B:$B,$A441,Party_Ledger!$G:$G))</f>
        <v/>
      </c>
      <c r="H441" s="5" t="str">
        <f t="shared" si="12"/>
        <v/>
      </c>
      <c r="I441" s="4" t="str">
        <f t="shared" si="13"/>
        <v/>
      </c>
    </row>
    <row r="442" spans="1:9" x14ac:dyDescent="0.2">
      <c r="A442" s="4"/>
      <c r="B442" s="4"/>
      <c r="C442" s="4"/>
      <c r="D442" s="4"/>
      <c r="E442" s="5"/>
      <c r="F442" s="5" t="str">
        <f>IF($A442="","",SUMIF(Party_Ledger!$B:$B,$A442,Party_Ledger!$F:$F))</f>
        <v/>
      </c>
      <c r="G442" s="5" t="str">
        <f>IF($A442="","",SUMIF(Party_Ledger!$B:$B,$A442,Party_Ledger!$G:$G))</f>
        <v/>
      </c>
      <c r="H442" s="5" t="str">
        <f t="shared" si="12"/>
        <v/>
      </c>
      <c r="I442" s="4" t="str">
        <f t="shared" si="13"/>
        <v/>
      </c>
    </row>
    <row r="443" spans="1:9" x14ac:dyDescent="0.2">
      <c r="A443" s="4"/>
      <c r="B443" s="4"/>
      <c r="C443" s="4"/>
      <c r="D443" s="4"/>
      <c r="E443" s="5"/>
      <c r="F443" s="5" t="str">
        <f>IF($A443="","",SUMIF(Party_Ledger!$B:$B,$A443,Party_Ledger!$F:$F))</f>
        <v/>
      </c>
      <c r="G443" s="5" t="str">
        <f>IF($A443="","",SUMIF(Party_Ledger!$B:$B,$A443,Party_Ledger!$G:$G))</f>
        <v/>
      </c>
      <c r="H443" s="5" t="str">
        <f t="shared" si="12"/>
        <v/>
      </c>
      <c r="I443" s="4" t="str">
        <f t="shared" si="13"/>
        <v/>
      </c>
    </row>
    <row r="444" spans="1:9" x14ac:dyDescent="0.2">
      <c r="A444" s="4"/>
      <c r="B444" s="4"/>
      <c r="C444" s="4"/>
      <c r="D444" s="4"/>
      <c r="E444" s="5"/>
      <c r="F444" s="5" t="str">
        <f>IF($A444="","",SUMIF(Party_Ledger!$B:$B,$A444,Party_Ledger!$F:$F))</f>
        <v/>
      </c>
      <c r="G444" s="5" t="str">
        <f>IF($A444="","",SUMIF(Party_Ledger!$B:$B,$A444,Party_Ledger!$G:$G))</f>
        <v/>
      </c>
      <c r="H444" s="5" t="str">
        <f t="shared" si="12"/>
        <v/>
      </c>
      <c r="I444" s="4" t="str">
        <f t="shared" si="13"/>
        <v/>
      </c>
    </row>
    <row r="445" spans="1:9" x14ac:dyDescent="0.2">
      <c r="A445" s="4"/>
      <c r="B445" s="4"/>
      <c r="C445" s="4"/>
      <c r="D445" s="4"/>
      <c r="E445" s="5"/>
      <c r="F445" s="5" t="str">
        <f>IF($A445="","",SUMIF(Party_Ledger!$B:$B,$A445,Party_Ledger!$F:$F))</f>
        <v/>
      </c>
      <c r="G445" s="5" t="str">
        <f>IF($A445="","",SUMIF(Party_Ledger!$B:$B,$A445,Party_Ledger!$G:$G))</f>
        <v/>
      </c>
      <c r="H445" s="5" t="str">
        <f t="shared" si="12"/>
        <v/>
      </c>
      <c r="I445" s="4" t="str">
        <f t="shared" si="13"/>
        <v/>
      </c>
    </row>
    <row r="446" spans="1:9" x14ac:dyDescent="0.2">
      <c r="A446" s="4"/>
      <c r="B446" s="4"/>
      <c r="C446" s="4"/>
      <c r="D446" s="4"/>
      <c r="E446" s="5"/>
      <c r="F446" s="5" t="str">
        <f>IF($A446="","",SUMIF(Party_Ledger!$B:$B,$A446,Party_Ledger!$F:$F))</f>
        <v/>
      </c>
      <c r="G446" s="5" t="str">
        <f>IF($A446="","",SUMIF(Party_Ledger!$B:$B,$A446,Party_Ledger!$G:$G))</f>
        <v/>
      </c>
      <c r="H446" s="5" t="str">
        <f t="shared" si="12"/>
        <v/>
      </c>
      <c r="I446" s="4" t="str">
        <f t="shared" si="13"/>
        <v/>
      </c>
    </row>
    <row r="447" spans="1:9" x14ac:dyDescent="0.2">
      <c r="A447" s="4"/>
      <c r="B447" s="4"/>
      <c r="C447" s="4"/>
      <c r="D447" s="4"/>
      <c r="E447" s="5"/>
      <c r="F447" s="5" t="str">
        <f>IF($A447="","",SUMIF(Party_Ledger!$B:$B,$A447,Party_Ledger!$F:$F))</f>
        <v/>
      </c>
      <c r="G447" s="5" t="str">
        <f>IF($A447="","",SUMIF(Party_Ledger!$B:$B,$A447,Party_Ledger!$G:$G))</f>
        <v/>
      </c>
      <c r="H447" s="5" t="str">
        <f t="shared" si="12"/>
        <v/>
      </c>
      <c r="I447" s="4" t="str">
        <f t="shared" si="13"/>
        <v/>
      </c>
    </row>
    <row r="448" spans="1:9" x14ac:dyDescent="0.2">
      <c r="A448" s="4"/>
      <c r="B448" s="4"/>
      <c r="C448" s="4"/>
      <c r="D448" s="4"/>
      <c r="E448" s="5"/>
      <c r="F448" s="5" t="str">
        <f>IF($A448="","",SUMIF(Party_Ledger!$B:$B,$A448,Party_Ledger!$F:$F))</f>
        <v/>
      </c>
      <c r="G448" s="5" t="str">
        <f>IF($A448="","",SUMIF(Party_Ledger!$B:$B,$A448,Party_Ledger!$G:$G))</f>
        <v/>
      </c>
      <c r="H448" s="5" t="str">
        <f t="shared" si="12"/>
        <v/>
      </c>
      <c r="I448" s="4" t="str">
        <f t="shared" si="13"/>
        <v/>
      </c>
    </row>
    <row r="449" spans="1:9" x14ac:dyDescent="0.2">
      <c r="A449" s="4"/>
      <c r="B449" s="4"/>
      <c r="C449" s="4"/>
      <c r="D449" s="4"/>
      <c r="E449" s="5"/>
      <c r="F449" s="5" t="str">
        <f>IF($A449="","",SUMIF(Party_Ledger!$B:$B,$A449,Party_Ledger!$F:$F))</f>
        <v/>
      </c>
      <c r="G449" s="5" t="str">
        <f>IF($A449="","",SUMIF(Party_Ledger!$B:$B,$A449,Party_Ledger!$G:$G))</f>
        <v/>
      </c>
      <c r="H449" s="5" t="str">
        <f t="shared" si="12"/>
        <v/>
      </c>
      <c r="I449" s="4" t="str">
        <f t="shared" si="13"/>
        <v/>
      </c>
    </row>
    <row r="450" spans="1:9" x14ac:dyDescent="0.2">
      <c r="A450" s="4"/>
      <c r="B450" s="4"/>
      <c r="C450" s="4"/>
      <c r="D450" s="4"/>
      <c r="E450" s="5"/>
      <c r="F450" s="5" t="str">
        <f>IF($A450="","",SUMIF(Party_Ledger!$B:$B,$A450,Party_Ledger!$F:$F))</f>
        <v/>
      </c>
      <c r="G450" s="5" t="str">
        <f>IF($A450="","",SUMIF(Party_Ledger!$B:$B,$A450,Party_Ledger!$G:$G))</f>
        <v/>
      </c>
      <c r="H450" s="5" t="str">
        <f t="shared" si="12"/>
        <v/>
      </c>
      <c r="I450" s="4" t="str">
        <f t="shared" si="13"/>
        <v/>
      </c>
    </row>
    <row r="451" spans="1:9" x14ac:dyDescent="0.2">
      <c r="A451" s="4"/>
      <c r="B451" s="4"/>
      <c r="C451" s="4"/>
      <c r="D451" s="4"/>
      <c r="E451" s="5"/>
      <c r="F451" s="5" t="str">
        <f>IF($A451="","",SUMIF(Party_Ledger!$B:$B,$A451,Party_Ledger!$F:$F))</f>
        <v/>
      </c>
      <c r="G451" s="5" t="str">
        <f>IF($A451="","",SUMIF(Party_Ledger!$B:$B,$A451,Party_Ledger!$G:$G))</f>
        <v/>
      </c>
      <c r="H451" s="5" t="str">
        <f t="shared" ref="H451:H502" si="14">IF($A451="","",$E451+$F451-$G451)</f>
        <v/>
      </c>
      <c r="I451" s="4" t="str">
        <f t="shared" ref="I451:I502" si="15">IF($A451="","",IF(ROUND($H451,0)=0,"Settled",IF($H451&gt;0,"Outstanding","Advance")))</f>
        <v/>
      </c>
    </row>
    <row r="452" spans="1:9" x14ac:dyDescent="0.2">
      <c r="A452" s="4"/>
      <c r="B452" s="4"/>
      <c r="C452" s="4"/>
      <c r="D452" s="4"/>
      <c r="E452" s="5"/>
      <c r="F452" s="5" t="str">
        <f>IF($A452="","",SUMIF(Party_Ledger!$B:$B,$A452,Party_Ledger!$F:$F))</f>
        <v/>
      </c>
      <c r="G452" s="5" t="str">
        <f>IF($A452="","",SUMIF(Party_Ledger!$B:$B,$A452,Party_Ledger!$G:$G))</f>
        <v/>
      </c>
      <c r="H452" s="5" t="str">
        <f t="shared" si="14"/>
        <v/>
      </c>
      <c r="I452" s="4" t="str">
        <f t="shared" si="15"/>
        <v/>
      </c>
    </row>
    <row r="453" spans="1:9" x14ac:dyDescent="0.2">
      <c r="A453" s="4"/>
      <c r="B453" s="4"/>
      <c r="C453" s="4"/>
      <c r="D453" s="4"/>
      <c r="E453" s="5"/>
      <c r="F453" s="5" t="str">
        <f>IF($A453="","",SUMIF(Party_Ledger!$B:$B,$A453,Party_Ledger!$F:$F))</f>
        <v/>
      </c>
      <c r="G453" s="5" t="str">
        <f>IF($A453="","",SUMIF(Party_Ledger!$B:$B,$A453,Party_Ledger!$G:$G))</f>
        <v/>
      </c>
      <c r="H453" s="5" t="str">
        <f t="shared" si="14"/>
        <v/>
      </c>
      <c r="I453" s="4" t="str">
        <f t="shared" si="15"/>
        <v/>
      </c>
    </row>
    <row r="454" spans="1:9" x14ac:dyDescent="0.2">
      <c r="A454" s="4"/>
      <c r="B454" s="4"/>
      <c r="C454" s="4"/>
      <c r="D454" s="4"/>
      <c r="E454" s="5"/>
      <c r="F454" s="5" t="str">
        <f>IF($A454="","",SUMIF(Party_Ledger!$B:$B,$A454,Party_Ledger!$F:$F))</f>
        <v/>
      </c>
      <c r="G454" s="5" t="str">
        <f>IF($A454="","",SUMIF(Party_Ledger!$B:$B,$A454,Party_Ledger!$G:$G))</f>
        <v/>
      </c>
      <c r="H454" s="5" t="str">
        <f t="shared" si="14"/>
        <v/>
      </c>
      <c r="I454" s="4" t="str">
        <f t="shared" si="15"/>
        <v/>
      </c>
    </row>
    <row r="455" spans="1:9" x14ac:dyDescent="0.2">
      <c r="A455" s="4"/>
      <c r="B455" s="4"/>
      <c r="C455" s="4"/>
      <c r="D455" s="4"/>
      <c r="E455" s="5"/>
      <c r="F455" s="5" t="str">
        <f>IF($A455="","",SUMIF(Party_Ledger!$B:$B,$A455,Party_Ledger!$F:$F))</f>
        <v/>
      </c>
      <c r="G455" s="5" t="str">
        <f>IF($A455="","",SUMIF(Party_Ledger!$B:$B,$A455,Party_Ledger!$G:$G))</f>
        <v/>
      </c>
      <c r="H455" s="5" t="str">
        <f t="shared" si="14"/>
        <v/>
      </c>
      <c r="I455" s="4" t="str">
        <f t="shared" si="15"/>
        <v/>
      </c>
    </row>
    <row r="456" spans="1:9" x14ac:dyDescent="0.2">
      <c r="A456" s="4"/>
      <c r="B456" s="4"/>
      <c r="C456" s="4"/>
      <c r="D456" s="4"/>
      <c r="E456" s="5"/>
      <c r="F456" s="5" t="str">
        <f>IF($A456="","",SUMIF(Party_Ledger!$B:$B,$A456,Party_Ledger!$F:$F))</f>
        <v/>
      </c>
      <c r="G456" s="5" t="str">
        <f>IF($A456="","",SUMIF(Party_Ledger!$B:$B,$A456,Party_Ledger!$G:$G))</f>
        <v/>
      </c>
      <c r="H456" s="5" t="str">
        <f t="shared" si="14"/>
        <v/>
      </c>
      <c r="I456" s="4" t="str">
        <f t="shared" si="15"/>
        <v/>
      </c>
    </row>
    <row r="457" spans="1:9" x14ac:dyDescent="0.2">
      <c r="A457" s="4"/>
      <c r="B457" s="4"/>
      <c r="C457" s="4"/>
      <c r="D457" s="4"/>
      <c r="E457" s="5"/>
      <c r="F457" s="5" t="str">
        <f>IF($A457="","",SUMIF(Party_Ledger!$B:$B,$A457,Party_Ledger!$F:$F))</f>
        <v/>
      </c>
      <c r="G457" s="5" t="str">
        <f>IF($A457="","",SUMIF(Party_Ledger!$B:$B,$A457,Party_Ledger!$G:$G))</f>
        <v/>
      </c>
      <c r="H457" s="5" t="str">
        <f t="shared" si="14"/>
        <v/>
      </c>
      <c r="I457" s="4" t="str">
        <f t="shared" si="15"/>
        <v/>
      </c>
    </row>
    <row r="458" spans="1:9" x14ac:dyDescent="0.2">
      <c r="A458" s="4"/>
      <c r="B458" s="4"/>
      <c r="C458" s="4"/>
      <c r="D458" s="4"/>
      <c r="E458" s="5"/>
      <c r="F458" s="5" t="str">
        <f>IF($A458="","",SUMIF(Party_Ledger!$B:$B,$A458,Party_Ledger!$F:$F))</f>
        <v/>
      </c>
      <c r="G458" s="5" t="str">
        <f>IF($A458="","",SUMIF(Party_Ledger!$B:$B,$A458,Party_Ledger!$G:$G))</f>
        <v/>
      </c>
      <c r="H458" s="5" t="str">
        <f t="shared" si="14"/>
        <v/>
      </c>
      <c r="I458" s="4" t="str">
        <f t="shared" si="15"/>
        <v/>
      </c>
    </row>
    <row r="459" spans="1:9" x14ac:dyDescent="0.2">
      <c r="A459" s="4"/>
      <c r="B459" s="4"/>
      <c r="C459" s="4"/>
      <c r="D459" s="4"/>
      <c r="E459" s="5"/>
      <c r="F459" s="5" t="str">
        <f>IF($A459="","",SUMIF(Party_Ledger!$B:$B,$A459,Party_Ledger!$F:$F))</f>
        <v/>
      </c>
      <c r="G459" s="5" t="str">
        <f>IF($A459="","",SUMIF(Party_Ledger!$B:$B,$A459,Party_Ledger!$G:$G))</f>
        <v/>
      </c>
      <c r="H459" s="5" t="str">
        <f t="shared" si="14"/>
        <v/>
      </c>
      <c r="I459" s="4" t="str">
        <f t="shared" si="15"/>
        <v/>
      </c>
    </row>
    <row r="460" spans="1:9" x14ac:dyDescent="0.2">
      <c r="A460" s="4"/>
      <c r="B460" s="4"/>
      <c r="C460" s="4"/>
      <c r="D460" s="4"/>
      <c r="E460" s="5"/>
      <c r="F460" s="5" t="str">
        <f>IF($A460="","",SUMIF(Party_Ledger!$B:$B,$A460,Party_Ledger!$F:$F))</f>
        <v/>
      </c>
      <c r="G460" s="5" t="str">
        <f>IF($A460="","",SUMIF(Party_Ledger!$B:$B,$A460,Party_Ledger!$G:$G))</f>
        <v/>
      </c>
      <c r="H460" s="5" t="str">
        <f t="shared" si="14"/>
        <v/>
      </c>
      <c r="I460" s="4" t="str">
        <f t="shared" si="15"/>
        <v/>
      </c>
    </row>
    <row r="461" spans="1:9" x14ac:dyDescent="0.2">
      <c r="A461" s="4"/>
      <c r="B461" s="4"/>
      <c r="C461" s="4"/>
      <c r="D461" s="4"/>
      <c r="E461" s="5"/>
      <c r="F461" s="5" t="str">
        <f>IF($A461="","",SUMIF(Party_Ledger!$B:$B,$A461,Party_Ledger!$F:$F))</f>
        <v/>
      </c>
      <c r="G461" s="5" t="str">
        <f>IF($A461="","",SUMIF(Party_Ledger!$B:$B,$A461,Party_Ledger!$G:$G))</f>
        <v/>
      </c>
      <c r="H461" s="5" t="str">
        <f t="shared" si="14"/>
        <v/>
      </c>
      <c r="I461" s="4" t="str">
        <f t="shared" si="15"/>
        <v/>
      </c>
    </row>
    <row r="462" spans="1:9" x14ac:dyDescent="0.2">
      <c r="A462" s="4"/>
      <c r="B462" s="4"/>
      <c r="C462" s="4"/>
      <c r="D462" s="4"/>
      <c r="E462" s="5"/>
      <c r="F462" s="5" t="str">
        <f>IF($A462="","",SUMIF(Party_Ledger!$B:$B,$A462,Party_Ledger!$F:$F))</f>
        <v/>
      </c>
      <c r="G462" s="5" t="str">
        <f>IF($A462="","",SUMIF(Party_Ledger!$B:$B,$A462,Party_Ledger!$G:$G))</f>
        <v/>
      </c>
      <c r="H462" s="5" t="str">
        <f t="shared" si="14"/>
        <v/>
      </c>
      <c r="I462" s="4" t="str">
        <f t="shared" si="15"/>
        <v/>
      </c>
    </row>
    <row r="463" spans="1:9" x14ac:dyDescent="0.2">
      <c r="A463" s="4"/>
      <c r="B463" s="4"/>
      <c r="C463" s="4"/>
      <c r="D463" s="4"/>
      <c r="E463" s="5"/>
      <c r="F463" s="5" t="str">
        <f>IF($A463="","",SUMIF(Party_Ledger!$B:$B,$A463,Party_Ledger!$F:$F))</f>
        <v/>
      </c>
      <c r="G463" s="5" t="str">
        <f>IF($A463="","",SUMIF(Party_Ledger!$B:$B,$A463,Party_Ledger!$G:$G))</f>
        <v/>
      </c>
      <c r="H463" s="5" t="str">
        <f t="shared" si="14"/>
        <v/>
      </c>
      <c r="I463" s="4" t="str">
        <f t="shared" si="15"/>
        <v/>
      </c>
    </row>
    <row r="464" spans="1:9" x14ac:dyDescent="0.2">
      <c r="A464" s="4"/>
      <c r="B464" s="4"/>
      <c r="C464" s="4"/>
      <c r="D464" s="4"/>
      <c r="E464" s="5"/>
      <c r="F464" s="5" t="str">
        <f>IF($A464="","",SUMIF(Party_Ledger!$B:$B,$A464,Party_Ledger!$F:$F))</f>
        <v/>
      </c>
      <c r="G464" s="5" t="str">
        <f>IF($A464="","",SUMIF(Party_Ledger!$B:$B,$A464,Party_Ledger!$G:$G))</f>
        <v/>
      </c>
      <c r="H464" s="5" t="str">
        <f t="shared" si="14"/>
        <v/>
      </c>
      <c r="I464" s="4" t="str">
        <f t="shared" si="15"/>
        <v/>
      </c>
    </row>
    <row r="465" spans="1:9" x14ac:dyDescent="0.2">
      <c r="A465" s="4"/>
      <c r="B465" s="4"/>
      <c r="C465" s="4"/>
      <c r="D465" s="4"/>
      <c r="E465" s="5"/>
      <c r="F465" s="5" t="str">
        <f>IF($A465="","",SUMIF(Party_Ledger!$B:$B,$A465,Party_Ledger!$F:$F))</f>
        <v/>
      </c>
      <c r="G465" s="5" t="str">
        <f>IF($A465="","",SUMIF(Party_Ledger!$B:$B,$A465,Party_Ledger!$G:$G))</f>
        <v/>
      </c>
      <c r="H465" s="5" t="str">
        <f t="shared" si="14"/>
        <v/>
      </c>
      <c r="I465" s="4" t="str">
        <f t="shared" si="15"/>
        <v/>
      </c>
    </row>
    <row r="466" spans="1:9" x14ac:dyDescent="0.2">
      <c r="A466" s="4"/>
      <c r="B466" s="4"/>
      <c r="C466" s="4"/>
      <c r="D466" s="4"/>
      <c r="E466" s="5"/>
      <c r="F466" s="5" t="str">
        <f>IF($A466="","",SUMIF(Party_Ledger!$B:$B,$A466,Party_Ledger!$F:$F))</f>
        <v/>
      </c>
      <c r="G466" s="5" t="str">
        <f>IF($A466="","",SUMIF(Party_Ledger!$B:$B,$A466,Party_Ledger!$G:$G))</f>
        <v/>
      </c>
      <c r="H466" s="5" t="str">
        <f t="shared" si="14"/>
        <v/>
      </c>
      <c r="I466" s="4" t="str">
        <f t="shared" si="15"/>
        <v/>
      </c>
    </row>
    <row r="467" spans="1:9" x14ac:dyDescent="0.2">
      <c r="A467" s="4"/>
      <c r="B467" s="4"/>
      <c r="C467" s="4"/>
      <c r="D467" s="4"/>
      <c r="E467" s="5"/>
      <c r="F467" s="5" t="str">
        <f>IF($A467="","",SUMIF(Party_Ledger!$B:$B,$A467,Party_Ledger!$F:$F))</f>
        <v/>
      </c>
      <c r="G467" s="5" t="str">
        <f>IF($A467="","",SUMIF(Party_Ledger!$B:$B,$A467,Party_Ledger!$G:$G))</f>
        <v/>
      </c>
      <c r="H467" s="5" t="str">
        <f t="shared" si="14"/>
        <v/>
      </c>
      <c r="I467" s="4" t="str">
        <f t="shared" si="15"/>
        <v/>
      </c>
    </row>
    <row r="468" spans="1:9" x14ac:dyDescent="0.2">
      <c r="A468" s="4"/>
      <c r="B468" s="4"/>
      <c r="C468" s="4"/>
      <c r="D468" s="4"/>
      <c r="E468" s="5"/>
      <c r="F468" s="5" t="str">
        <f>IF($A468="","",SUMIF(Party_Ledger!$B:$B,$A468,Party_Ledger!$F:$F))</f>
        <v/>
      </c>
      <c r="G468" s="5" t="str">
        <f>IF($A468="","",SUMIF(Party_Ledger!$B:$B,$A468,Party_Ledger!$G:$G))</f>
        <v/>
      </c>
      <c r="H468" s="5" t="str">
        <f t="shared" si="14"/>
        <v/>
      </c>
      <c r="I468" s="4" t="str">
        <f t="shared" si="15"/>
        <v/>
      </c>
    </row>
    <row r="469" spans="1:9" x14ac:dyDescent="0.2">
      <c r="A469" s="4"/>
      <c r="B469" s="4"/>
      <c r="C469" s="4"/>
      <c r="D469" s="4"/>
      <c r="E469" s="5"/>
      <c r="F469" s="5" t="str">
        <f>IF($A469="","",SUMIF(Party_Ledger!$B:$B,$A469,Party_Ledger!$F:$F))</f>
        <v/>
      </c>
      <c r="G469" s="5" t="str">
        <f>IF($A469="","",SUMIF(Party_Ledger!$B:$B,$A469,Party_Ledger!$G:$G))</f>
        <v/>
      </c>
      <c r="H469" s="5" t="str">
        <f t="shared" si="14"/>
        <v/>
      </c>
      <c r="I469" s="4" t="str">
        <f t="shared" si="15"/>
        <v/>
      </c>
    </row>
    <row r="470" spans="1:9" x14ac:dyDescent="0.2">
      <c r="A470" s="4"/>
      <c r="B470" s="4"/>
      <c r="C470" s="4"/>
      <c r="D470" s="4"/>
      <c r="E470" s="5"/>
      <c r="F470" s="5" t="str">
        <f>IF($A470="","",SUMIF(Party_Ledger!$B:$B,$A470,Party_Ledger!$F:$F))</f>
        <v/>
      </c>
      <c r="G470" s="5" t="str">
        <f>IF($A470="","",SUMIF(Party_Ledger!$B:$B,$A470,Party_Ledger!$G:$G))</f>
        <v/>
      </c>
      <c r="H470" s="5" t="str">
        <f t="shared" si="14"/>
        <v/>
      </c>
      <c r="I470" s="4" t="str">
        <f t="shared" si="15"/>
        <v/>
      </c>
    </row>
    <row r="471" spans="1:9" x14ac:dyDescent="0.2">
      <c r="A471" s="4"/>
      <c r="B471" s="4"/>
      <c r="C471" s="4"/>
      <c r="D471" s="4"/>
      <c r="E471" s="5"/>
      <c r="F471" s="5" t="str">
        <f>IF($A471="","",SUMIF(Party_Ledger!$B:$B,$A471,Party_Ledger!$F:$F))</f>
        <v/>
      </c>
      <c r="G471" s="5" t="str">
        <f>IF($A471="","",SUMIF(Party_Ledger!$B:$B,$A471,Party_Ledger!$G:$G))</f>
        <v/>
      </c>
      <c r="H471" s="5" t="str">
        <f t="shared" si="14"/>
        <v/>
      </c>
      <c r="I471" s="4" t="str">
        <f t="shared" si="15"/>
        <v/>
      </c>
    </row>
    <row r="472" spans="1:9" x14ac:dyDescent="0.2">
      <c r="A472" s="4"/>
      <c r="B472" s="4"/>
      <c r="C472" s="4"/>
      <c r="D472" s="4"/>
      <c r="E472" s="5"/>
      <c r="F472" s="5" t="str">
        <f>IF($A472="","",SUMIF(Party_Ledger!$B:$B,$A472,Party_Ledger!$F:$F))</f>
        <v/>
      </c>
      <c r="G472" s="5" t="str">
        <f>IF($A472="","",SUMIF(Party_Ledger!$B:$B,$A472,Party_Ledger!$G:$G))</f>
        <v/>
      </c>
      <c r="H472" s="5" t="str">
        <f t="shared" si="14"/>
        <v/>
      </c>
      <c r="I472" s="4" t="str">
        <f t="shared" si="15"/>
        <v/>
      </c>
    </row>
    <row r="473" spans="1:9" x14ac:dyDescent="0.2">
      <c r="A473" s="4"/>
      <c r="B473" s="4"/>
      <c r="C473" s="4"/>
      <c r="D473" s="4"/>
      <c r="E473" s="5"/>
      <c r="F473" s="5" t="str">
        <f>IF($A473="","",SUMIF(Party_Ledger!$B:$B,$A473,Party_Ledger!$F:$F))</f>
        <v/>
      </c>
      <c r="G473" s="5" t="str">
        <f>IF($A473="","",SUMIF(Party_Ledger!$B:$B,$A473,Party_Ledger!$G:$G))</f>
        <v/>
      </c>
      <c r="H473" s="5" t="str">
        <f t="shared" si="14"/>
        <v/>
      </c>
      <c r="I473" s="4" t="str">
        <f t="shared" si="15"/>
        <v/>
      </c>
    </row>
    <row r="474" spans="1:9" x14ac:dyDescent="0.2">
      <c r="A474" s="4"/>
      <c r="B474" s="4"/>
      <c r="C474" s="4"/>
      <c r="D474" s="4"/>
      <c r="E474" s="5"/>
      <c r="F474" s="5" t="str">
        <f>IF($A474="","",SUMIF(Party_Ledger!$B:$B,$A474,Party_Ledger!$F:$F))</f>
        <v/>
      </c>
      <c r="G474" s="5" t="str">
        <f>IF($A474="","",SUMIF(Party_Ledger!$B:$B,$A474,Party_Ledger!$G:$G))</f>
        <v/>
      </c>
      <c r="H474" s="5" t="str">
        <f t="shared" si="14"/>
        <v/>
      </c>
      <c r="I474" s="4" t="str">
        <f t="shared" si="15"/>
        <v/>
      </c>
    </row>
    <row r="475" spans="1:9" x14ac:dyDescent="0.2">
      <c r="A475" s="4"/>
      <c r="B475" s="4"/>
      <c r="C475" s="4"/>
      <c r="D475" s="4"/>
      <c r="E475" s="5"/>
      <c r="F475" s="5" t="str">
        <f>IF($A475="","",SUMIF(Party_Ledger!$B:$B,$A475,Party_Ledger!$F:$F))</f>
        <v/>
      </c>
      <c r="G475" s="5" t="str">
        <f>IF($A475="","",SUMIF(Party_Ledger!$B:$B,$A475,Party_Ledger!$G:$G))</f>
        <v/>
      </c>
      <c r="H475" s="5" t="str">
        <f t="shared" si="14"/>
        <v/>
      </c>
      <c r="I475" s="4" t="str">
        <f t="shared" si="15"/>
        <v/>
      </c>
    </row>
    <row r="476" spans="1:9" x14ac:dyDescent="0.2">
      <c r="A476" s="4"/>
      <c r="B476" s="4"/>
      <c r="C476" s="4"/>
      <c r="D476" s="4"/>
      <c r="E476" s="5"/>
      <c r="F476" s="5" t="str">
        <f>IF($A476="","",SUMIF(Party_Ledger!$B:$B,$A476,Party_Ledger!$F:$F))</f>
        <v/>
      </c>
      <c r="G476" s="5" t="str">
        <f>IF($A476="","",SUMIF(Party_Ledger!$B:$B,$A476,Party_Ledger!$G:$G))</f>
        <v/>
      </c>
      <c r="H476" s="5" t="str">
        <f t="shared" si="14"/>
        <v/>
      </c>
      <c r="I476" s="4" t="str">
        <f t="shared" si="15"/>
        <v/>
      </c>
    </row>
    <row r="477" spans="1:9" x14ac:dyDescent="0.2">
      <c r="A477" s="4"/>
      <c r="B477" s="4"/>
      <c r="C477" s="4"/>
      <c r="D477" s="4"/>
      <c r="E477" s="5"/>
      <c r="F477" s="5" t="str">
        <f>IF($A477="","",SUMIF(Party_Ledger!$B:$B,$A477,Party_Ledger!$F:$F))</f>
        <v/>
      </c>
      <c r="G477" s="5" t="str">
        <f>IF($A477="","",SUMIF(Party_Ledger!$B:$B,$A477,Party_Ledger!$G:$G))</f>
        <v/>
      </c>
      <c r="H477" s="5" t="str">
        <f t="shared" si="14"/>
        <v/>
      </c>
      <c r="I477" s="4" t="str">
        <f t="shared" si="15"/>
        <v/>
      </c>
    </row>
    <row r="478" spans="1:9" x14ac:dyDescent="0.2">
      <c r="A478" s="4"/>
      <c r="B478" s="4"/>
      <c r="C478" s="4"/>
      <c r="D478" s="4"/>
      <c r="E478" s="5"/>
      <c r="F478" s="5" t="str">
        <f>IF($A478="","",SUMIF(Party_Ledger!$B:$B,$A478,Party_Ledger!$F:$F))</f>
        <v/>
      </c>
      <c r="G478" s="5" t="str">
        <f>IF($A478="","",SUMIF(Party_Ledger!$B:$B,$A478,Party_Ledger!$G:$G))</f>
        <v/>
      </c>
      <c r="H478" s="5" t="str">
        <f t="shared" si="14"/>
        <v/>
      </c>
      <c r="I478" s="4" t="str">
        <f t="shared" si="15"/>
        <v/>
      </c>
    </row>
    <row r="479" spans="1:9" x14ac:dyDescent="0.2">
      <c r="A479" s="4"/>
      <c r="B479" s="4"/>
      <c r="C479" s="4"/>
      <c r="D479" s="4"/>
      <c r="E479" s="5"/>
      <c r="F479" s="5" t="str">
        <f>IF($A479="","",SUMIF(Party_Ledger!$B:$B,$A479,Party_Ledger!$F:$F))</f>
        <v/>
      </c>
      <c r="G479" s="5" t="str">
        <f>IF($A479="","",SUMIF(Party_Ledger!$B:$B,$A479,Party_Ledger!$G:$G))</f>
        <v/>
      </c>
      <c r="H479" s="5" t="str">
        <f t="shared" si="14"/>
        <v/>
      </c>
      <c r="I479" s="4" t="str">
        <f t="shared" si="15"/>
        <v/>
      </c>
    </row>
    <row r="480" spans="1:9" x14ac:dyDescent="0.2">
      <c r="A480" s="4"/>
      <c r="B480" s="4"/>
      <c r="C480" s="4"/>
      <c r="D480" s="4"/>
      <c r="E480" s="5"/>
      <c r="F480" s="5" t="str">
        <f>IF($A480="","",SUMIF(Party_Ledger!$B:$B,$A480,Party_Ledger!$F:$F))</f>
        <v/>
      </c>
      <c r="G480" s="5" t="str">
        <f>IF($A480="","",SUMIF(Party_Ledger!$B:$B,$A480,Party_Ledger!$G:$G))</f>
        <v/>
      </c>
      <c r="H480" s="5" t="str">
        <f t="shared" si="14"/>
        <v/>
      </c>
      <c r="I480" s="4" t="str">
        <f t="shared" si="15"/>
        <v/>
      </c>
    </row>
    <row r="481" spans="1:9" x14ac:dyDescent="0.2">
      <c r="A481" s="4"/>
      <c r="B481" s="4"/>
      <c r="C481" s="4"/>
      <c r="D481" s="4"/>
      <c r="E481" s="5"/>
      <c r="F481" s="5" t="str">
        <f>IF($A481="","",SUMIF(Party_Ledger!$B:$B,$A481,Party_Ledger!$F:$F))</f>
        <v/>
      </c>
      <c r="G481" s="5" t="str">
        <f>IF($A481="","",SUMIF(Party_Ledger!$B:$B,$A481,Party_Ledger!$G:$G))</f>
        <v/>
      </c>
      <c r="H481" s="5" t="str">
        <f t="shared" si="14"/>
        <v/>
      </c>
      <c r="I481" s="4" t="str">
        <f t="shared" si="15"/>
        <v/>
      </c>
    </row>
    <row r="482" spans="1:9" x14ac:dyDescent="0.2">
      <c r="A482" s="4"/>
      <c r="B482" s="4"/>
      <c r="C482" s="4"/>
      <c r="D482" s="4"/>
      <c r="E482" s="5"/>
      <c r="F482" s="5" t="str">
        <f>IF($A482="","",SUMIF(Party_Ledger!$B:$B,$A482,Party_Ledger!$F:$F))</f>
        <v/>
      </c>
      <c r="G482" s="5" t="str">
        <f>IF($A482="","",SUMIF(Party_Ledger!$B:$B,$A482,Party_Ledger!$G:$G))</f>
        <v/>
      </c>
      <c r="H482" s="5" t="str">
        <f t="shared" si="14"/>
        <v/>
      </c>
      <c r="I482" s="4" t="str">
        <f t="shared" si="15"/>
        <v/>
      </c>
    </row>
    <row r="483" spans="1:9" x14ac:dyDescent="0.2">
      <c r="A483" s="4"/>
      <c r="B483" s="4"/>
      <c r="C483" s="4"/>
      <c r="D483" s="4"/>
      <c r="E483" s="5"/>
      <c r="F483" s="5" t="str">
        <f>IF($A483="","",SUMIF(Party_Ledger!$B:$B,$A483,Party_Ledger!$F:$F))</f>
        <v/>
      </c>
      <c r="G483" s="5" t="str">
        <f>IF($A483="","",SUMIF(Party_Ledger!$B:$B,$A483,Party_Ledger!$G:$G))</f>
        <v/>
      </c>
      <c r="H483" s="5" t="str">
        <f t="shared" si="14"/>
        <v/>
      </c>
      <c r="I483" s="4" t="str">
        <f t="shared" si="15"/>
        <v/>
      </c>
    </row>
    <row r="484" spans="1:9" x14ac:dyDescent="0.2">
      <c r="A484" s="4"/>
      <c r="B484" s="4"/>
      <c r="C484" s="4"/>
      <c r="D484" s="4"/>
      <c r="E484" s="5"/>
      <c r="F484" s="5" t="str">
        <f>IF($A484="","",SUMIF(Party_Ledger!$B:$B,$A484,Party_Ledger!$F:$F))</f>
        <v/>
      </c>
      <c r="G484" s="5" t="str">
        <f>IF($A484="","",SUMIF(Party_Ledger!$B:$B,$A484,Party_Ledger!$G:$G))</f>
        <v/>
      </c>
      <c r="H484" s="5" t="str">
        <f t="shared" si="14"/>
        <v/>
      </c>
      <c r="I484" s="4" t="str">
        <f t="shared" si="15"/>
        <v/>
      </c>
    </row>
    <row r="485" spans="1:9" x14ac:dyDescent="0.2">
      <c r="A485" s="4"/>
      <c r="B485" s="4"/>
      <c r="C485" s="4"/>
      <c r="D485" s="4"/>
      <c r="E485" s="5"/>
      <c r="F485" s="5" t="str">
        <f>IF($A485="","",SUMIF(Party_Ledger!$B:$B,$A485,Party_Ledger!$F:$F))</f>
        <v/>
      </c>
      <c r="G485" s="5" t="str">
        <f>IF($A485="","",SUMIF(Party_Ledger!$B:$B,$A485,Party_Ledger!$G:$G))</f>
        <v/>
      </c>
      <c r="H485" s="5" t="str">
        <f t="shared" si="14"/>
        <v/>
      </c>
      <c r="I485" s="4" t="str">
        <f t="shared" si="15"/>
        <v/>
      </c>
    </row>
    <row r="486" spans="1:9" x14ac:dyDescent="0.2">
      <c r="A486" s="4"/>
      <c r="B486" s="4"/>
      <c r="C486" s="4"/>
      <c r="D486" s="4"/>
      <c r="E486" s="5"/>
      <c r="F486" s="5" t="str">
        <f>IF($A486="","",SUMIF(Party_Ledger!$B:$B,$A486,Party_Ledger!$F:$F))</f>
        <v/>
      </c>
      <c r="G486" s="5" t="str">
        <f>IF($A486="","",SUMIF(Party_Ledger!$B:$B,$A486,Party_Ledger!$G:$G))</f>
        <v/>
      </c>
      <c r="H486" s="5" t="str">
        <f t="shared" si="14"/>
        <v/>
      </c>
      <c r="I486" s="4" t="str">
        <f t="shared" si="15"/>
        <v/>
      </c>
    </row>
    <row r="487" spans="1:9" x14ac:dyDescent="0.2">
      <c r="A487" s="4"/>
      <c r="B487" s="4"/>
      <c r="C487" s="4"/>
      <c r="D487" s="4"/>
      <c r="E487" s="5"/>
      <c r="F487" s="5" t="str">
        <f>IF($A487="","",SUMIF(Party_Ledger!$B:$B,$A487,Party_Ledger!$F:$F))</f>
        <v/>
      </c>
      <c r="G487" s="5" t="str">
        <f>IF($A487="","",SUMIF(Party_Ledger!$B:$B,$A487,Party_Ledger!$G:$G))</f>
        <v/>
      </c>
      <c r="H487" s="5" t="str">
        <f t="shared" si="14"/>
        <v/>
      </c>
      <c r="I487" s="4" t="str">
        <f t="shared" si="15"/>
        <v/>
      </c>
    </row>
    <row r="488" spans="1:9" x14ac:dyDescent="0.2">
      <c r="A488" s="4"/>
      <c r="B488" s="4"/>
      <c r="C488" s="4"/>
      <c r="D488" s="4"/>
      <c r="E488" s="5"/>
      <c r="F488" s="5" t="str">
        <f>IF($A488="","",SUMIF(Party_Ledger!$B:$B,$A488,Party_Ledger!$F:$F))</f>
        <v/>
      </c>
      <c r="G488" s="5" t="str">
        <f>IF($A488="","",SUMIF(Party_Ledger!$B:$B,$A488,Party_Ledger!$G:$G))</f>
        <v/>
      </c>
      <c r="H488" s="5" t="str">
        <f t="shared" si="14"/>
        <v/>
      </c>
      <c r="I488" s="4" t="str">
        <f t="shared" si="15"/>
        <v/>
      </c>
    </row>
    <row r="489" spans="1:9" x14ac:dyDescent="0.2">
      <c r="A489" s="4"/>
      <c r="B489" s="4"/>
      <c r="C489" s="4"/>
      <c r="D489" s="4"/>
      <c r="E489" s="5"/>
      <c r="F489" s="5" t="str">
        <f>IF($A489="","",SUMIF(Party_Ledger!$B:$B,$A489,Party_Ledger!$F:$F))</f>
        <v/>
      </c>
      <c r="G489" s="5" t="str">
        <f>IF($A489="","",SUMIF(Party_Ledger!$B:$B,$A489,Party_Ledger!$G:$G))</f>
        <v/>
      </c>
      <c r="H489" s="5" t="str">
        <f t="shared" si="14"/>
        <v/>
      </c>
      <c r="I489" s="4" t="str">
        <f t="shared" si="15"/>
        <v/>
      </c>
    </row>
    <row r="490" spans="1:9" x14ac:dyDescent="0.2">
      <c r="A490" s="4"/>
      <c r="B490" s="4"/>
      <c r="C490" s="4"/>
      <c r="D490" s="4"/>
      <c r="E490" s="5"/>
      <c r="F490" s="5" t="str">
        <f>IF($A490="","",SUMIF(Party_Ledger!$B:$B,$A490,Party_Ledger!$F:$F))</f>
        <v/>
      </c>
      <c r="G490" s="5" t="str">
        <f>IF($A490="","",SUMIF(Party_Ledger!$B:$B,$A490,Party_Ledger!$G:$G))</f>
        <v/>
      </c>
      <c r="H490" s="5" t="str">
        <f t="shared" si="14"/>
        <v/>
      </c>
      <c r="I490" s="4" t="str">
        <f t="shared" si="15"/>
        <v/>
      </c>
    </row>
    <row r="491" spans="1:9" x14ac:dyDescent="0.2">
      <c r="A491" s="4"/>
      <c r="B491" s="4"/>
      <c r="C491" s="4"/>
      <c r="D491" s="4"/>
      <c r="E491" s="5"/>
      <c r="F491" s="5" t="str">
        <f>IF($A491="","",SUMIF(Party_Ledger!$B:$B,$A491,Party_Ledger!$F:$F))</f>
        <v/>
      </c>
      <c r="G491" s="5" t="str">
        <f>IF($A491="","",SUMIF(Party_Ledger!$B:$B,$A491,Party_Ledger!$G:$G))</f>
        <v/>
      </c>
      <c r="H491" s="5" t="str">
        <f t="shared" si="14"/>
        <v/>
      </c>
      <c r="I491" s="4" t="str">
        <f t="shared" si="15"/>
        <v/>
      </c>
    </row>
    <row r="492" spans="1:9" x14ac:dyDescent="0.2">
      <c r="A492" s="4"/>
      <c r="B492" s="4"/>
      <c r="C492" s="4"/>
      <c r="D492" s="4"/>
      <c r="E492" s="5"/>
      <c r="F492" s="5" t="str">
        <f>IF($A492="","",SUMIF(Party_Ledger!$B:$B,$A492,Party_Ledger!$F:$F))</f>
        <v/>
      </c>
      <c r="G492" s="5" t="str">
        <f>IF($A492="","",SUMIF(Party_Ledger!$B:$B,$A492,Party_Ledger!$G:$G))</f>
        <v/>
      </c>
      <c r="H492" s="5" t="str">
        <f t="shared" si="14"/>
        <v/>
      </c>
      <c r="I492" s="4" t="str">
        <f t="shared" si="15"/>
        <v/>
      </c>
    </row>
    <row r="493" spans="1:9" x14ac:dyDescent="0.2">
      <c r="A493" s="4"/>
      <c r="B493" s="4"/>
      <c r="C493" s="4"/>
      <c r="D493" s="4"/>
      <c r="E493" s="5"/>
      <c r="F493" s="5" t="str">
        <f>IF($A493="","",SUMIF(Party_Ledger!$B:$B,$A493,Party_Ledger!$F:$F))</f>
        <v/>
      </c>
      <c r="G493" s="5" t="str">
        <f>IF($A493="","",SUMIF(Party_Ledger!$B:$B,$A493,Party_Ledger!$G:$G))</f>
        <v/>
      </c>
      <c r="H493" s="5" t="str">
        <f t="shared" si="14"/>
        <v/>
      </c>
      <c r="I493" s="4" t="str">
        <f t="shared" si="15"/>
        <v/>
      </c>
    </row>
    <row r="494" spans="1:9" x14ac:dyDescent="0.2">
      <c r="A494" s="4"/>
      <c r="B494" s="4"/>
      <c r="C494" s="4"/>
      <c r="D494" s="4"/>
      <c r="E494" s="5"/>
      <c r="F494" s="5" t="str">
        <f>IF($A494="","",SUMIF(Party_Ledger!$B:$B,$A494,Party_Ledger!$F:$F))</f>
        <v/>
      </c>
      <c r="G494" s="5" t="str">
        <f>IF($A494="","",SUMIF(Party_Ledger!$B:$B,$A494,Party_Ledger!$G:$G))</f>
        <v/>
      </c>
      <c r="H494" s="5" t="str">
        <f t="shared" si="14"/>
        <v/>
      </c>
      <c r="I494" s="4" t="str">
        <f t="shared" si="15"/>
        <v/>
      </c>
    </row>
    <row r="495" spans="1:9" x14ac:dyDescent="0.2">
      <c r="A495" s="4"/>
      <c r="B495" s="4"/>
      <c r="C495" s="4"/>
      <c r="D495" s="4"/>
      <c r="E495" s="5"/>
      <c r="F495" s="5" t="str">
        <f>IF($A495="","",SUMIF(Party_Ledger!$B:$B,$A495,Party_Ledger!$F:$F))</f>
        <v/>
      </c>
      <c r="G495" s="5" t="str">
        <f>IF($A495="","",SUMIF(Party_Ledger!$B:$B,$A495,Party_Ledger!$G:$G))</f>
        <v/>
      </c>
      <c r="H495" s="5" t="str">
        <f t="shared" si="14"/>
        <v/>
      </c>
      <c r="I495" s="4" t="str">
        <f t="shared" si="15"/>
        <v/>
      </c>
    </row>
    <row r="496" spans="1:9" x14ac:dyDescent="0.2">
      <c r="A496" s="4"/>
      <c r="B496" s="4"/>
      <c r="C496" s="4"/>
      <c r="D496" s="4"/>
      <c r="E496" s="5"/>
      <c r="F496" s="5" t="str">
        <f>IF($A496="","",SUMIF(Party_Ledger!$B:$B,$A496,Party_Ledger!$F:$F))</f>
        <v/>
      </c>
      <c r="G496" s="5" t="str">
        <f>IF($A496="","",SUMIF(Party_Ledger!$B:$B,$A496,Party_Ledger!$G:$G))</f>
        <v/>
      </c>
      <c r="H496" s="5" t="str">
        <f t="shared" si="14"/>
        <v/>
      </c>
      <c r="I496" s="4" t="str">
        <f t="shared" si="15"/>
        <v/>
      </c>
    </row>
    <row r="497" spans="1:9" x14ac:dyDescent="0.2">
      <c r="A497" s="4"/>
      <c r="B497" s="4"/>
      <c r="C497" s="4"/>
      <c r="D497" s="4"/>
      <c r="E497" s="5"/>
      <c r="F497" s="5" t="str">
        <f>IF($A497="","",SUMIF(Party_Ledger!$B:$B,$A497,Party_Ledger!$F:$F))</f>
        <v/>
      </c>
      <c r="G497" s="5" t="str">
        <f>IF($A497="","",SUMIF(Party_Ledger!$B:$B,$A497,Party_Ledger!$G:$G))</f>
        <v/>
      </c>
      <c r="H497" s="5" t="str">
        <f t="shared" si="14"/>
        <v/>
      </c>
      <c r="I497" s="4" t="str">
        <f t="shared" si="15"/>
        <v/>
      </c>
    </row>
    <row r="498" spans="1:9" x14ac:dyDescent="0.2">
      <c r="A498" s="4"/>
      <c r="B498" s="4"/>
      <c r="C498" s="4"/>
      <c r="D498" s="4"/>
      <c r="E498" s="5"/>
      <c r="F498" s="5" t="str">
        <f>IF($A498="","",SUMIF(Party_Ledger!$B:$B,$A498,Party_Ledger!$F:$F))</f>
        <v/>
      </c>
      <c r="G498" s="5" t="str">
        <f>IF($A498="","",SUMIF(Party_Ledger!$B:$B,$A498,Party_Ledger!$G:$G))</f>
        <v/>
      </c>
      <c r="H498" s="5" t="str">
        <f t="shared" si="14"/>
        <v/>
      </c>
      <c r="I498" s="4" t="str">
        <f t="shared" si="15"/>
        <v/>
      </c>
    </row>
    <row r="499" spans="1:9" x14ac:dyDescent="0.2">
      <c r="A499" s="4"/>
      <c r="B499" s="4"/>
      <c r="C499" s="4"/>
      <c r="D499" s="4"/>
      <c r="E499" s="5"/>
      <c r="F499" s="5" t="str">
        <f>IF($A499="","",SUMIF(Party_Ledger!$B:$B,$A499,Party_Ledger!$F:$F))</f>
        <v/>
      </c>
      <c r="G499" s="5" t="str">
        <f>IF($A499="","",SUMIF(Party_Ledger!$B:$B,$A499,Party_Ledger!$G:$G))</f>
        <v/>
      </c>
      <c r="H499" s="5" t="str">
        <f t="shared" si="14"/>
        <v/>
      </c>
      <c r="I499" s="4" t="str">
        <f t="shared" si="15"/>
        <v/>
      </c>
    </row>
    <row r="500" spans="1:9" x14ac:dyDescent="0.2">
      <c r="A500" s="4"/>
      <c r="B500" s="4"/>
      <c r="C500" s="4"/>
      <c r="D500" s="4"/>
      <c r="E500" s="5"/>
      <c r="F500" s="5" t="str">
        <f>IF($A500="","",SUMIF(Party_Ledger!$B:$B,$A500,Party_Ledger!$F:$F))</f>
        <v/>
      </c>
      <c r="G500" s="5" t="str">
        <f>IF($A500="","",SUMIF(Party_Ledger!$B:$B,$A500,Party_Ledger!$G:$G))</f>
        <v/>
      </c>
      <c r="H500" s="5" t="str">
        <f t="shared" si="14"/>
        <v/>
      </c>
      <c r="I500" s="4" t="str">
        <f t="shared" si="15"/>
        <v/>
      </c>
    </row>
    <row r="501" spans="1:9" x14ac:dyDescent="0.2">
      <c r="A501" s="4"/>
      <c r="B501" s="4"/>
      <c r="C501" s="4"/>
      <c r="D501" s="4"/>
      <c r="E501" s="5"/>
      <c r="F501" s="5" t="str">
        <f>IF($A501="","",SUMIF(Party_Ledger!$B:$B,$A501,Party_Ledger!$F:$F))</f>
        <v/>
      </c>
      <c r="G501" s="5" t="str">
        <f>IF($A501="","",SUMIF(Party_Ledger!$B:$B,$A501,Party_Ledger!$G:$G))</f>
        <v/>
      </c>
      <c r="H501" s="5" t="str">
        <f t="shared" si="14"/>
        <v/>
      </c>
      <c r="I501" s="4" t="str">
        <f t="shared" si="15"/>
        <v/>
      </c>
    </row>
    <row r="502" spans="1:9" x14ac:dyDescent="0.2">
      <c r="A502" s="4"/>
      <c r="B502" s="4"/>
      <c r="C502" s="4"/>
      <c r="D502" s="4"/>
      <c r="E502" s="5"/>
      <c r="F502" s="5" t="str">
        <f>IF($A502="","",SUMIF(Party_Ledger!$B:$B,$A502,Party_Ledger!$F:$F))</f>
        <v/>
      </c>
      <c r="G502" s="5" t="str">
        <f>IF($A502="","",SUMIF(Party_Ledger!$B:$B,$A502,Party_Ledger!$G:$G))</f>
        <v/>
      </c>
      <c r="H502" s="5" t="str">
        <f t="shared" si="14"/>
        <v/>
      </c>
      <c r="I502" s="4" t="str">
        <f t="shared" si="15"/>
        <v/>
      </c>
    </row>
  </sheetData>
  <mergeCells count="1">
    <mergeCell ref="A1:I1"/>
  </mergeCells>
  <conditionalFormatting sqref="A3:A25">
    <cfRule type="expression" dxfId="10" priority="1">
      <formula>AND($A3&lt;&gt;"",MOD(ROW(),2)=0)</formula>
    </cfRule>
  </conditionalFormatting>
  <conditionalFormatting sqref="A3:I502">
    <cfRule type="expression" dxfId="9" priority="3">
      <formula>AND($A3&lt;&gt;"",MOD(ROW(),2)=0)</formula>
    </cfRule>
  </conditionalFormatting>
  <conditionalFormatting sqref="I3:I502">
    <cfRule type="cellIs" dxfId="8" priority="4" operator="equal">
      <formula>"Outstanding"</formula>
    </cfRule>
    <cfRule type="cellIs" dxfId="7" priority="5" operator="equal">
      <formula>"Settled"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800-000000000000}">
          <x14:formula1>
            <xm:f>Settings!$J$16:$J$18</xm:f>
          </x14:formula1>
          <xm:sqref>B3:B502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6B75"/>
    <pageSetUpPr fitToPage="1"/>
  </sheetPr>
  <dimension ref="A1:J503"/>
  <sheetViews>
    <sheetView showGridLines="0" tabSelected="1" workbookViewId="0">
      <pane ySplit="2" topLeftCell="A438" activePane="bottomLeft" state="frozen"/>
      <selection pane="bottomLeft" activeCell="D476" sqref="D476"/>
    </sheetView>
  </sheetViews>
  <sheetFormatPr baseColWidth="10" defaultColWidth="8.83203125" defaultRowHeight="15" x14ac:dyDescent="0.2"/>
  <cols>
    <col min="1" max="1" width="10.5" bestFit="1" customWidth="1"/>
    <col min="2" max="2" width="22" customWidth="1"/>
    <col min="5" max="5" width="24" customWidth="1"/>
    <col min="6" max="7" width="14.1640625" bestFit="1" customWidth="1"/>
    <col min="8" max="8" width="13.6640625" bestFit="1" customWidth="1"/>
  </cols>
  <sheetData>
    <row r="1" spans="1:10" ht="32" customHeight="1" x14ac:dyDescent="0.2">
      <c r="A1" s="155" t="s">
        <v>634</v>
      </c>
      <c r="B1" s="153"/>
      <c r="C1" s="153"/>
      <c r="D1" s="153"/>
      <c r="E1" s="153"/>
      <c r="F1" s="153"/>
      <c r="G1" s="153"/>
      <c r="H1" s="153"/>
      <c r="I1" s="153"/>
    </row>
    <row r="2" spans="1:10" ht="28" customHeight="1" x14ac:dyDescent="0.2">
      <c r="A2" s="3" t="s">
        <v>11</v>
      </c>
      <c r="B2" s="3" t="s">
        <v>41</v>
      </c>
      <c r="C2" s="3" t="s">
        <v>635</v>
      </c>
      <c r="D2" s="3" t="s">
        <v>605</v>
      </c>
      <c r="E2" s="3" t="s">
        <v>636</v>
      </c>
      <c r="F2" s="3" t="s">
        <v>637</v>
      </c>
      <c r="G2" s="3" t="s">
        <v>61</v>
      </c>
      <c r="H2" s="3" t="s">
        <v>606</v>
      </c>
      <c r="I2" s="3" t="s">
        <v>57</v>
      </c>
      <c r="J2" s="75" t="s">
        <v>638</v>
      </c>
    </row>
    <row r="3" spans="1:10" x14ac:dyDescent="0.2">
      <c r="A3" s="130">
        <v>66916</v>
      </c>
      <c r="B3" s="4" t="s">
        <v>621</v>
      </c>
      <c r="C3" s="4" t="s">
        <v>611</v>
      </c>
      <c r="D3" s="4" t="s">
        <v>67</v>
      </c>
      <c r="E3" s="4" t="s">
        <v>639</v>
      </c>
      <c r="F3" s="5">
        <v>5100</v>
      </c>
      <c r="G3" s="5">
        <v>0</v>
      </c>
      <c r="H3" s="5">
        <f>IF($B3="","",$F3-$G3)</f>
        <v>5100</v>
      </c>
      <c r="I3" s="4"/>
      <c r="J3" t="str">
        <f>IF(AND($B3=Party_Statement!$B$5,$A3&gt;=Party_Statement!$B$6,$A3&lt;=Party_Statement!$D$6),SUMPRODUCT(($B$3:$B3=Party_Statement!$B$5)*($A$3:$A3&gt;=Party_Statement!$B$6)*($A$3:$A3&lt;=Party_Statement!$D$6)),"")</f>
        <v/>
      </c>
    </row>
    <row r="4" spans="1:10" x14ac:dyDescent="0.2">
      <c r="A4" s="130">
        <v>66916</v>
      </c>
      <c r="B4" s="4" t="s">
        <v>621</v>
      </c>
      <c r="C4" s="4" t="s">
        <v>611</v>
      </c>
      <c r="D4" s="4" t="s">
        <v>67</v>
      </c>
      <c r="E4" s="4" t="s">
        <v>640</v>
      </c>
      <c r="F4" s="5">
        <v>80</v>
      </c>
      <c r="G4" s="5">
        <v>0</v>
      </c>
      <c r="H4" s="5">
        <f t="shared" ref="H4:H67" si="0">IF($B4="","",IF($B4=$B3,$H3,0)+$F4-$G4)</f>
        <v>5180</v>
      </c>
      <c r="I4" s="4"/>
      <c r="J4" t="str">
        <f>IF(AND($B4=Party_Statement!$B$5,$A4&gt;=Party_Statement!$B$6,$A4&lt;=Party_Statement!$D$6),SUMPRODUCT(($B$3:$B4=Party_Statement!$B$5)*($A$3:$A4&gt;=Party_Statement!$B$6)*($A$3:$A4&lt;=Party_Statement!$D$6)),"")</f>
        <v/>
      </c>
    </row>
    <row r="5" spans="1:10" x14ac:dyDescent="0.2">
      <c r="A5" s="130">
        <v>66917</v>
      </c>
      <c r="B5" s="4" t="s">
        <v>621</v>
      </c>
      <c r="C5" s="4" t="s">
        <v>611</v>
      </c>
      <c r="D5" s="4" t="s">
        <v>107</v>
      </c>
      <c r="E5" s="4" t="s">
        <v>639</v>
      </c>
      <c r="F5" s="5">
        <v>5950</v>
      </c>
      <c r="G5" s="5">
        <v>0</v>
      </c>
      <c r="H5" s="5">
        <f t="shared" si="0"/>
        <v>11130</v>
      </c>
      <c r="I5" s="4"/>
      <c r="J5" t="str">
        <f>IF(AND($B5=Party_Statement!$B$5,$A5&gt;=Party_Statement!$B$6,$A5&lt;=Party_Statement!$D$6),SUMPRODUCT(($B$3:$B5=Party_Statement!$B$5)*($A$3:$A5&gt;=Party_Statement!$B$6)*($A$3:$A5&lt;=Party_Statement!$D$6)),"")</f>
        <v/>
      </c>
    </row>
    <row r="6" spans="1:10" x14ac:dyDescent="0.2">
      <c r="A6" s="130">
        <v>66917</v>
      </c>
      <c r="B6" s="4" t="s">
        <v>621</v>
      </c>
      <c r="C6" s="4" t="s">
        <v>611</v>
      </c>
      <c r="D6" s="4" t="s">
        <v>107</v>
      </c>
      <c r="E6" s="4" t="s">
        <v>640</v>
      </c>
      <c r="F6" s="5">
        <v>3440</v>
      </c>
      <c r="G6" s="5">
        <v>0</v>
      </c>
      <c r="H6" s="5">
        <f t="shared" si="0"/>
        <v>14570</v>
      </c>
      <c r="I6" s="4"/>
      <c r="J6" t="str">
        <f>IF(AND($B6=Party_Statement!$B$5,$A6&gt;=Party_Statement!$B$6,$A6&lt;=Party_Statement!$D$6),SUMPRODUCT(($B$3:$B6=Party_Statement!$B$5)*($A$3:$A6&gt;=Party_Statement!$B$6)*($A$3:$A6&lt;=Party_Statement!$D$6)),"")</f>
        <v/>
      </c>
    </row>
    <row r="7" spans="1:10" x14ac:dyDescent="0.2">
      <c r="A7" s="130">
        <v>66918</v>
      </c>
      <c r="B7" s="4" t="s">
        <v>621</v>
      </c>
      <c r="C7" s="4" t="s">
        <v>611</v>
      </c>
      <c r="D7" s="4" t="s">
        <v>127</v>
      </c>
      <c r="E7" s="4" t="s">
        <v>639</v>
      </c>
      <c r="F7" s="5">
        <v>3440</v>
      </c>
      <c r="G7" s="5">
        <v>0</v>
      </c>
      <c r="H7" s="5">
        <f t="shared" si="0"/>
        <v>18010</v>
      </c>
      <c r="I7" s="4"/>
      <c r="J7" t="str">
        <f>IF(AND($B7=Party_Statement!$B$5,$A7&gt;=Party_Statement!$B$6,$A7&lt;=Party_Statement!$D$6),SUMPRODUCT(($B$3:$B7=Party_Statement!$B$5)*($A$3:$A7&gt;=Party_Statement!$B$6)*($A$3:$A7&lt;=Party_Statement!$D$6)),"")</f>
        <v/>
      </c>
    </row>
    <row r="8" spans="1:10" x14ac:dyDescent="0.2">
      <c r="A8" s="130">
        <v>66918</v>
      </c>
      <c r="B8" s="4" t="s">
        <v>621</v>
      </c>
      <c r="C8" s="4" t="s">
        <v>611</v>
      </c>
      <c r="D8" s="4" t="s">
        <v>127</v>
      </c>
      <c r="E8" s="4" t="s">
        <v>639</v>
      </c>
      <c r="F8" s="5">
        <v>2550</v>
      </c>
      <c r="G8" s="5">
        <v>0</v>
      </c>
      <c r="H8" s="5">
        <f t="shared" si="0"/>
        <v>20560</v>
      </c>
      <c r="I8" s="4"/>
      <c r="J8" t="str">
        <f>IF(AND($B8=Party_Statement!$B$5,$A8&gt;=Party_Statement!$B$6,$A8&lt;=Party_Statement!$D$6),SUMPRODUCT(($B$3:$B8=Party_Statement!$B$5)*($A$3:$A8&gt;=Party_Statement!$B$6)*($A$3:$A8&lt;=Party_Statement!$D$6)),"")</f>
        <v/>
      </c>
    </row>
    <row r="9" spans="1:10" x14ac:dyDescent="0.2">
      <c r="A9" s="130">
        <v>66918</v>
      </c>
      <c r="B9" s="4" t="s">
        <v>621</v>
      </c>
      <c r="C9" s="4" t="s">
        <v>611</v>
      </c>
      <c r="D9" s="4" t="s">
        <v>127</v>
      </c>
      <c r="E9" s="4" t="s">
        <v>640</v>
      </c>
      <c r="F9" s="5">
        <v>80</v>
      </c>
      <c r="G9" s="5">
        <v>0</v>
      </c>
      <c r="H9" s="5">
        <f t="shared" si="0"/>
        <v>20640</v>
      </c>
      <c r="I9" s="4"/>
      <c r="J9" t="str">
        <f>IF(AND($B9=Party_Statement!$B$5,$A9&gt;=Party_Statement!$B$6,$A9&lt;=Party_Statement!$D$6),SUMPRODUCT(($B$3:$B9=Party_Statement!$B$5)*($A$3:$A9&gt;=Party_Statement!$B$6)*($A$3:$A9&lt;=Party_Statement!$D$6)),"")</f>
        <v/>
      </c>
    </row>
    <row r="10" spans="1:10" x14ac:dyDescent="0.2">
      <c r="A10" s="130">
        <v>66919</v>
      </c>
      <c r="B10" s="4" t="s">
        <v>621</v>
      </c>
      <c r="C10" s="4" t="s">
        <v>611</v>
      </c>
      <c r="D10" s="4" t="s">
        <v>144</v>
      </c>
      <c r="E10" s="4" t="s">
        <v>639</v>
      </c>
      <c r="F10" s="5">
        <v>3440</v>
      </c>
      <c r="G10" s="5">
        <v>0</v>
      </c>
      <c r="H10" s="5">
        <f t="shared" si="0"/>
        <v>24080</v>
      </c>
      <c r="I10" s="4"/>
      <c r="J10" t="str">
        <f>IF(AND($B10=Party_Statement!$B$5,$A10&gt;=Party_Statement!$B$6,$A10&lt;=Party_Statement!$D$6),SUMPRODUCT(($B$3:$B10=Party_Statement!$B$5)*($A$3:$A10&gt;=Party_Statement!$B$6)*($A$3:$A10&lt;=Party_Statement!$D$6)),"")</f>
        <v/>
      </c>
    </row>
    <row r="11" spans="1:10" x14ac:dyDescent="0.2">
      <c r="A11" s="130">
        <v>66919</v>
      </c>
      <c r="B11" s="4" t="s">
        <v>621</v>
      </c>
      <c r="C11" s="4" t="s">
        <v>611</v>
      </c>
      <c r="D11" s="4" t="s">
        <v>144</v>
      </c>
      <c r="E11" s="4" t="s">
        <v>639</v>
      </c>
      <c r="F11" s="5">
        <v>4250</v>
      </c>
      <c r="G11" s="5">
        <v>0</v>
      </c>
      <c r="H11" s="5">
        <f t="shared" si="0"/>
        <v>28330</v>
      </c>
      <c r="I11" s="4"/>
      <c r="J11" t="str">
        <f>IF(AND($B11=Party_Statement!$B$5,$A11&gt;=Party_Statement!$B$6,$A11&lt;=Party_Statement!$D$6),SUMPRODUCT(($B$3:$B11=Party_Statement!$B$5)*($A$3:$A11&gt;=Party_Statement!$B$6)*($A$3:$A11&lt;=Party_Statement!$D$6)),"")</f>
        <v/>
      </c>
    </row>
    <row r="12" spans="1:10" x14ac:dyDescent="0.2">
      <c r="A12" s="130">
        <v>66919</v>
      </c>
      <c r="B12" s="4" t="s">
        <v>621</v>
      </c>
      <c r="C12" s="4" t="s">
        <v>611</v>
      </c>
      <c r="D12" s="4" t="s">
        <v>144</v>
      </c>
      <c r="E12" s="4" t="s">
        <v>640</v>
      </c>
      <c r="F12" s="5">
        <v>80</v>
      </c>
      <c r="G12" s="5">
        <v>0</v>
      </c>
      <c r="H12" s="5">
        <f t="shared" si="0"/>
        <v>28410</v>
      </c>
      <c r="I12" s="4"/>
      <c r="J12" t="str">
        <f>IF(AND($B12=Party_Statement!$B$5,$A12&gt;=Party_Statement!$B$6,$A12&lt;=Party_Statement!$D$6),SUMPRODUCT(($B$3:$B12=Party_Statement!$B$5)*($A$3:$A12&gt;=Party_Statement!$B$6)*($A$3:$A12&lt;=Party_Statement!$D$6)),"")</f>
        <v/>
      </c>
    </row>
    <row r="13" spans="1:10" x14ac:dyDescent="0.2">
      <c r="A13" s="130">
        <v>66920</v>
      </c>
      <c r="B13" s="4" t="s">
        <v>621</v>
      </c>
      <c r="C13" s="4" t="s">
        <v>611</v>
      </c>
      <c r="D13" s="4" t="s">
        <v>172</v>
      </c>
      <c r="E13" s="4" t="s">
        <v>639</v>
      </c>
      <c r="F13" s="5">
        <v>3440</v>
      </c>
      <c r="G13" s="5">
        <v>0</v>
      </c>
      <c r="H13" s="5">
        <f t="shared" si="0"/>
        <v>31850</v>
      </c>
      <c r="I13" s="4"/>
      <c r="J13" t="str">
        <f>IF(AND($B13=Party_Statement!$B$5,$A13&gt;=Party_Statement!$B$6,$A13&lt;=Party_Statement!$D$6),SUMPRODUCT(($B$3:$B13=Party_Statement!$B$5)*($A$3:$A13&gt;=Party_Statement!$B$6)*($A$3:$A13&lt;=Party_Statement!$D$6)),"")</f>
        <v/>
      </c>
    </row>
    <row r="14" spans="1:10" x14ac:dyDescent="0.2">
      <c r="A14" s="130">
        <v>66920</v>
      </c>
      <c r="B14" s="4" t="s">
        <v>621</v>
      </c>
      <c r="C14" s="4" t="s">
        <v>611</v>
      </c>
      <c r="D14" s="4" t="s">
        <v>172</v>
      </c>
      <c r="E14" s="4" t="s">
        <v>639</v>
      </c>
      <c r="F14" s="5">
        <v>2975</v>
      </c>
      <c r="G14" s="5">
        <v>0</v>
      </c>
      <c r="H14" s="5">
        <f t="shared" si="0"/>
        <v>34825</v>
      </c>
      <c r="I14" s="4"/>
      <c r="J14" t="str">
        <f>IF(AND($B14=Party_Statement!$B$5,$A14&gt;=Party_Statement!$B$6,$A14&lt;=Party_Statement!$D$6),SUMPRODUCT(($B$3:$B14=Party_Statement!$B$5)*($A$3:$A14&gt;=Party_Statement!$B$6)*($A$3:$A14&lt;=Party_Statement!$D$6)),"")</f>
        <v/>
      </c>
    </row>
    <row r="15" spans="1:10" x14ac:dyDescent="0.2">
      <c r="A15" s="130">
        <v>66920</v>
      </c>
      <c r="B15" s="4" t="s">
        <v>621</v>
      </c>
      <c r="C15" s="4" t="s">
        <v>611</v>
      </c>
      <c r="D15" s="4" t="s">
        <v>172</v>
      </c>
      <c r="E15" s="4" t="s">
        <v>640</v>
      </c>
      <c r="F15" s="5">
        <v>80</v>
      </c>
      <c r="G15" s="5">
        <v>0</v>
      </c>
      <c r="H15" s="5">
        <f t="shared" si="0"/>
        <v>34905</v>
      </c>
      <c r="I15" s="4"/>
      <c r="J15" t="str">
        <f>IF(AND($B15=Party_Statement!$B$5,$A15&gt;=Party_Statement!$B$6,$A15&lt;=Party_Statement!$D$6),SUMPRODUCT(($B$3:$B15=Party_Statement!$B$5)*($A$3:$A15&gt;=Party_Statement!$B$6)*($A$3:$A15&lt;=Party_Statement!$D$6)),"")</f>
        <v/>
      </c>
    </row>
    <row r="16" spans="1:10" x14ac:dyDescent="0.2">
      <c r="A16" s="130">
        <v>66921</v>
      </c>
      <c r="B16" s="4" t="s">
        <v>621</v>
      </c>
      <c r="C16" s="4" t="s">
        <v>611</v>
      </c>
      <c r="D16" s="4" t="s">
        <v>190</v>
      </c>
      <c r="E16" s="4" t="s">
        <v>639</v>
      </c>
      <c r="F16" s="5">
        <v>3440</v>
      </c>
      <c r="G16" s="5">
        <v>0</v>
      </c>
      <c r="H16" s="5">
        <f t="shared" si="0"/>
        <v>38345</v>
      </c>
      <c r="I16" s="4"/>
      <c r="J16" t="str">
        <f>IF(AND($B16=Party_Statement!$B$5,$A16&gt;=Party_Statement!$B$6,$A16&lt;=Party_Statement!$D$6),SUMPRODUCT(($B$3:$B16=Party_Statement!$B$5)*($A$3:$A16&gt;=Party_Statement!$B$6)*($A$3:$A16&lt;=Party_Statement!$D$6)),"")</f>
        <v/>
      </c>
    </row>
    <row r="17" spans="1:10" x14ac:dyDescent="0.2">
      <c r="A17" s="130">
        <v>66921</v>
      </c>
      <c r="B17" s="4" t="s">
        <v>621</v>
      </c>
      <c r="C17" s="4" t="s">
        <v>611</v>
      </c>
      <c r="D17" s="4" t="s">
        <v>190</v>
      </c>
      <c r="E17" s="4" t="s">
        <v>639</v>
      </c>
      <c r="F17" s="5">
        <v>4250</v>
      </c>
      <c r="G17" s="5">
        <v>0</v>
      </c>
      <c r="H17" s="5">
        <f t="shared" si="0"/>
        <v>42595</v>
      </c>
      <c r="I17" s="4"/>
      <c r="J17" t="str">
        <f>IF(AND($B17=Party_Statement!$B$5,$A17&gt;=Party_Statement!$B$6,$A17&lt;=Party_Statement!$D$6),SUMPRODUCT(($B$3:$B17=Party_Statement!$B$5)*($A$3:$A17&gt;=Party_Statement!$B$6)*($A$3:$A17&lt;=Party_Statement!$D$6)),"")</f>
        <v/>
      </c>
    </row>
    <row r="18" spans="1:10" x14ac:dyDescent="0.2">
      <c r="A18" s="130">
        <v>66922</v>
      </c>
      <c r="B18" s="4" t="s">
        <v>621</v>
      </c>
      <c r="C18" s="4" t="s">
        <v>611</v>
      </c>
      <c r="D18" s="4" t="s">
        <v>214</v>
      </c>
      <c r="E18" s="4" t="s">
        <v>639</v>
      </c>
      <c r="F18" s="5">
        <v>3440</v>
      </c>
      <c r="G18" s="5">
        <v>0</v>
      </c>
      <c r="H18" s="5">
        <f t="shared" si="0"/>
        <v>46035</v>
      </c>
      <c r="I18" s="4"/>
      <c r="J18" t="str">
        <f>IF(AND($B18=Party_Statement!$B$5,$A18&gt;=Party_Statement!$B$6,$A18&lt;=Party_Statement!$D$6),SUMPRODUCT(($B$3:$B18=Party_Statement!$B$5)*($A$3:$A18&gt;=Party_Statement!$B$6)*($A$3:$A18&lt;=Party_Statement!$D$6)),"")</f>
        <v/>
      </c>
    </row>
    <row r="19" spans="1:10" x14ac:dyDescent="0.2">
      <c r="A19" s="130">
        <v>66922</v>
      </c>
      <c r="B19" s="4" t="s">
        <v>621</v>
      </c>
      <c r="C19" s="4" t="s">
        <v>611</v>
      </c>
      <c r="D19" s="4" t="s">
        <v>214</v>
      </c>
      <c r="E19" s="4" t="s">
        <v>639</v>
      </c>
      <c r="F19" s="5">
        <v>4250</v>
      </c>
      <c r="G19" s="5">
        <v>0</v>
      </c>
      <c r="H19" s="5">
        <f t="shared" si="0"/>
        <v>50285</v>
      </c>
      <c r="I19" s="4"/>
      <c r="J19" t="str">
        <f>IF(AND($B19=Party_Statement!$B$5,$A19&gt;=Party_Statement!$B$6,$A19&lt;=Party_Statement!$D$6),SUMPRODUCT(($B$3:$B19=Party_Statement!$B$5)*($A$3:$A19&gt;=Party_Statement!$B$6)*($A$3:$A19&lt;=Party_Statement!$D$6)),"")</f>
        <v/>
      </c>
    </row>
    <row r="20" spans="1:10" x14ac:dyDescent="0.2">
      <c r="A20" s="130">
        <v>66922</v>
      </c>
      <c r="B20" s="4" t="s">
        <v>621</v>
      </c>
      <c r="C20" s="4" t="s">
        <v>611</v>
      </c>
      <c r="D20" s="4" t="s">
        <v>214</v>
      </c>
      <c r="E20" s="4" t="s">
        <v>640</v>
      </c>
      <c r="F20" s="5">
        <v>160</v>
      </c>
      <c r="G20" s="5">
        <v>0</v>
      </c>
      <c r="H20" s="5">
        <f t="shared" si="0"/>
        <v>50445</v>
      </c>
      <c r="I20" s="4"/>
      <c r="J20" t="str">
        <f>IF(AND($B20=Party_Statement!$B$5,$A20&gt;=Party_Statement!$B$6,$A20&lt;=Party_Statement!$D$6),SUMPRODUCT(($B$3:$B20=Party_Statement!$B$5)*($A$3:$A20&gt;=Party_Statement!$B$6)*($A$3:$A20&lt;=Party_Statement!$D$6)),"")</f>
        <v/>
      </c>
    </row>
    <row r="21" spans="1:10" x14ac:dyDescent="0.2">
      <c r="A21" s="130">
        <v>66923</v>
      </c>
      <c r="B21" s="4" t="s">
        <v>621</v>
      </c>
      <c r="C21" s="4" t="s">
        <v>611</v>
      </c>
      <c r="D21" s="4" t="s">
        <v>241</v>
      </c>
      <c r="E21" s="4" t="s">
        <v>639</v>
      </c>
      <c r="F21" s="5">
        <v>3440</v>
      </c>
      <c r="G21" s="5">
        <v>0</v>
      </c>
      <c r="H21" s="5">
        <f t="shared" si="0"/>
        <v>53885</v>
      </c>
      <c r="I21" s="4"/>
      <c r="J21" t="str">
        <f>IF(AND($B21=Party_Statement!$B$5,$A21&gt;=Party_Statement!$B$6,$A21&lt;=Party_Statement!$D$6),SUMPRODUCT(($B$3:$B21=Party_Statement!$B$5)*($A$3:$A21&gt;=Party_Statement!$B$6)*($A$3:$A21&lt;=Party_Statement!$D$6)),"")</f>
        <v/>
      </c>
    </row>
    <row r="22" spans="1:10" x14ac:dyDescent="0.2">
      <c r="A22" s="130">
        <v>66923</v>
      </c>
      <c r="B22" s="4" t="s">
        <v>621</v>
      </c>
      <c r="C22" s="4" t="s">
        <v>611</v>
      </c>
      <c r="D22" s="4" t="s">
        <v>241</v>
      </c>
      <c r="E22" s="4" t="s">
        <v>639</v>
      </c>
      <c r="F22" s="5">
        <v>4250</v>
      </c>
      <c r="G22" s="5">
        <v>0</v>
      </c>
      <c r="H22" s="5">
        <f t="shared" si="0"/>
        <v>58135</v>
      </c>
      <c r="I22" s="4"/>
      <c r="J22" t="str">
        <f>IF(AND($B22=Party_Statement!$B$5,$A22&gt;=Party_Statement!$B$6,$A22&lt;=Party_Statement!$D$6),SUMPRODUCT(($B$3:$B22=Party_Statement!$B$5)*($A$3:$A22&gt;=Party_Statement!$B$6)*($A$3:$A22&lt;=Party_Statement!$D$6)),"")</f>
        <v/>
      </c>
    </row>
    <row r="23" spans="1:10" x14ac:dyDescent="0.2">
      <c r="A23" s="130">
        <v>66923</v>
      </c>
      <c r="B23" s="4" t="s">
        <v>621</v>
      </c>
      <c r="C23" s="4" t="s">
        <v>611</v>
      </c>
      <c r="D23" s="4" t="s">
        <v>241</v>
      </c>
      <c r="E23" s="4" t="s">
        <v>640</v>
      </c>
      <c r="F23" s="5">
        <v>80</v>
      </c>
      <c r="G23" s="5">
        <v>0</v>
      </c>
      <c r="H23" s="5">
        <f t="shared" si="0"/>
        <v>58215</v>
      </c>
      <c r="I23" s="4"/>
      <c r="J23" t="str">
        <f>IF(AND($B23=Party_Statement!$B$5,$A23&gt;=Party_Statement!$B$6,$A23&lt;=Party_Statement!$D$6),SUMPRODUCT(($B$3:$B23=Party_Statement!$B$5)*($A$3:$A23&gt;=Party_Statement!$B$6)*($A$3:$A23&lt;=Party_Statement!$D$6)),"")</f>
        <v/>
      </c>
    </row>
    <row r="24" spans="1:10" x14ac:dyDescent="0.2">
      <c r="A24" s="130">
        <v>66924</v>
      </c>
      <c r="B24" s="4" t="s">
        <v>621</v>
      </c>
      <c r="C24" s="4" t="s">
        <v>611</v>
      </c>
      <c r="D24" s="4" t="s">
        <v>258</v>
      </c>
      <c r="E24" s="4" t="s">
        <v>639</v>
      </c>
      <c r="F24" s="5">
        <v>3440</v>
      </c>
      <c r="G24" s="5">
        <v>0</v>
      </c>
      <c r="H24" s="5">
        <f t="shared" si="0"/>
        <v>61655</v>
      </c>
      <c r="I24" s="4"/>
      <c r="J24" t="str">
        <f>IF(AND($B24=Party_Statement!$B$5,$A24&gt;=Party_Statement!$B$6,$A24&lt;=Party_Statement!$D$6),SUMPRODUCT(($B$3:$B24=Party_Statement!$B$5)*($A$3:$A24&gt;=Party_Statement!$B$6)*($A$3:$A24&lt;=Party_Statement!$D$6)),"")</f>
        <v/>
      </c>
    </row>
    <row r="25" spans="1:10" x14ac:dyDescent="0.2">
      <c r="A25" s="130">
        <v>66924</v>
      </c>
      <c r="B25" s="4" t="s">
        <v>621</v>
      </c>
      <c r="C25" s="4" t="s">
        <v>611</v>
      </c>
      <c r="D25" s="4" t="s">
        <v>258</v>
      </c>
      <c r="E25" s="4" t="s">
        <v>639</v>
      </c>
      <c r="F25" s="5">
        <v>4250</v>
      </c>
      <c r="G25" s="5">
        <v>0</v>
      </c>
      <c r="H25" s="5">
        <f t="shared" si="0"/>
        <v>65905</v>
      </c>
      <c r="I25" s="4"/>
      <c r="J25" t="str">
        <f>IF(AND($B25=Party_Statement!$B$5,$A25&gt;=Party_Statement!$B$6,$A25&lt;=Party_Statement!$D$6),SUMPRODUCT(($B$3:$B25=Party_Statement!$B$5)*($A$3:$A25&gt;=Party_Statement!$B$6)*($A$3:$A25&lt;=Party_Statement!$D$6)),"")</f>
        <v/>
      </c>
    </row>
    <row r="26" spans="1:10" x14ac:dyDescent="0.2">
      <c r="A26" s="130">
        <v>66924</v>
      </c>
      <c r="B26" s="4" t="s">
        <v>621</v>
      </c>
      <c r="C26" s="4" t="s">
        <v>611</v>
      </c>
      <c r="D26" s="4" t="s">
        <v>258</v>
      </c>
      <c r="E26" s="4" t="s">
        <v>640</v>
      </c>
      <c r="F26" s="5">
        <v>80</v>
      </c>
      <c r="G26" s="5">
        <v>0</v>
      </c>
      <c r="H26" s="5">
        <f t="shared" si="0"/>
        <v>65985</v>
      </c>
      <c r="I26" s="4"/>
      <c r="J26" t="str">
        <f>IF(AND($B26=Party_Statement!$B$5,$A26&gt;=Party_Statement!$B$6,$A26&lt;=Party_Statement!$D$6),SUMPRODUCT(($B$3:$B26=Party_Statement!$B$5)*($A$3:$A26&gt;=Party_Statement!$B$6)*($A$3:$A26&lt;=Party_Statement!$D$6)),"")</f>
        <v/>
      </c>
    </row>
    <row r="27" spans="1:10" x14ac:dyDescent="0.2">
      <c r="A27" s="130">
        <v>66924</v>
      </c>
      <c r="B27" s="4" t="s">
        <v>621</v>
      </c>
      <c r="C27" s="4" t="s">
        <v>611</v>
      </c>
      <c r="D27" s="4" t="s">
        <v>258</v>
      </c>
      <c r="E27" s="4" t="s">
        <v>641</v>
      </c>
      <c r="F27" s="5">
        <v>2200</v>
      </c>
      <c r="G27" s="5">
        <v>0</v>
      </c>
      <c r="H27" s="5">
        <f t="shared" si="0"/>
        <v>68185</v>
      </c>
      <c r="I27" s="4"/>
      <c r="J27" t="str">
        <f>IF(AND($B27=Party_Statement!$B$5,$A27&gt;=Party_Statement!$B$6,$A27&lt;=Party_Statement!$D$6),SUMPRODUCT(($B$3:$B27=Party_Statement!$B$5)*($A$3:$A27&gt;=Party_Statement!$B$6)*($A$3:$A27&lt;=Party_Statement!$D$6)),"")</f>
        <v/>
      </c>
    </row>
    <row r="28" spans="1:10" x14ac:dyDescent="0.2">
      <c r="A28" s="130">
        <v>66925</v>
      </c>
      <c r="B28" s="4" t="s">
        <v>621</v>
      </c>
      <c r="C28" s="4" t="s">
        <v>611</v>
      </c>
      <c r="D28" s="4" t="s">
        <v>284</v>
      </c>
      <c r="E28" s="4" t="s">
        <v>639</v>
      </c>
      <c r="F28" s="5">
        <v>3440</v>
      </c>
      <c r="G28" s="5">
        <v>0</v>
      </c>
      <c r="H28" s="5">
        <f t="shared" si="0"/>
        <v>71625</v>
      </c>
      <c r="I28" s="4"/>
      <c r="J28" t="str">
        <f>IF(AND($B28=Party_Statement!$B$5,$A28&gt;=Party_Statement!$B$6,$A28&lt;=Party_Statement!$D$6),SUMPRODUCT(($B$3:$B28=Party_Statement!$B$5)*($A$3:$A28&gt;=Party_Statement!$B$6)*($A$3:$A28&lt;=Party_Statement!$D$6)),"")</f>
        <v/>
      </c>
    </row>
    <row r="29" spans="1:10" x14ac:dyDescent="0.2">
      <c r="A29" s="130">
        <v>66925</v>
      </c>
      <c r="B29" s="4" t="s">
        <v>621</v>
      </c>
      <c r="C29" s="4" t="s">
        <v>611</v>
      </c>
      <c r="D29" s="4" t="s">
        <v>284</v>
      </c>
      <c r="E29" s="4" t="s">
        <v>639</v>
      </c>
      <c r="F29" s="5">
        <v>3825</v>
      </c>
      <c r="G29" s="5">
        <v>0</v>
      </c>
      <c r="H29" s="5">
        <f t="shared" si="0"/>
        <v>75450</v>
      </c>
      <c r="I29" s="4"/>
      <c r="J29" t="str">
        <f>IF(AND($B29=Party_Statement!$B$5,$A29&gt;=Party_Statement!$B$6,$A29&lt;=Party_Statement!$D$6),SUMPRODUCT(($B$3:$B29=Party_Statement!$B$5)*($A$3:$A29&gt;=Party_Statement!$B$6)*($A$3:$A29&lt;=Party_Statement!$D$6)),"")</f>
        <v/>
      </c>
    </row>
    <row r="30" spans="1:10" x14ac:dyDescent="0.2">
      <c r="A30" s="130">
        <v>66925</v>
      </c>
      <c r="B30" s="4" t="s">
        <v>621</v>
      </c>
      <c r="C30" s="4" t="s">
        <v>611</v>
      </c>
      <c r="D30" s="4" t="s">
        <v>284</v>
      </c>
      <c r="E30" s="4" t="s">
        <v>640</v>
      </c>
      <c r="F30" s="5">
        <v>80</v>
      </c>
      <c r="G30" s="5">
        <v>0</v>
      </c>
      <c r="H30" s="5">
        <f t="shared" si="0"/>
        <v>75530</v>
      </c>
      <c r="I30" s="4"/>
      <c r="J30" t="str">
        <f>IF(AND($B30=Party_Statement!$B$5,$A30&gt;=Party_Statement!$B$6,$A30&lt;=Party_Statement!$D$6),SUMPRODUCT(($B$3:$B30=Party_Statement!$B$5)*($A$3:$A30&gt;=Party_Statement!$B$6)*($A$3:$A30&lt;=Party_Statement!$D$6)),"")</f>
        <v/>
      </c>
    </row>
    <row r="31" spans="1:10" x14ac:dyDescent="0.2">
      <c r="A31" s="130">
        <v>66926</v>
      </c>
      <c r="B31" s="4" t="s">
        <v>621</v>
      </c>
      <c r="C31" s="4" t="s">
        <v>611</v>
      </c>
      <c r="D31" s="4" t="s">
        <v>304</v>
      </c>
      <c r="E31" s="4" t="s">
        <v>639</v>
      </c>
      <c r="F31" s="5">
        <v>3440</v>
      </c>
      <c r="G31" s="5">
        <v>0</v>
      </c>
      <c r="H31" s="5">
        <f t="shared" si="0"/>
        <v>78970</v>
      </c>
      <c r="I31" s="4"/>
      <c r="J31" t="str">
        <f>IF(AND($B31=Party_Statement!$B$5,$A31&gt;=Party_Statement!$B$6,$A31&lt;=Party_Statement!$D$6),SUMPRODUCT(($B$3:$B31=Party_Statement!$B$5)*($A$3:$A31&gt;=Party_Statement!$B$6)*($A$3:$A31&lt;=Party_Statement!$D$6)),"")</f>
        <v/>
      </c>
    </row>
    <row r="32" spans="1:10" x14ac:dyDescent="0.2">
      <c r="A32" s="130">
        <v>66926</v>
      </c>
      <c r="B32" s="4" t="s">
        <v>621</v>
      </c>
      <c r="C32" s="4" t="s">
        <v>611</v>
      </c>
      <c r="D32" s="4" t="s">
        <v>304</v>
      </c>
      <c r="E32" s="4" t="s">
        <v>639</v>
      </c>
      <c r="F32" s="5">
        <v>3400</v>
      </c>
      <c r="G32" s="5">
        <v>0</v>
      </c>
      <c r="H32" s="5">
        <f t="shared" si="0"/>
        <v>82370</v>
      </c>
      <c r="I32" s="4"/>
      <c r="J32" t="str">
        <f>IF(AND($B32=Party_Statement!$B$5,$A32&gt;=Party_Statement!$B$6,$A32&lt;=Party_Statement!$D$6),SUMPRODUCT(($B$3:$B32=Party_Statement!$B$5)*($A$3:$A32&gt;=Party_Statement!$B$6)*($A$3:$A32&lt;=Party_Statement!$D$6)),"")</f>
        <v/>
      </c>
    </row>
    <row r="33" spans="1:10" x14ac:dyDescent="0.2">
      <c r="A33" s="130">
        <v>66926</v>
      </c>
      <c r="B33" s="4" t="s">
        <v>621</v>
      </c>
      <c r="C33" s="4" t="s">
        <v>611</v>
      </c>
      <c r="D33" s="4" t="s">
        <v>304</v>
      </c>
      <c r="E33" s="4" t="s">
        <v>640</v>
      </c>
      <c r="F33" s="5">
        <v>80</v>
      </c>
      <c r="G33" s="5">
        <v>0</v>
      </c>
      <c r="H33" s="5">
        <f t="shared" si="0"/>
        <v>82450</v>
      </c>
      <c r="I33" s="4"/>
      <c r="J33" t="str">
        <f>IF(AND($B33=Party_Statement!$B$5,$A33&gt;=Party_Statement!$B$6,$A33&lt;=Party_Statement!$D$6),SUMPRODUCT(($B$3:$B33=Party_Statement!$B$5)*($A$3:$A33&gt;=Party_Statement!$B$6)*($A$3:$A33&lt;=Party_Statement!$D$6)),"")</f>
        <v/>
      </c>
    </row>
    <row r="34" spans="1:10" x14ac:dyDescent="0.2">
      <c r="A34" s="130">
        <v>66927</v>
      </c>
      <c r="B34" s="4" t="s">
        <v>621</v>
      </c>
      <c r="C34" s="4" t="s">
        <v>611</v>
      </c>
      <c r="D34" s="4" t="s">
        <v>318</v>
      </c>
      <c r="E34" s="4" t="s">
        <v>639</v>
      </c>
      <c r="F34" s="5">
        <v>3440</v>
      </c>
      <c r="G34" s="5">
        <v>0</v>
      </c>
      <c r="H34" s="5">
        <f t="shared" si="0"/>
        <v>85890</v>
      </c>
      <c r="I34" s="4"/>
      <c r="J34" t="str">
        <f>IF(AND($B34=Party_Statement!$B$5,$A34&gt;=Party_Statement!$B$6,$A34&lt;=Party_Statement!$D$6),SUMPRODUCT(($B$3:$B34=Party_Statement!$B$5)*($A$3:$A34&gt;=Party_Statement!$B$6)*($A$3:$A34&lt;=Party_Statement!$D$6)),"")</f>
        <v/>
      </c>
    </row>
    <row r="35" spans="1:10" x14ac:dyDescent="0.2">
      <c r="A35" s="130">
        <v>66927</v>
      </c>
      <c r="B35" s="4" t="s">
        <v>621</v>
      </c>
      <c r="C35" s="4" t="s">
        <v>611</v>
      </c>
      <c r="D35" s="4" t="s">
        <v>318</v>
      </c>
      <c r="E35" s="4" t="s">
        <v>639</v>
      </c>
      <c r="F35" s="5">
        <v>4250</v>
      </c>
      <c r="G35" s="5">
        <v>0</v>
      </c>
      <c r="H35" s="5">
        <f t="shared" si="0"/>
        <v>90140</v>
      </c>
      <c r="I35" s="4"/>
      <c r="J35" t="str">
        <f>IF(AND($B35=Party_Statement!$B$5,$A35&gt;=Party_Statement!$B$6,$A35&lt;=Party_Statement!$D$6),SUMPRODUCT(($B$3:$B35=Party_Statement!$B$5)*($A$3:$A35&gt;=Party_Statement!$B$6)*($A$3:$A35&lt;=Party_Statement!$D$6)),"")</f>
        <v/>
      </c>
    </row>
    <row r="36" spans="1:10" x14ac:dyDescent="0.2">
      <c r="A36" s="130">
        <v>66928</v>
      </c>
      <c r="B36" s="4" t="s">
        <v>621</v>
      </c>
      <c r="C36" s="4" t="s">
        <v>611</v>
      </c>
      <c r="D36" s="4" t="s">
        <v>342</v>
      </c>
      <c r="E36" s="4" t="s">
        <v>639</v>
      </c>
      <c r="F36" s="5">
        <v>3440</v>
      </c>
      <c r="G36" s="5">
        <v>0</v>
      </c>
      <c r="H36" s="5">
        <f t="shared" si="0"/>
        <v>93580</v>
      </c>
      <c r="I36" s="4"/>
      <c r="J36" t="str">
        <f>IF(AND($B36=Party_Statement!$B$5,$A36&gt;=Party_Statement!$B$6,$A36&lt;=Party_Statement!$D$6),SUMPRODUCT(($B$3:$B36=Party_Statement!$B$5)*($A$3:$A36&gt;=Party_Statement!$B$6)*($A$3:$A36&lt;=Party_Statement!$D$6)),"")</f>
        <v/>
      </c>
    </row>
    <row r="37" spans="1:10" x14ac:dyDescent="0.2">
      <c r="A37" s="130">
        <v>66928</v>
      </c>
      <c r="B37" s="4" t="s">
        <v>621</v>
      </c>
      <c r="C37" s="4" t="s">
        <v>611</v>
      </c>
      <c r="D37" s="4" t="s">
        <v>342</v>
      </c>
      <c r="E37" s="4" t="s">
        <v>639</v>
      </c>
      <c r="F37" s="5">
        <v>4250</v>
      </c>
      <c r="G37" s="5">
        <v>0</v>
      </c>
      <c r="H37" s="5">
        <f t="shared" si="0"/>
        <v>97830</v>
      </c>
      <c r="I37" s="4"/>
      <c r="J37" t="str">
        <f>IF(AND($B37=Party_Statement!$B$5,$A37&gt;=Party_Statement!$B$6,$A37&lt;=Party_Statement!$D$6),SUMPRODUCT(($B$3:$B37=Party_Statement!$B$5)*($A$3:$A37&gt;=Party_Statement!$B$6)*($A$3:$A37&lt;=Party_Statement!$D$6)),"")</f>
        <v/>
      </c>
    </row>
    <row r="38" spans="1:10" x14ac:dyDescent="0.2">
      <c r="A38" s="130">
        <v>66928</v>
      </c>
      <c r="B38" s="4" t="s">
        <v>621</v>
      </c>
      <c r="C38" s="4" t="s">
        <v>611</v>
      </c>
      <c r="D38" s="4" t="s">
        <v>342</v>
      </c>
      <c r="E38" s="4" t="s">
        <v>640</v>
      </c>
      <c r="F38" s="5">
        <v>80</v>
      </c>
      <c r="G38" s="5">
        <v>0</v>
      </c>
      <c r="H38" s="5">
        <f t="shared" si="0"/>
        <v>97910</v>
      </c>
      <c r="I38" s="4"/>
      <c r="J38" t="str">
        <f>IF(AND($B38=Party_Statement!$B$5,$A38&gt;=Party_Statement!$B$6,$A38&lt;=Party_Statement!$D$6),SUMPRODUCT(($B$3:$B38=Party_Statement!$B$5)*($A$3:$A38&gt;=Party_Statement!$B$6)*($A$3:$A38&lt;=Party_Statement!$D$6)),"")</f>
        <v/>
      </c>
    </row>
    <row r="39" spans="1:10" x14ac:dyDescent="0.2">
      <c r="A39" s="130">
        <v>66929</v>
      </c>
      <c r="B39" s="4" t="s">
        <v>621</v>
      </c>
      <c r="C39" s="4" t="s">
        <v>611</v>
      </c>
      <c r="D39" s="4" t="s">
        <v>362</v>
      </c>
      <c r="E39" s="4" t="s">
        <v>639</v>
      </c>
      <c r="F39" s="5">
        <v>3440</v>
      </c>
      <c r="G39" s="5">
        <v>0</v>
      </c>
      <c r="H39" s="5">
        <f t="shared" si="0"/>
        <v>101350</v>
      </c>
      <c r="I39" s="4"/>
      <c r="J39" t="str">
        <f>IF(AND($B39=Party_Statement!$B$5,$A39&gt;=Party_Statement!$B$6,$A39&lt;=Party_Statement!$D$6),SUMPRODUCT(($B$3:$B39=Party_Statement!$B$5)*($A$3:$A39&gt;=Party_Statement!$B$6)*($A$3:$A39&lt;=Party_Statement!$D$6)),"")</f>
        <v/>
      </c>
    </row>
    <row r="40" spans="1:10" x14ac:dyDescent="0.2">
      <c r="A40" s="130">
        <v>66929</v>
      </c>
      <c r="B40" s="4" t="s">
        <v>621</v>
      </c>
      <c r="C40" s="4" t="s">
        <v>611</v>
      </c>
      <c r="D40" s="4" t="s">
        <v>362</v>
      </c>
      <c r="E40" s="4" t="s">
        <v>639</v>
      </c>
      <c r="F40" s="5">
        <v>5950</v>
      </c>
      <c r="G40" s="5">
        <v>0</v>
      </c>
      <c r="H40" s="5">
        <f t="shared" si="0"/>
        <v>107300</v>
      </c>
      <c r="I40" s="4"/>
      <c r="J40" t="str">
        <f>IF(AND($B40=Party_Statement!$B$5,$A40&gt;=Party_Statement!$B$6,$A40&lt;=Party_Statement!$D$6),SUMPRODUCT(($B$3:$B40=Party_Statement!$B$5)*($A$3:$A40&gt;=Party_Statement!$B$6)*($A$3:$A40&lt;=Party_Statement!$D$6)),"")</f>
        <v/>
      </c>
    </row>
    <row r="41" spans="1:10" x14ac:dyDescent="0.2">
      <c r="A41" s="130">
        <v>66929</v>
      </c>
      <c r="B41" s="4" t="s">
        <v>621</v>
      </c>
      <c r="C41" s="4" t="s">
        <v>611</v>
      </c>
      <c r="D41" s="4" t="s">
        <v>362</v>
      </c>
      <c r="E41" s="4" t="s">
        <v>640</v>
      </c>
      <c r="F41" s="5">
        <v>80</v>
      </c>
      <c r="G41" s="5">
        <v>0</v>
      </c>
      <c r="H41" s="5">
        <f t="shared" si="0"/>
        <v>107380</v>
      </c>
      <c r="I41" s="4"/>
      <c r="J41" t="str">
        <f>IF(AND($B41=Party_Statement!$B$5,$A41&gt;=Party_Statement!$B$6,$A41&lt;=Party_Statement!$D$6),SUMPRODUCT(($B$3:$B41=Party_Statement!$B$5)*($A$3:$A41&gt;=Party_Statement!$B$6)*($A$3:$A41&lt;=Party_Statement!$D$6)),"")</f>
        <v/>
      </c>
    </row>
    <row r="42" spans="1:10" x14ac:dyDescent="0.2">
      <c r="A42" s="130">
        <v>66930</v>
      </c>
      <c r="B42" s="4" t="s">
        <v>621</v>
      </c>
      <c r="C42" s="4" t="s">
        <v>611</v>
      </c>
      <c r="D42" s="4" t="s">
        <v>368</v>
      </c>
      <c r="E42" s="4" t="s">
        <v>639</v>
      </c>
      <c r="F42" s="5">
        <v>4300</v>
      </c>
      <c r="G42" s="5">
        <v>0</v>
      </c>
      <c r="H42" s="5">
        <f t="shared" si="0"/>
        <v>111680</v>
      </c>
      <c r="I42" s="4"/>
      <c r="J42" t="str">
        <f>IF(AND($B42=Party_Statement!$B$5,$A42&gt;=Party_Statement!$B$6,$A42&lt;=Party_Statement!$D$6),SUMPRODUCT(($B$3:$B42=Party_Statement!$B$5)*($A$3:$A42&gt;=Party_Statement!$B$6)*($A$3:$A42&lt;=Party_Statement!$D$6)),"")</f>
        <v/>
      </c>
    </row>
    <row r="43" spans="1:10" x14ac:dyDescent="0.2">
      <c r="A43" s="130">
        <v>66930</v>
      </c>
      <c r="B43" s="4" t="s">
        <v>621</v>
      </c>
      <c r="C43" s="4" t="s">
        <v>611</v>
      </c>
      <c r="D43" s="4" t="s">
        <v>368</v>
      </c>
      <c r="E43" s="4" t="s">
        <v>639</v>
      </c>
      <c r="F43" s="5">
        <v>3400</v>
      </c>
      <c r="G43" s="5">
        <v>0</v>
      </c>
      <c r="H43" s="5">
        <f t="shared" si="0"/>
        <v>115080</v>
      </c>
      <c r="I43" s="4"/>
      <c r="J43" t="str">
        <f>IF(AND($B43=Party_Statement!$B$5,$A43&gt;=Party_Statement!$B$6,$A43&lt;=Party_Statement!$D$6),SUMPRODUCT(($B$3:$B43=Party_Statement!$B$5)*($A$3:$A43&gt;=Party_Statement!$B$6)*($A$3:$A43&lt;=Party_Statement!$D$6)),"")</f>
        <v/>
      </c>
    </row>
    <row r="44" spans="1:10" x14ac:dyDescent="0.2">
      <c r="A44" s="130">
        <v>66930</v>
      </c>
      <c r="B44" s="4" t="s">
        <v>621</v>
      </c>
      <c r="C44" s="4" t="s">
        <v>611</v>
      </c>
      <c r="D44" s="4" t="s">
        <v>368</v>
      </c>
      <c r="E44" s="4" t="s">
        <v>640</v>
      </c>
      <c r="F44" s="5">
        <v>80</v>
      </c>
      <c r="G44" s="5">
        <v>0</v>
      </c>
      <c r="H44" s="5">
        <f t="shared" si="0"/>
        <v>115160</v>
      </c>
      <c r="I44" s="4"/>
      <c r="J44" t="str">
        <f>IF(AND($B44=Party_Statement!$B$5,$A44&gt;=Party_Statement!$B$6,$A44&lt;=Party_Statement!$D$6),SUMPRODUCT(($B$3:$B44=Party_Statement!$B$5)*($A$3:$A44&gt;=Party_Statement!$B$6)*($A$3:$A44&lt;=Party_Statement!$D$6)),"")</f>
        <v/>
      </c>
    </row>
    <row r="45" spans="1:10" x14ac:dyDescent="0.2">
      <c r="A45" s="130">
        <v>66931</v>
      </c>
      <c r="B45" s="4" t="s">
        <v>621</v>
      </c>
      <c r="C45" s="4" t="s">
        <v>611</v>
      </c>
      <c r="D45" s="4" t="s">
        <v>388</v>
      </c>
      <c r="E45" s="4" t="s">
        <v>639</v>
      </c>
      <c r="F45" s="5">
        <v>3440</v>
      </c>
      <c r="G45" s="5">
        <v>0</v>
      </c>
      <c r="H45" s="5">
        <f t="shared" si="0"/>
        <v>118600</v>
      </c>
      <c r="I45" s="4"/>
      <c r="J45" t="str">
        <f>IF(AND($B45=Party_Statement!$B$5,$A45&gt;=Party_Statement!$B$6,$A45&lt;=Party_Statement!$D$6),SUMPRODUCT(($B$3:$B45=Party_Statement!$B$5)*($A$3:$A45&gt;=Party_Statement!$B$6)*($A$3:$A45&lt;=Party_Statement!$D$6)),"")</f>
        <v/>
      </c>
    </row>
    <row r="46" spans="1:10" x14ac:dyDescent="0.2">
      <c r="A46" s="130">
        <v>66931</v>
      </c>
      <c r="B46" s="4" t="s">
        <v>621</v>
      </c>
      <c r="C46" s="4" t="s">
        <v>611</v>
      </c>
      <c r="D46" s="4" t="s">
        <v>388</v>
      </c>
      <c r="E46" s="4" t="s">
        <v>639</v>
      </c>
      <c r="F46" s="5">
        <v>3825</v>
      </c>
      <c r="G46" s="5">
        <v>0</v>
      </c>
      <c r="H46" s="5">
        <f t="shared" si="0"/>
        <v>122425</v>
      </c>
      <c r="I46" s="4"/>
      <c r="J46" t="str">
        <f>IF(AND($B46=Party_Statement!$B$5,$A46&gt;=Party_Statement!$B$6,$A46&lt;=Party_Statement!$D$6),SUMPRODUCT(($B$3:$B46=Party_Statement!$B$5)*($A$3:$A46&gt;=Party_Statement!$B$6)*($A$3:$A46&lt;=Party_Statement!$D$6)),"")</f>
        <v/>
      </c>
    </row>
    <row r="47" spans="1:10" x14ac:dyDescent="0.2">
      <c r="A47" s="130">
        <v>66931</v>
      </c>
      <c r="B47" s="4" t="s">
        <v>621</v>
      </c>
      <c r="C47" s="4" t="s">
        <v>611</v>
      </c>
      <c r="D47" s="4" t="s">
        <v>388</v>
      </c>
      <c r="E47" s="4" t="s">
        <v>640</v>
      </c>
      <c r="F47" s="5">
        <v>80</v>
      </c>
      <c r="G47" s="5">
        <v>0</v>
      </c>
      <c r="H47" s="5">
        <f t="shared" si="0"/>
        <v>122505</v>
      </c>
      <c r="I47" s="4"/>
      <c r="J47" t="str">
        <f>IF(AND($B47=Party_Statement!$B$5,$A47&gt;=Party_Statement!$B$6,$A47&lt;=Party_Statement!$D$6),SUMPRODUCT(($B$3:$B47=Party_Statement!$B$5)*($A$3:$A47&gt;=Party_Statement!$B$6)*($A$3:$A47&lt;=Party_Statement!$D$6)),"")</f>
        <v/>
      </c>
    </row>
    <row r="48" spans="1:10" x14ac:dyDescent="0.2">
      <c r="A48" s="130">
        <v>66916</v>
      </c>
      <c r="B48" s="4" t="s">
        <v>623</v>
      </c>
      <c r="C48" s="4" t="s">
        <v>611</v>
      </c>
      <c r="D48" s="4" t="s">
        <v>74</v>
      </c>
      <c r="E48" s="4" t="s">
        <v>639</v>
      </c>
      <c r="F48" s="5">
        <v>595</v>
      </c>
      <c r="G48" s="5">
        <v>0</v>
      </c>
      <c r="H48" s="5">
        <f t="shared" si="0"/>
        <v>595</v>
      </c>
      <c r="I48" s="4"/>
      <c r="J48" t="str">
        <f>IF(AND($B48=Party_Statement!$B$5,$A48&gt;=Party_Statement!$B$6,$A48&lt;=Party_Statement!$D$6),SUMPRODUCT(($B$3:$B48=Party_Statement!$B$5)*($A$3:$A48&gt;=Party_Statement!$B$6)*($A$3:$A48&lt;=Party_Statement!$D$6)),"")</f>
        <v/>
      </c>
    </row>
    <row r="49" spans="1:10" x14ac:dyDescent="0.2">
      <c r="A49" s="130">
        <v>66917</v>
      </c>
      <c r="B49" s="4" t="s">
        <v>623</v>
      </c>
      <c r="C49" s="4" t="s">
        <v>611</v>
      </c>
      <c r="D49" s="4" t="s">
        <v>111</v>
      </c>
      <c r="E49" s="4" t="s">
        <v>639</v>
      </c>
      <c r="F49" s="5">
        <v>425</v>
      </c>
      <c r="G49" s="5">
        <v>0</v>
      </c>
      <c r="H49" s="5">
        <f t="shared" si="0"/>
        <v>1020</v>
      </c>
      <c r="I49" s="4"/>
      <c r="J49" t="str">
        <f>IF(AND($B49=Party_Statement!$B$5,$A49&gt;=Party_Statement!$B$6,$A49&lt;=Party_Statement!$D$6),SUMPRODUCT(($B$3:$B49=Party_Statement!$B$5)*($A$3:$A49&gt;=Party_Statement!$B$6)*($A$3:$A49&lt;=Party_Statement!$D$6)),"")</f>
        <v/>
      </c>
    </row>
    <row r="50" spans="1:10" x14ac:dyDescent="0.2">
      <c r="A50" s="130">
        <v>66918</v>
      </c>
      <c r="B50" s="4" t="s">
        <v>623</v>
      </c>
      <c r="C50" s="4" t="s">
        <v>611</v>
      </c>
      <c r="D50" s="4" t="s">
        <v>130</v>
      </c>
      <c r="E50" s="4" t="s">
        <v>639</v>
      </c>
      <c r="F50" s="5">
        <v>425</v>
      </c>
      <c r="G50" s="5">
        <v>0</v>
      </c>
      <c r="H50" s="5">
        <f t="shared" si="0"/>
        <v>1445</v>
      </c>
      <c r="I50" s="4"/>
      <c r="J50" t="str">
        <f>IF(AND($B50=Party_Statement!$B$5,$A50&gt;=Party_Statement!$B$6,$A50&lt;=Party_Statement!$D$6),SUMPRODUCT(($B$3:$B50=Party_Statement!$B$5)*($A$3:$A50&gt;=Party_Statement!$B$6)*($A$3:$A50&lt;=Party_Statement!$D$6)),"")</f>
        <v/>
      </c>
    </row>
    <row r="51" spans="1:10" x14ac:dyDescent="0.2">
      <c r="A51" s="130">
        <v>66920</v>
      </c>
      <c r="B51" s="4" t="s">
        <v>623</v>
      </c>
      <c r="C51" s="4" t="s">
        <v>611</v>
      </c>
      <c r="D51" s="4" t="s">
        <v>175</v>
      </c>
      <c r="E51" s="4" t="s">
        <v>639</v>
      </c>
      <c r="F51" s="5">
        <v>425</v>
      </c>
      <c r="G51" s="5">
        <v>0</v>
      </c>
      <c r="H51" s="5">
        <f t="shared" si="0"/>
        <v>1870</v>
      </c>
      <c r="I51" s="4"/>
      <c r="J51" t="str">
        <f>IF(AND($B51=Party_Statement!$B$5,$A51&gt;=Party_Statement!$B$6,$A51&lt;=Party_Statement!$D$6),SUMPRODUCT(($B$3:$B51=Party_Statement!$B$5)*($A$3:$A51&gt;=Party_Statement!$B$6)*($A$3:$A51&lt;=Party_Statement!$D$6)),"")</f>
        <v/>
      </c>
    </row>
    <row r="52" spans="1:10" x14ac:dyDescent="0.2">
      <c r="A52" s="130">
        <v>66921</v>
      </c>
      <c r="B52" s="4" t="s">
        <v>623</v>
      </c>
      <c r="C52" s="4" t="s">
        <v>611</v>
      </c>
      <c r="D52" s="4" t="s">
        <v>196</v>
      </c>
      <c r="E52" s="4" t="s">
        <v>639</v>
      </c>
      <c r="F52" s="5">
        <v>425</v>
      </c>
      <c r="G52" s="5">
        <v>0</v>
      </c>
      <c r="H52" s="5">
        <f t="shared" si="0"/>
        <v>2295</v>
      </c>
      <c r="I52" s="4"/>
      <c r="J52" t="str">
        <f>IF(AND($B52=Party_Statement!$B$5,$A52&gt;=Party_Statement!$B$6,$A52&lt;=Party_Statement!$D$6),SUMPRODUCT(($B$3:$B52=Party_Statement!$B$5)*($A$3:$A52&gt;=Party_Statement!$B$6)*($A$3:$A52&lt;=Party_Statement!$D$6)),"")</f>
        <v/>
      </c>
    </row>
    <row r="53" spans="1:10" x14ac:dyDescent="0.2">
      <c r="A53" s="130">
        <v>66922</v>
      </c>
      <c r="B53" s="4" t="s">
        <v>623</v>
      </c>
      <c r="C53" s="4" t="s">
        <v>611</v>
      </c>
      <c r="D53" s="4" t="s">
        <v>222</v>
      </c>
      <c r="E53" s="4" t="s">
        <v>639</v>
      </c>
      <c r="F53" s="5">
        <v>255</v>
      </c>
      <c r="G53" s="5">
        <v>0</v>
      </c>
      <c r="H53" s="5">
        <f t="shared" si="0"/>
        <v>2550</v>
      </c>
      <c r="I53" s="4"/>
      <c r="J53" t="str">
        <f>IF(AND($B53=Party_Statement!$B$5,$A53&gt;=Party_Statement!$B$6,$A53&lt;=Party_Statement!$D$6),SUMPRODUCT(($B$3:$B53=Party_Statement!$B$5)*($A$3:$A53&gt;=Party_Statement!$B$6)*($A$3:$A53&lt;=Party_Statement!$D$6)),"")</f>
        <v/>
      </c>
    </row>
    <row r="54" spans="1:10" x14ac:dyDescent="0.2">
      <c r="A54" s="130">
        <v>66924</v>
      </c>
      <c r="B54" s="4" t="s">
        <v>623</v>
      </c>
      <c r="C54" s="4" t="s">
        <v>611</v>
      </c>
      <c r="D54" s="4" t="s">
        <v>260</v>
      </c>
      <c r="E54" s="4" t="s">
        <v>639</v>
      </c>
      <c r="F54" s="5">
        <v>425</v>
      </c>
      <c r="G54" s="5">
        <v>0</v>
      </c>
      <c r="H54" s="5">
        <f t="shared" si="0"/>
        <v>2975</v>
      </c>
      <c r="I54" s="4"/>
      <c r="J54" t="str">
        <f>IF(AND($B54=Party_Statement!$B$5,$A54&gt;=Party_Statement!$B$6,$A54&lt;=Party_Statement!$D$6),SUMPRODUCT(($B$3:$B54=Party_Statement!$B$5)*($A$3:$A54&gt;=Party_Statement!$B$6)*($A$3:$A54&lt;=Party_Statement!$D$6)),"")</f>
        <v/>
      </c>
    </row>
    <row r="55" spans="1:10" x14ac:dyDescent="0.2">
      <c r="A55" s="130">
        <v>66925</v>
      </c>
      <c r="B55" s="4" t="s">
        <v>623</v>
      </c>
      <c r="C55" s="4" t="s">
        <v>611</v>
      </c>
      <c r="D55" s="4" t="s">
        <v>288</v>
      </c>
      <c r="E55" s="4" t="s">
        <v>639</v>
      </c>
      <c r="F55" s="5">
        <v>680</v>
      </c>
      <c r="G55" s="5">
        <v>0</v>
      </c>
      <c r="H55" s="5">
        <f t="shared" si="0"/>
        <v>3655</v>
      </c>
      <c r="I55" s="4"/>
      <c r="J55" t="str">
        <f>IF(AND($B55=Party_Statement!$B$5,$A55&gt;=Party_Statement!$B$6,$A55&lt;=Party_Statement!$D$6),SUMPRODUCT(($B$3:$B55=Party_Statement!$B$5)*($A$3:$A55&gt;=Party_Statement!$B$6)*($A$3:$A55&lt;=Party_Statement!$D$6)),"")</f>
        <v/>
      </c>
    </row>
    <row r="56" spans="1:10" x14ac:dyDescent="0.2">
      <c r="A56" s="130">
        <v>66926</v>
      </c>
      <c r="B56" s="4" t="s">
        <v>623</v>
      </c>
      <c r="C56" s="4" t="s">
        <v>611</v>
      </c>
      <c r="D56" s="4" t="s">
        <v>310</v>
      </c>
      <c r="E56" s="4" t="s">
        <v>639</v>
      </c>
      <c r="F56" s="5">
        <v>425</v>
      </c>
      <c r="G56" s="5">
        <v>0</v>
      </c>
      <c r="H56" s="5">
        <f t="shared" si="0"/>
        <v>4080</v>
      </c>
      <c r="I56" s="4"/>
      <c r="J56" t="str">
        <f>IF(AND($B56=Party_Statement!$B$5,$A56&gt;=Party_Statement!$B$6,$A56&lt;=Party_Statement!$D$6),SUMPRODUCT(($B$3:$B56=Party_Statement!$B$5)*($A$3:$A56&gt;=Party_Statement!$B$6)*($A$3:$A56&lt;=Party_Statement!$D$6)),"")</f>
        <v/>
      </c>
    </row>
    <row r="57" spans="1:10" x14ac:dyDescent="0.2">
      <c r="A57" s="130">
        <v>66927</v>
      </c>
      <c r="B57" s="4" t="s">
        <v>623</v>
      </c>
      <c r="C57" s="4" t="s">
        <v>611</v>
      </c>
      <c r="D57" s="4" t="s">
        <v>326</v>
      </c>
      <c r="E57" s="4" t="s">
        <v>639</v>
      </c>
      <c r="F57" s="5">
        <v>425</v>
      </c>
      <c r="G57" s="5">
        <v>0</v>
      </c>
      <c r="H57" s="5">
        <f t="shared" si="0"/>
        <v>4505</v>
      </c>
      <c r="I57" s="4"/>
      <c r="J57" t="str">
        <f>IF(AND($B57=Party_Statement!$B$5,$A57&gt;=Party_Statement!$B$6,$A57&lt;=Party_Statement!$D$6),SUMPRODUCT(($B$3:$B57=Party_Statement!$B$5)*($A$3:$A57&gt;=Party_Statement!$B$6)*($A$3:$A57&lt;=Party_Statement!$D$6)),"")</f>
        <v/>
      </c>
    </row>
    <row r="58" spans="1:10" x14ac:dyDescent="0.2">
      <c r="A58" s="130">
        <v>66931</v>
      </c>
      <c r="B58" s="4" t="s">
        <v>623</v>
      </c>
      <c r="C58" s="4" t="s">
        <v>611</v>
      </c>
      <c r="D58" s="4" t="s">
        <v>392</v>
      </c>
      <c r="E58" s="4" t="s">
        <v>639</v>
      </c>
      <c r="F58" s="5">
        <v>680</v>
      </c>
      <c r="G58" s="5">
        <v>0</v>
      </c>
      <c r="H58" s="5">
        <f t="shared" si="0"/>
        <v>5185</v>
      </c>
      <c r="I58" s="4"/>
      <c r="J58" t="str">
        <f>IF(AND($B58=Party_Statement!$B$5,$A58&gt;=Party_Statement!$B$6,$A58&lt;=Party_Statement!$D$6),SUMPRODUCT(($B$3:$B58=Party_Statement!$B$5)*($A$3:$A58&gt;=Party_Statement!$B$6)*($A$3:$A58&lt;=Party_Statement!$D$6)),"")</f>
        <v/>
      </c>
    </row>
    <row r="59" spans="1:10" x14ac:dyDescent="0.2">
      <c r="A59" s="130">
        <v>66916</v>
      </c>
      <c r="B59" s="4" t="s">
        <v>452</v>
      </c>
      <c r="C59" s="4" t="s">
        <v>613</v>
      </c>
      <c r="D59" s="4" t="s">
        <v>451</v>
      </c>
      <c r="E59" s="4" t="s">
        <v>642</v>
      </c>
      <c r="F59" s="5">
        <v>0</v>
      </c>
      <c r="G59" s="5">
        <v>21948</v>
      </c>
      <c r="H59" s="5">
        <f t="shared" si="0"/>
        <v>-21948</v>
      </c>
      <c r="I59" s="4"/>
      <c r="J59" t="str">
        <f>IF(AND($B59=Party_Statement!$B$5,$A59&gt;=Party_Statement!$B$6,$A59&lt;=Party_Statement!$D$6),SUMPRODUCT(($B$3:$B59=Party_Statement!$B$5)*($A$3:$A59&gt;=Party_Statement!$B$6)*($A$3:$A59&lt;=Party_Statement!$D$6)),"")</f>
        <v/>
      </c>
    </row>
    <row r="60" spans="1:10" x14ac:dyDescent="0.2">
      <c r="A60" s="130">
        <v>66918</v>
      </c>
      <c r="B60" s="4" t="s">
        <v>452</v>
      </c>
      <c r="C60" s="4" t="s">
        <v>613</v>
      </c>
      <c r="D60" s="4" t="s">
        <v>468</v>
      </c>
      <c r="E60" s="4" t="s">
        <v>642</v>
      </c>
      <c r="F60" s="5">
        <v>0</v>
      </c>
      <c r="G60" s="5">
        <v>23436</v>
      </c>
      <c r="H60" s="5">
        <f t="shared" si="0"/>
        <v>-45384</v>
      </c>
      <c r="I60" s="4"/>
      <c r="J60" t="str">
        <f>IF(AND($B60=Party_Statement!$B$5,$A60&gt;=Party_Statement!$B$6,$A60&lt;=Party_Statement!$D$6),SUMPRODUCT(($B$3:$B60=Party_Statement!$B$5)*($A$3:$A60&gt;=Party_Statement!$B$6)*($A$3:$A60&lt;=Party_Statement!$D$6)),"")</f>
        <v/>
      </c>
    </row>
    <row r="61" spans="1:10" x14ac:dyDescent="0.2">
      <c r="A61" s="130">
        <v>66920</v>
      </c>
      <c r="B61" s="4" t="s">
        <v>452</v>
      </c>
      <c r="C61" s="4" t="s">
        <v>613</v>
      </c>
      <c r="D61" s="4" t="s">
        <v>482</v>
      </c>
      <c r="E61" s="4" t="s">
        <v>642</v>
      </c>
      <c r="F61" s="5">
        <v>0</v>
      </c>
      <c r="G61" s="5">
        <v>24180</v>
      </c>
      <c r="H61" s="5">
        <f t="shared" si="0"/>
        <v>-69564</v>
      </c>
      <c r="I61" s="4"/>
      <c r="J61" t="str">
        <f>IF(AND($B61=Party_Statement!$B$5,$A61&gt;=Party_Statement!$B$6,$A61&lt;=Party_Statement!$D$6),SUMPRODUCT(($B$3:$B61=Party_Statement!$B$5)*($A$3:$A61&gt;=Party_Statement!$B$6)*($A$3:$A61&lt;=Party_Statement!$D$6)),"")</f>
        <v/>
      </c>
    </row>
    <row r="62" spans="1:10" x14ac:dyDescent="0.2">
      <c r="A62" s="130">
        <v>66922</v>
      </c>
      <c r="B62" s="4" t="s">
        <v>452</v>
      </c>
      <c r="C62" s="4" t="s">
        <v>613</v>
      </c>
      <c r="D62" s="4" t="s">
        <v>496</v>
      </c>
      <c r="E62" s="4" t="s">
        <v>642</v>
      </c>
      <c r="F62" s="5">
        <v>0</v>
      </c>
      <c r="G62" s="5">
        <v>23064</v>
      </c>
      <c r="H62" s="5">
        <f t="shared" si="0"/>
        <v>-92628</v>
      </c>
      <c r="I62" s="4"/>
      <c r="J62" t="str">
        <f>IF(AND($B62=Party_Statement!$B$5,$A62&gt;=Party_Statement!$B$6,$A62&lt;=Party_Statement!$D$6),SUMPRODUCT(($B$3:$B62=Party_Statement!$B$5)*($A$3:$A62&gt;=Party_Statement!$B$6)*($A$3:$A62&lt;=Party_Statement!$D$6)),"")</f>
        <v/>
      </c>
    </row>
    <row r="63" spans="1:10" x14ac:dyDescent="0.2">
      <c r="A63" s="130">
        <v>66924</v>
      </c>
      <c r="B63" s="4" t="s">
        <v>452</v>
      </c>
      <c r="C63" s="4" t="s">
        <v>613</v>
      </c>
      <c r="D63" s="4" t="s">
        <v>510</v>
      </c>
      <c r="E63" s="4" t="s">
        <v>642</v>
      </c>
      <c r="F63" s="5">
        <v>0</v>
      </c>
      <c r="G63" s="5">
        <v>23436</v>
      </c>
      <c r="H63" s="5">
        <f t="shared" si="0"/>
        <v>-116064</v>
      </c>
      <c r="I63" s="4"/>
      <c r="J63" t="str">
        <f>IF(AND($B63=Party_Statement!$B$5,$A63&gt;=Party_Statement!$B$6,$A63&lt;=Party_Statement!$D$6),SUMPRODUCT(($B$3:$B63=Party_Statement!$B$5)*($A$3:$A63&gt;=Party_Statement!$B$6)*($A$3:$A63&lt;=Party_Statement!$D$6)),"")</f>
        <v/>
      </c>
    </row>
    <row r="64" spans="1:10" x14ac:dyDescent="0.2">
      <c r="A64" s="130">
        <v>66926</v>
      </c>
      <c r="B64" s="4" t="s">
        <v>452</v>
      </c>
      <c r="C64" s="4" t="s">
        <v>613</v>
      </c>
      <c r="D64" s="4" t="s">
        <v>524</v>
      </c>
      <c r="E64" s="4" t="s">
        <v>642</v>
      </c>
      <c r="F64" s="5">
        <v>0</v>
      </c>
      <c r="G64" s="5">
        <v>23436</v>
      </c>
      <c r="H64" s="5">
        <f t="shared" si="0"/>
        <v>-139500</v>
      </c>
      <c r="I64" s="4"/>
      <c r="J64" t="str">
        <f>IF(AND($B64=Party_Statement!$B$5,$A64&gt;=Party_Statement!$B$6,$A64&lt;=Party_Statement!$D$6),SUMPRODUCT(($B$3:$B64=Party_Statement!$B$5)*($A$3:$A64&gt;=Party_Statement!$B$6)*($A$3:$A64&lt;=Party_Statement!$D$6)),"")</f>
        <v/>
      </c>
    </row>
    <row r="65" spans="1:10" x14ac:dyDescent="0.2">
      <c r="A65" s="130">
        <v>66928</v>
      </c>
      <c r="B65" s="4" t="s">
        <v>452</v>
      </c>
      <c r="C65" s="4" t="s">
        <v>613</v>
      </c>
      <c r="D65" s="4" t="s">
        <v>542</v>
      </c>
      <c r="E65" s="4" t="s">
        <v>642</v>
      </c>
      <c r="F65" s="5">
        <v>0</v>
      </c>
      <c r="G65" s="5">
        <v>20088</v>
      </c>
      <c r="H65" s="5">
        <f t="shared" si="0"/>
        <v>-159588</v>
      </c>
      <c r="I65" s="4"/>
      <c r="J65" t="str">
        <f>IF(AND($B65=Party_Statement!$B$5,$A65&gt;=Party_Statement!$B$6,$A65&lt;=Party_Statement!$D$6),SUMPRODUCT(($B$3:$B65=Party_Statement!$B$5)*($A$3:$A65&gt;=Party_Statement!$B$6)*($A$3:$A65&lt;=Party_Statement!$D$6)),"")</f>
        <v/>
      </c>
    </row>
    <row r="66" spans="1:10" x14ac:dyDescent="0.2">
      <c r="A66" s="130">
        <v>66930</v>
      </c>
      <c r="B66" s="4" t="s">
        <v>452</v>
      </c>
      <c r="C66" s="4" t="s">
        <v>613</v>
      </c>
      <c r="D66" s="4" t="s">
        <v>558</v>
      </c>
      <c r="E66" s="4" t="s">
        <v>642</v>
      </c>
      <c r="F66" s="5">
        <v>0</v>
      </c>
      <c r="G66" s="5">
        <v>22320</v>
      </c>
      <c r="H66" s="5">
        <f t="shared" si="0"/>
        <v>-181908</v>
      </c>
      <c r="I66" s="4"/>
      <c r="J66" t="str">
        <f>IF(AND($B66=Party_Statement!$B$5,$A66&gt;=Party_Statement!$B$6,$A66&lt;=Party_Statement!$D$6),SUMPRODUCT(($B$3:$B66=Party_Statement!$B$5)*($A$3:$A66&gt;=Party_Statement!$B$6)*($A$3:$A66&lt;=Party_Statement!$D$6)),"")</f>
        <v/>
      </c>
    </row>
    <row r="67" spans="1:10" x14ac:dyDescent="0.2">
      <c r="A67" s="130">
        <v>66916</v>
      </c>
      <c r="B67" s="4" t="s">
        <v>99</v>
      </c>
      <c r="C67" s="4" t="s">
        <v>611</v>
      </c>
      <c r="D67" s="4" t="s">
        <v>98</v>
      </c>
      <c r="E67" s="4" t="s">
        <v>639</v>
      </c>
      <c r="F67" s="5">
        <v>430</v>
      </c>
      <c r="G67" s="5">
        <v>0</v>
      </c>
      <c r="H67" s="5">
        <f t="shared" si="0"/>
        <v>430</v>
      </c>
      <c r="I67" s="4"/>
      <c r="J67" t="str">
        <f>IF(AND($B67=Party_Statement!$B$5,$A67&gt;=Party_Statement!$B$6,$A67&lt;=Party_Statement!$D$6),SUMPRODUCT(($B$3:$B67=Party_Statement!$B$5)*($A$3:$A67&gt;=Party_Statement!$B$6)*($A$3:$A67&lt;=Party_Statement!$D$6)),"")</f>
        <v/>
      </c>
    </row>
    <row r="68" spans="1:10" x14ac:dyDescent="0.2">
      <c r="A68" s="130">
        <v>66919</v>
      </c>
      <c r="B68" s="4" t="s">
        <v>99</v>
      </c>
      <c r="C68" s="4" t="s">
        <v>611</v>
      </c>
      <c r="D68" s="4" t="s">
        <v>159</v>
      </c>
      <c r="E68" s="4" t="s">
        <v>639</v>
      </c>
      <c r="F68" s="5">
        <v>430</v>
      </c>
      <c r="G68" s="5">
        <v>0</v>
      </c>
      <c r="H68" s="5">
        <f t="shared" ref="H68:H131" si="1">IF($B68="","",IF($B68=$B67,$H67,0)+$F68-$G68)</f>
        <v>860</v>
      </c>
      <c r="I68" s="4"/>
      <c r="J68" t="str">
        <f>IF(AND($B68=Party_Statement!$B$5,$A68&gt;=Party_Statement!$B$6,$A68&lt;=Party_Statement!$D$6),SUMPRODUCT(($B$3:$B68=Party_Statement!$B$5)*($A$3:$A68&gt;=Party_Statement!$B$6)*($A$3:$A68&lt;=Party_Statement!$D$6)),"")</f>
        <v/>
      </c>
    </row>
    <row r="69" spans="1:10" x14ac:dyDescent="0.2">
      <c r="A69" s="130">
        <v>66922</v>
      </c>
      <c r="B69" s="4" t="s">
        <v>99</v>
      </c>
      <c r="C69" s="4" t="s">
        <v>611</v>
      </c>
      <c r="D69" s="4" t="s">
        <v>229</v>
      </c>
      <c r="E69" s="4" t="s">
        <v>639</v>
      </c>
      <c r="F69" s="5">
        <v>860</v>
      </c>
      <c r="G69" s="5">
        <v>0</v>
      </c>
      <c r="H69" s="5">
        <f t="shared" si="1"/>
        <v>1720</v>
      </c>
      <c r="I69" s="4"/>
      <c r="J69" t="str">
        <f>IF(AND($B69=Party_Statement!$B$5,$A69&gt;=Party_Statement!$B$6,$A69&lt;=Party_Statement!$D$6),SUMPRODUCT(($B$3:$B69=Party_Statement!$B$5)*($A$3:$A69&gt;=Party_Statement!$B$6)*($A$3:$A69&lt;=Party_Statement!$D$6)),"")</f>
        <v/>
      </c>
    </row>
    <row r="70" spans="1:10" x14ac:dyDescent="0.2">
      <c r="A70" s="130">
        <v>66924</v>
      </c>
      <c r="B70" s="4" t="s">
        <v>99</v>
      </c>
      <c r="C70" s="4" t="s">
        <v>611</v>
      </c>
      <c r="D70" s="4" t="s">
        <v>274</v>
      </c>
      <c r="E70" s="4" t="s">
        <v>639</v>
      </c>
      <c r="F70" s="5">
        <v>860</v>
      </c>
      <c r="G70" s="5">
        <v>0</v>
      </c>
      <c r="H70" s="5">
        <f t="shared" si="1"/>
        <v>2580</v>
      </c>
      <c r="I70" s="4"/>
      <c r="J70" t="str">
        <f>IF(AND($B70=Party_Statement!$B$5,$A70&gt;=Party_Statement!$B$6,$A70&lt;=Party_Statement!$D$6),SUMPRODUCT(($B$3:$B70=Party_Statement!$B$5)*($A$3:$A70&gt;=Party_Statement!$B$6)*($A$3:$A70&lt;=Party_Statement!$D$6)),"")</f>
        <v/>
      </c>
    </row>
    <row r="71" spans="1:10" x14ac:dyDescent="0.2">
      <c r="A71" s="130">
        <v>66926</v>
      </c>
      <c r="B71" s="4" t="s">
        <v>99</v>
      </c>
      <c r="C71" s="4" t="s">
        <v>611</v>
      </c>
      <c r="D71" s="4" t="s">
        <v>314</v>
      </c>
      <c r="E71" s="4" t="s">
        <v>639</v>
      </c>
      <c r="F71" s="5">
        <v>430</v>
      </c>
      <c r="G71" s="5">
        <v>0</v>
      </c>
      <c r="H71" s="5">
        <f t="shared" si="1"/>
        <v>3010</v>
      </c>
      <c r="I71" s="4"/>
      <c r="J71" t="str">
        <f>IF(AND($B71=Party_Statement!$B$5,$A71&gt;=Party_Statement!$B$6,$A71&lt;=Party_Statement!$D$6),SUMPRODUCT(($B$3:$B71=Party_Statement!$B$5)*($A$3:$A71&gt;=Party_Statement!$B$6)*($A$3:$A71&lt;=Party_Statement!$D$6)),"")</f>
        <v/>
      </c>
    </row>
    <row r="72" spans="1:10" x14ac:dyDescent="0.2">
      <c r="A72" s="130">
        <v>66921</v>
      </c>
      <c r="B72" s="4" t="s">
        <v>209</v>
      </c>
      <c r="C72" s="4" t="s">
        <v>611</v>
      </c>
      <c r="D72" s="4" t="s">
        <v>208</v>
      </c>
      <c r="E72" s="4" t="s">
        <v>641</v>
      </c>
      <c r="F72" s="5">
        <v>2200</v>
      </c>
      <c r="G72" s="5">
        <v>0</v>
      </c>
      <c r="H72" s="5">
        <f t="shared" si="1"/>
        <v>2200</v>
      </c>
      <c r="I72" s="4"/>
      <c r="J72" t="str">
        <f>IF(AND($B72=Party_Statement!$B$5,$A72&gt;=Party_Statement!$B$6,$A72&lt;=Party_Statement!$D$6),SUMPRODUCT(($B$3:$B72=Party_Statement!$B$5)*($A$3:$A72&gt;=Party_Statement!$B$6)*($A$3:$A72&lt;=Party_Statement!$D$6)),"")</f>
        <v/>
      </c>
    </row>
    <row r="73" spans="1:10" x14ac:dyDescent="0.2">
      <c r="A73" s="130">
        <v>66916</v>
      </c>
      <c r="B73" s="4" t="s">
        <v>527</v>
      </c>
      <c r="C73" s="4" t="s">
        <v>613</v>
      </c>
      <c r="D73" s="4" t="s">
        <v>526</v>
      </c>
      <c r="E73" s="4" t="s">
        <v>643</v>
      </c>
      <c r="F73" s="5">
        <v>0</v>
      </c>
      <c r="G73" s="5">
        <v>3000</v>
      </c>
      <c r="H73" s="5">
        <f t="shared" si="1"/>
        <v>-3000</v>
      </c>
      <c r="I73" s="4"/>
      <c r="J73" t="str">
        <f>IF(AND($B73=Party_Statement!$B$5,$A73&gt;=Party_Statement!$B$6,$A73&lt;=Party_Statement!$D$6),SUMPRODUCT(($B$3:$B73=Party_Statement!$B$5)*($A$3:$A73&gt;=Party_Statement!$B$6)*($A$3:$A73&lt;=Party_Statement!$D$6)),"")</f>
        <v/>
      </c>
    </row>
    <row r="74" spans="1:10" x14ac:dyDescent="0.2">
      <c r="A74" s="130">
        <v>66927</v>
      </c>
      <c r="B74" s="4" t="s">
        <v>527</v>
      </c>
      <c r="C74" s="4" t="s">
        <v>613</v>
      </c>
      <c r="D74" s="4" t="s">
        <v>536</v>
      </c>
      <c r="E74" s="4" t="s">
        <v>643</v>
      </c>
      <c r="F74" s="5">
        <v>0</v>
      </c>
      <c r="G74" s="5">
        <v>6000</v>
      </c>
      <c r="H74" s="5">
        <f t="shared" si="1"/>
        <v>-9000</v>
      </c>
      <c r="I74" s="4"/>
      <c r="J74" t="str">
        <f>IF(AND($B74=Party_Statement!$B$5,$A74&gt;=Party_Statement!$B$6,$A74&lt;=Party_Statement!$D$6),SUMPRODUCT(($B$3:$B74=Party_Statement!$B$5)*($A$3:$A74&gt;=Party_Statement!$B$6)*($A$3:$A74&lt;=Party_Statement!$D$6)),"")</f>
        <v/>
      </c>
    </row>
    <row r="75" spans="1:10" x14ac:dyDescent="0.2">
      <c r="A75" s="130">
        <v>66928</v>
      </c>
      <c r="B75" s="4" t="s">
        <v>527</v>
      </c>
      <c r="C75" s="4" t="s">
        <v>613</v>
      </c>
      <c r="D75" s="4" t="s">
        <v>544</v>
      </c>
      <c r="E75" s="4" t="s">
        <v>643</v>
      </c>
      <c r="F75" s="5">
        <v>0</v>
      </c>
      <c r="G75" s="5">
        <v>11250</v>
      </c>
      <c r="H75" s="5">
        <f t="shared" si="1"/>
        <v>-20250</v>
      </c>
      <c r="I75" s="4"/>
      <c r="J75" t="str">
        <f>IF(AND($B75=Party_Statement!$B$5,$A75&gt;=Party_Statement!$B$6,$A75&lt;=Party_Statement!$D$6),SUMPRODUCT(($B$3:$B75=Party_Statement!$B$5)*($A$3:$A75&gt;=Party_Statement!$B$6)*($A$3:$A75&lt;=Party_Statement!$D$6)),"")</f>
        <v/>
      </c>
    </row>
    <row r="76" spans="1:10" x14ac:dyDescent="0.2">
      <c r="A76" s="130">
        <v>66929</v>
      </c>
      <c r="B76" s="4" t="s">
        <v>527</v>
      </c>
      <c r="C76" s="4" t="s">
        <v>613</v>
      </c>
      <c r="D76" s="4" t="s">
        <v>552</v>
      </c>
      <c r="E76" s="4" t="s">
        <v>643</v>
      </c>
      <c r="F76" s="5">
        <v>0</v>
      </c>
      <c r="G76" s="5">
        <v>9000</v>
      </c>
      <c r="H76" s="5">
        <f t="shared" si="1"/>
        <v>-29250</v>
      </c>
      <c r="I76" s="4"/>
      <c r="J76" t="str">
        <f>IF(AND($B76=Party_Statement!$B$5,$A76&gt;=Party_Statement!$B$6,$A76&lt;=Party_Statement!$D$6),SUMPRODUCT(($B$3:$B76=Party_Statement!$B$5)*($A$3:$A76&gt;=Party_Statement!$B$6)*($A$3:$A76&lt;=Party_Statement!$D$6)),"")</f>
        <v/>
      </c>
    </row>
    <row r="77" spans="1:10" x14ac:dyDescent="0.2">
      <c r="A77" s="130">
        <v>66930</v>
      </c>
      <c r="B77" s="4" t="s">
        <v>527</v>
      </c>
      <c r="C77" s="4" t="s">
        <v>613</v>
      </c>
      <c r="D77" s="4" t="s">
        <v>560</v>
      </c>
      <c r="E77" s="4" t="s">
        <v>643</v>
      </c>
      <c r="F77" s="5">
        <v>0</v>
      </c>
      <c r="G77" s="5">
        <v>8250</v>
      </c>
      <c r="H77" s="5">
        <f t="shared" si="1"/>
        <v>-37500</v>
      </c>
      <c r="I77" s="4"/>
      <c r="J77" t="str">
        <f>IF(AND($B77=Party_Statement!$B$5,$A77&gt;=Party_Statement!$B$6,$A77&lt;=Party_Statement!$D$6),SUMPRODUCT(($B$3:$B77=Party_Statement!$B$5)*($A$3:$A77&gt;=Party_Statement!$B$6)*($A$3:$A77&lt;=Party_Statement!$D$6)),"")</f>
        <v/>
      </c>
    </row>
    <row r="78" spans="1:10" x14ac:dyDescent="0.2">
      <c r="A78" s="130">
        <v>66931</v>
      </c>
      <c r="B78" s="4" t="s">
        <v>527</v>
      </c>
      <c r="C78" s="4" t="s">
        <v>613</v>
      </c>
      <c r="D78" s="4" t="s">
        <v>568</v>
      </c>
      <c r="E78" s="4" t="s">
        <v>643</v>
      </c>
      <c r="F78" s="5">
        <v>0</v>
      </c>
      <c r="G78" s="5">
        <v>3000</v>
      </c>
      <c r="H78" s="5">
        <f t="shared" si="1"/>
        <v>-40500</v>
      </c>
      <c r="I78" s="4"/>
      <c r="J78" t="str">
        <f>IF(AND($B78=Party_Statement!$B$5,$A78&gt;=Party_Statement!$B$6,$A78&lt;=Party_Statement!$D$6),SUMPRODUCT(($B$3:$B78=Party_Statement!$B$5)*($A$3:$A78&gt;=Party_Statement!$B$6)*($A$3:$A78&lt;=Party_Statement!$D$6)),"")</f>
        <v/>
      </c>
    </row>
    <row r="79" spans="1:10" x14ac:dyDescent="0.2">
      <c r="A79" s="130">
        <v>66916</v>
      </c>
      <c r="B79" s="4" t="s">
        <v>83</v>
      </c>
      <c r="C79" s="4" t="s">
        <v>611</v>
      </c>
      <c r="D79" s="4" t="s">
        <v>82</v>
      </c>
      <c r="E79" s="4" t="s">
        <v>639</v>
      </c>
      <c r="F79" s="5">
        <v>1720</v>
      </c>
      <c r="G79" s="5">
        <v>0</v>
      </c>
      <c r="H79" s="5">
        <f t="shared" si="1"/>
        <v>1720</v>
      </c>
      <c r="I79" s="4"/>
      <c r="J79" t="str">
        <f>IF(AND($B79=Party_Statement!$B$5,$A79&gt;=Party_Statement!$B$6,$A79&lt;=Party_Statement!$D$6),SUMPRODUCT(($B$3:$B79=Party_Statement!$B$5)*($A$3:$A79&gt;=Party_Statement!$B$6)*($A$3:$A79&lt;=Party_Statement!$D$6)),"")</f>
        <v/>
      </c>
    </row>
    <row r="80" spans="1:10" x14ac:dyDescent="0.2">
      <c r="A80" s="130">
        <v>66917</v>
      </c>
      <c r="B80" s="4" t="s">
        <v>83</v>
      </c>
      <c r="C80" s="4" t="s">
        <v>611</v>
      </c>
      <c r="D80" s="4" t="s">
        <v>105</v>
      </c>
      <c r="E80" s="4" t="s">
        <v>639</v>
      </c>
      <c r="F80" s="5">
        <v>1720</v>
      </c>
      <c r="G80" s="5">
        <v>0</v>
      </c>
      <c r="H80" s="5">
        <f t="shared" si="1"/>
        <v>3440</v>
      </c>
      <c r="I80" s="4"/>
      <c r="J80" t="str">
        <f>IF(AND($B80=Party_Statement!$B$5,$A80&gt;=Party_Statement!$B$6,$A80&lt;=Party_Statement!$D$6),SUMPRODUCT(($B$3:$B80=Party_Statement!$B$5)*($A$3:$A80&gt;=Party_Statement!$B$6)*($A$3:$A80&lt;=Party_Statement!$D$6)),"")</f>
        <v/>
      </c>
    </row>
    <row r="81" spans="1:10" x14ac:dyDescent="0.2">
      <c r="A81" s="130">
        <v>66918</v>
      </c>
      <c r="B81" s="4" t="s">
        <v>83</v>
      </c>
      <c r="C81" s="4" t="s">
        <v>611</v>
      </c>
      <c r="D81" s="4" t="s">
        <v>126</v>
      </c>
      <c r="E81" s="4" t="s">
        <v>639</v>
      </c>
      <c r="F81" s="5">
        <v>3440</v>
      </c>
      <c r="G81" s="5">
        <v>0</v>
      </c>
      <c r="H81" s="5">
        <f t="shared" si="1"/>
        <v>6880</v>
      </c>
      <c r="I81" s="4"/>
      <c r="J81" t="str">
        <f>IF(AND($B81=Party_Statement!$B$5,$A81&gt;=Party_Statement!$B$6,$A81&lt;=Party_Statement!$D$6),SUMPRODUCT(($B$3:$B81=Party_Statement!$B$5)*($A$3:$A81&gt;=Party_Statement!$B$6)*($A$3:$A81&lt;=Party_Statement!$D$6)),"")</f>
        <v/>
      </c>
    </row>
    <row r="82" spans="1:10" x14ac:dyDescent="0.2">
      <c r="A82" s="130">
        <v>66919</v>
      </c>
      <c r="B82" s="4" t="s">
        <v>83</v>
      </c>
      <c r="C82" s="4" t="s">
        <v>611</v>
      </c>
      <c r="D82" s="4" t="s">
        <v>147</v>
      </c>
      <c r="E82" s="4" t="s">
        <v>639</v>
      </c>
      <c r="F82" s="5">
        <v>1720</v>
      </c>
      <c r="G82" s="5">
        <v>0</v>
      </c>
      <c r="H82" s="5">
        <f t="shared" si="1"/>
        <v>8600</v>
      </c>
      <c r="I82" s="4"/>
      <c r="J82" t="str">
        <f>IF(AND($B82=Party_Statement!$B$5,$A82&gt;=Party_Statement!$B$6,$A82&lt;=Party_Statement!$D$6),SUMPRODUCT(($B$3:$B82=Party_Statement!$B$5)*($A$3:$A82&gt;=Party_Statement!$B$6)*($A$3:$A82&lt;=Party_Statement!$D$6)),"")</f>
        <v/>
      </c>
    </row>
    <row r="83" spans="1:10" x14ac:dyDescent="0.2">
      <c r="A83" s="130">
        <v>66919</v>
      </c>
      <c r="B83" s="4" t="s">
        <v>83</v>
      </c>
      <c r="C83" s="4" t="s">
        <v>611</v>
      </c>
      <c r="D83" s="4" t="s">
        <v>164</v>
      </c>
      <c r="E83" s="4" t="s">
        <v>639</v>
      </c>
      <c r="F83" s="5">
        <v>860</v>
      </c>
      <c r="G83" s="5">
        <v>0</v>
      </c>
      <c r="H83" s="5">
        <f t="shared" si="1"/>
        <v>9460</v>
      </c>
      <c r="I83" s="4"/>
      <c r="J83" t="str">
        <f>IF(AND($B83=Party_Statement!$B$5,$A83&gt;=Party_Statement!$B$6,$A83&lt;=Party_Statement!$D$6),SUMPRODUCT(($B$3:$B83=Party_Statement!$B$5)*($A$3:$A83&gt;=Party_Statement!$B$6)*($A$3:$A83&lt;=Party_Statement!$D$6)),"")</f>
        <v/>
      </c>
    </row>
    <row r="84" spans="1:10" x14ac:dyDescent="0.2">
      <c r="A84" s="130">
        <v>66920</v>
      </c>
      <c r="B84" s="4" t="s">
        <v>83</v>
      </c>
      <c r="C84" s="4" t="s">
        <v>611</v>
      </c>
      <c r="D84" s="4" t="s">
        <v>170</v>
      </c>
      <c r="E84" s="4" t="s">
        <v>639</v>
      </c>
      <c r="F84" s="5">
        <v>1720</v>
      </c>
      <c r="G84" s="5">
        <v>0</v>
      </c>
      <c r="H84" s="5">
        <f t="shared" si="1"/>
        <v>11180</v>
      </c>
      <c r="I84" s="4"/>
      <c r="J84" t="str">
        <f>IF(AND($B84=Party_Statement!$B$5,$A84&gt;=Party_Statement!$B$6,$A84&lt;=Party_Statement!$D$6),SUMPRODUCT(($B$3:$B84=Party_Statement!$B$5)*($A$3:$A84&gt;=Party_Statement!$B$6)*($A$3:$A84&lt;=Party_Statement!$D$6)),"")</f>
        <v/>
      </c>
    </row>
    <row r="85" spans="1:10" x14ac:dyDescent="0.2">
      <c r="A85" s="130">
        <v>66920</v>
      </c>
      <c r="B85" s="4" t="s">
        <v>83</v>
      </c>
      <c r="C85" s="4" t="s">
        <v>611</v>
      </c>
      <c r="D85" s="4" t="s">
        <v>182</v>
      </c>
      <c r="E85" s="4" t="s">
        <v>639</v>
      </c>
      <c r="F85" s="5">
        <v>860</v>
      </c>
      <c r="G85" s="5">
        <v>0</v>
      </c>
      <c r="H85" s="5">
        <f t="shared" si="1"/>
        <v>12040</v>
      </c>
      <c r="I85" s="4"/>
      <c r="J85" t="str">
        <f>IF(AND($B85=Party_Statement!$B$5,$A85&gt;=Party_Statement!$B$6,$A85&lt;=Party_Statement!$D$6),SUMPRODUCT(($B$3:$B85=Party_Statement!$B$5)*($A$3:$A85&gt;=Party_Statement!$B$6)*($A$3:$A85&lt;=Party_Statement!$D$6)),"")</f>
        <v/>
      </c>
    </row>
    <row r="86" spans="1:10" x14ac:dyDescent="0.2">
      <c r="A86" s="130">
        <v>66921</v>
      </c>
      <c r="B86" s="4" t="s">
        <v>83</v>
      </c>
      <c r="C86" s="4" t="s">
        <v>611</v>
      </c>
      <c r="D86" s="4" t="s">
        <v>188</v>
      </c>
      <c r="E86" s="4" t="s">
        <v>639</v>
      </c>
      <c r="F86" s="5">
        <v>2150</v>
      </c>
      <c r="G86" s="5">
        <v>0</v>
      </c>
      <c r="H86" s="5">
        <f t="shared" si="1"/>
        <v>14190</v>
      </c>
      <c r="I86" s="4"/>
      <c r="J86" t="str">
        <f>IF(AND($B86=Party_Statement!$B$5,$A86&gt;=Party_Statement!$B$6,$A86&lt;=Party_Statement!$D$6),SUMPRODUCT(($B$3:$B86=Party_Statement!$B$5)*($A$3:$A86&gt;=Party_Statement!$B$6)*($A$3:$A86&lt;=Party_Statement!$D$6)),"")</f>
        <v/>
      </c>
    </row>
    <row r="87" spans="1:10" x14ac:dyDescent="0.2">
      <c r="A87" s="130">
        <v>66921</v>
      </c>
      <c r="B87" s="4" t="s">
        <v>83</v>
      </c>
      <c r="C87" s="4" t="s">
        <v>611</v>
      </c>
      <c r="D87" s="4" t="s">
        <v>207</v>
      </c>
      <c r="E87" s="4" t="s">
        <v>639</v>
      </c>
      <c r="F87" s="5">
        <v>860</v>
      </c>
      <c r="G87" s="5">
        <v>0</v>
      </c>
      <c r="H87" s="5">
        <f t="shared" si="1"/>
        <v>15050</v>
      </c>
      <c r="I87" s="4"/>
      <c r="J87" t="str">
        <f>IF(AND($B87=Party_Statement!$B$5,$A87&gt;=Party_Statement!$B$6,$A87&lt;=Party_Statement!$D$6),SUMPRODUCT(($B$3:$B87=Party_Statement!$B$5)*($A$3:$A87&gt;=Party_Statement!$B$6)*($A$3:$A87&lt;=Party_Statement!$D$6)),"")</f>
        <v/>
      </c>
    </row>
    <row r="88" spans="1:10" x14ac:dyDescent="0.2">
      <c r="A88" s="130">
        <v>66922</v>
      </c>
      <c r="B88" s="4" t="s">
        <v>83</v>
      </c>
      <c r="C88" s="4" t="s">
        <v>611</v>
      </c>
      <c r="D88" s="4" t="s">
        <v>217</v>
      </c>
      <c r="E88" s="4" t="s">
        <v>639</v>
      </c>
      <c r="F88" s="5">
        <v>2580</v>
      </c>
      <c r="G88" s="5">
        <v>0</v>
      </c>
      <c r="H88" s="5">
        <f t="shared" si="1"/>
        <v>17630</v>
      </c>
      <c r="I88" s="4"/>
      <c r="J88" t="str">
        <f>IF(AND($B88=Party_Statement!$B$5,$A88&gt;=Party_Statement!$B$6,$A88&lt;=Party_Statement!$D$6),SUMPRODUCT(($B$3:$B88=Party_Statement!$B$5)*($A$3:$A88&gt;=Party_Statement!$B$6)*($A$3:$A88&lt;=Party_Statement!$D$6)),"")</f>
        <v/>
      </c>
    </row>
    <row r="89" spans="1:10" x14ac:dyDescent="0.2">
      <c r="A89" s="130">
        <v>66923</v>
      </c>
      <c r="B89" s="4" t="s">
        <v>83</v>
      </c>
      <c r="C89" s="4" t="s">
        <v>611</v>
      </c>
      <c r="D89" s="4" t="s">
        <v>237</v>
      </c>
      <c r="E89" s="4" t="s">
        <v>639</v>
      </c>
      <c r="F89" s="5">
        <v>2150</v>
      </c>
      <c r="G89" s="5">
        <v>0</v>
      </c>
      <c r="H89" s="5">
        <f t="shared" si="1"/>
        <v>19780</v>
      </c>
      <c r="I89" s="4"/>
      <c r="J89" t="str">
        <f>IF(AND($B89=Party_Statement!$B$5,$A89&gt;=Party_Statement!$B$6,$A89&lt;=Party_Statement!$D$6),SUMPRODUCT(($B$3:$B89=Party_Statement!$B$5)*($A$3:$A89&gt;=Party_Statement!$B$6)*($A$3:$A89&lt;=Party_Statement!$D$6)),"")</f>
        <v/>
      </c>
    </row>
    <row r="90" spans="1:10" x14ac:dyDescent="0.2">
      <c r="A90" s="130">
        <v>66924</v>
      </c>
      <c r="B90" s="4" t="s">
        <v>83</v>
      </c>
      <c r="C90" s="4" t="s">
        <v>611</v>
      </c>
      <c r="D90" s="4" t="s">
        <v>255</v>
      </c>
      <c r="E90" s="4" t="s">
        <v>639</v>
      </c>
      <c r="F90" s="5">
        <v>2580</v>
      </c>
      <c r="G90" s="5">
        <v>0</v>
      </c>
      <c r="H90" s="5">
        <f t="shared" si="1"/>
        <v>22360</v>
      </c>
      <c r="I90" s="4"/>
      <c r="J90" t="str">
        <f>IF(AND($B90=Party_Statement!$B$5,$A90&gt;=Party_Statement!$B$6,$A90&lt;=Party_Statement!$D$6),SUMPRODUCT(($B$3:$B90=Party_Statement!$B$5)*($A$3:$A90&gt;=Party_Statement!$B$6)*($A$3:$A90&lt;=Party_Statement!$D$6)),"")</f>
        <v/>
      </c>
    </row>
    <row r="91" spans="1:10" x14ac:dyDescent="0.2">
      <c r="A91" s="130">
        <v>66925</v>
      </c>
      <c r="B91" s="4" t="s">
        <v>83</v>
      </c>
      <c r="C91" s="4" t="s">
        <v>611</v>
      </c>
      <c r="D91" s="4" t="s">
        <v>282</v>
      </c>
      <c r="E91" s="4" t="s">
        <v>639</v>
      </c>
      <c r="F91" s="5">
        <v>2580</v>
      </c>
      <c r="G91" s="5">
        <v>0</v>
      </c>
      <c r="H91" s="5">
        <f t="shared" si="1"/>
        <v>24940</v>
      </c>
      <c r="I91" s="4"/>
      <c r="J91" t="str">
        <f>IF(AND($B91=Party_Statement!$B$5,$A91&gt;=Party_Statement!$B$6,$A91&lt;=Party_Statement!$D$6),SUMPRODUCT(($B$3:$B91=Party_Statement!$B$5)*($A$3:$A91&gt;=Party_Statement!$B$6)*($A$3:$A91&lt;=Party_Statement!$D$6)),"")</f>
        <v/>
      </c>
    </row>
    <row r="92" spans="1:10" x14ac:dyDescent="0.2">
      <c r="A92" s="130">
        <v>66926</v>
      </c>
      <c r="B92" s="4" t="s">
        <v>83</v>
      </c>
      <c r="C92" s="4" t="s">
        <v>611</v>
      </c>
      <c r="D92" s="4" t="s">
        <v>307</v>
      </c>
      <c r="E92" s="4" t="s">
        <v>639</v>
      </c>
      <c r="F92" s="5">
        <v>2150</v>
      </c>
      <c r="G92" s="5">
        <v>0</v>
      </c>
      <c r="H92" s="5">
        <f t="shared" si="1"/>
        <v>27090</v>
      </c>
      <c r="I92" s="4"/>
      <c r="J92" t="str">
        <f>IF(AND($B92=Party_Statement!$B$5,$A92&gt;=Party_Statement!$B$6,$A92&lt;=Party_Statement!$D$6),SUMPRODUCT(($B$3:$B92=Party_Statement!$B$5)*($A$3:$A92&gt;=Party_Statement!$B$6)*($A$3:$A92&lt;=Party_Statement!$D$6)),"")</f>
        <v/>
      </c>
    </row>
    <row r="93" spans="1:10" x14ac:dyDescent="0.2">
      <c r="A93" s="130">
        <v>66927</v>
      </c>
      <c r="B93" s="4" t="s">
        <v>83</v>
      </c>
      <c r="C93" s="4" t="s">
        <v>611</v>
      </c>
      <c r="D93" s="4" t="s">
        <v>321</v>
      </c>
      <c r="E93" s="4" t="s">
        <v>639</v>
      </c>
      <c r="F93" s="5">
        <v>1720</v>
      </c>
      <c r="G93" s="5">
        <v>0</v>
      </c>
      <c r="H93" s="5">
        <f t="shared" si="1"/>
        <v>28810</v>
      </c>
      <c r="I93" s="4"/>
      <c r="J93" t="str">
        <f>IF(AND($B93=Party_Statement!$B$5,$A93&gt;=Party_Statement!$B$6,$A93&lt;=Party_Statement!$D$6),SUMPRODUCT(($B$3:$B93=Party_Statement!$B$5)*($A$3:$A93&gt;=Party_Statement!$B$6)*($A$3:$A93&lt;=Party_Statement!$D$6)),"")</f>
        <v/>
      </c>
    </row>
    <row r="94" spans="1:10" x14ac:dyDescent="0.2">
      <c r="A94" s="130">
        <v>66928</v>
      </c>
      <c r="B94" s="4" t="s">
        <v>83</v>
      </c>
      <c r="C94" s="4" t="s">
        <v>611</v>
      </c>
      <c r="D94" s="4" t="s">
        <v>336</v>
      </c>
      <c r="E94" s="4" t="s">
        <v>639</v>
      </c>
      <c r="F94" s="5">
        <v>2580</v>
      </c>
      <c r="G94" s="5">
        <v>0</v>
      </c>
      <c r="H94" s="5">
        <f t="shared" si="1"/>
        <v>31390</v>
      </c>
      <c r="I94" s="4"/>
      <c r="J94" t="str">
        <f>IF(AND($B94=Party_Statement!$B$5,$A94&gt;=Party_Statement!$B$6,$A94&lt;=Party_Statement!$D$6),SUMPRODUCT(($B$3:$B94=Party_Statement!$B$5)*($A$3:$A94&gt;=Party_Statement!$B$6)*($A$3:$A94&lt;=Party_Statement!$D$6)),"")</f>
        <v/>
      </c>
    </row>
    <row r="95" spans="1:10" x14ac:dyDescent="0.2">
      <c r="A95" s="130">
        <v>66929</v>
      </c>
      <c r="B95" s="4" t="s">
        <v>83</v>
      </c>
      <c r="C95" s="4" t="s">
        <v>611</v>
      </c>
      <c r="D95" s="4" t="s">
        <v>357</v>
      </c>
      <c r="E95" s="4" t="s">
        <v>639</v>
      </c>
      <c r="F95" s="5">
        <v>2580</v>
      </c>
      <c r="G95" s="5">
        <v>0</v>
      </c>
      <c r="H95" s="5">
        <f t="shared" si="1"/>
        <v>33970</v>
      </c>
      <c r="I95" s="4"/>
      <c r="J95" t="str">
        <f>IF(AND($B95=Party_Statement!$B$5,$A95&gt;=Party_Statement!$B$6,$A95&lt;=Party_Statement!$D$6),SUMPRODUCT(($B$3:$B95=Party_Statement!$B$5)*($A$3:$A95&gt;=Party_Statement!$B$6)*($A$3:$A95&lt;=Party_Statement!$D$6)),"")</f>
        <v/>
      </c>
    </row>
    <row r="96" spans="1:10" x14ac:dyDescent="0.2">
      <c r="A96" s="130">
        <v>66930</v>
      </c>
      <c r="B96" s="4" t="s">
        <v>83</v>
      </c>
      <c r="C96" s="4" t="s">
        <v>611</v>
      </c>
      <c r="D96" s="4" t="s">
        <v>370</v>
      </c>
      <c r="E96" s="4" t="s">
        <v>639</v>
      </c>
      <c r="F96" s="5">
        <v>1720</v>
      </c>
      <c r="G96" s="5">
        <v>0</v>
      </c>
      <c r="H96" s="5">
        <f t="shared" si="1"/>
        <v>35690</v>
      </c>
      <c r="I96" s="4"/>
      <c r="J96" t="str">
        <f>IF(AND($B96=Party_Statement!$B$5,$A96&gt;=Party_Statement!$B$6,$A96&lt;=Party_Statement!$D$6),SUMPRODUCT(($B$3:$B96=Party_Statement!$B$5)*($A$3:$A96&gt;=Party_Statement!$B$6)*($A$3:$A96&lt;=Party_Statement!$D$6)),"")</f>
        <v/>
      </c>
    </row>
    <row r="97" spans="1:10" x14ac:dyDescent="0.2">
      <c r="A97" s="130">
        <v>66931</v>
      </c>
      <c r="B97" s="4" t="s">
        <v>83</v>
      </c>
      <c r="C97" s="4" t="s">
        <v>611</v>
      </c>
      <c r="D97" s="4" t="s">
        <v>386</v>
      </c>
      <c r="E97" s="4" t="s">
        <v>639</v>
      </c>
      <c r="F97" s="5">
        <v>2150</v>
      </c>
      <c r="G97" s="5">
        <v>0</v>
      </c>
      <c r="H97" s="5">
        <f t="shared" si="1"/>
        <v>37840</v>
      </c>
      <c r="I97" s="4"/>
      <c r="J97" t="str">
        <f>IF(AND($B97=Party_Statement!$B$5,$A97&gt;=Party_Statement!$B$6,$A97&lt;=Party_Statement!$D$6),SUMPRODUCT(($B$3:$B97=Party_Statement!$B$5)*($A$3:$A97&gt;=Party_Statement!$B$6)*($A$3:$A97&lt;=Party_Statement!$D$6)),"")</f>
        <v/>
      </c>
    </row>
    <row r="98" spans="1:10" x14ac:dyDescent="0.2">
      <c r="A98" s="130">
        <v>66921</v>
      </c>
      <c r="B98" s="4" t="s">
        <v>624</v>
      </c>
      <c r="C98" s="4" t="s">
        <v>611</v>
      </c>
      <c r="D98" s="4" t="s">
        <v>202</v>
      </c>
      <c r="E98" s="4" t="s">
        <v>641</v>
      </c>
      <c r="F98" s="5">
        <v>1100</v>
      </c>
      <c r="G98" s="5">
        <v>0</v>
      </c>
      <c r="H98" s="5">
        <f t="shared" si="1"/>
        <v>1100</v>
      </c>
      <c r="I98" s="4"/>
      <c r="J98" t="str">
        <f>IF(AND($B98=Party_Statement!$B$5,$A98&gt;=Party_Statement!$B$6,$A98&lt;=Party_Statement!$D$6),SUMPRODUCT(($B$3:$B98=Party_Statement!$B$5)*($A$3:$A98&gt;=Party_Statement!$B$6)*($A$3:$A98&lt;=Party_Statement!$D$6)),"")</f>
        <v/>
      </c>
    </row>
    <row r="99" spans="1:10" x14ac:dyDescent="0.2">
      <c r="A99" s="130">
        <v>66916</v>
      </c>
      <c r="B99" s="4" t="s">
        <v>625</v>
      </c>
      <c r="C99" s="4" t="s">
        <v>611</v>
      </c>
      <c r="D99" s="4" t="s">
        <v>84</v>
      </c>
      <c r="E99" s="4" t="s">
        <v>639</v>
      </c>
      <c r="F99" s="5">
        <v>425</v>
      </c>
      <c r="G99" s="5">
        <v>0</v>
      </c>
      <c r="H99" s="5">
        <f t="shared" si="1"/>
        <v>425</v>
      </c>
      <c r="I99" s="4"/>
      <c r="J99" t="str">
        <f>IF(AND($B99=Party_Statement!$B$5,$A99&gt;=Party_Statement!$B$6,$A99&lt;=Party_Statement!$D$6),SUMPRODUCT(($B$3:$B99=Party_Statement!$B$5)*($A$3:$A99&gt;=Party_Statement!$B$6)*($A$3:$A99&lt;=Party_Statement!$D$6)),"")</f>
        <v/>
      </c>
    </row>
    <row r="100" spans="1:10" x14ac:dyDescent="0.2">
      <c r="A100" s="130">
        <v>66917</v>
      </c>
      <c r="B100" s="4" t="s">
        <v>625</v>
      </c>
      <c r="C100" s="4" t="s">
        <v>611</v>
      </c>
      <c r="D100" s="4" t="s">
        <v>108</v>
      </c>
      <c r="E100" s="4" t="s">
        <v>639</v>
      </c>
      <c r="F100" s="5">
        <v>425</v>
      </c>
      <c r="G100" s="5">
        <v>0</v>
      </c>
      <c r="H100" s="5">
        <f t="shared" si="1"/>
        <v>850</v>
      </c>
      <c r="I100" s="4"/>
      <c r="J100" t="str">
        <f>IF(AND($B100=Party_Statement!$B$5,$A100&gt;=Party_Statement!$B$6,$A100&lt;=Party_Statement!$D$6),SUMPRODUCT(($B$3:$B100=Party_Statement!$B$5)*($A$3:$A100&gt;=Party_Statement!$B$6)*($A$3:$A100&lt;=Party_Statement!$D$6)),"")</f>
        <v/>
      </c>
    </row>
    <row r="101" spans="1:10" x14ac:dyDescent="0.2">
      <c r="A101" s="130">
        <v>66918</v>
      </c>
      <c r="B101" s="4" t="s">
        <v>625</v>
      </c>
      <c r="C101" s="4" t="s">
        <v>611</v>
      </c>
      <c r="D101" s="4" t="s">
        <v>133</v>
      </c>
      <c r="E101" s="4" t="s">
        <v>639</v>
      </c>
      <c r="F101" s="5">
        <v>425</v>
      </c>
      <c r="G101" s="5">
        <v>0</v>
      </c>
      <c r="H101" s="5">
        <f t="shared" si="1"/>
        <v>1275</v>
      </c>
      <c r="I101" s="4"/>
      <c r="J101" t="str">
        <f>IF(AND($B101=Party_Statement!$B$5,$A101&gt;=Party_Statement!$B$6,$A101&lt;=Party_Statement!$D$6),SUMPRODUCT(($B$3:$B101=Party_Statement!$B$5)*($A$3:$A101&gt;=Party_Statement!$B$6)*($A$3:$A101&lt;=Party_Statement!$D$6)),"")</f>
        <v/>
      </c>
    </row>
    <row r="102" spans="1:10" x14ac:dyDescent="0.2">
      <c r="A102" s="130">
        <v>66919</v>
      </c>
      <c r="B102" s="4" t="s">
        <v>625</v>
      </c>
      <c r="C102" s="4" t="s">
        <v>611</v>
      </c>
      <c r="D102" s="4" t="s">
        <v>149</v>
      </c>
      <c r="E102" s="4" t="s">
        <v>639</v>
      </c>
      <c r="F102" s="5">
        <v>425</v>
      </c>
      <c r="G102" s="5">
        <v>0</v>
      </c>
      <c r="H102" s="5">
        <f t="shared" si="1"/>
        <v>1700</v>
      </c>
      <c r="I102" s="4"/>
      <c r="J102" t="str">
        <f>IF(AND($B102=Party_Statement!$B$5,$A102&gt;=Party_Statement!$B$6,$A102&lt;=Party_Statement!$D$6),SUMPRODUCT(($B$3:$B102=Party_Statement!$B$5)*($A$3:$A102&gt;=Party_Statement!$B$6)*($A$3:$A102&lt;=Party_Statement!$D$6)),"")</f>
        <v/>
      </c>
    </row>
    <row r="103" spans="1:10" x14ac:dyDescent="0.2">
      <c r="A103" s="130">
        <v>66920</v>
      </c>
      <c r="B103" s="4" t="s">
        <v>625</v>
      </c>
      <c r="C103" s="4" t="s">
        <v>611</v>
      </c>
      <c r="D103" s="4" t="s">
        <v>173</v>
      </c>
      <c r="E103" s="4" t="s">
        <v>639</v>
      </c>
      <c r="F103" s="5">
        <v>425</v>
      </c>
      <c r="G103" s="5">
        <v>0</v>
      </c>
      <c r="H103" s="5">
        <f t="shared" si="1"/>
        <v>2125</v>
      </c>
      <c r="I103" s="4"/>
      <c r="J103" t="str">
        <f>IF(AND($B103=Party_Statement!$B$5,$A103&gt;=Party_Statement!$B$6,$A103&lt;=Party_Statement!$D$6),SUMPRODUCT(($B$3:$B103=Party_Statement!$B$5)*($A$3:$A103&gt;=Party_Statement!$B$6)*($A$3:$A103&lt;=Party_Statement!$D$6)),"")</f>
        <v/>
      </c>
    </row>
    <row r="104" spans="1:10" x14ac:dyDescent="0.2">
      <c r="A104" s="130">
        <v>66921</v>
      </c>
      <c r="B104" s="4" t="s">
        <v>625</v>
      </c>
      <c r="C104" s="4" t="s">
        <v>611</v>
      </c>
      <c r="D104" s="4" t="s">
        <v>193</v>
      </c>
      <c r="E104" s="4" t="s">
        <v>639</v>
      </c>
      <c r="F104" s="5">
        <v>425</v>
      </c>
      <c r="G104" s="5">
        <v>0</v>
      </c>
      <c r="H104" s="5">
        <f t="shared" si="1"/>
        <v>2550</v>
      </c>
      <c r="I104" s="4"/>
      <c r="J104" t="str">
        <f>IF(AND($B104=Party_Statement!$B$5,$A104&gt;=Party_Statement!$B$6,$A104&lt;=Party_Statement!$D$6),SUMPRODUCT(($B$3:$B104=Party_Statement!$B$5)*($A$3:$A104&gt;=Party_Statement!$B$6)*($A$3:$A104&lt;=Party_Statement!$D$6)),"")</f>
        <v/>
      </c>
    </row>
    <row r="105" spans="1:10" x14ac:dyDescent="0.2">
      <c r="A105" s="130">
        <v>66922</v>
      </c>
      <c r="B105" s="4" t="s">
        <v>625</v>
      </c>
      <c r="C105" s="4" t="s">
        <v>611</v>
      </c>
      <c r="D105" s="4" t="s">
        <v>216</v>
      </c>
      <c r="E105" s="4" t="s">
        <v>639</v>
      </c>
      <c r="F105" s="5">
        <v>425</v>
      </c>
      <c r="G105" s="5">
        <v>0</v>
      </c>
      <c r="H105" s="5">
        <f t="shared" si="1"/>
        <v>2975</v>
      </c>
      <c r="I105" s="4"/>
      <c r="J105" t="str">
        <f>IF(AND($B105=Party_Statement!$B$5,$A105&gt;=Party_Statement!$B$6,$A105&lt;=Party_Statement!$D$6),SUMPRODUCT(($B$3:$B105=Party_Statement!$B$5)*($A$3:$A105&gt;=Party_Statement!$B$6)*($A$3:$A105&lt;=Party_Statement!$D$6)),"")</f>
        <v/>
      </c>
    </row>
    <row r="106" spans="1:10" x14ac:dyDescent="0.2">
      <c r="A106" s="130">
        <v>66923</v>
      </c>
      <c r="B106" s="4" t="s">
        <v>625</v>
      </c>
      <c r="C106" s="4" t="s">
        <v>611</v>
      </c>
      <c r="D106" s="4" t="s">
        <v>246</v>
      </c>
      <c r="E106" s="4" t="s">
        <v>639</v>
      </c>
      <c r="F106" s="5">
        <v>425</v>
      </c>
      <c r="G106" s="5">
        <v>0</v>
      </c>
      <c r="H106" s="5">
        <f t="shared" si="1"/>
        <v>3400</v>
      </c>
      <c r="I106" s="4"/>
      <c r="J106" t="str">
        <f>IF(AND($B106=Party_Statement!$B$5,$A106&gt;=Party_Statement!$B$6,$A106&lt;=Party_Statement!$D$6),SUMPRODUCT(($B$3:$B106=Party_Statement!$B$5)*($A$3:$A106&gt;=Party_Statement!$B$6)*($A$3:$A106&lt;=Party_Statement!$D$6)),"")</f>
        <v/>
      </c>
    </row>
    <row r="107" spans="1:10" x14ac:dyDescent="0.2">
      <c r="A107" s="130">
        <v>66924</v>
      </c>
      <c r="B107" s="4" t="s">
        <v>625</v>
      </c>
      <c r="C107" s="4" t="s">
        <v>611</v>
      </c>
      <c r="D107" s="4" t="s">
        <v>257</v>
      </c>
      <c r="E107" s="4" t="s">
        <v>639</v>
      </c>
      <c r="F107" s="5">
        <v>425</v>
      </c>
      <c r="G107" s="5">
        <v>0</v>
      </c>
      <c r="H107" s="5">
        <f t="shared" si="1"/>
        <v>3825</v>
      </c>
      <c r="I107" s="4"/>
      <c r="J107" t="str">
        <f>IF(AND($B107=Party_Statement!$B$5,$A107&gt;=Party_Statement!$B$6,$A107&lt;=Party_Statement!$D$6),SUMPRODUCT(($B$3:$B107=Party_Statement!$B$5)*($A$3:$A107&gt;=Party_Statement!$B$6)*($A$3:$A107&lt;=Party_Statement!$D$6)),"")</f>
        <v/>
      </c>
    </row>
    <row r="108" spans="1:10" x14ac:dyDescent="0.2">
      <c r="A108" s="130">
        <v>66925</v>
      </c>
      <c r="B108" s="4" t="s">
        <v>625</v>
      </c>
      <c r="C108" s="4" t="s">
        <v>611</v>
      </c>
      <c r="D108" s="4" t="s">
        <v>285</v>
      </c>
      <c r="E108" s="4" t="s">
        <v>639</v>
      </c>
      <c r="F108" s="5">
        <v>425</v>
      </c>
      <c r="G108" s="5">
        <v>0</v>
      </c>
      <c r="H108" s="5">
        <f t="shared" si="1"/>
        <v>4250</v>
      </c>
      <c r="I108" s="4"/>
      <c r="J108" t="str">
        <f>IF(AND($B108=Party_Statement!$B$5,$A108&gt;=Party_Statement!$B$6,$A108&lt;=Party_Statement!$D$6),SUMPRODUCT(($B$3:$B108=Party_Statement!$B$5)*($A$3:$A108&gt;=Party_Statement!$B$6)*($A$3:$A108&lt;=Party_Statement!$D$6)),"")</f>
        <v/>
      </c>
    </row>
    <row r="109" spans="1:10" x14ac:dyDescent="0.2">
      <c r="A109" s="130">
        <v>66926</v>
      </c>
      <c r="B109" s="4" t="s">
        <v>625</v>
      </c>
      <c r="C109" s="4" t="s">
        <v>611</v>
      </c>
      <c r="D109" s="4" t="s">
        <v>305</v>
      </c>
      <c r="E109" s="4" t="s">
        <v>639</v>
      </c>
      <c r="F109" s="5">
        <v>425</v>
      </c>
      <c r="G109" s="5">
        <v>0</v>
      </c>
      <c r="H109" s="5">
        <f t="shared" si="1"/>
        <v>4675</v>
      </c>
      <c r="I109" s="4"/>
      <c r="J109" t="str">
        <f>IF(AND($B109=Party_Statement!$B$5,$A109&gt;=Party_Statement!$B$6,$A109&lt;=Party_Statement!$D$6),SUMPRODUCT(($B$3:$B109=Party_Statement!$B$5)*($A$3:$A109&gt;=Party_Statement!$B$6)*($A$3:$A109&lt;=Party_Statement!$D$6)),"")</f>
        <v/>
      </c>
    </row>
    <row r="110" spans="1:10" x14ac:dyDescent="0.2">
      <c r="A110" s="130">
        <v>66927</v>
      </c>
      <c r="B110" s="4" t="s">
        <v>625</v>
      </c>
      <c r="C110" s="4" t="s">
        <v>611</v>
      </c>
      <c r="D110" s="4" t="s">
        <v>319</v>
      </c>
      <c r="E110" s="4" t="s">
        <v>639</v>
      </c>
      <c r="F110" s="5">
        <v>425</v>
      </c>
      <c r="G110" s="5">
        <v>0</v>
      </c>
      <c r="H110" s="5">
        <f t="shared" si="1"/>
        <v>5100</v>
      </c>
      <c r="I110" s="4"/>
      <c r="J110" t="str">
        <f>IF(AND($B110=Party_Statement!$B$5,$A110&gt;=Party_Statement!$B$6,$A110&lt;=Party_Statement!$D$6),SUMPRODUCT(($B$3:$B110=Party_Statement!$B$5)*($A$3:$A110&gt;=Party_Statement!$B$6)*($A$3:$A110&lt;=Party_Statement!$D$6)),"")</f>
        <v/>
      </c>
    </row>
    <row r="111" spans="1:10" x14ac:dyDescent="0.2">
      <c r="A111" s="130">
        <v>66928</v>
      </c>
      <c r="B111" s="4" t="s">
        <v>625</v>
      </c>
      <c r="C111" s="4" t="s">
        <v>611</v>
      </c>
      <c r="D111" s="4" t="s">
        <v>341</v>
      </c>
      <c r="E111" s="4" t="s">
        <v>639</v>
      </c>
      <c r="F111" s="5">
        <v>680</v>
      </c>
      <c r="G111" s="5">
        <v>0</v>
      </c>
      <c r="H111" s="5">
        <f t="shared" si="1"/>
        <v>5780</v>
      </c>
      <c r="I111" s="4"/>
      <c r="J111" t="str">
        <f>IF(AND($B111=Party_Statement!$B$5,$A111&gt;=Party_Statement!$B$6,$A111&lt;=Party_Statement!$D$6),SUMPRODUCT(($B$3:$B111=Party_Statement!$B$5)*($A$3:$A111&gt;=Party_Statement!$B$6)*($A$3:$A111&lt;=Party_Statement!$D$6)),"")</f>
        <v/>
      </c>
    </row>
    <row r="112" spans="1:10" x14ac:dyDescent="0.2">
      <c r="A112" s="130">
        <v>66929</v>
      </c>
      <c r="B112" s="4" t="s">
        <v>625</v>
      </c>
      <c r="C112" s="4" t="s">
        <v>611</v>
      </c>
      <c r="D112" s="4" t="s">
        <v>360</v>
      </c>
      <c r="E112" s="4" t="s">
        <v>639</v>
      </c>
      <c r="F112" s="5">
        <v>680</v>
      </c>
      <c r="G112" s="5">
        <v>0</v>
      </c>
      <c r="H112" s="5">
        <f t="shared" si="1"/>
        <v>6460</v>
      </c>
      <c r="I112" s="4"/>
      <c r="J112" t="str">
        <f>IF(AND($B112=Party_Statement!$B$5,$A112&gt;=Party_Statement!$B$6,$A112&lt;=Party_Statement!$D$6),SUMPRODUCT(($B$3:$B112=Party_Statement!$B$5)*($A$3:$A112&gt;=Party_Statement!$B$6)*($A$3:$A112&lt;=Party_Statement!$D$6)),"")</f>
        <v/>
      </c>
    </row>
    <row r="113" spans="1:10" x14ac:dyDescent="0.2">
      <c r="A113" s="130">
        <v>66930</v>
      </c>
      <c r="B113" s="4" t="s">
        <v>625</v>
      </c>
      <c r="C113" s="4" t="s">
        <v>611</v>
      </c>
      <c r="D113" s="4" t="s">
        <v>372</v>
      </c>
      <c r="E113" s="4" t="s">
        <v>639</v>
      </c>
      <c r="F113" s="5">
        <v>425</v>
      </c>
      <c r="G113" s="5">
        <v>0</v>
      </c>
      <c r="H113" s="5">
        <f t="shared" si="1"/>
        <v>6885</v>
      </c>
      <c r="I113" s="4"/>
      <c r="J113" t="str">
        <f>IF(AND($B113=Party_Statement!$B$5,$A113&gt;=Party_Statement!$B$6,$A113&lt;=Party_Statement!$D$6),SUMPRODUCT(($B$3:$B113=Party_Statement!$B$5)*($A$3:$A113&gt;=Party_Statement!$B$6)*($A$3:$A113&lt;=Party_Statement!$D$6)),"")</f>
        <v/>
      </c>
    </row>
    <row r="114" spans="1:10" x14ac:dyDescent="0.2">
      <c r="A114" s="130">
        <v>66931</v>
      </c>
      <c r="B114" s="4" t="s">
        <v>625</v>
      </c>
      <c r="C114" s="4" t="s">
        <v>611</v>
      </c>
      <c r="D114" s="4" t="s">
        <v>389</v>
      </c>
      <c r="E114" s="4" t="s">
        <v>639</v>
      </c>
      <c r="F114" s="5">
        <v>425</v>
      </c>
      <c r="G114" s="5">
        <v>0</v>
      </c>
      <c r="H114" s="5">
        <f t="shared" si="1"/>
        <v>7310</v>
      </c>
      <c r="I114" s="4"/>
      <c r="J114" t="str">
        <f>IF(AND($B114=Party_Statement!$B$5,$A114&gt;=Party_Statement!$B$6,$A114&lt;=Party_Statement!$D$6),SUMPRODUCT(($B$3:$B114=Party_Statement!$B$5)*($A$3:$A114&gt;=Party_Statement!$B$6)*($A$3:$A114&lt;=Party_Statement!$D$6)),"")</f>
        <v/>
      </c>
    </row>
    <row r="115" spans="1:10" x14ac:dyDescent="0.2">
      <c r="A115" s="130">
        <v>66917</v>
      </c>
      <c r="B115" s="4" t="s">
        <v>113</v>
      </c>
      <c r="C115" s="4" t="s">
        <v>611</v>
      </c>
      <c r="D115" s="4" t="s">
        <v>112</v>
      </c>
      <c r="E115" s="4" t="s">
        <v>641</v>
      </c>
      <c r="F115" s="5">
        <v>16500</v>
      </c>
      <c r="G115" s="5">
        <v>0</v>
      </c>
      <c r="H115" s="5">
        <f t="shared" si="1"/>
        <v>16500</v>
      </c>
      <c r="I115" s="4"/>
      <c r="J115" t="str">
        <f>IF(AND($B115=Party_Statement!$B$5,$A115&gt;=Party_Statement!$B$6,$A115&lt;=Party_Statement!$D$6),SUMPRODUCT(($B$3:$B115=Party_Statement!$B$5)*($A$3:$A115&gt;=Party_Statement!$B$6)*($A$3:$A115&lt;=Party_Statement!$D$6)),"")</f>
        <v/>
      </c>
    </row>
    <row r="116" spans="1:10" x14ac:dyDescent="0.2">
      <c r="A116" s="130">
        <v>66916</v>
      </c>
      <c r="B116" s="4" t="s">
        <v>95</v>
      </c>
      <c r="C116" s="4" t="s">
        <v>611</v>
      </c>
      <c r="D116" s="4" t="s">
        <v>94</v>
      </c>
      <c r="E116" s="4" t="s">
        <v>639</v>
      </c>
      <c r="F116" s="5">
        <v>595</v>
      </c>
      <c r="G116" s="5">
        <v>0</v>
      </c>
      <c r="H116" s="5">
        <f t="shared" si="1"/>
        <v>595</v>
      </c>
      <c r="I116" s="4"/>
      <c r="J116">
        <f>IF(AND($B116=Party_Statement!$B$5,$A116&gt;=Party_Statement!$B$6,$A116&lt;=Party_Statement!$D$6),SUMPRODUCT(($B$3:$B116=Party_Statement!$B$5)*($A$3:$A116&gt;=Party_Statement!$B$6)*($A$3:$A116&lt;=Party_Statement!$D$6)),"")</f>
        <v>1</v>
      </c>
    </row>
    <row r="117" spans="1:10" x14ac:dyDescent="0.2">
      <c r="A117" s="130">
        <v>66917</v>
      </c>
      <c r="B117" s="4" t="s">
        <v>95</v>
      </c>
      <c r="C117" s="4" t="s">
        <v>611</v>
      </c>
      <c r="D117" s="4" t="s">
        <v>121</v>
      </c>
      <c r="E117" s="4" t="s">
        <v>639</v>
      </c>
      <c r="F117" s="5">
        <v>680</v>
      </c>
      <c r="G117" s="5">
        <v>0</v>
      </c>
      <c r="H117" s="5">
        <f t="shared" si="1"/>
        <v>1275</v>
      </c>
      <c r="I117" s="4"/>
      <c r="J117">
        <f>IF(AND($B117=Party_Statement!$B$5,$A117&gt;=Party_Statement!$B$6,$A117&lt;=Party_Statement!$D$6),SUMPRODUCT(($B$3:$B117=Party_Statement!$B$5)*($A$3:$A117&gt;=Party_Statement!$B$6)*($A$3:$A117&lt;=Party_Statement!$D$6)),"")</f>
        <v>2</v>
      </c>
    </row>
    <row r="118" spans="1:10" x14ac:dyDescent="0.2">
      <c r="A118" s="130">
        <v>66918</v>
      </c>
      <c r="B118" s="4" t="s">
        <v>95</v>
      </c>
      <c r="C118" s="4" t="s">
        <v>611</v>
      </c>
      <c r="D118" s="4" t="s">
        <v>138</v>
      </c>
      <c r="E118" s="4" t="s">
        <v>639</v>
      </c>
      <c r="F118" s="5">
        <v>680</v>
      </c>
      <c r="G118" s="5">
        <v>0</v>
      </c>
      <c r="H118" s="5">
        <f t="shared" si="1"/>
        <v>1955</v>
      </c>
      <c r="I118" s="4"/>
      <c r="J118">
        <f>IF(AND($B118=Party_Statement!$B$5,$A118&gt;=Party_Statement!$B$6,$A118&lt;=Party_Statement!$D$6),SUMPRODUCT(($B$3:$B118=Party_Statement!$B$5)*($A$3:$A118&gt;=Party_Statement!$B$6)*($A$3:$A118&lt;=Party_Statement!$D$6)),"")</f>
        <v>3</v>
      </c>
    </row>
    <row r="119" spans="1:10" x14ac:dyDescent="0.2">
      <c r="A119" s="130">
        <v>66919</v>
      </c>
      <c r="B119" s="4" t="s">
        <v>95</v>
      </c>
      <c r="C119" s="4" t="s">
        <v>611</v>
      </c>
      <c r="D119" s="4" t="s">
        <v>157</v>
      </c>
      <c r="E119" s="4" t="s">
        <v>639</v>
      </c>
      <c r="F119" s="5">
        <v>680</v>
      </c>
      <c r="G119" s="5">
        <v>0</v>
      </c>
      <c r="H119" s="5">
        <f t="shared" si="1"/>
        <v>2635</v>
      </c>
      <c r="I119" s="4"/>
      <c r="J119">
        <f>IF(AND($B119=Party_Statement!$B$5,$A119&gt;=Party_Statement!$B$6,$A119&lt;=Party_Statement!$D$6),SUMPRODUCT(($B$3:$B119=Party_Statement!$B$5)*($A$3:$A119&gt;=Party_Statement!$B$6)*($A$3:$A119&lt;=Party_Statement!$D$6)),"")</f>
        <v>4</v>
      </c>
    </row>
    <row r="120" spans="1:10" x14ac:dyDescent="0.2">
      <c r="A120" s="130">
        <v>66920</v>
      </c>
      <c r="B120" s="4" t="s">
        <v>95</v>
      </c>
      <c r="C120" s="4" t="s">
        <v>611</v>
      </c>
      <c r="D120" s="4" t="s">
        <v>180</v>
      </c>
      <c r="E120" s="4" t="s">
        <v>639</v>
      </c>
      <c r="F120" s="5">
        <v>680</v>
      </c>
      <c r="G120" s="5">
        <v>0</v>
      </c>
      <c r="H120" s="5">
        <f t="shared" si="1"/>
        <v>3315</v>
      </c>
      <c r="I120" s="4"/>
      <c r="J120">
        <f>IF(AND($B120=Party_Statement!$B$5,$A120&gt;=Party_Statement!$B$6,$A120&lt;=Party_Statement!$D$6),SUMPRODUCT(($B$3:$B120=Party_Statement!$B$5)*($A$3:$A120&gt;=Party_Statement!$B$6)*($A$3:$A120&lt;=Party_Statement!$D$6)),"")</f>
        <v>5</v>
      </c>
    </row>
    <row r="121" spans="1:10" x14ac:dyDescent="0.2">
      <c r="A121" s="130">
        <v>66921</v>
      </c>
      <c r="B121" s="4" t="s">
        <v>95</v>
      </c>
      <c r="C121" s="4" t="s">
        <v>611</v>
      </c>
      <c r="D121" s="4" t="s">
        <v>201</v>
      </c>
      <c r="E121" s="4" t="s">
        <v>639</v>
      </c>
      <c r="F121" s="5">
        <v>680</v>
      </c>
      <c r="G121" s="5">
        <v>0</v>
      </c>
      <c r="H121" s="5">
        <f t="shared" si="1"/>
        <v>3995</v>
      </c>
      <c r="I121" s="4"/>
      <c r="J121">
        <f>IF(AND($B121=Party_Statement!$B$5,$A121&gt;=Party_Statement!$B$6,$A121&lt;=Party_Statement!$D$6),SUMPRODUCT(($B$3:$B121=Party_Statement!$B$5)*($A$3:$A121&gt;=Party_Statement!$B$6)*($A$3:$A121&lt;=Party_Statement!$D$6)),"")</f>
        <v>6</v>
      </c>
    </row>
    <row r="122" spans="1:10" x14ac:dyDescent="0.2">
      <c r="A122" s="130">
        <v>66922</v>
      </c>
      <c r="B122" s="4" t="s">
        <v>95</v>
      </c>
      <c r="C122" s="4" t="s">
        <v>611</v>
      </c>
      <c r="D122" s="4" t="s">
        <v>227</v>
      </c>
      <c r="E122" s="4" t="s">
        <v>639</v>
      </c>
      <c r="F122" s="5">
        <v>680</v>
      </c>
      <c r="G122" s="5">
        <v>0</v>
      </c>
      <c r="H122" s="5">
        <f t="shared" si="1"/>
        <v>4675</v>
      </c>
      <c r="I122" s="4"/>
      <c r="J122">
        <f>IF(AND($B122=Party_Statement!$B$5,$A122&gt;=Party_Statement!$B$6,$A122&lt;=Party_Statement!$D$6),SUMPRODUCT(($B$3:$B122=Party_Statement!$B$5)*($A$3:$A122&gt;=Party_Statement!$B$6)*($A$3:$A122&lt;=Party_Statement!$D$6)),"")</f>
        <v>7</v>
      </c>
    </row>
    <row r="123" spans="1:10" x14ac:dyDescent="0.2">
      <c r="A123" s="130">
        <v>66923</v>
      </c>
      <c r="B123" s="4" t="s">
        <v>95</v>
      </c>
      <c r="C123" s="4" t="s">
        <v>611</v>
      </c>
      <c r="D123" s="4" t="s">
        <v>245</v>
      </c>
      <c r="E123" s="4" t="s">
        <v>639</v>
      </c>
      <c r="F123" s="5">
        <v>680</v>
      </c>
      <c r="G123" s="5">
        <v>0</v>
      </c>
      <c r="H123" s="5">
        <f t="shared" si="1"/>
        <v>5355</v>
      </c>
      <c r="I123" s="4"/>
      <c r="J123">
        <f>IF(AND($B123=Party_Statement!$B$5,$A123&gt;=Party_Statement!$B$6,$A123&lt;=Party_Statement!$D$6),SUMPRODUCT(($B$3:$B123=Party_Statement!$B$5)*($A$3:$A123&gt;=Party_Statement!$B$6)*($A$3:$A123&lt;=Party_Statement!$D$6)),"")</f>
        <v>8</v>
      </c>
    </row>
    <row r="124" spans="1:10" x14ac:dyDescent="0.2">
      <c r="A124" s="130">
        <v>66924</v>
      </c>
      <c r="B124" s="4" t="s">
        <v>95</v>
      </c>
      <c r="C124" s="4" t="s">
        <v>611</v>
      </c>
      <c r="D124" s="4" t="s">
        <v>273</v>
      </c>
      <c r="E124" s="4" t="s">
        <v>639</v>
      </c>
      <c r="F124" s="5">
        <v>680</v>
      </c>
      <c r="G124" s="5">
        <v>0</v>
      </c>
      <c r="H124" s="5">
        <f t="shared" si="1"/>
        <v>6035</v>
      </c>
      <c r="I124" s="4"/>
      <c r="J124">
        <f>IF(AND($B124=Party_Statement!$B$5,$A124&gt;=Party_Statement!$B$6,$A124&lt;=Party_Statement!$D$6),SUMPRODUCT(($B$3:$B124=Party_Statement!$B$5)*($A$3:$A124&gt;=Party_Statement!$B$6)*($A$3:$A124&lt;=Party_Statement!$D$6)),"")</f>
        <v>9</v>
      </c>
    </row>
    <row r="125" spans="1:10" x14ac:dyDescent="0.2">
      <c r="A125" s="130">
        <v>66925</v>
      </c>
      <c r="B125" s="4" t="s">
        <v>95</v>
      </c>
      <c r="C125" s="4" t="s">
        <v>611</v>
      </c>
      <c r="D125" s="4" t="s">
        <v>294</v>
      </c>
      <c r="E125" s="4" t="s">
        <v>639</v>
      </c>
      <c r="F125" s="5">
        <v>680</v>
      </c>
      <c r="G125" s="5">
        <v>0</v>
      </c>
      <c r="H125" s="5">
        <f t="shared" si="1"/>
        <v>6715</v>
      </c>
      <c r="I125" s="4"/>
      <c r="J125">
        <f>IF(AND($B125=Party_Statement!$B$5,$A125&gt;=Party_Statement!$B$6,$A125&lt;=Party_Statement!$D$6),SUMPRODUCT(($B$3:$B125=Party_Statement!$B$5)*($A$3:$A125&gt;=Party_Statement!$B$6)*($A$3:$A125&lt;=Party_Statement!$D$6)),"")</f>
        <v>10</v>
      </c>
    </row>
    <row r="126" spans="1:10" x14ac:dyDescent="0.2">
      <c r="A126" s="130">
        <v>66926</v>
      </c>
      <c r="B126" s="4" t="s">
        <v>95</v>
      </c>
      <c r="C126" s="4" t="s">
        <v>611</v>
      </c>
      <c r="D126" s="4" t="s">
        <v>299</v>
      </c>
      <c r="E126" s="4" t="s">
        <v>639</v>
      </c>
      <c r="F126" s="5">
        <v>680</v>
      </c>
      <c r="G126" s="5">
        <v>0</v>
      </c>
      <c r="H126" s="5">
        <f t="shared" si="1"/>
        <v>7395</v>
      </c>
      <c r="I126" s="4"/>
      <c r="J126">
        <f>IF(AND($B126=Party_Statement!$B$5,$A126&gt;=Party_Statement!$B$6,$A126&lt;=Party_Statement!$D$6),SUMPRODUCT(($B$3:$B126=Party_Statement!$B$5)*($A$3:$A126&gt;=Party_Statement!$B$6)*($A$3:$A126&lt;=Party_Statement!$D$6)),"")</f>
        <v>11</v>
      </c>
    </row>
    <row r="127" spans="1:10" x14ac:dyDescent="0.2">
      <c r="A127" s="130">
        <v>66927</v>
      </c>
      <c r="B127" s="4" t="s">
        <v>95</v>
      </c>
      <c r="C127" s="4" t="s">
        <v>611</v>
      </c>
      <c r="D127" s="4" t="s">
        <v>331</v>
      </c>
      <c r="E127" s="4" t="s">
        <v>639</v>
      </c>
      <c r="F127" s="5">
        <v>680</v>
      </c>
      <c r="G127" s="5">
        <v>0</v>
      </c>
      <c r="H127" s="5">
        <f t="shared" si="1"/>
        <v>8075</v>
      </c>
      <c r="I127" s="4"/>
      <c r="J127">
        <f>IF(AND($B127=Party_Statement!$B$5,$A127&gt;=Party_Statement!$B$6,$A127&lt;=Party_Statement!$D$6),SUMPRODUCT(($B$3:$B127=Party_Statement!$B$5)*($A$3:$A127&gt;=Party_Statement!$B$6)*($A$3:$A127&lt;=Party_Statement!$D$6)),"")</f>
        <v>12</v>
      </c>
    </row>
    <row r="128" spans="1:10" x14ac:dyDescent="0.2">
      <c r="A128" s="130">
        <v>66928</v>
      </c>
      <c r="B128" s="4" t="s">
        <v>95</v>
      </c>
      <c r="C128" s="4" t="s">
        <v>611</v>
      </c>
      <c r="D128" s="4" t="s">
        <v>344</v>
      </c>
      <c r="E128" s="4" t="s">
        <v>639</v>
      </c>
      <c r="F128" s="5">
        <v>680</v>
      </c>
      <c r="G128" s="5">
        <v>0</v>
      </c>
      <c r="H128" s="5">
        <f t="shared" si="1"/>
        <v>8755</v>
      </c>
      <c r="I128" s="4"/>
      <c r="J128">
        <f>IF(AND($B128=Party_Statement!$B$5,$A128&gt;=Party_Statement!$B$6,$A128&lt;=Party_Statement!$D$6),SUMPRODUCT(($B$3:$B128=Party_Statement!$B$5)*($A$3:$A128&gt;=Party_Statement!$B$6)*($A$3:$A128&lt;=Party_Statement!$D$6)),"")</f>
        <v>13</v>
      </c>
    </row>
    <row r="129" spans="1:10" x14ac:dyDescent="0.2">
      <c r="A129" s="130">
        <v>66929</v>
      </c>
      <c r="B129" s="4" t="s">
        <v>95</v>
      </c>
      <c r="C129" s="4" t="s">
        <v>611</v>
      </c>
      <c r="D129" s="4" t="s">
        <v>350</v>
      </c>
      <c r="E129" s="4" t="s">
        <v>639</v>
      </c>
      <c r="F129" s="5">
        <v>510</v>
      </c>
      <c r="G129" s="5">
        <v>0</v>
      </c>
      <c r="H129" s="5">
        <f t="shared" si="1"/>
        <v>9265</v>
      </c>
      <c r="I129" s="4"/>
      <c r="J129">
        <f>IF(AND($B129=Party_Statement!$B$5,$A129&gt;=Party_Statement!$B$6,$A129&lt;=Party_Statement!$D$6),SUMPRODUCT(($B$3:$B129=Party_Statement!$B$5)*($A$3:$A129&gt;=Party_Statement!$B$6)*($A$3:$A129&lt;=Party_Statement!$D$6)),"")</f>
        <v>14</v>
      </c>
    </row>
    <row r="130" spans="1:10" x14ac:dyDescent="0.2">
      <c r="A130" s="130">
        <v>66930</v>
      </c>
      <c r="B130" s="4" t="s">
        <v>95</v>
      </c>
      <c r="C130" s="4" t="s">
        <v>611</v>
      </c>
      <c r="D130" s="4" t="s">
        <v>379</v>
      </c>
      <c r="E130" s="4" t="s">
        <v>639</v>
      </c>
      <c r="F130" s="5">
        <v>595</v>
      </c>
      <c r="G130" s="5">
        <v>0</v>
      </c>
      <c r="H130" s="5">
        <f t="shared" si="1"/>
        <v>9860</v>
      </c>
      <c r="I130" s="4"/>
      <c r="J130">
        <f>IF(AND($B130=Party_Statement!$B$5,$A130&gt;=Party_Statement!$B$6,$A130&lt;=Party_Statement!$D$6),SUMPRODUCT(($B$3:$B130=Party_Statement!$B$5)*($A$3:$A130&gt;=Party_Statement!$B$6)*($A$3:$A130&lt;=Party_Statement!$D$6)),"")</f>
        <v>15</v>
      </c>
    </row>
    <row r="131" spans="1:10" x14ac:dyDescent="0.2">
      <c r="A131" s="130">
        <v>66931</v>
      </c>
      <c r="B131" s="4" t="s">
        <v>95</v>
      </c>
      <c r="C131" s="4" t="s">
        <v>611</v>
      </c>
      <c r="D131" s="4" t="s">
        <v>398</v>
      </c>
      <c r="E131" s="4" t="s">
        <v>639</v>
      </c>
      <c r="F131" s="5">
        <v>510</v>
      </c>
      <c r="G131" s="5">
        <v>0</v>
      </c>
      <c r="H131" s="5">
        <f t="shared" si="1"/>
        <v>10370</v>
      </c>
      <c r="I131" s="4"/>
      <c r="J131">
        <f>IF(AND($B131=Party_Statement!$B$5,$A131&gt;=Party_Statement!$B$6,$A131&lt;=Party_Statement!$D$6),SUMPRODUCT(($B$3:$B131=Party_Statement!$B$5)*($A$3:$A131&gt;=Party_Statement!$B$6)*($A$3:$A131&lt;=Party_Statement!$D$6)),"")</f>
        <v>16</v>
      </c>
    </row>
    <row r="132" spans="1:10" x14ac:dyDescent="0.2">
      <c r="A132" s="130">
        <v>66916</v>
      </c>
      <c r="B132" s="4" t="s">
        <v>626</v>
      </c>
      <c r="C132" s="4" t="s">
        <v>611</v>
      </c>
      <c r="D132" s="4" t="s">
        <v>86</v>
      </c>
      <c r="E132" s="4" t="s">
        <v>639</v>
      </c>
      <c r="F132" s="5">
        <v>1275</v>
      </c>
      <c r="G132" s="5">
        <v>0</v>
      </c>
      <c r="H132" s="5">
        <f t="shared" ref="H132:H195" si="2">IF($B132="","",IF($B132=$B131,$H131,0)+$F132-$G132)</f>
        <v>1275</v>
      </c>
      <c r="I132" s="4"/>
      <c r="J132" t="str">
        <f>IF(AND($B132=Party_Statement!$B$5,$A132&gt;=Party_Statement!$B$6,$A132&lt;=Party_Statement!$D$6),SUMPRODUCT(($B$3:$B132=Party_Statement!$B$5)*($A$3:$A132&gt;=Party_Statement!$B$6)*($A$3:$A132&lt;=Party_Statement!$D$6)),"")</f>
        <v/>
      </c>
    </row>
    <row r="133" spans="1:10" x14ac:dyDescent="0.2">
      <c r="A133" s="130">
        <v>66917</v>
      </c>
      <c r="B133" s="4" t="s">
        <v>626</v>
      </c>
      <c r="C133" s="4" t="s">
        <v>611</v>
      </c>
      <c r="D133" s="4" t="s">
        <v>109</v>
      </c>
      <c r="E133" s="4" t="s">
        <v>639</v>
      </c>
      <c r="F133" s="5">
        <v>1275</v>
      </c>
      <c r="G133" s="5">
        <v>0</v>
      </c>
      <c r="H133" s="5">
        <f t="shared" si="2"/>
        <v>2550</v>
      </c>
      <c r="I133" s="4"/>
      <c r="J133" t="str">
        <f>IF(AND($B133=Party_Statement!$B$5,$A133&gt;=Party_Statement!$B$6,$A133&lt;=Party_Statement!$D$6),SUMPRODUCT(($B$3:$B133=Party_Statement!$B$5)*($A$3:$A133&gt;=Party_Statement!$B$6)*($A$3:$A133&lt;=Party_Statement!$D$6)),"")</f>
        <v/>
      </c>
    </row>
    <row r="134" spans="1:10" x14ac:dyDescent="0.2">
      <c r="A134" s="130">
        <v>66918</v>
      </c>
      <c r="B134" s="4" t="s">
        <v>626</v>
      </c>
      <c r="C134" s="4" t="s">
        <v>611</v>
      </c>
      <c r="D134" s="4" t="s">
        <v>132</v>
      </c>
      <c r="E134" s="4" t="s">
        <v>639</v>
      </c>
      <c r="F134" s="5">
        <v>1275</v>
      </c>
      <c r="G134" s="5">
        <v>0</v>
      </c>
      <c r="H134" s="5">
        <f t="shared" si="2"/>
        <v>3825</v>
      </c>
      <c r="I134" s="4"/>
      <c r="J134" t="str">
        <f>IF(AND($B134=Party_Statement!$B$5,$A134&gt;=Party_Statement!$B$6,$A134&lt;=Party_Statement!$D$6),SUMPRODUCT(($B$3:$B134=Party_Statement!$B$5)*($A$3:$A134&gt;=Party_Statement!$B$6)*($A$3:$A134&lt;=Party_Statement!$D$6)),"")</f>
        <v/>
      </c>
    </row>
    <row r="135" spans="1:10" x14ac:dyDescent="0.2">
      <c r="A135" s="130">
        <v>66919</v>
      </c>
      <c r="B135" s="4" t="s">
        <v>626</v>
      </c>
      <c r="C135" s="4" t="s">
        <v>611</v>
      </c>
      <c r="D135" s="4" t="s">
        <v>146</v>
      </c>
      <c r="E135" s="4" t="s">
        <v>639</v>
      </c>
      <c r="F135" s="5">
        <v>1275</v>
      </c>
      <c r="G135" s="5">
        <v>0</v>
      </c>
      <c r="H135" s="5">
        <f t="shared" si="2"/>
        <v>5100</v>
      </c>
      <c r="I135" s="4"/>
      <c r="J135" t="str">
        <f>IF(AND($B135=Party_Statement!$B$5,$A135&gt;=Party_Statement!$B$6,$A135&lt;=Party_Statement!$D$6),SUMPRODUCT(($B$3:$B135=Party_Statement!$B$5)*($A$3:$A135&gt;=Party_Statement!$B$6)*($A$3:$A135&lt;=Party_Statement!$D$6)),"")</f>
        <v/>
      </c>
    </row>
    <row r="136" spans="1:10" x14ac:dyDescent="0.2">
      <c r="A136" s="130">
        <v>66920</v>
      </c>
      <c r="B136" s="4" t="s">
        <v>626</v>
      </c>
      <c r="C136" s="4" t="s">
        <v>611</v>
      </c>
      <c r="D136" s="4" t="s">
        <v>174</v>
      </c>
      <c r="E136" s="4" t="s">
        <v>639</v>
      </c>
      <c r="F136" s="5">
        <v>1275</v>
      </c>
      <c r="G136" s="5">
        <v>0</v>
      </c>
      <c r="H136" s="5">
        <f t="shared" si="2"/>
        <v>6375</v>
      </c>
      <c r="I136" s="4"/>
      <c r="J136" t="str">
        <f>IF(AND($B136=Party_Statement!$B$5,$A136&gt;=Party_Statement!$B$6,$A136&lt;=Party_Statement!$D$6),SUMPRODUCT(($B$3:$B136=Party_Statement!$B$5)*($A$3:$A136&gt;=Party_Statement!$B$6)*($A$3:$A136&lt;=Party_Statement!$D$6)),"")</f>
        <v/>
      </c>
    </row>
    <row r="137" spans="1:10" x14ac:dyDescent="0.2">
      <c r="A137" s="130">
        <v>66921</v>
      </c>
      <c r="B137" s="4" t="s">
        <v>626</v>
      </c>
      <c r="C137" s="4" t="s">
        <v>611</v>
      </c>
      <c r="D137" s="4" t="s">
        <v>194</v>
      </c>
      <c r="E137" s="4" t="s">
        <v>639</v>
      </c>
      <c r="F137" s="5">
        <v>1275</v>
      </c>
      <c r="G137" s="5">
        <v>0</v>
      </c>
      <c r="H137" s="5">
        <f t="shared" si="2"/>
        <v>7650</v>
      </c>
      <c r="I137" s="4"/>
      <c r="J137" t="str">
        <f>IF(AND($B137=Party_Statement!$B$5,$A137&gt;=Party_Statement!$B$6,$A137&lt;=Party_Statement!$D$6),SUMPRODUCT(($B$3:$B137=Party_Statement!$B$5)*($A$3:$A137&gt;=Party_Statement!$B$6)*($A$3:$A137&lt;=Party_Statement!$D$6)),"")</f>
        <v/>
      </c>
    </row>
    <row r="138" spans="1:10" x14ac:dyDescent="0.2">
      <c r="A138" s="130">
        <v>66922</v>
      </c>
      <c r="B138" s="4" t="s">
        <v>626</v>
      </c>
      <c r="C138" s="4" t="s">
        <v>611</v>
      </c>
      <c r="D138" s="4" t="s">
        <v>225</v>
      </c>
      <c r="E138" s="4" t="s">
        <v>639</v>
      </c>
      <c r="F138" s="5">
        <v>1275</v>
      </c>
      <c r="G138" s="5">
        <v>0</v>
      </c>
      <c r="H138" s="5">
        <f t="shared" si="2"/>
        <v>8925</v>
      </c>
      <c r="I138" s="4"/>
      <c r="J138" t="str">
        <f>IF(AND($B138=Party_Statement!$B$5,$A138&gt;=Party_Statement!$B$6,$A138&lt;=Party_Statement!$D$6),SUMPRODUCT(($B$3:$B138=Party_Statement!$B$5)*($A$3:$A138&gt;=Party_Statement!$B$6)*($A$3:$A138&lt;=Party_Statement!$D$6)),"")</f>
        <v/>
      </c>
    </row>
    <row r="139" spans="1:10" x14ac:dyDescent="0.2">
      <c r="A139" s="130">
        <v>66923</v>
      </c>
      <c r="B139" s="4" t="s">
        <v>626</v>
      </c>
      <c r="C139" s="4" t="s">
        <v>611</v>
      </c>
      <c r="D139" s="4" t="s">
        <v>239</v>
      </c>
      <c r="E139" s="4" t="s">
        <v>639</v>
      </c>
      <c r="F139" s="5">
        <v>1275</v>
      </c>
      <c r="G139" s="5">
        <v>0</v>
      </c>
      <c r="H139" s="5">
        <f t="shared" si="2"/>
        <v>10200</v>
      </c>
      <c r="I139" s="4"/>
      <c r="J139" t="str">
        <f>IF(AND($B139=Party_Statement!$B$5,$A139&gt;=Party_Statement!$B$6,$A139&lt;=Party_Statement!$D$6),SUMPRODUCT(($B$3:$B139=Party_Statement!$B$5)*($A$3:$A139&gt;=Party_Statement!$B$6)*($A$3:$A139&lt;=Party_Statement!$D$6)),"")</f>
        <v/>
      </c>
    </row>
    <row r="140" spans="1:10" x14ac:dyDescent="0.2">
      <c r="A140" s="130">
        <v>66924</v>
      </c>
      <c r="B140" s="4" t="s">
        <v>626</v>
      </c>
      <c r="C140" s="4" t="s">
        <v>611</v>
      </c>
      <c r="D140" s="4" t="s">
        <v>262</v>
      </c>
      <c r="E140" s="4" t="s">
        <v>639</v>
      </c>
      <c r="F140" s="5">
        <v>1275</v>
      </c>
      <c r="G140" s="5">
        <v>0</v>
      </c>
      <c r="H140" s="5">
        <f t="shared" si="2"/>
        <v>11475</v>
      </c>
      <c r="I140" s="4"/>
      <c r="J140" t="str">
        <f>IF(AND($B140=Party_Statement!$B$5,$A140&gt;=Party_Statement!$B$6,$A140&lt;=Party_Statement!$D$6),SUMPRODUCT(($B$3:$B140=Party_Statement!$B$5)*($A$3:$A140&gt;=Party_Statement!$B$6)*($A$3:$A140&lt;=Party_Statement!$D$6)),"")</f>
        <v/>
      </c>
    </row>
    <row r="141" spans="1:10" x14ac:dyDescent="0.2">
      <c r="A141" s="130">
        <v>66925</v>
      </c>
      <c r="B141" s="4" t="s">
        <v>626</v>
      </c>
      <c r="C141" s="4" t="s">
        <v>611</v>
      </c>
      <c r="D141" s="4" t="s">
        <v>286</v>
      </c>
      <c r="E141" s="4" t="s">
        <v>639</v>
      </c>
      <c r="F141" s="5">
        <v>1275</v>
      </c>
      <c r="G141" s="5">
        <v>0</v>
      </c>
      <c r="H141" s="5">
        <f t="shared" si="2"/>
        <v>12750</v>
      </c>
      <c r="I141" s="4"/>
      <c r="J141" t="str">
        <f>IF(AND($B141=Party_Statement!$B$5,$A141&gt;=Party_Statement!$B$6,$A141&lt;=Party_Statement!$D$6),SUMPRODUCT(($B$3:$B141=Party_Statement!$B$5)*($A$3:$A141&gt;=Party_Statement!$B$6)*($A$3:$A141&lt;=Party_Statement!$D$6)),"")</f>
        <v/>
      </c>
    </row>
    <row r="142" spans="1:10" x14ac:dyDescent="0.2">
      <c r="A142" s="130">
        <v>66926</v>
      </c>
      <c r="B142" s="4" t="s">
        <v>626</v>
      </c>
      <c r="C142" s="4" t="s">
        <v>611</v>
      </c>
      <c r="D142" s="4" t="s">
        <v>306</v>
      </c>
      <c r="E142" s="4" t="s">
        <v>639</v>
      </c>
      <c r="F142" s="5">
        <v>1275</v>
      </c>
      <c r="G142" s="5">
        <v>0</v>
      </c>
      <c r="H142" s="5">
        <f t="shared" si="2"/>
        <v>14025</v>
      </c>
      <c r="I142" s="4"/>
      <c r="J142" t="str">
        <f>IF(AND($B142=Party_Statement!$B$5,$A142&gt;=Party_Statement!$B$6,$A142&lt;=Party_Statement!$D$6),SUMPRODUCT(($B$3:$B142=Party_Statement!$B$5)*($A$3:$A142&gt;=Party_Statement!$B$6)*($A$3:$A142&lt;=Party_Statement!$D$6)),"")</f>
        <v/>
      </c>
    </row>
    <row r="143" spans="1:10" x14ac:dyDescent="0.2">
      <c r="A143" s="130">
        <v>66927</v>
      </c>
      <c r="B143" s="4" t="s">
        <v>626</v>
      </c>
      <c r="C143" s="4" t="s">
        <v>611</v>
      </c>
      <c r="D143" s="4" t="s">
        <v>320</v>
      </c>
      <c r="E143" s="4" t="s">
        <v>639</v>
      </c>
      <c r="F143" s="5">
        <v>1275</v>
      </c>
      <c r="G143" s="5">
        <v>0</v>
      </c>
      <c r="H143" s="5">
        <f t="shared" si="2"/>
        <v>15300</v>
      </c>
      <c r="I143" s="4"/>
      <c r="J143" t="str">
        <f>IF(AND($B143=Party_Statement!$B$5,$A143&gt;=Party_Statement!$B$6,$A143&lt;=Party_Statement!$D$6),SUMPRODUCT(($B$3:$B143=Party_Statement!$B$5)*($A$3:$A143&gt;=Party_Statement!$B$6)*($A$3:$A143&lt;=Party_Statement!$D$6)),"")</f>
        <v/>
      </c>
    </row>
    <row r="144" spans="1:10" x14ac:dyDescent="0.2">
      <c r="A144" s="130">
        <v>66928</v>
      </c>
      <c r="B144" s="4" t="s">
        <v>626</v>
      </c>
      <c r="C144" s="4" t="s">
        <v>611</v>
      </c>
      <c r="D144" s="4" t="s">
        <v>340</v>
      </c>
      <c r="E144" s="4" t="s">
        <v>639</v>
      </c>
      <c r="F144" s="5">
        <v>1275</v>
      </c>
      <c r="G144" s="5">
        <v>0</v>
      </c>
      <c r="H144" s="5">
        <f t="shared" si="2"/>
        <v>16575</v>
      </c>
      <c r="I144" s="4"/>
      <c r="J144" t="str">
        <f>IF(AND($B144=Party_Statement!$B$5,$A144&gt;=Party_Statement!$B$6,$A144&lt;=Party_Statement!$D$6),SUMPRODUCT(($B$3:$B144=Party_Statement!$B$5)*($A$3:$A144&gt;=Party_Statement!$B$6)*($A$3:$A144&lt;=Party_Statement!$D$6)),"")</f>
        <v/>
      </c>
    </row>
    <row r="145" spans="1:10" x14ac:dyDescent="0.2">
      <c r="A145" s="130">
        <v>66929</v>
      </c>
      <c r="B145" s="4" t="s">
        <v>626</v>
      </c>
      <c r="C145" s="4" t="s">
        <v>611</v>
      </c>
      <c r="D145" s="4" t="s">
        <v>359</v>
      </c>
      <c r="E145" s="4" t="s">
        <v>639</v>
      </c>
      <c r="F145" s="5">
        <v>2550</v>
      </c>
      <c r="G145" s="5">
        <v>0</v>
      </c>
      <c r="H145" s="5">
        <f t="shared" si="2"/>
        <v>19125</v>
      </c>
      <c r="I145" s="4"/>
      <c r="J145" t="str">
        <f>IF(AND($B145=Party_Statement!$B$5,$A145&gt;=Party_Statement!$B$6,$A145&lt;=Party_Statement!$D$6),SUMPRODUCT(($B$3:$B145=Party_Statement!$B$5)*($A$3:$A145&gt;=Party_Statement!$B$6)*($A$3:$A145&lt;=Party_Statement!$D$6)),"")</f>
        <v/>
      </c>
    </row>
    <row r="146" spans="1:10" x14ac:dyDescent="0.2">
      <c r="A146" s="130">
        <v>66930</v>
      </c>
      <c r="B146" s="4" t="s">
        <v>626</v>
      </c>
      <c r="C146" s="4" t="s">
        <v>611</v>
      </c>
      <c r="D146" s="4" t="s">
        <v>369</v>
      </c>
      <c r="E146" s="4" t="s">
        <v>639</v>
      </c>
      <c r="F146" s="5">
        <v>1275</v>
      </c>
      <c r="G146" s="5">
        <v>0</v>
      </c>
      <c r="H146" s="5">
        <f t="shared" si="2"/>
        <v>20400</v>
      </c>
      <c r="I146" s="4"/>
      <c r="J146" t="str">
        <f>IF(AND($B146=Party_Statement!$B$5,$A146&gt;=Party_Statement!$B$6,$A146&lt;=Party_Statement!$D$6),SUMPRODUCT(($B$3:$B146=Party_Statement!$B$5)*($A$3:$A146&gt;=Party_Statement!$B$6)*($A$3:$A146&lt;=Party_Statement!$D$6)),"")</f>
        <v/>
      </c>
    </row>
    <row r="147" spans="1:10" x14ac:dyDescent="0.2">
      <c r="A147" s="130">
        <v>66931</v>
      </c>
      <c r="B147" s="4" t="s">
        <v>626</v>
      </c>
      <c r="C147" s="4" t="s">
        <v>611</v>
      </c>
      <c r="D147" s="4" t="s">
        <v>390</v>
      </c>
      <c r="E147" s="4" t="s">
        <v>639</v>
      </c>
      <c r="F147" s="5">
        <v>1275</v>
      </c>
      <c r="G147" s="5">
        <v>0</v>
      </c>
      <c r="H147" s="5">
        <f t="shared" si="2"/>
        <v>21675</v>
      </c>
      <c r="I147" s="4"/>
      <c r="J147" t="str">
        <f>IF(AND($B147=Party_Statement!$B$5,$A147&gt;=Party_Statement!$B$6,$A147&lt;=Party_Statement!$D$6),SUMPRODUCT(($B$3:$B147=Party_Statement!$B$5)*($A$3:$A147&gt;=Party_Statement!$B$6)*($A$3:$A147&lt;=Party_Statement!$D$6)),"")</f>
        <v/>
      </c>
    </row>
    <row r="148" spans="1:10" x14ac:dyDescent="0.2">
      <c r="A148" s="130">
        <v>66925</v>
      </c>
      <c r="B148" s="4" t="s">
        <v>290</v>
      </c>
      <c r="C148" s="4" t="s">
        <v>611</v>
      </c>
      <c r="D148" s="4" t="s">
        <v>289</v>
      </c>
      <c r="E148" s="4" t="s">
        <v>639</v>
      </c>
      <c r="F148" s="5">
        <v>170</v>
      </c>
      <c r="G148" s="5">
        <v>0</v>
      </c>
      <c r="H148" s="5">
        <f t="shared" si="2"/>
        <v>170</v>
      </c>
      <c r="I148" s="4"/>
      <c r="J148" t="str">
        <f>IF(AND($B148=Party_Statement!$B$5,$A148&gt;=Party_Statement!$B$6,$A148&lt;=Party_Statement!$D$6),SUMPRODUCT(($B$3:$B148=Party_Statement!$B$5)*($A$3:$A148&gt;=Party_Statement!$B$6)*($A$3:$A148&lt;=Party_Statement!$D$6)),"")</f>
        <v/>
      </c>
    </row>
    <row r="149" spans="1:10" x14ac:dyDescent="0.2">
      <c r="A149" s="130">
        <v>66925</v>
      </c>
      <c r="B149" s="4" t="s">
        <v>290</v>
      </c>
      <c r="C149" s="4" t="s">
        <v>611</v>
      </c>
      <c r="D149" s="4" t="s">
        <v>289</v>
      </c>
      <c r="E149" s="4" t="s">
        <v>641</v>
      </c>
      <c r="F149" s="5">
        <v>1100</v>
      </c>
      <c r="G149" s="5">
        <v>0</v>
      </c>
      <c r="H149" s="5">
        <f t="shared" si="2"/>
        <v>1270</v>
      </c>
      <c r="I149" s="4"/>
      <c r="J149" t="str">
        <f>IF(AND($B149=Party_Statement!$B$5,$A149&gt;=Party_Statement!$B$6,$A149&lt;=Party_Statement!$D$6),SUMPRODUCT(($B$3:$B149=Party_Statement!$B$5)*($A$3:$A149&gt;=Party_Statement!$B$6)*($A$3:$A149&lt;=Party_Statement!$D$6)),"")</f>
        <v/>
      </c>
    </row>
    <row r="150" spans="1:10" x14ac:dyDescent="0.2">
      <c r="A150" s="130">
        <v>66917</v>
      </c>
      <c r="B150" s="4" t="s">
        <v>116</v>
      </c>
      <c r="C150" s="4" t="s">
        <v>611</v>
      </c>
      <c r="D150" s="4" t="s">
        <v>115</v>
      </c>
      <c r="E150" s="4" t="s">
        <v>639</v>
      </c>
      <c r="F150" s="5">
        <v>2975</v>
      </c>
      <c r="G150" s="5">
        <v>0</v>
      </c>
      <c r="H150" s="5">
        <f t="shared" si="2"/>
        <v>2975</v>
      </c>
      <c r="I150" s="4"/>
      <c r="J150" t="str">
        <f>IF(AND($B150=Party_Statement!$B$5,$A150&gt;=Party_Statement!$B$6,$A150&lt;=Party_Statement!$D$6),SUMPRODUCT(($B$3:$B150=Party_Statement!$B$5)*($A$3:$A150&gt;=Party_Statement!$B$6)*($A$3:$A150&lt;=Party_Statement!$D$6)),"")</f>
        <v/>
      </c>
    </row>
    <row r="151" spans="1:10" x14ac:dyDescent="0.2">
      <c r="A151" s="130">
        <v>66924</v>
      </c>
      <c r="B151" s="4" t="s">
        <v>116</v>
      </c>
      <c r="C151" s="4" t="s">
        <v>611</v>
      </c>
      <c r="D151" s="4" t="s">
        <v>267</v>
      </c>
      <c r="E151" s="4" t="s">
        <v>639</v>
      </c>
      <c r="F151" s="5">
        <v>2975</v>
      </c>
      <c r="G151" s="5">
        <v>0</v>
      </c>
      <c r="H151" s="5">
        <f t="shared" si="2"/>
        <v>5950</v>
      </c>
      <c r="I151" s="4"/>
      <c r="J151" t="str">
        <f>IF(AND($B151=Party_Statement!$B$5,$A151&gt;=Party_Statement!$B$6,$A151&lt;=Party_Statement!$D$6),SUMPRODUCT(($B$3:$B151=Party_Statement!$B$5)*($A$3:$A151&gt;=Party_Statement!$B$6)*($A$3:$A151&lt;=Party_Statement!$D$6)),"")</f>
        <v/>
      </c>
    </row>
    <row r="152" spans="1:10" x14ac:dyDescent="0.2">
      <c r="A152" s="130">
        <v>66931</v>
      </c>
      <c r="B152" s="4" t="s">
        <v>116</v>
      </c>
      <c r="C152" s="4" t="s">
        <v>611</v>
      </c>
      <c r="D152" s="4" t="s">
        <v>394</v>
      </c>
      <c r="E152" s="4" t="s">
        <v>639</v>
      </c>
      <c r="F152" s="5">
        <v>2975</v>
      </c>
      <c r="G152" s="5">
        <v>0</v>
      </c>
      <c r="H152" s="5">
        <f t="shared" si="2"/>
        <v>8925</v>
      </c>
      <c r="I152" s="4"/>
      <c r="J152" t="str">
        <f>IF(AND($B152=Party_Statement!$B$5,$A152&gt;=Party_Statement!$B$6,$A152&lt;=Party_Statement!$D$6),SUMPRODUCT(($B$3:$B152=Party_Statement!$B$5)*($A$3:$A152&gt;=Party_Statement!$B$6)*($A$3:$A152&lt;=Party_Statement!$D$6)),"")</f>
        <v/>
      </c>
    </row>
    <row r="153" spans="1:10" x14ac:dyDescent="0.2">
      <c r="A153" s="130">
        <v>66917</v>
      </c>
      <c r="B153" s="4" t="s">
        <v>118</v>
      </c>
      <c r="C153" s="4" t="s">
        <v>611</v>
      </c>
      <c r="D153" s="4" t="s">
        <v>117</v>
      </c>
      <c r="E153" s="4" t="s">
        <v>639</v>
      </c>
      <c r="F153" s="5">
        <v>2550</v>
      </c>
      <c r="G153" s="5">
        <v>0</v>
      </c>
      <c r="H153" s="5">
        <f t="shared" si="2"/>
        <v>2550</v>
      </c>
      <c r="I153" s="4"/>
      <c r="J153" t="str">
        <f>IF(AND($B153=Party_Statement!$B$5,$A153&gt;=Party_Statement!$B$6,$A153&lt;=Party_Statement!$D$6),SUMPRODUCT(($B$3:$B153=Party_Statement!$B$5)*($A$3:$A153&gt;=Party_Statement!$B$6)*($A$3:$A153&lt;=Party_Statement!$D$6)),"")</f>
        <v/>
      </c>
    </row>
    <row r="154" spans="1:10" x14ac:dyDescent="0.2">
      <c r="A154" s="130">
        <v>66924</v>
      </c>
      <c r="B154" s="4" t="s">
        <v>118</v>
      </c>
      <c r="C154" s="4" t="s">
        <v>611</v>
      </c>
      <c r="D154" s="4" t="s">
        <v>268</v>
      </c>
      <c r="E154" s="4" t="s">
        <v>639</v>
      </c>
      <c r="F154" s="5">
        <v>2550</v>
      </c>
      <c r="G154" s="5">
        <v>0</v>
      </c>
      <c r="H154" s="5">
        <f t="shared" si="2"/>
        <v>5100</v>
      </c>
      <c r="I154" s="4"/>
      <c r="J154" t="str">
        <f>IF(AND($B154=Party_Statement!$B$5,$A154&gt;=Party_Statement!$B$6,$A154&lt;=Party_Statement!$D$6),SUMPRODUCT(($B$3:$B154=Party_Statement!$B$5)*($A$3:$A154&gt;=Party_Statement!$B$6)*($A$3:$A154&lt;=Party_Statement!$D$6)),"")</f>
        <v/>
      </c>
    </row>
    <row r="155" spans="1:10" x14ac:dyDescent="0.2">
      <c r="A155" s="130">
        <v>66931</v>
      </c>
      <c r="B155" s="4" t="s">
        <v>118</v>
      </c>
      <c r="C155" s="4" t="s">
        <v>611</v>
      </c>
      <c r="D155" s="4" t="s">
        <v>395</v>
      </c>
      <c r="E155" s="4" t="s">
        <v>639</v>
      </c>
      <c r="F155" s="5">
        <v>2550</v>
      </c>
      <c r="G155" s="5">
        <v>0</v>
      </c>
      <c r="H155" s="5">
        <f t="shared" si="2"/>
        <v>7650</v>
      </c>
      <c r="I155" s="4"/>
      <c r="J155" t="str">
        <f>IF(AND($B155=Party_Statement!$B$5,$A155&gt;=Party_Statement!$B$6,$A155&lt;=Party_Statement!$D$6),SUMPRODUCT(($B$3:$B155=Party_Statement!$B$5)*($A$3:$A155&gt;=Party_Statement!$B$6)*($A$3:$A155&lt;=Party_Statement!$D$6)),"")</f>
        <v/>
      </c>
    </row>
    <row r="156" spans="1:10" x14ac:dyDescent="0.2">
      <c r="A156" s="130">
        <v>66916</v>
      </c>
      <c r="B156" s="4" t="s">
        <v>81</v>
      </c>
      <c r="C156" s="4" t="s">
        <v>611</v>
      </c>
      <c r="D156" s="4" t="s">
        <v>80</v>
      </c>
      <c r="E156" s="4" t="s">
        <v>639</v>
      </c>
      <c r="F156" s="5">
        <v>344</v>
      </c>
      <c r="G156" s="5">
        <v>0</v>
      </c>
      <c r="H156" s="5">
        <f t="shared" si="2"/>
        <v>344</v>
      </c>
      <c r="I156" s="4"/>
      <c r="J156" t="str">
        <f>IF(AND($B156=Party_Statement!$B$5,$A156&gt;=Party_Statement!$B$6,$A156&lt;=Party_Statement!$D$6),SUMPRODUCT(($B$3:$B156=Party_Statement!$B$5)*($A$3:$A156&gt;=Party_Statement!$B$6)*($A$3:$A156&lt;=Party_Statement!$D$6)),"")</f>
        <v/>
      </c>
    </row>
    <row r="157" spans="1:10" x14ac:dyDescent="0.2">
      <c r="A157" s="130">
        <v>66917</v>
      </c>
      <c r="B157" s="4" t="s">
        <v>81</v>
      </c>
      <c r="C157" s="4" t="s">
        <v>611</v>
      </c>
      <c r="D157" s="4" t="s">
        <v>104</v>
      </c>
      <c r="E157" s="4" t="s">
        <v>639</v>
      </c>
      <c r="F157" s="5">
        <v>344</v>
      </c>
      <c r="G157" s="5">
        <v>0</v>
      </c>
      <c r="H157" s="5">
        <f t="shared" si="2"/>
        <v>688</v>
      </c>
      <c r="I157" s="4"/>
      <c r="J157" t="str">
        <f>IF(AND($B157=Party_Statement!$B$5,$A157&gt;=Party_Statement!$B$6,$A157&lt;=Party_Statement!$D$6),SUMPRODUCT(($B$3:$B157=Party_Statement!$B$5)*($A$3:$A157&gt;=Party_Statement!$B$6)*($A$3:$A157&lt;=Party_Statement!$D$6)),"")</f>
        <v/>
      </c>
    </row>
    <row r="158" spans="1:10" x14ac:dyDescent="0.2">
      <c r="A158" s="130">
        <v>66918</v>
      </c>
      <c r="B158" s="4" t="s">
        <v>81</v>
      </c>
      <c r="C158" s="4" t="s">
        <v>611</v>
      </c>
      <c r="D158" s="4" t="s">
        <v>125</v>
      </c>
      <c r="E158" s="4" t="s">
        <v>639</v>
      </c>
      <c r="F158" s="5">
        <v>344</v>
      </c>
      <c r="G158" s="5">
        <v>0</v>
      </c>
      <c r="H158" s="5">
        <f t="shared" si="2"/>
        <v>1032</v>
      </c>
      <c r="I158" s="4"/>
      <c r="J158" t="str">
        <f>IF(AND($B158=Party_Statement!$B$5,$A158&gt;=Party_Statement!$B$6,$A158&lt;=Party_Statement!$D$6),SUMPRODUCT(($B$3:$B158=Party_Statement!$B$5)*($A$3:$A158&gt;=Party_Statement!$B$6)*($A$3:$A158&lt;=Party_Statement!$D$6)),"")</f>
        <v/>
      </c>
    </row>
    <row r="159" spans="1:10" x14ac:dyDescent="0.2">
      <c r="A159" s="130">
        <v>66919</v>
      </c>
      <c r="B159" s="4" t="s">
        <v>81</v>
      </c>
      <c r="C159" s="4" t="s">
        <v>611</v>
      </c>
      <c r="D159" s="4" t="s">
        <v>148</v>
      </c>
      <c r="E159" s="4" t="s">
        <v>639</v>
      </c>
      <c r="F159" s="5">
        <v>344</v>
      </c>
      <c r="G159" s="5">
        <v>0</v>
      </c>
      <c r="H159" s="5">
        <f t="shared" si="2"/>
        <v>1376</v>
      </c>
      <c r="I159" s="4"/>
      <c r="J159" t="str">
        <f>IF(AND($B159=Party_Statement!$B$5,$A159&gt;=Party_Statement!$B$6,$A159&lt;=Party_Statement!$D$6),SUMPRODUCT(($B$3:$B159=Party_Statement!$B$5)*($A$3:$A159&gt;=Party_Statement!$B$6)*($A$3:$A159&lt;=Party_Statement!$D$6)),"")</f>
        <v/>
      </c>
    </row>
    <row r="160" spans="1:10" x14ac:dyDescent="0.2">
      <c r="A160" s="130">
        <v>66920</v>
      </c>
      <c r="B160" s="4" t="s">
        <v>81</v>
      </c>
      <c r="C160" s="4" t="s">
        <v>611</v>
      </c>
      <c r="D160" s="4" t="s">
        <v>169</v>
      </c>
      <c r="E160" s="4" t="s">
        <v>639</v>
      </c>
      <c r="F160" s="5">
        <v>344</v>
      </c>
      <c r="G160" s="5">
        <v>0</v>
      </c>
      <c r="H160" s="5">
        <f t="shared" si="2"/>
        <v>1720</v>
      </c>
      <c r="I160" s="4"/>
      <c r="J160" t="str">
        <f>IF(AND($B160=Party_Statement!$B$5,$A160&gt;=Party_Statement!$B$6,$A160&lt;=Party_Statement!$D$6),SUMPRODUCT(($B$3:$B160=Party_Statement!$B$5)*($A$3:$A160&gt;=Party_Statement!$B$6)*($A$3:$A160&lt;=Party_Statement!$D$6)),"")</f>
        <v/>
      </c>
    </row>
    <row r="161" spans="1:10" x14ac:dyDescent="0.2">
      <c r="A161" s="130">
        <v>66921</v>
      </c>
      <c r="B161" s="4" t="s">
        <v>81</v>
      </c>
      <c r="C161" s="4" t="s">
        <v>611</v>
      </c>
      <c r="D161" s="4" t="s">
        <v>187</v>
      </c>
      <c r="E161" s="4" t="s">
        <v>639</v>
      </c>
      <c r="F161" s="5">
        <v>344</v>
      </c>
      <c r="G161" s="5">
        <v>0</v>
      </c>
      <c r="H161" s="5">
        <f t="shared" si="2"/>
        <v>2064</v>
      </c>
      <c r="I161" s="4"/>
      <c r="J161" t="str">
        <f>IF(AND($B161=Party_Statement!$B$5,$A161&gt;=Party_Statement!$B$6,$A161&lt;=Party_Statement!$D$6),SUMPRODUCT(($B$3:$B161=Party_Statement!$B$5)*($A$3:$A161&gt;=Party_Statement!$B$6)*($A$3:$A161&lt;=Party_Statement!$D$6)),"")</f>
        <v/>
      </c>
    </row>
    <row r="162" spans="1:10" x14ac:dyDescent="0.2">
      <c r="A162" s="130">
        <v>66922</v>
      </c>
      <c r="B162" s="4" t="s">
        <v>81</v>
      </c>
      <c r="C162" s="4" t="s">
        <v>611</v>
      </c>
      <c r="D162" s="4" t="s">
        <v>218</v>
      </c>
      <c r="E162" s="4" t="s">
        <v>639</v>
      </c>
      <c r="F162" s="5">
        <v>344</v>
      </c>
      <c r="G162" s="5">
        <v>0</v>
      </c>
      <c r="H162" s="5">
        <f t="shared" si="2"/>
        <v>2408</v>
      </c>
      <c r="I162" s="4"/>
      <c r="J162" t="str">
        <f>IF(AND($B162=Party_Statement!$B$5,$A162&gt;=Party_Statement!$B$6,$A162&lt;=Party_Statement!$D$6),SUMPRODUCT(($B$3:$B162=Party_Statement!$B$5)*($A$3:$A162&gt;=Party_Statement!$B$6)*($A$3:$A162&lt;=Party_Statement!$D$6)),"")</f>
        <v/>
      </c>
    </row>
    <row r="163" spans="1:10" x14ac:dyDescent="0.2">
      <c r="A163" s="130">
        <v>66923</v>
      </c>
      <c r="B163" s="4" t="s">
        <v>81</v>
      </c>
      <c r="C163" s="4" t="s">
        <v>611</v>
      </c>
      <c r="D163" s="4" t="s">
        <v>236</v>
      </c>
      <c r="E163" s="4" t="s">
        <v>639</v>
      </c>
      <c r="F163" s="5">
        <v>344</v>
      </c>
      <c r="G163" s="5">
        <v>0</v>
      </c>
      <c r="H163" s="5">
        <f t="shared" si="2"/>
        <v>2752</v>
      </c>
      <c r="I163" s="4"/>
      <c r="J163" t="str">
        <f>IF(AND($B163=Party_Statement!$B$5,$A163&gt;=Party_Statement!$B$6,$A163&lt;=Party_Statement!$D$6),SUMPRODUCT(($B$3:$B163=Party_Statement!$B$5)*($A$3:$A163&gt;=Party_Statement!$B$6)*($A$3:$A163&lt;=Party_Statement!$D$6)),"")</f>
        <v/>
      </c>
    </row>
    <row r="164" spans="1:10" x14ac:dyDescent="0.2">
      <c r="A164" s="130">
        <v>66924</v>
      </c>
      <c r="B164" s="4" t="s">
        <v>81</v>
      </c>
      <c r="C164" s="4" t="s">
        <v>611</v>
      </c>
      <c r="D164" s="4" t="s">
        <v>254</v>
      </c>
      <c r="E164" s="4" t="s">
        <v>639</v>
      </c>
      <c r="F164" s="5">
        <v>344</v>
      </c>
      <c r="G164" s="5">
        <v>0</v>
      </c>
      <c r="H164" s="5">
        <f t="shared" si="2"/>
        <v>3096</v>
      </c>
      <c r="I164" s="4"/>
      <c r="J164" t="str">
        <f>IF(AND($B164=Party_Statement!$B$5,$A164&gt;=Party_Statement!$B$6,$A164&lt;=Party_Statement!$D$6),SUMPRODUCT(($B$3:$B164=Party_Statement!$B$5)*($A$3:$A164&gt;=Party_Statement!$B$6)*($A$3:$A164&lt;=Party_Statement!$D$6)),"")</f>
        <v/>
      </c>
    </row>
    <row r="165" spans="1:10" x14ac:dyDescent="0.2">
      <c r="A165" s="130">
        <v>66925</v>
      </c>
      <c r="B165" s="4" t="s">
        <v>81</v>
      </c>
      <c r="C165" s="4" t="s">
        <v>611</v>
      </c>
      <c r="D165" s="4" t="s">
        <v>281</v>
      </c>
      <c r="E165" s="4" t="s">
        <v>639</v>
      </c>
      <c r="F165" s="5">
        <v>344</v>
      </c>
      <c r="G165" s="5">
        <v>0</v>
      </c>
      <c r="H165" s="5">
        <f t="shared" si="2"/>
        <v>3440</v>
      </c>
      <c r="I165" s="4"/>
      <c r="J165" t="str">
        <f>IF(AND($B165=Party_Statement!$B$5,$A165&gt;=Party_Statement!$B$6,$A165&lt;=Party_Statement!$D$6),SUMPRODUCT(($B$3:$B165=Party_Statement!$B$5)*($A$3:$A165&gt;=Party_Statement!$B$6)*($A$3:$A165&lt;=Party_Statement!$D$6)),"")</f>
        <v/>
      </c>
    </row>
    <row r="166" spans="1:10" x14ac:dyDescent="0.2">
      <c r="A166" s="130">
        <v>66925</v>
      </c>
      <c r="B166" s="4" t="s">
        <v>81</v>
      </c>
      <c r="C166" s="4" t="s">
        <v>611</v>
      </c>
      <c r="D166" s="4" t="s">
        <v>281</v>
      </c>
      <c r="E166" s="4" t="s">
        <v>644</v>
      </c>
      <c r="F166" s="5">
        <v>2400</v>
      </c>
      <c r="G166" s="5">
        <v>0</v>
      </c>
      <c r="H166" s="5">
        <f t="shared" si="2"/>
        <v>5840</v>
      </c>
      <c r="I166" s="4"/>
      <c r="J166" t="str">
        <f>IF(AND($B166=Party_Statement!$B$5,$A166&gt;=Party_Statement!$B$6,$A166&lt;=Party_Statement!$D$6),SUMPRODUCT(($B$3:$B166=Party_Statement!$B$5)*($A$3:$A166&gt;=Party_Statement!$B$6)*($A$3:$A166&lt;=Party_Statement!$D$6)),"")</f>
        <v/>
      </c>
    </row>
    <row r="167" spans="1:10" x14ac:dyDescent="0.2">
      <c r="A167" s="130">
        <v>66926</v>
      </c>
      <c r="B167" s="4" t="s">
        <v>81</v>
      </c>
      <c r="C167" s="4" t="s">
        <v>611</v>
      </c>
      <c r="D167" s="4" t="s">
        <v>308</v>
      </c>
      <c r="E167" s="4" t="s">
        <v>639</v>
      </c>
      <c r="F167" s="5">
        <v>344</v>
      </c>
      <c r="G167" s="5">
        <v>0</v>
      </c>
      <c r="H167" s="5">
        <f t="shared" si="2"/>
        <v>6184</v>
      </c>
      <c r="I167" s="4"/>
      <c r="J167" t="str">
        <f>IF(AND($B167=Party_Statement!$B$5,$A167&gt;=Party_Statement!$B$6,$A167&lt;=Party_Statement!$D$6),SUMPRODUCT(($B$3:$B167=Party_Statement!$B$5)*($A$3:$A167&gt;=Party_Statement!$B$6)*($A$3:$A167&lt;=Party_Statement!$D$6)),"")</f>
        <v/>
      </c>
    </row>
    <row r="168" spans="1:10" x14ac:dyDescent="0.2">
      <c r="A168" s="130">
        <v>66927</v>
      </c>
      <c r="B168" s="4" t="s">
        <v>81</v>
      </c>
      <c r="C168" s="4" t="s">
        <v>611</v>
      </c>
      <c r="D168" s="4" t="s">
        <v>322</v>
      </c>
      <c r="E168" s="4" t="s">
        <v>639</v>
      </c>
      <c r="F168" s="5">
        <v>344</v>
      </c>
      <c r="G168" s="5">
        <v>0</v>
      </c>
      <c r="H168" s="5">
        <f t="shared" si="2"/>
        <v>6528</v>
      </c>
      <c r="I168" s="4"/>
      <c r="J168" t="str">
        <f>IF(AND($B168=Party_Statement!$B$5,$A168&gt;=Party_Statement!$B$6,$A168&lt;=Party_Statement!$D$6),SUMPRODUCT(($B$3:$B168=Party_Statement!$B$5)*($A$3:$A168&gt;=Party_Statement!$B$6)*($A$3:$A168&lt;=Party_Statement!$D$6)),"")</f>
        <v/>
      </c>
    </row>
    <row r="169" spans="1:10" x14ac:dyDescent="0.2">
      <c r="A169" s="130">
        <v>66928</v>
      </c>
      <c r="B169" s="4" t="s">
        <v>81</v>
      </c>
      <c r="C169" s="4" t="s">
        <v>611</v>
      </c>
      <c r="D169" s="4" t="s">
        <v>337</v>
      </c>
      <c r="E169" s="4" t="s">
        <v>639</v>
      </c>
      <c r="F169" s="5">
        <v>344</v>
      </c>
      <c r="G169" s="5">
        <v>0</v>
      </c>
      <c r="H169" s="5">
        <f t="shared" si="2"/>
        <v>6872</v>
      </c>
      <c r="I169" s="4"/>
      <c r="J169" t="str">
        <f>IF(AND($B169=Party_Statement!$B$5,$A169&gt;=Party_Statement!$B$6,$A169&lt;=Party_Statement!$D$6),SUMPRODUCT(($B$3:$B169=Party_Statement!$B$5)*($A$3:$A169&gt;=Party_Statement!$B$6)*($A$3:$A169&lt;=Party_Statement!$D$6)),"")</f>
        <v/>
      </c>
    </row>
    <row r="170" spans="1:10" x14ac:dyDescent="0.2">
      <c r="A170" s="130">
        <v>66929</v>
      </c>
      <c r="B170" s="4" t="s">
        <v>81</v>
      </c>
      <c r="C170" s="4" t="s">
        <v>611</v>
      </c>
      <c r="D170" s="4" t="s">
        <v>356</v>
      </c>
      <c r="E170" s="4" t="s">
        <v>639</v>
      </c>
      <c r="F170" s="5">
        <v>344</v>
      </c>
      <c r="G170" s="5">
        <v>0</v>
      </c>
      <c r="H170" s="5">
        <f t="shared" si="2"/>
        <v>7216</v>
      </c>
      <c r="I170" s="4"/>
      <c r="J170" t="str">
        <f>IF(AND($B170=Party_Statement!$B$5,$A170&gt;=Party_Statement!$B$6,$A170&lt;=Party_Statement!$D$6),SUMPRODUCT(($B$3:$B170=Party_Statement!$B$5)*($A$3:$A170&gt;=Party_Statement!$B$6)*($A$3:$A170&lt;=Party_Statement!$D$6)),"")</f>
        <v/>
      </c>
    </row>
    <row r="171" spans="1:10" x14ac:dyDescent="0.2">
      <c r="A171" s="130">
        <v>66930</v>
      </c>
      <c r="B171" s="4" t="s">
        <v>81</v>
      </c>
      <c r="C171" s="4" t="s">
        <v>611</v>
      </c>
      <c r="D171" s="4" t="s">
        <v>371</v>
      </c>
      <c r="E171" s="4" t="s">
        <v>639</v>
      </c>
      <c r="F171" s="5">
        <v>344</v>
      </c>
      <c r="G171" s="5">
        <v>0</v>
      </c>
      <c r="H171" s="5">
        <f t="shared" si="2"/>
        <v>7560</v>
      </c>
      <c r="I171" s="4"/>
      <c r="J171" t="str">
        <f>IF(AND($B171=Party_Statement!$B$5,$A171&gt;=Party_Statement!$B$6,$A171&lt;=Party_Statement!$D$6),SUMPRODUCT(($B$3:$B171=Party_Statement!$B$5)*($A$3:$A171&gt;=Party_Statement!$B$6)*($A$3:$A171&lt;=Party_Statement!$D$6)),"")</f>
        <v/>
      </c>
    </row>
    <row r="172" spans="1:10" x14ac:dyDescent="0.2">
      <c r="A172" s="130">
        <v>66931</v>
      </c>
      <c r="B172" s="4" t="s">
        <v>81</v>
      </c>
      <c r="C172" s="4" t="s">
        <v>611</v>
      </c>
      <c r="D172" s="4" t="s">
        <v>385</v>
      </c>
      <c r="E172" s="4" t="s">
        <v>639</v>
      </c>
      <c r="F172" s="5">
        <v>387</v>
      </c>
      <c r="G172" s="5">
        <v>0</v>
      </c>
      <c r="H172" s="5">
        <f t="shared" si="2"/>
        <v>7947</v>
      </c>
      <c r="I172" s="4"/>
      <c r="J172" t="str">
        <f>IF(AND($B172=Party_Statement!$B$5,$A172&gt;=Party_Statement!$B$6,$A172&lt;=Party_Statement!$D$6),SUMPRODUCT(($B$3:$B172=Party_Statement!$B$5)*($A$3:$A172&gt;=Party_Statement!$B$6)*($A$3:$A172&lt;=Party_Statement!$D$6)),"")</f>
        <v/>
      </c>
    </row>
    <row r="173" spans="1:10" x14ac:dyDescent="0.2">
      <c r="A173" s="130">
        <v>66916</v>
      </c>
      <c r="B173" s="4" t="s">
        <v>627</v>
      </c>
      <c r="C173" s="4" t="s">
        <v>611</v>
      </c>
      <c r="D173" s="4" t="s">
        <v>70</v>
      </c>
      <c r="E173" s="4" t="s">
        <v>639</v>
      </c>
      <c r="F173" s="5">
        <v>1290</v>
      </c>
      <c r="G173" s="5">
        <v>0</v>
      </c>
      <c r="H173" s="5">
        <f t="shared" si="2"/>
        <v>1290</v>
      </c>
      <c r="I173" s="4"/>
      <c r="J173" t="str">
        <f>IF(AND($B173=Party_Statement!$B$5,$A173&gt;=Party_Statement!$B$6,$A173&lt;=Party_Statement!$D$6),SUMPRODUCT(($B$3:$B173=Party_Statement!$B$5)*($A$3:$A173&gt;=Party_Statement!$B$6)*($A$3:$A173&lt;=Party_Statement!$D$6)),"")</f>
        <v/>
      </c>
    </row>
    <row r="174" spans="1:10" x14ac:dyDescent="0.2">
      <c r="A174" s="130">
        <v>66917</v>
      </c>
      <c r="B174" s="4" t="s">
        <v>627</v>
      </c>
      <c r="C174" s="4" t="s">
        <v>611</v>
      </c>
      <c r="D174" s="4" t="s">
        <v>114</v>
      </c>
      <c r="E174" s="4" t="s">
        <v>639</v>
      </c>
      <c r="F174" s="5">
        <v>1548</v>
      </c>
      <c r="G174" s="5">
        <v>0</v>
      </c>
      <c r="H174" s="5">
        <f t="shared" si="2"/>
        <v>2838</v>
      </c>
      <c r="I174" s="4"/>
      <c r="J174" t="str">
        <f>IF(AND($B174=Party_Statement!$B$5,$A174&gt;=Party_Statement!$B$6,$A174&lt;=Party_Statement!$D$6),SUMPRODUCT(($B$3:$B174=Party_Statement!$B$5)*($A$3:$A174&gt;=Party_Statement!$B$6)*($A$3:$A174&lt;=Party_Statement!$D$6)),"")</f>
        <v/>
      </c>
    </row>
    <row r="175" spans="1:10" x14ac:dyDescent="0.2">
      <c r="A175" s="130">
        <v>66917</v>
      </c>
      <c r="B175" s="4" t="s">
        <v>627</v>
      </c>
      <c r="C175" s="4" t="s">
        <v>611</v>
      </c>
      <c r="D175" s="4" t="s">
        <v>114</v>
      </c>
      <c r="E175" s="4" t="s">
        <v>644</v>
      </c>
      <c r="F175" s="5">
        <v>775</v>
      </c>
      <c r="G175" s="5">
        <v>0</v>
      </c>
      <c r="H175" s="5">
        <f t="shared" si="2"/>
        <v>3613</v>
      </c>
      <c r="I175" s="4"/>
      <c r="J175" t="str">
        <f>IF(AND($B175=Party_Statement!$B$5,$A175&gt;=Party_Statement!$B$6,$A175&lt;=Party_Statement!$D$6),SUMPRODUCT(($B$3:$B175=Party_Statement!$B$5)*($A$3:$A175&gt;=Party_Statement!$B$6)*($A$3:$A175&lt;=Party_Statement!$D$6)),"")</f>
        <v/>
      </c>
    </row>
    <row r="176" spans="1:10" x14ac:dyDescent="0.2">
      <c r="A176" s="130">
        <v>66918</v>
      </c>
      <c r="B176" s="4" t="s">
        <v>627</v>
      </c>
      <c r="C176" s="4" t="s">
        <v>611</v>
      </c>
      <c r="D176" s="4" t="s">
        <v>128</v>
      </c>
      <c r="E176" s="4" t="s">
        <v>639</v>
      </c>
      <c r="F176" s="5">
        <v>1290</v>
      </c>
      <c r="G176" s="5">
        <v>0</v>
      </c>
      <c r="H176" s="5">
        <f t="shared" si="2"/>
        <v>4903</v>
      </c>
      <c r="I176" s="4"/>
      <c r="J176" t="str">
        <f>IF(AND($B176=Party_Statement!$B$5,$A176&gt;=Party_Statement!$B$6,$A176&lt;=Party_Statement!$D$6),SUMPRODUCT(($B$3:$B176=Party_Statement!$B$5)*($A$3:$A176&gt;=Party_Statement!$B$6)*($A$3:$A176&lt;=Party_Statement!$D$6)),"")</f>
        <v/>
      </c>
    </row>
    <row r="177" spans="1:10" x14ac:dyDescent="0.2">
      <c r="A177" s="130">
        <v>66919</v>
      </c>
      <c r="B177" s="4" t="s">
        <v>627</v>
      </c>
      <c r="C177" s="4" t="s">
        <v>611</v>
      </c>
      <c r="D177" s="4" t="s">
        <v>153</v>
      </c>
      <c r="E177" s="4" t="s">
        <v>639</v>
      </c>
      <c r="F177" s="5">
        <v>1720</v>
      </c>
      <c r="G177" s="5">
        <v>0</v>
      </c>
      <c r="H177" s="5">
        <f t="shared" si="2"/>
        <v>6623</v>
      </c>
      <c r="I177" s="4"/>
      <c r="J177" t="str">
        <f>IF(AND($B177=Party_Statement!$B$5,$A177&gt;=Party_Statement!$B$6,$A177&lt;=Party_Statement!$D$6),SUMPRODUCT(($B$3:$B177=Party_Statement!$B$5)*($A$3:$A177&gt;=Party_Statement!$B$6)*($A$3:$A177&lt;=Party_Statement!$D$6)),"")</f>
        <v/>
      </c>
    </row>
    <row r="178" spans="1:10" x14ac:dyDescent="0.2">
      <c r="A178" s="130">
        <v>66919</v>
      </c>
      <c r="B178" s="4" t="s">
        <v>627</v>
      </c>
      <c r="C178" s="4" t="s">
        <v>611</v>
      </c>
      <c r="D178" s="4" t="s">
        <v>153</v>
      </c>
      <c r="E178" s="4" t="s">
        <v>644</v>
      </c>
      <c r="F178" s="5">
        <v>775</v>
      </c>
      <c r="G178" s="5">
        <v>0</v>
      </c>
      <c r="H178" s="5">
        <f t="shared" si="2"/>
        <v>7398</v>
      </c>
      <c r="I178" s="4"/>
      <c r="J178" t="str">
        <f>IF(AND($B178=Party_Statement!$B$5,$A178&gt;=Party_Statement!$B$6,$A178&lt;=Party_Statement!$D$6),SUMPRODUCT(($B$3:$B178=Party_Statement!$B$5)*($A$3:$A178&gt;=Party_Statement!$B$6)*($A$3:$A178&lt;=Party_Statement!$D$6)),"")</f>
        <v/>
      </c>
    </row>
    <row r="179" spans="1:10" x14ac:dyDescent="0.2">
      <c r="A179" s="130">
        <v>66920</v>
      </c>
      <c r="B179" s="4" t="s">
        <v>627</v>
      </c>
      <c r="C179" s="4" t="s">
        <v>611</v>
      </c>
      <c r="D179" s="4" t="s">
        <v>177</v>
      </c>
      <c r="E179" s="4" t="s">
        <v>639</v>
      </c>
      <c r="F179" s="5">
        <v>1720</v>
      </c>
      <c r="G179" s="5">
        <v>0</v>
      </c>
      <c r="H179" s="5">
        <f t="shared" si="2"/>
        <v>9118</v>
      </c>
      <c r="I179" s="4"/>
      <c r="J179" t="str">
        <f>IF(AND($B179=Party_Statement!$B$5,$A179&gt;=Party_Statement!$B$6,$A179&lt;=Party_Statement!$D$6),SUMPRODUCT(($B$3:$B179=Party_Statement!$B$5)*($A$3:$A179&gt;=Party_Statement!$B$6)*($A$3:$A179&lt;=Party_Statement!$D$6)),"")</f>
        <v/>
      </c>
    </row>
    <row r="180" spans="1:10" x14ac:dyDescent="0.2">
      <c r="A180" s="130">
        <v>66921</v>
      </c>
      <c r="B180" s="4" t="s">
        <v>627</v>
      </c>
      <c r="C180" s="4" t="s">
        <v>611</v>
      </c>
      <c r="D180" s="4" t="s">
        <v>197</v>
      </c>
      <c r="E180" s="4" t="s">
        <v>639</v>
      </c>
      <c r="F180" s="5">
        <v>1275</v>
      </c>
      <c r="G180" s="5">
        <v>0</v>
      </c>
      <c r="H180" s="5">
        <f t="shared" si="2"/>
        <v>10393</v>
      </c>
      <c r="I180" s="4"/>
      <c r="J180" t="str">
        <f>IF(AND($B180=Party_Statement!$B$5,$A180&gt;=Party_Statement!$B$6,$A180&lt;=Party_Statement!$D$6),SUMPRODUCT(($B$3:$B180=Party_Statement!$B$5)*($A$3:$A180&gt;=Party_Statement!$B$6)*($A$3:$A180&lt;=Party_Statement!$D$6)),"")</f>
        <v/>
      </c>
    </row>
    <row r="181" spans="1:10" x14ac:dyDescent="0.2">
      <c r="A181" s="130">
        <v>66922</v>
      </c>
      <c r="B181" s="4" t="s">
        <v>627</v>
      </c>
      <c r="C181" s="4" t="s">
        <v>611</v>
      </c>
      <c r="D181" s="4" t="s">
        <v>221</v>
      </c>
      <c r="E181" s="4" t="s">
        <v>639</v>
      </c>
      <c r="F181" s="5">
        <v>1720</v>
      </c>
      <c r="G181" s="5">
        <v>0</v>
      </c>
      <c r="H181" s="5">
        <f t="shared" si="2"/>
        <v>12113</v>
      </c>
      <c r="I181" s="4"/>
      <c r="J181" t="str">
        <f>IF(AND($B181=Party_Statement!$B$5,$A181&gt;=Party_Statement!$B$6,$A181&lt;=Party_Statement!$D$6),SUMPRODUCT(($B$3:$B181=Party_Statement!$B$5)*($A$3:$A181&gt;=Party_Statement!$B$6)*($A$3:$A181&lt;=Party_Statement!$D$6)),"")</f>
        <v/>
      </c>
    </row>
    <row r="182" spans="1:10" x14ac:dyDescent="0.2">
      <c r="A182" s="130">
        <v>66923</v>
      </c>
      <c r="B182" s="4" t="s">
        <v>627</v>
      </c>
      <c r="C182" s="4" t="s">
        <v>611</v>
      </c>
      <c r="D182" s="4" t="s">
        <v>242</v>
      </c>
      <c r="E182" s="4" t="s">
        <v>639</v>
      </c>
      <c r="F182" s="5">
        <v>1290</v>
      </c>
      <c r="G182" s="5">
        <v>0</v>
      </c>
      <c r="H182" s="5">
        <f t="shared" si="2"/>
        <v>13403</v>
      </c>
      <c r="I182" s="4"/>
      <c r="J182" t="str">
        <f>IF(AND($B182=Party_Statement!$B$5,$A182&gt;=Party_Statement!$B$6,$A182&lt;=Party_Statement!$D$6),SUMPRODUCT(($B$3:$B182=Party_Statement!$B$5)*($A$3:$A182&gt;=Party_Statement!$B$6)*($A$3:$A182&lt;=Party_Statement!$D$6)),"")</f>
        <v/>
      </c>
    </row>
    <row r="183" spans="1:10" x14ac:dyDescent="0.2">
      <c r="A183" s="130">
        <v>66923</v>
      </c>
      <c r="B183" s="4" t="s">
        <v>627</v>
      </c>
      <c r="C183" s="4" t="s">
        <v>611</v>
      </c>
      <c r="D183" s="4" t="s">
        <v>242</v>
      </c>
      <c r="E183" s="4" t="s">
        <v>644</v>
      </c>
      <c r="F183" s="5">
        <v>1937.5</v>
      </c>
      <c r="G183" s="5">
        <v>0</v>
      </c>
      <c r="H183" s="5">
        <f t="shared" si="2"/>
        <v>15340.5</v>
      </c>
      <c r="I183" s="4"/>
      <c r="J183" t="str">
        <f>IF(AND($B183=Party_Statement!$B$5,$A183&gt;=Party_Statement!$B$6,$A183&lt;=Party_Statement!$D$6),SUMPRODUCT(($B$3:$B183=Party_Statement!$B$5)*($A$3:$A183&gt;=Party_Statement!$B$6)*($A$3:$A183&lt;=Party_Statement!$D$6)),"")</f>
        <v/>
      </c>
    </row>
    <row r="184" spans="1:10" x14ac:dyDescent="0.2">
      <c r="A184" s="130">
        <v>66924</v>
      </c>
      <c r="B184" s="4" t="s">
        <v>627</v>
      </c>
      <c r="C184" s="4" t="s">
        <v>611</v>
      </c>
      <c r="D184" s="4" t="s">
        <v>266</v>
      </c>
      <c r="E184" s="4" t="s">
        <v>639</v>
      </c>
      <c r="F184" s="5">
        <v>1290</v>
      </c>
      <c r="G184" s="5">
        <v>0</v>
      </c>
      <c r="H184" s="5">
        <f t="shared" si="2"/>
        <v>16630.5</v>
      </c>
      <c r="I184" s="4"/>
      <c r="J184" t="str">
        <f>IF(AND($B184=Party_Statement!$B$5,$A184&gt;=Party_Statement!$B$6,$A184&lt;=Party_Statement!$D$6),SUMPRODUCT(($B$3:$B184=Party_Statement!$B$5)*($A$3:$A184&gt;=Party_Statement!$B$6)*($A$3:$A184&lt;=Party_Statement!$D$6)),"")</f>
        <v/>
      </c>
    </row>
    <row r="185" spans="1:10" x14ac:dyDescent="0.2">
      <c r="A185" s="130">
        <v>66925</v>
      </c>
      <c r="B185" s="4" t="s">
        <v>627</v>
      </c>
      <c r="C185" s="4" t="s">
        <v>611</v>
      </c>
      <c r="D185" s="4" t="s">
        <v>291</v>
      </c>
      <c r="E185" s="4" t="s">
        <v>639</v>
      </c>
      <c r="F185" s="5">
        <v>1290</v>
      </c>
      <c r="G185" s="5">
        <v>0</v>
      </c>
      <c r="H185" s="5">
        <f t="shared" si="2"/>
        <v>17920.5</v>
      </c>
      <c r="I185" s="4"/>
      <c r="J185" t="str">
        <f>IF(AND($B185=Party_Statement!$B$5,$A185&gt;=Party_Statement!$B$6,$A185&lt;=Party_Statement!$D$6),SUMPRODUCT(($B$3:$B185=Party_Statement!$B$5)*($A$3:$A185&gt;=Party_Statement!$B$6)*($A$3:$A185&lt;=Party_Statement!$D$6)),"")</f>
        <v/>
      </c>
    </row>
    <row r="186" spans="1:10" x14ac:dyDescent="0.2">
      <c r="A186" s="130">
        <v>66926</v>
      </c>
      <c r="B186" s="4" t="s">
        <v>627</v>
      </c>
      <c r="C186" s="4" t="s">
        <v>611</v>
      </c>
      <c r="D186" s="4" t="s">
        <v>313</v>
      </c>
      <c r="E186" s="4" t="s">
        <v>639</v>
      </c>
      <c r="F186" s="5">
        <v>1275</v>
      </c>
      <c r="G186" s="5">
        <v>0</v>
      </c>
      <c r="H186" s="5">
        <f t="shared" si="2"/>
        <v>19195.5</v>
      </c>
      <c r="I186" s="4"/>
      <c r="J186" t="str">
        <f>IF(AND($B186=Party_Statement!$B$5,$A186&gt;=Party_Statement!$B$6,$A186&lt;=Party_Statement!$D$6),SUMPRODUCT(($B$3:$B186=Party_Statement!$B$5)*($A$3:$A186&gt;=Party_Statement!$B$6)*($A$3:$A186&lt;=Party_Statement!$D$6)),"")</f>
        <v/>
      </c>
    </row>
    <row r="187" spans="1:10" x14ac:dyDescent="0.2">
      <c r="A187" s="130">
        <v>66927</v>
      </c>
      <c r="B187" s="4" t="s">
        <v>627</v>
      </c>
      <c r="C187" s="4" t="s">
        <v>611</v>
      </c>
      <c r="D187" s="4" t="s">
        <v>327</v>
      </c>
      <c r="E187" s="4" t="s">
        <v>639</v>
      </c>
      <c r="F187" s="5">
        <v>860</v>
      </c>
      <c r="G187" s="5">
        <v>0</v>
      </c>
      <c r="H187" s="5">
        <f t="shared" si="2"/>
        <v>20055.5</v>
      </c>
      <c r="I187" s="4"/>
      <c r="J187" t="str">
        <f>IF(AND($B187=Party_Statement!$B$5,$A187&gt;=Party_Statement!$B$6,$A187&lt;=Party_Statement!$D$6),SUMPRODUCT(($B$3:$B187=Party_Statement!$B$5)*($A$3:$A187&gt;=Party_Statement!$B$6)*($A$3:$A187&lt;=Party_Statement!$D$6)),"")</f>
        <v/>
      </c>
    </row>
    <row r="188" spans="1:10" x14ac:dyDescent="0.2">
      <c r="A188" s="130">
        <v>66928</v>
      </c>
      <c r="B188" s="4" t="s">
        <v>627</v>
      </c>
      <c r="C188" s="4" t="s">
        <v>611</v>
      </c>
      <c r="D188" s="4" t="s">
        <v>332</v>
      </c>
      <c r="E188" s="4" t="s">
        <v>639</v>
      </c>
      <c r="F188" s="5">
        <v>1290</v>
      </c>
      <c r="G188" s="5">
        <v>0</v>
      </c>
      <c r="H188" s="5">
        <f t="shared" si="2"/>
        <v>21345.5</v>
      </c>
      <c r="I188" s="4"/>
      <c r="J188" t="str">
        <f>IF(AND($B188=Party_Statement!$B$5,$A188&gt;=Party_Statement!$B$6,$A188&lt;=Party_Statement!$D$6),SUMPRODUCT(($B$3:$B188=Party_Statement!$B$5)*($A$3:$A188&gt;=Party_Statement!$B$6)*($A$3:$A188&lt;=Party_Statement!$D$6)),"")</f>
        <v/>
      </c>
    </row>
    <row r="189" spans="1:10" x14ac:dyDescent="0.2">
      <c r="A189" s="130">
        <v>66929</v>
      </c>
      <c r="B189" s="4" t="s">
        <v>627</v>
      </c>
      <c r="C189" s="4" t="s">
        <v>611</v>
      </c>
      <c r="D189" s="4" t="s">
        <v>363</v>
      </c>
      <c r="E189" s="4" t="s">
        <v>639</v>
      </c>
      <c r="F189" s="5">
        <v>1290</v>
      </c>
      <c r="G189" s="5">
        <v>0</v>
      </c>
      <c r="H189" s="5">
        <f t="shared" si="2"/>
        <v>22635.5</v>
      </c>
      <c r="I189" s="4"/>
      <c r="J189" t="str">
        <f>IF(AND($B189=Party_Statement!$B$5,$A189&gt;=Party_Statement!$B$6,$A189&lt;=Party_Statement!$D$6),SUMPRODUCT(($B$3:$B189=Party_Statement!$B$5)*($A$3:$A189&gt;=Party_Statement!$B$6)*($A$3:$A189&lt;=Party_Statement!$D$6)),"")</f>
        <v/>
      </c>
    </row>
    <row r="190" spans="1:10" x14ac:dyDescent="0.2">
      <c r="A190" s="130">
        <v>66930</v>
      </c>
      <c r="B190" s="4" t="s">
        <v>627</v>
      </c>
      <c r="C190" s="4" t="s">
        <v>611</v>
      </c>
      <c r="D190" s="4" t="s">
        <v>377</v>
      </c>
      <c r="E190" s="4" t="s">
        <v>639</v>
      </c>
      <c r="F190" s="5">
        <v>860</v>
      </c>
      <c r="G190" s="5">
        <v>0</v>
      </c>
      <c r="H190" s="5">
        <f t="shared" si="2"/>
        <v>23495.5</v>
      </c>
      <c r="I190" s="4"/>
      <c r="J190" t="str">
        <f>IF(AND($B190=Party_Statement!$B$5,$A190&gt;=Party_Statement!$B$6,$A190&lt;=Party_Statement!$D$6),SUMPRODUCT(($B$3:$B190=Party_Statement!$B$5)*($A$3:$A190&gt;=Party_Statement!$B$6)*($A$3:$A190&lt;=Party_Statement!$D$6)),"")</f>
        <v/>
      </c>
    </row>
    <row r="191" spans="1:10" x14ac:dyDescent="0.2">
      <c r="A191" s="130">
        <v>66930</v>
      </c>
      <c r="B191" s="4" t="s">
        <v>627</v>
      </c>
      <c r="C191" s="4" t="s">
        <v>611</v>
      </c>
      <c r="D191" s="4" t="s">
        <v>377</v>
      </c>
      <c r="E191" s="4" t="s">
        <v>644</v>
      </c>
      <c r="F191" s="5">
        <v>1600</v>
      </c>
      <c r="G191" s="5">
        <v>0</v>
      </c>
      <c r="H191" s="5">
        <f t="shared" si="2"/>
        <v>25095.5</v>
      </c>
      <c r="I191" s="4"/>
      <c r="J191" t="str">
        <f>IF(AND($B191=Party_Statement!$B$5,$A191&gt;=Party_Statement!$B$6,$A191&lt;=Party_Statement!$D$6),SUMPRODUCT(($B$3:$B191=Party_Statement!$B$5)*($A$3:$A191&gt;=Party_Statement!$B$6)*($A$3:$A191&lt;=Party_Statement!$D$6)),"")</f>
        <v/>
      </c>
    </row>
    <row r="192" spans="1:10" x14ac:dyDescent="0.2">
      <c r="A192" s="130">
        <v>66931</v>
      </c>
      <c r="B192" s="4" t="s">
        <v>627</v>
      </c>
      <c r="C192" s="4" t="s">
        <v>611</v>
      </c>
      <c r="D192" s="4" t="s">
        <v>393</v>
      </c>
      <c r="E192" s="4" t="s">
        <v>639</v>
      </c>
      <c r="F192" s="5">
        <v>1290</v>
      </c>
      <c r="G192" s="5">
        <v>0</v>
      </c>
      <c r="H192" s="5">
        <f t="shared" si="2"/>
        <v>26385.5</v>
      </c>
      <c r="I192" s="4"/>
      <c r="J192" t="str">
        <f>IF(AND($B192=Party_Statement!$B$5,$A192&gt;=Party_Statement!$B$6,$A192&lt;=Party_Statement!$D$6),SUMPRODUCT(($B$3:$B192=Party_Statement!$B$5)*($A$3:$A192&gt;=Party_Statement!$B$6)*($A$3:$A192&lt;=Party_Statement!$D$6)),"")</f>
        <v/>
      </c>
    </row>
    <row r="193" spans="1:10" x14ac:dyDescent="0.2">
      <c r="A193" s="130">
        <v>66921</v>
      </c>
      <c r="B193" s="4" t="s">
        <v>192</v>
      </c>
      <c r="C193" s="4" t="s">
        <v>611</v>
      </c>
      <c r="D193" s="4" t="s">
        <v>191</v>
      </c>
      <c r="E193" s="4" t="s">
        <v>644</v>
      </c>
      <c r="F193" s="5">
        <v>800</v>
      </c>
      <c r="G193" s="5">
        <v>0</v>
      </c>
      <c r="H193" s="5">
        <f t="shared" si="2"/>
        <v>800</v>
      </c>
      <c r="I193" s="4"/>
      <c r="J193" t="str">
        <f>IF(AND($B193=Party_Statement!$B$5,$A193&gt;=Party_Statement!$B$6,$A193&lt;=Party_Statement!$D$6),SUMPRODUCT(($B$3:$B193=Party_Statement!$B$5)*($A$3:$A193&gt;=Party_Statement!$B$6)*($A$3:$A193&lt;=Party_Statement!$D$6)),"")</f>
        <v/>
      </c>
    </row>
    <row r="194" spans="1:10" x14ac:dyDescent="0.2">
      <c r="A194" s="130">
        <v>66923</v>
      </c>
      <c r="B194" s="4" t="s">
        <v>192</v>
      </c>
      <c r="C194" s="4" t="s">
        <v>611</v>
      </c>
      <c r="D194" s="4" t="s">
        <v>240</v>
      </c>
      <c r="E194" s="4" t="s">
        <v>644</v>
      </c>
      <c r="F194" s="5">
        <v>800</v>
      </c>
      <c r="G194" s="5">
        <v>0</v>
      </c>
      <c r="H194" s="5">
        <f t="shared" si="2"/>
        <v>1600</v>
      </c>
      <c r="I194" s="4"/>
      <c r="J194" t="str">
        <f>IF(AND($B194=Party_Statement!$B$5,$A194&gt;=Party_Statement!$B$6,$A194&lt;=Party_Statement!$D$6),SUMPRODUCT(($B$3:$B194=Party_Statement!$B$5)*($A$3:$A194&gt;=Party_Statement!$B$6)*($A$3:$A194&lt;=Party_Statement!$D$6)),"")</f>
        <v/>
      </c>
    </row>
    <row r="195" spans="1:10" x14ac:dyDescent="0.2">
      <c r="A195" s="130">
        <v>66919</v>
      </c>
      <c r="B195" s="4" t="s">
        <v>155</v>
      </c>
      <c r="C195" s="4" t="s">
        <v>611</v>
      </c>
      <c r="D195" s="4" t="s">
        <v>154</v>
      </c>
      <c r="E195" s="4" t="s">
        <v>644</v>
      </c>
      <c r="F195" s="5">
        <v>2400</v>
      </c>
      <c r="G195" s="5">
        <v>0</v>
      </c>
      <c r="H195" s="5">
        <f t="shared" si="2"/>
        <v>2400</v>
      </c>
      <c r="I195" s="4"/>
      <c r="J195" t="str">
        <f>IF(AND($B195=Party_Statement!$B$5,$A195&gt;=Party_Statement!$B$6,$A195&lt;=Party_Statement!$D$6),SUMPRODUCT(($B$3:$B195=Party_Statement!$B$5)*($A$3:$A195&gt;=Party_Statement!$B$6)*($A$3:$A195&lt;=Party_Statement!$D$6)),"")</f>
        <v/>
      </c>
    </row>
    <row r="196" spans="1:10" x14ac:dyDescent="0.2">
      <c r="A196" s="130">
        <v>66916</v>
      </c>
      <c r="B196" s="4" t="s">
        <v>97</v>
      </c>
      <c r="C196" s="4" t="s">
        <v>611</v>
      </c>
      <c r="D196" s="4" t="s">
        <v>96</v>
      </c>
      <c r="E196" s="4" t="s">
        <v>639</v>
      </c>
      <c r="F196" s="5">
        <v>240</v>
      </c>
      <c r="G196" s="5">
        <v>0</v>
      </c>
      <c r="H196" s="5">
        <f t="shared" ref="H196:H259" si="3">IF($B196="","",IF($B196=$B195,$H195,0)+$F196-$G196)</f>
        <v>240</v>
      </c>
      <c r="I196" s="4"/>
      <c r="J196" t="str">
        <f>IF(AND($B196=Party_Statement!$B$5,$A196&gt;=Party_Statement!$B$6,$A196&lt;=Party_Statement!$D$6),SUMPRODUCT(($B$3:$B196=Party_Statement!$B$5)*($A$3:$A196&gt;=Party_Statement!$B$6)*($A$3:$A196&lt;=Party_Statement!$D$6)),"")</f>
        <v/>
      </c>
    </row>
    <row r="197" spans="1:10" x14ac:dyDescent="0.2">
      <c r="A197" s="130">
        <v>66917</v>
      </c>
      <c r="B197" s="4" t="s">
        <v>97</v>
      </c>
      <c r="C197" s="4" t="s">
        <v>611</v>
      </c>
      <c r="D197" s="4" t="s">
        <v>122</v>
      </c>
      <c r="E197" s="4" t="s">
        <v>639</v>
      </c>
      <c r="F197" s="5">
        <v>340</v>
      </c>
      <c r="G197" s="5">
        <v>0</v>
      </c>
      <c r="H197" s="5">
        <f t="shared" si="3"/>
        <v>580</v>
      </c>
      <c r="I197" s="4"/>
      <c r="J197" t="str">
        <f>IF(AND($B197=Party_Statement!$B$5,$A197&gt;=Party_Statement!$B$6,$A197&lt;=Party_Statement!$D$6),SUMPRODUCT(($B$3:$B197=Party_Statement!$B$5)*($A$3:$A197&gt;=Party_Statement!$B$6)*($A$3:$A197&lt;=Party_Statement!$D$6)),"")</f>
        <v/>
      </c>
    </row>
    <row r="198" spans="1:10" x14ac:dyDescent="0.2">
      <c r="A198" s="130">
        <v>66917</v>
      </c>
      <c r="B198" s="4" t="s">
        <v>97</v>
      </c>
      <c r="C198" s="4" t="s">
        <v>611</v>
      </c>
      <c r="D198" s="4" t="s">
        <v>122</v>
      </c>
      <c r="E198" s="4" t="s">
        <v>641</v>
      </c>
      <c r="F198" s="5">
        <v>1100</v>
      </c>
      <c r="G198" s="5">
        <v>0</v>
      </c>
      <c r="H198" s="5">
        <f t="shared" si="3"/>
        <v>1680</v>
      </c>
      <c r="I198" s="4"/>
      <c r="J198" t="str">
        <f>IF(AND($B198=Party_Statement!$B$5,$A198&gt;=Party_Statement!$B$6,$A198&lt;=Party_Statement!$D$6),SUMPRODUCT(($B$3:$B198=Party_Statement!$B$5)*($A$3:$A198&gt;=Party_Statement!$B$6)*($A$3:$A198&lt;=Party_Statement!$D$6)),"")</f>
        <v/>
      </c>
    </row>
    <row r="199" spans="1:10" x14ac:dyDescent="0.2">
      <c r="A199" s="130">
        <v>66918</v>
      </c>
      <c r="B199" s="4" t="s">
        <v>97</v>
      </c>
      <c r="C199" s="4" t="s">
        <v>611</v>
      </c>
      <c r="D199" s="4" t="s">
        <v>139</v>
      </c>
      <c r="E199" s="4" t="s">
        <v>639</v>
      </c>
      <c r="F199" s="5">
        <v>450</v>
      </c>
      <c r="G199" s="5">
        <v>0</v>
      </c>
      <c r="H199" s="5">
        <f t="shared" si="3"/>
        <v>2130</v>
      </c>
      <c r="I199" s="4"/>
      <c r="J199" t="str">
        <f>IF(AND($B199=Party_Statement!$B$5,$A199&gt;=Party_Statement!$B$6,$A199&lt;=Party_Statement!$D$6),SUMPRODUCT(($B$3:$B199=Party_Statement!$B$5)*($A$3:$A199&gt;=Party_Statement!$B$6)*($A$3:$A199&lt;=Party_Statement!$D$6)),"")</f>
        <v/>
      </c>
    </row>
    <row r="200" spans="1:10" x14ac:dyDescent="0.2">
      <c r="A200" s="130">
        <v>66919</v>
      </c>
      <c r="B200" s="4" t="s">
        <v>97</v>
      </c>
      <c r="C200" s="4" t="s">
        <v>611</v>
      </c>
      <c r="D200" s="4" t="s">
        <v>160</v>
      </c>
      <c r="E200" s="4" t="s">
        <v>639</v>
      </c>
      <c r="F200" s="5">
        <v>419.99</v>
      </c>
      <c r="G200" s="5">
        <v>0</v>
      </c>
      <c r="H200" s="5">
        <f t="shared" si="3"/>
        <v>2549.9899999999998</v>
      </c>
      <c r="I200" s="4"/>
      <c r="J200" t="str">
        <f>IF(AND($B200=Party_Statement!$B$5,$A200&gt;=Party_Statement!$B$6,$A200&lt;=Party_Statement!$D$6),SUMPRODUCT(($B$3:$B200=Party_Statement!$B$5)*($A$3:$A200&gt;=Party_Statement!$B$6)*($A$3:$A200&lt;=Party_Statement!$D$6)),"")</f>
        <v/>
      </c>
    </row>
    <row r="201" spans="1:10" x14ac:dyDescent="0.2">
      <c r="A201" s="130">
        <v>66919</v>
      </c>
      <c r="B201" s="4" t="s">
        <v>97</v>
      </c>
      <c r="C201" s="4" t="s">
        <v>611</v>
      </c>
      <c r="D201" s="4" t="s">
        <v>160</v>
      </c>
      <c r="E201" s="4" t="s">
        <v>645</v>
      </c>
      <c r="F201" s="5">
        <v>400</v>
      </c>
      <c r="G201" s="5">
        <v>0</v>
      </c>
      <c r="H201" s="5">
        <f t="shared" si="3"/>
        <v>2949.99</v>
      </c>
      <c r="I201" s="4"/>
      <c r="J201" t="str">
        <f>IF(AND($B201=Party_Statement!$B$5,$A201&gt;=Party_Statement!$B$6,$A201&lt;=Party_Statement!$D$6),SUMPRODUCT(($B$3:$B201=Party_Statement!$B$5)*($A$3:$A201&gt;=Party_Statement!$B$6)*($A$3:$A201&lt;=Party_Statement!$D$6)),"")</f>
        <v/>
      </c>
    </row>
    <row r="202" spans="1:10" x14ac:dyDescent="0.2">
      <c r="A202" s="130">
        <v>66920</v>
      </c>
      <c r="B202" s="4" t="s">
        <v>97</v>
      </c>
      <c r="C202" s="4" t="s">
        <v>611</v>
      </c>
      <c r="D202" s="4" t="s">
        <v>181</v>
      </c>
      <c r="E202" s="4" t="s">
        <v>639</v>
      </c>
      <c r="F202" s="5">
        <v>915</v>
      </c>
      <c r="G202" s="5">
        <v>0</v>
      </c>
      <c r="H202" s="5">
        <f t="shared" si="3"/>
        <v>3864.99</v>
      </c>
      <c r="I202" s="4"/>
      <c r="J202" t="str">
        <f>IF(AND($B202=Party_Statement!$B$5,$A202&gt;=Party_Statement!$B$6,$A202&lt;=Party_Statement!$D$6),SUMPRODUCT(($B$3:$B202=Party_Statement!$B$5)*($A$3:$A202&gt;=Party_Statement!$B$6)*($A$3:$A202&lt;=Party_Statement!$D$6)),"")</f>
        <v/>
      </c>
    </row>
    <row r="203" spans="1:10" x14ac:dyDescent="0.2">
      <c r="A203" s="130">
        <v>66921</v>
      </c>
      <c r="B203" s="4" t="s">
        <v>97</v>
      </c>
      <c r="C203" s="4" t="s">
        <v>611</v>
      </c>
      <c r="D203" s="4" t="s">
        <v>204</v>
      </c>
      <c r="E203" s="4" t="s">
        <v>639</v>
      </c>
      <c r="F203" s="5">
        <v>475</v>
      </c>
      <c r="G203" s="5">
        <v>0</v>
      </c>
      <c r="H203" s="5">
        <f t="shared" si="3"/>
        <v>4339.99</v>
      </c>
      <c r="I203" s="4"/>
      <c r="J203" t="str">
        <f>IF(AND($B203=Party_Statement!$B$5,$A203&gt;=Party_Statement!$B$6,$A203&lt;=Party_Statement!$D$6),SUMPRODUCT(($B$3:$B203=Party_Statement!$B$5)*($A$3:$A203&gt;=Party_Statement!$B$6)*($A$3:$A203&lt;=Party_Statement!$D$6)),"")</f>
        <v/>
      </c>
    </row>
    <row r="204" spans="1:10" x14ac:dyDescent="0.2">
      <c r="A204" s="130">
        <v>66922</v>
      </c>
      <c r="B204" s="4" t="s">
        <v>97</v>
      </c>
      <c r="C204" s="4" t="s">
        <v>611</v>
      </c>
      <c r="D204" s="4" t="s">
        <v>228</v>
      </c>
      <c r="E204" s="4" t="s">
        <v>639</v>
      </c>
      <c r="F204" s="5">
        <v>430.02</v>
      </c>
      <c r="G204" s="5">
        <v>0</v>
      </c>
      <c r="H204" s="5">
        <f t="shared" si="3"/>
        <v>4770.01</v>
      </c>
      <c r="I204" s="4"/>
      <c r="J204" t="str">
        <f>IF(AND($B204=Party_Statement!$B$5,$A204&gt;=Party_Statement!$B$6,$A204&lt;=Party_Statement!$D$6),SUMPRODUCT(($B$3:$B204=Party_Statement!$B$5)*($A$3:$A204&gt;=Party_Statement!$B$6)*($A$3:$A204&lt;=Party_Statement!$D$6)),"")</f>
        <v/>
      </c>
    </row>
    <row r="205" spans="1:10" x14ac:dyDescent="0.2">
      <c r="A205" s="130">
        <v>66923</v>
      </c>
      <c r="B205" s="4" t="s">
        <v>97</v>
      </c>
      <c r="C205" s="4" t="s">
        <v>611</v>
      </c>
      <c r="D205" s="4" t="s">
        <v>248</v>
      </c>
      <c r="E205" s="4" t="s">
        <v>639</v>
      </c>
      <c r="F205" s="5">
        <v>370</v>
      </c>
      <c r="G205" s="5">
        <v>0</v>
      </c>
      <c r="H205" s="5">
        <f t="shared" si="3"/>
        <v>5140.01</v>
      </c>
      <c r="I205" s="4"/>
      <c r="J205" t="str">
        <f>IF(AND($B205=Party_Statement!$B$5,$A205&gt;=Party_Statement!$B$6,$A205&lt;=Party_Statement!$D$6),SUMPRODUCT(($B$3:$B205=Party_Statement!$B$5)*($A$3:$A205&gt;=Party_Statement!$B$6)*($A$3:$A205&lt;=Party_Statement!$D$6)),"")</f>
        <v/>
      </c>
    </row>
    <row r="206" spans="1:10" x14ac:dyDescent="0.2">
      <c r="A206" s="130">
        <v>66924</v>
      </c>
      <c r="B206" s="4" t="s">
        <v>97</v>
      </c>
      <c r="C206" s="4" t="s">
        <v>611</v>
      </c>
      <c r="D206" s="4" t="s">
        <v>275</v>
      </c>
      <c r="E206" s="4" t="s">
        <v>639</v>
      </c>
      <c r="F206" s="5">
        <v>510.02</v>
      </c>
      <c r="G206" s="5">
        <v>0</v>
      </c>
      <c r="H206" s="5">
        <f t="shared" si="3"/>
        <v>5650.0300000000007</v>
      </c>
      <c r="I206" s="4"/>
      <c r="J206" t="str">
        <f>IF(AND($B206=Party_Statement!$B$5,$A206&gt;=Party_Statement!$B$6,$A206&lt;=Party_Statement!$D$6),SUMPRODUCT(($B$3:$B206=Party_Statement!$B$5)*($A$3:$A206&gt;=Party_Statement!$B$6)*($A$3:$A206&lt;=Party_Statement!$D$6)),"")</f>
        <v/>
      </c>
    </row>
    <row r="207" spans="1:10" x14ac:dyDescent="0.2">
      <c r="A207" s="130">
        <v>66925</v>
      </c>
      <c r="B207" s="4" t="s">
        <v>97</v>
      </c>
      <c r="C207" s="4" t="s">
        <v>611</v>
      </c>
      <c r="D207" s="4" t="s">
        <v>295</v>
      </c>
      <c r="E207" s="4" t="s">
        <v>639</v>
      </c>
      <c r="F207" s="5">
        <v>250</v>
      </c>
      <c r="G207" s="5">
        <v>0</v>
      </c>
      <c r="H207" s="5">
        <f t="shared" si="3"/>
        <v>5900.0300000000007</v>
      </c>
      <c r="I207" s="4"/>
      <c r="J207" t="str">
        <f>IF(AND($B207=Party_Statement!$B$5,$A207&gt;=Party_Statement!$B$6,$A207&lt;=Party_Statement!$D$6),SUMPRODUCT(($B$3:$B207=Party_Statement!$B$5)*($A$3:$A207&gt;=Party_Statement!$B$6)*($A$3:$A207&lt;=Party_Statement!$D$6)),"")</f>
        <v/>
      </c>
    </row>
    <row r="208" spans="1:10" x14ac:dyDescent="0.2">
      <c r="A208" s="130">
        <v>66926</v>
      </c>
      <c r="B208" s="4" t="s">
        <v>97</v>
      </c>
      <c r="C208" s="4" t="s">
        <v>611</v>
      </c>
      <c r="D208" s="4" t="s">
        <v>300</v>
      </c>
      <c r="E208" s="4" t="s">
        <v>644</v>
      </c>
      <c r="F208" s="5">
        <v>3200</v>
      </c>
      <c r="G208" s="5">
        <v>0</v>
      </c>
      <c r="H208" s="5">
        <f t="shared" si="3"/>
        <v>9100.0300000000007</v>
      </c>
      <c r="I208" s="4"/>
      <c r="J208" t="str">
        <f>IF(AND($B208=Party_Statement!$B$5,$A208&gt;=Party_Statement!$B$6,$A208&lt;=Party_Statement!$D$6),SUMPRODUCT(($B$3:$B208=Party_Statement!$B$5)*($A$3:$A208&gt;=Party_Statement!$B$6)*($A$3:$A208&lt;=Party_Statement!$D$6)),"")</f>
        <v/>
      </c>
    </row>
    <row r="209" spans="1:10" x14ac:dyDescent="0.2">
      <c r="A209" s="130">
        <v>66926</v>
      </c>
      <c r="B209" s="4" t="s">
        <v>97</v>
      </c>
      <c r="C209" s="4" t="s">
        <v>611</v>
      </c>
      <c r="D209" s="4" t="s">
        <v>300</v>
      </c>
      <c r="E209" s="4" t="s">
        <v>639</v>
      </c>
      <c r="F209" s="5">
        <v>455</v>
      </c>
      <c r="G209" s="5">
        <v>0</v>
      </c>
      <c r="H209" s="5">
        <f t="shared" si="3"/>
        <v>9555.0300000000007</v>
      </c>
      <c r="I209" s="4"/>
      <c r="J209" t="str">
        <f>IF(AND($B209=Party_Statement!$B$5,$A209&gt;=Party_Statement!$B$6,$A209&lt;=Party_Statement!$D$6),SUMPRODUCT(($B$3:$B209=Party_Statement!$B$5)*($A$3:$A209&gt;=Party_Statement!$B$6)*($A$3:$A209&lt;=Party_Statement!$D$6)),"")</f>
        <v/>
      </c>
    </row>
    <row r="210" spans="1:10" x14ac:dyDescent="0.2">
      <c r="A210" s="130">
        <v>66927</v>
      </c>
      <c r="B210" s="4" t="s">
        <v>97</v>
      </c>
      <c r="C210" s="4" t="s">
        <v>611</v>
      </c>
      <c r="D210" s="4" t="s">
        <v>330</v>
      </c>
      <c r="E210" s="4" t="s">
        <v>639</v>
      </c>
      <c r="F210" s="5">
        <v>505.01</v>
      </c>
      <c r="G210" s="5">
        <v>0</v>
      </c>
      <c r="H210" s="5">
        <f t="shared" si="3"/>
        <v>10060.040000000001</v>
      </c>
      <c r="I210" s="4"/>
      <c r="J210" t="str">
        <f>IF(AND($B210=Party_Statement!$B$5,$A210&gt;=Party_Statement!$B$6,$A210&lt;=Party_Statement!$D$6),SUMPRODUCT(($B$3:$B210=Party_Statement!$B$5)*($A$3:$A210&gt;=Party_Statement!$B$6)*($A$3:$A210&lt;=Party_Statement!$D$6)),"")</f>
        <v/>
      </c>
    </row>
    <row r="211" spans="1:10" x14ac:dyDescent="0.2">
      <c r="A211" s="130">
        <v>66928</v>
      </c>
      <c r="B211" s="4" t="s">
        <v>97</v>
      </c>
      <c r="C211" s="4" t="s">
        <v>611</v>
      </c>
      <c r="D211" s="4" t="s">
        <v>345</v>
      </c>
      <c r="E211" s="4" t="s">
        <v>639</v>
      </c>
      <c r="F211" s="5">
        <v>350</v>
      </c>
      <c r="G211" s="5">
        <v>0</v>
      </c>
      <c r="H211" s="5">
        <f t="shared" si="3"/>
        <v>10410.040000000001</v>
      </c>
      <c r="I211" s="4"/>
      <c r="J211" t="str">
        <f>IF(AND($B211=Party_Statement!$B$5,$A211&gt;=Party_Statement!$B$6,$A211&lt;=Party_Statement!$D$6),SUMPRODUCT(($B$3:$B211=Party_Statement!$B$5)*($A$3:$A211&gt;=Party_Statement!$B$6)*($A$3:$A211&lt;=Party_Statement!$D$6)),"")</f>
        <v/>
      </c>
    </row>
    <row r="212" spans="1:10" x14ac:dyDescent="0.2">
      <c r="A212" s="130">
        <v>66929</v>
      </c>
      <c r="B212" s="4" t="s">
        <v>97</v>
      </c>
      <c r="C212" s="4" t="s">
        <v>611</v>
      </c>
      <c r="D212" s="4" t="s">
        <v>351</v>
      </c>
      <c r="E212" s="4" t="s">
        <v>639</v>
      </c>
      <c r="F212" s="5">
        <v>715.01</v>
      </c>
      <c r="G212" s="5">
        <v>0</v>
      </c>
      <c r="H212" s="5">
        <f t="shared" si="3"/>
        <v>11125.050000000001</v>
      </c>
      <c r="I212" s="4"/>
      <c r="J212" t="str">
        <f>IF(AND($B212=Party_Statement!$B$5,$A212&gt;=Party_Statement!$B$6,$A212&lt;=Party_Statement!$D$6),SUMPRODUCT(($B$3:$B212=Party_Statement!$B$5)*($A$3:$A212&gt;=Party_Statement!$B$6)*($A$3:$A212&lt;=Party_Statement!$D$6)),"")</f>
        <v/>
      </c>
    </row>
    <row r="213" spans="1:10" x14ac:dyDescent="0.2">
      <c r="A213" s="130">
        <v>66930</v>
      </c>
      <c r="B213" s="4" t="s">
        <v>97</v>
      </c>
      <c r="C213" s="4" t="s">
        <v>611</v>
      </c>
      <c r="D213" s="4" t="s">
        <v>380</v>
      </c>
      <c r="E213" s="4" t="s">
        <v>639</v>
      </c>
      <c r="F213" s="5">
        <v>525</v>
      </c>
      <c r="G213" s="5">
        <v>0</v>
      </c>
      <c r="H213" s="5">
        <f t="shared" si="3"/>
        <v>11650.050000000001</v>
      </c>
      <c r="I213" s="4"/>
      <c r="J213" t="str">
        <f>IF(AND($B213=Party_Statement!$B$5,$A213&gt;=Party_Statement!$B$6,$A213&lt;=Party_Statement!$D$6),SUMPRODUCT(($B$3:$B213=Party_Statement!$B$5)*($A$3:$A213&gt;=Party_Statement!$B$6)*($A$3:$A213&lt;=Party_Statement!$D$6)),"")</f>
        <v/>
      </c>
    </row>
    <row r="214" spans="1:10" x14ac:dyDescent="0.2">
      <c r="A214" s="130">
        <v>66931</v>
      </c>
      <c r="B214" s="4" t="s">
        <v>97</v>
      </c>
      <c r="C214" s="4" t="s">
        <v>611</v>
      </c>
      <c r="D214" s="4" t="s">
        <v>400</v>
      </c>
      <c r="E214" s="4" t="s">
        <v>639</v>
      </c>
      <c r="F214" s="5">
        <v>789.99</v>
      </c>
      <c r="G214" s="5">
        <v>0</v>
      </c>
      <c r="H214" s="5">
        <f t="shared" si="3"/>
        <v>12440.04</v>
      </c>
      <c r="I214" s="4"/>
      <c r="J214" t="str">
        <f>IF(AND($B214=Party_Statement!$B$5,$A214&gt;=Party_Statement!$B$6,$A214&lt;=Party_Statement!$D$6),SUMPRODUCT(($B$3:$B214=Party_Statement!$B$5)*($A$3:$A214&gt;=Party_Statement!$B$6)*($A$3:$A214&lt;=Party_Statement!$D$6)),"")</f>
        <v/>
      </c>
    </row>
    <row r="215" spans="1:10" x14ac:dyDescent="0.2">
      <c r="A215" s="130">
        <v>66916</v>
      </c>
      <c r="B215" s="4" t="s">
        <v>73</v>
      </c>
      <c r="C215" s="4" t="s">
        <v>611</v>
      </c>
      <c r="D215" s="4" t="s">
        <v>72</v>
      </c>
      <c r="E215" s="4" t="s">
        <v>639</v>
      </c>
      <c r="F215" s="5">
        <v>850</v>
      </c>
      <c r="G215" s="5">
        <v>0</v>
      </c>
      <c r="H215" s="5">
        <f t="shared" si="3"/>
        <v>850</v>
      </c>
      <c r="I215" s="4"/>
      <c r="J215" t="str">
        <f>IF(AND($B215=Party_Statement!$B$5,$A215&gt;=Party_Statement!$B$6,$A215&lt;=Party_Statement!$D$6),SUMPRODUCT(($B$3:$B215=Party_Statement!$B$5)*($A$3:$A215&gt;=Party_Statement!$B$6)*($A$3:$A215&lt;=Party_Statement!$D$6)),"")</f>
        <v/>
      </c>
    </row>
    <row r="216" spans="1:10" x14ac:dyDescent="0.2">
      <c r="A216" s="130">
        <v>66917</v>
      </c>
      <c r="B216" s="4" t="s">
        <v>73</v>
      </c>
      <c r="C216" s="4" t="s">
        <v>611</v>
      </c>
      <c r="D216" s="4" t="s">
        <v>102</v>
      </c>
      <c r="E216" s="4" t="s">
        <v>639</v>
      </c>
      <c r="F216" s="5">
        <v>850</v>
      </c>
      <c r="G216" s="5">
        <v>0</v>
      </c>
      <c r="H216" s="5">
        <f t="shared" si="3"/>
        <v>1700</v>
      </c>
      <c r="I216" s="4"/>
      <c r="J216" t="str">
        <f>IF(AND($B216=Party_Statement!$B$5,$A216&gt;=Party_Statement!$B$6,$A216&lt;=Party_Statement!$D$6),SUMPRODUCT(($B$3:$B216=Party_Statement!$B$5)*($A$3:$A216&gt;=Party_Statement!$B$6)*($A$3:$A216&lt;=Party_Statement!$D$6)),"")</f>
        <v/>
      </c>
    </row>
    <row r="217" spans="1:10" x14ac:dyDescent="0.2">
      <c r="A217" s="130">
        <v>66918</v>
      </c>
      <c r="B217" s="4" t="s">
        <v>73</v>
      </c>
      <c r="C217" s="4" t="s">
        <v>611</v>
      </c>
      <c r="D217" s="4" t="s">
        <v>123</v>
      </c>
      <c r="E217" s="4" t="s">
        <v>639</v>
      </c>
      <c r="F217" s="5">
        <v>850</v>
      </c>
      <c r="G217" s="5">
        <v>0</v>
      </c>
      <c r="H217" s="5">
        <f t="shared" si="3"/>
        <v>2550</v>
      </c>
      <c r="I217" s="4"/>
      <c r="J217" t="str">
        <f>IF(AND($B217=Party_Statement!$B$5,$A217&gt;=Party_Statement!$B$6,$A217&lt;=Party_Statement!$D$6),SUMPRODUCT(($B$3:$B217=Party_Statement!$B$5)*($A$3:$A217&gt;=Party_Statement!$B$6)*($A$3:$A217&lt;=Party_Statement!$D$6)),"")</f>
        <v/>
      </c>
    </row>
    <row r="218" spans="1:10" x14ac:dyDescent="0.2">
      <c r="A218" s="130">
        <v>66919</v>
      </c>
      <c r="B218" s="4" t="s">
        <v>73</v>
      </c>
      <c r="C218" s="4" t="s">
        <v>611</v>
      </c>
      <c r="D218" s="4" t="s">
        <v>152</v>
      </c>
      <c r="E218" s="4" t="s">
        <v>639</v>
      </c>
      <c r="F218" s="5">
        <v>850</v>
      </c>
      <c r="G218" s="5">
        <v>0</v>
      </c>
      <c r="H218" s="5">
        <f t="shared" si="3"/>
        <v>3400</v>
      </c>
      <c r="I218" s="4"/>
      <c r="J218" t="str">
        <f>IF(AND($B218=Party_Statement!$B$5,$A218&gt;=Party_Statement!$B$6,$A218&lt;=Party_Statement!$D$6),SUMPRODUCT(($B$3:$B218=Party_Statement!$B$5)*($A$3:$A218&gt;=Party_Statement!$B$6)*($A$3:$A218&lt;=Party_Statement!$D$6)),"")</f>
        <v/>
      </c>
    </row>
    <row r="219" spans="1:10" x14ac:dyDescent="0.2">
      <c r="A219" s="130">
        <v>66920</v>
      </c>
      <c r="B219" s="4" t="s">
        <v>73</v>
      </c>
      <c r="C219" s="4" t="s">
        <v>611</v>
      </c>
      <c r="D219" s="4" t="s">
        <v>167</v>
      </c>
      <c r="E219" s="4" t="s">
        <v>639</v>
      </c>
      <c r="F219" s="5">
        <v>850</v>
      </c>
      <c r="G219" s="5">
        <v>0</v>
      </c>
      <c r="H219" s="5">
        <f t="shared" si="3"/>
        <v>4250</v>
      </c>
      <c r="I219" s="4"/>
      <c r="J219" t="str">
        <f>IF(AND($B219=Party_Statement!$B$5,$A219&gt;=Party_Statement!$B$6,$A219&lt;=Party_Statement!$D$6),SUMPRODUCT(($B$3:$B219=Party_Statement!$B$5)*($A$3:$A219&gt;=Party_Statement!$B$6)*($A$3:$A219&lt;=Party_Statement!$D$6)),"")</f>
        <v/>
      </c>
    </row>
    <row r="220" spans="1:10" x14ac:dyDescent="0.2">
      <c r="A220" s="130">
        <v>66921</v>
      </c>
      <c r="B220" s="4" t="s">
        <v>73</v>
      </c>
      <c r="C220" s="4" t="s">
        <v>611</v>
      </c>
      <c r="D220" s="4" t="s">
        <v>185</v>
      </c>
      <c r="E220" s="4" t="s">
        <v>639</v>
      </c>
      <c r="F220" s="5">
        <v>850</v>
      </c>
      <c r="G220" s="5">
        <v>0</v>
      </c>
      <c r="H220" s="5">
        <f t="shared" si="3"/>
        <v>5100</v>
      </c>
      <c r="I220" s="4"/>
      <c r="J220" t="str">
        <f>IF(AND($B220=Party_Statement!$B$5,$A220&gt;=Party_Statement!$B$6,$A220&lt;=Party_Statement!$D$6),SUMPRODUCT(($B$3:$B220=Party_Statement!$B$5)*($A$3:$A220&gt;=Party_Statement!$B$6)*($A$3:$A220&lt;=Party_Statement!$D$6)),"")</f>
        <v/>
      </c>
    </row>
    <row r="221" spans="1:10" x14ac:dyDescent="0.2">
      <c r="A221" s="130">
        <v>66922</v>
      </c>
      <c r="B221" s="4" t="s">
        <v>73</v>
      </c>
      <c r="C221" s="4" t="s">
        <v>611</v>
      </c>
      <c r="D221" s="4" t="s">
        <v>220</v>
      </c>
      <c r="E221" s="4" t="s">
        <v>639</v>
      </c>
      <c r="F221" s="5">
        <v>850</v>
      </c>
      <c r="G221" s="5">
        <v>0</v>
      </c>
      <c r="H221" s="5">
        <f t="shared" si="3"/>
        <v>5950</v>
      </c>
      <c r="I221" s="4"/>
      <c r="J221" t="str">
        <f>IF(AND($B221=Party_Statement!$B$5,$A221&gt;=Party_Statement!$B$6,$A221&lt;=Party_Statement!$D$6),SUMPRODUCT(($B$3:$B221=Party_Statement!$B$5)*($A$3:$A221&gt;=Party_Statement!$B$6)*($A$3:$A221&lt;=Party_Statement!$D$6)),"")</f>
        <v/>
      </c>
    </row>
    <row r="222" spans="1:10" x14ac:dyDescent="0.2">
      <c r="A222" s="130">
        <v>66923</v>
      </c>
      <c r="B222" s="4" t="s">
        <v>73</v>
      </c>
      <c r="C222" s="4" t="s">
        <v>611</v>
      </c>
      <c r="D222" s="4" t="s">
        <v>233</v>
      </c>
      <c r="E222" s="4" t="s">
        <v>639</v>
      </c>
      <c r="F222" s="5">
        <v>1700</v>
      </c>
      <c r="G222" s="5">
        <v>0</v>
      </c>
      <c r="H222" s="5">
        <f t="shared" si="3"/>
        <v>7650</v>
      </c>
      <c r="I222" s="4"/>
      <c r="J222" t="str">
        <f>IF(AND($B222=Party_Statement!$B$5,$A222&gt;=Party_Statement!$B$6,$A222&lt;=Party_Statement!$D$6),SUMPRODUCT(($B$3:$B222=Party_Statement!$B$5)*($A$3:$A222&gt;=Party_Statement!$B$6)*($A$3:$A222&lt;=Party_Statement!$D$6)),"")</f>
        <v/>
      </c>
    </row>
    <row r="223" spans="1:10" x14ac:dyDescent="0.2">
      <c r="A223" s="130">
        <v>66924</v>
      </c>
      <c r="B223" s="4" t="s">
        <v>73</v>
      </c>
      <c r="C223" s="4" t="s">
        <v>611</v>
      </c>
      <c r="D223" s="4" t="s">
        <v>256</v>
      </c>
      <c r="E223" s="4" t="s">
        <v>639</v>
      </c>
      <c r="F223" s="5">
        <v>850</v>
      </c>
      <c r="G223" s="5">
        <v>0</v>
      </c>
      <c r="H223" s="5">
        <f t="shared" si="3"/>
        <v>8500</v>
      </c>
      <c r="I223" s="4"/>
      <c r="J223" t="str">
        <f>IF(AND($B223=Party_Statement!$B$5,$A223&gt;=Party_Statement!$B$6,$A223&lt;=Party_Statement!$D$6),SUMPRODUCT(($B$3:$B223=Party_Statement!$B$5)*($A$3:$A223&gt;=Party_Statement!$B$6)*($A$3:$A223&lt;=Party_Statement!$D$6)),"")</f>
        <v/>
      </c>
    </row>
    <row r="224" spans="1:10" x14ac:dyDescent="0.2">
      <c r="A224" s="130">
        <v>66925</v>
      </c>
      <c r="B224" s="4" t="s">
        <v>73</v>
      </c>
      <c r="C224" s="4" t="s">
        <v>611</v>
      </c>
      <c r="D224" s="4" t="s">
        <v>279</v>
      </c>
      <c r="E224" s="4" t="s">
        <v>639</v>
      </c>
      <c r="F224" s="5">
        <v>850</v>
      </c>
      <c r="G224" s="5">
        <v>0</v>
      </c>
      <c r="H224" s="5">
        <f t="shared" si="3"/>
        <v>9350</v>
      </c>
      <c r="I224" s="4"/>
      <c r="J224" t="str">
        <f>IF(AND($B224=Party_Statement!$B$5,$A224&gt;=Party_Statement!$B$6,$A224&lt;=Party_Statement!$D$6),SUMPRODUCT(($B$3:$B224=Party_Statement!$B$5)*($A$3:$A224&gt;=Party_Statement!$B$6)*($A$3:$A224&lt;=Party_Statement!$D$6)),"")</f>
        <v/>
      </c>
    </row>
    <row r="225" spans="1:10" x14ac:dyDescent="0.2">
      <c r="A225" s="130">
        <v>66926</v>
      </c>
      <c r="B225" s="4" t="s">
        <v>73</v>
      </c>
      <c r="C225" s="4" t="s">
        <v>611</v>
      </c>
      <c r="D225" s="4" t="s">
        <v>312</v>
      </c>
      <c r="E225" s="4" t="s">
        <v>639</v>
      </c>
      <c r="F225" s="5">
        <v>850</v>
      </c>
      <c r="G225" s="5">
        <v>0</v>
      </c>
      <c r="H225" s="5">
        <f t="shared" si="3"/>
        <v>10200</v>
      </c>
      <c r="I225" s="4"/>
      <c r="J225" t="str">
        <f>IF(AND($B225=Party_Statement!$B$5,$A225&gt;=Party_Statement!$B$6,$A225&lt;=Party_Statement!$D$6),SUMPRODUCT(($B$3:$B225=Party_Statement!$B$5)*($A$3:$A225&gt;=Party_Statement!$B$6)*($A$3:$A225&lt;=Party_Statement!$D$6)),"")</f>
        <v/>
      </c>
    </row>
    <row r="226" spans="1:10" x14ac:dyDescent="0.2">
      <c r="A226" s="130">
        <v>66927</v>
      </c>
      <c r="B226" s="4" t="s">
        <v>73</v>
      </c>
      <c r="C226" s="4" t="s">
        <v>611</v>
      </c>
      <c r="D226" s="4" t="s">
        <v>324</v>
      </c>
      <c r="E226" s="4" t="s">
        <v>639</v>
      </c>
      <c r="F226" s="5">
        <v>850</v>
      </c>
      <c r="G226" s="5">
        <v>0</v>
      </c>
      <c r="H226" s="5">
        <f t="shared" si="3"/>
        <v>11050</v>
      </c>
      <c r="I226" s="4"/>
      <c r="J226" t="str">
        <f>IF(AND($B226=Party_Statement!$B$5,$A226&gt;=Party_Statement!$B$6,$A226&lt;=Party_Statement!$D$6),SUMPRODUCT(($B$3:$B226=Party_Statement!$B$5)*($A$3:$A226&gt;=Party_Statement!$B$6)*($A$3:$A226&lt;=Party_Statement!$D$6)),"")</f>
        <v/>
      </c>
    </row>
    <row r="227" spans="1:10" x14ac:dyDescent="0.2">
      <c r="A227" s="130">
        <v>66928</v>
      </c>
      <c r="B227" s="4" t="s">
        <v>73</v>
      </c>
      <c r="C227" s="4" t="s">
        <v>611</v>
      </c>
      <c r="D227" s="4" t="s">
        <v>334</v>
      </c>
      <c r="E227" s="4" t="s">
        <v>639</v>
      </c>
      <c r="F227" s="5">
        <v>850</v>
      </c>
      <c r="G227" s="5">
        <v>0</v>
      </c>
      <c r="H227" s="5">
        <f t="shared" si="3"/>
        <v>11900</v>
      </c>
      <c r="I227" s="4"/>
      <c r="J227" t="str">
        <f>IF(AND($B227=Party_Statement!$B$5,$A227&gt;=Party_Statement!$B$6,$A227&lt;=Party_Statement!$D$6),SUMPRODUCT(($B$3:$B227=Party_Statement!$B$5)*($A$3:$A227&gt;=Party_Statement!$B$6)*($A$3:$A227&lt;=Party_Statement!$D$6)),"")</f>
        <v/>
      </c>
    </row>
    <row r="228" spans="1:10" x14ac:dyDescent="0.2">
      <c r="A228" s="130">
        <v>66930</v>
      </c>
      <c r="B228" s="4" t="s">
        <v>73</v>
      </c>
      <c r="C228" s="4" t="s">
        <v>611</v>
      </c>
      <c r="D228" s="4" t="s">
        <v>375</v>
      </c>
      <c r="E228" s="4" t="s">
        <v>639</v>
      </c>
      <c r="F228" s="5">
        <v>850</v>
      </c>
      <c r="G228" s="5">
        <v>0</v>
      </c>
      <c r="H228" s="5">
        <f t="shared" si="3"/>
        <v>12750</v>
      </c>
      <c r="I228" s="4"/>
      <c r="J228" t="str">
        <f>IF(AND($B228=Party_Statement!$B$5,$A228&gt;=Party_Statement!$B$6,$A228&lt;=Party_Statement!$D$6),SUMPRODUCT(($B$3:$B228=Party_Statement!$B$5)*($A$3:$A228&gt;=Party_Statement!$B$6)*($A$3:$A228&lt;=Party_Statement!$D$6)),"")</f>
        <v/>
      </c>
    </row>
    <row r="229" spans="1:10" x14ac:dyDescent="0.2">
      <c r="A229" s="130">
        <v>66931</v>
      </c>
      <c r="B229" s="4" t="s">
        <v>73</v>
      </c>
      <c r="C229" s="4" t="s">
        <v>611</v>
      </c>
      <c r="D229" s="4" t="s">
        <v>383</v>
      </c>
      <c r="E229" s="4" t="s">
        <v>639</v>
      </c>
      <c r="F229" s="5">
        <v>850</v>
      </c>
      <c r="G229" s="5">
        <v>0</v>
      </c>
      <c r="H229" s="5">
        <f t="shared" si="3"/>
        <v>13600</v>
      </c>
      <c r="I229" s="4"/>
      <c r="J229" t="str">
        <f>IF(AND($B229=Party_Statement!$B$5,$A229&gt;=Party_Statement!$B$6,$A229&lt;=Party_Statement!$D$6),SUMPRODUCT(($B$3:$B229=Party_Statement!$B$5)*($A$3:$A229&gt;=Party_Statement!$B$6)*($A$3:$A229&lt;=Party_Statement!$D$6)),"")</f>
        <v/>
      </c>
    </row>
    <row r="230" spans="1:10" x14ac:dyDescent="0.2">
      <c r="A230" s="130">
        <v>66924</v>
      </c>
      <c r="B230" s="4" t="s">
        <v>264</v>
      </c>
      <c r="C230" s="4" t="s">
        <v>611</v>
      </c>
      <c r="D230" s="4" t="s">
        <v>263</v>
      </c>
      <c r="E230" s="4" t="s">
        <v>646</v>
      </c>
      <c r="F230" s="5">
        <v>2200</v>
      </c>
      <c r="G230" s="5">
        <v>0</v>
      </c>
      <c r="H230" s="5">
        <f t="shared" si="3"/>
        <v>2200</v>
      </c>
      <c r="I230" s="4"/>
      <c r="J230" t="str">
        <f>IF(AND($B230=Party_Statement!$B$5,$A230&gt;=Party_Statement!$B$6,$A230&lt;=Party_Statement!$D$6),SUMPRODUCT(($B$3:$B230=Party_Statement!$B$5)*($A$3:$A230&gt;=Party_Statement!$B$6)*($A$3:$A230&lt;=Party_Statement!$D$6)),"")</f>
        <v/>
      </c>
    </row>
    <row r="231" spans="1:10" x14ac:dyDescent="0.2">
      <c r="A231" s="130">
        <v>66916</v>
      </c>
      <c r="B231" s="4" t="s">
        <v>450</v>
      </c>
      <c r="C231" s="4" t="s">
        <v>613</v>
      </c>
      <c r="D231" s="4" t="s">
        <v>449</v>
      </c>
      <c r="E231" s="4" t="s">
        <v>647</v>
      </c>
      <c r="F231" s="5">
        <v>0</v>
      </c>
      <c r="G231" s="5">
        <v>481.74</v>
      </c>
      <c r="H231" s="5">
        <f t="shared" si="3"/>
        <v>-481.74</v>
      </c>
      <c r="I231" s="4"/>
      <c r="J231" t="str">
        <f>IF(AND($B231=Party_Statement!$B$5,$A231&gt;=Party_Statement!$B$6,$A231&lt;=Party_Statement!$D$6),SUMPRODUCT(($B$3:$B231=Party_Statement!$B$5)*($A$3:$A231&gt;=Party_Statement!$B$6)*($A$3:$A231&lt;=Party_Statement!$D$6)),"")</f>
        <v/>
      </c>
    </row>
    <row r="232" spans="1:10" x14ac:dyDescent="0.2">
      <c r="A232" s="130">
        <v>66917</v>
      </c>
      <c r="B232" s="4" t="s">
        <v>450</v>
      </c>
      <c r="C232" s="4" t="s">
        <v>613</v>
      </c>
      <c r="D232" s="4" t="s">
        <v>460</v>
      </c>
      <c r="E232" s="4" t="s">
        <v>647</v>
      </c>
      <c r="F232" s="5">
        <v>0</v>
      </c>
      <c r="G232" s="5">
        <v>193.01</v>
      </c>
      <c r="H232" s="5">
        <f t="shared" si="3"/>
        <v>-674.75</v>
      </c>
      <c r="I232" s="4"/>
      <c r="J232" t="str">
        <f>IF(AND($B232=Party_Statement!$B$5,$A232&gt;=Party_Statement!$B$6,$A232&lt;=Party_Statement!$D$6),SUMPRODUCT(($B$3:$B232=Party_Statement!$B$5)*($A$3:$A232&gt;=Party_Statement!$B$6)*($A$3:$A232&lt;=Party_Statement!$D$6)),"")</f>
        <v/>
      </c>
    </row>
    <row r="233" spans="1:10" x14ac:dyDescent="0.2">
      <c r="A233" s="130">
        <v>66918</v>
      </c>
      <c r="B233" s="4" t="s">
        <v>450</v>
      </c>
      <c r="C233" s="4" t="s">
        <v>613</v>
      </c>
      <c r="D233" s="4" t="s">
        <v>467</v>
      </c>
      <c r="E233" s="4" t="s">
        <v>647</v>
      </c>
      <c r="F233" s="5">
        <v>0</v>
      </c>
      <c r="G233" s="5">
        <v>445.3</v>
      </c>
      <c r="H233" s="5">
        <f t="shared" si="3"/>
        <v>-1120.05</v>
      </c>
      <c r="I233" s="4"/>
      <c r="J233" t="str">
        <f>IF(AND($B233=Party_Statement!$B$5,$A233&gt;=Party_Statement!$B$6,$A233&lt;=Party_Statement!$D$6),SUMPRODUCT(($B$3:$B233=Party_Statement!$B$5)*($A$3:$A233&gt;=Party_Statement!$B$6)*($A$3:$A233&lt;=Party_Statement!$D$6)),"")</f>
        <v/>
      </c>
    </row>
    <row r="234" spans="1:10" x14ac:dyDescent="0.2">
      <c r="A234" s="130">
        <v>66919</v>
      </c>
      <c r="B234" s="4" t="s">
        <v>450</v>
      </c>
      <c r="C234" s="4" t="s">
        <v>613</v>
      </c>
      <c r="D234" s="4" t="s">
        <v>474</v>
      </c>
      <c r="E234" s="4" t="s">
        <v>647</v>
      </c>
      <c r="F234" s="5">
        <v>0</v>
      </c>
      <c r="G234" s="5">
        <v>440.98</v>
      </c>
      <c r="H234" s="5">
        <f t="shared" si="3"/>
        <v>-1561.03</v>
      </c>
      <c r="I234" s="4"/>
      <c r="J234" t="str">
        <f>IF(AND($B234=Party_Statement!$B$5,$A234&gt;=Party_Statement!$B$6,$A234&lt;=Party_Statement!$D$6),SUMPRODUCT(($B$3:$B234=Party_Statement!$B$5)*($A$3:$A234&gt;=Party_Statement!$B$6)*($A$3:$A234&lt;=Party_Statement!$D$6)),"")</f>
        <v/>
      </c>
    </row>
    <row r="235" spans="1:10" x14ac:dyDescent="0.2">
      <c r="A235" s="130">
        <v>66920</v>
      </c>
      <c r="B235" s="4" t="s">
        <v>450</v>
      </c>
      <c r="C235" s="4" t="s">
        <v>613</v>
      </c>
      <c r="D235" s="4" t="s">
        <v>481</v>
      </c>
      <c r="E235" s="4" t="s">
        <v>647</v>
      </c>
      <c r="F235" s="5">
        <v>0</v>
      </c>
      <c r="G235" s="5">
        <v>395.31</v>
      </c>
      <c r="H235" s="5">
        <f t="shared" si="3"/>
        <v>-1956.34</v>
      </c>
      <c r="I235" s="4"/>
      <c r="J235" t="str">
        <f>IF(AND($B235=Party_Statement!$B$5,$A235&gt;=Party_Statement!$B$6,$A235&lt;=Party_Statement!$D$6),SUMPRODUCT(($B$3:$B235=Party_Statement!$B$5)*($A$3:$A235&gt;=Party_Statement!$B$6)*($A$3:$A235&lt;=Party_Statement!$D$6)),"")</f>
        <v/>
      </c>
    </row>
    <row r="236" spans="1:10" x14ac:dyDescent="0.2">
      <c r="A236" s="130">
        <v>66921</v>
      </c>
      <c r="B236" s="4" t="s">
        <v>450</v>
      </c>
      <c r="C236" s="4" t="s">
        <v>613</v>
      </c>
      <c r="D236" s="4" t="s">
        <v>488</v>
      </c>
      <c r="E236" s="4" t="s">
        <v>647</v>
      </c>
      <c r="F236" s="5">
        <v>0</v>
      </c>
      <c r="G236" s="5">
        <v>366.56</v>
      </c>
      <c r="H236" s="5">
        <f t="shared" si="3"/>
        <v>-2322.9</v>
      </c>
      <c r="I236" s="4"/>
      <c r="J236" t="str">
        <f>IF(AND($B236=Party_Statement!$B$5,$A236&gt;=Party_Statement!$B$6,$A236&lt;=Party_Statement!$D$6),SUMPRODUCT(($B$3:$B236=Party_Statement!$B$5)*($A$3:$A236&gt;=Party_Statement!$B$6)*($A$3:$A236&lt;=Party_Statement!$D$6)),"")</f>
        <v/>
      </c>
    </row>
    <row r="237" spans="1:10" x14ac:dyDescent="0.2">
      <c r="A237" s="130">
        <v>66922</v>
      </c>
      <c r="B237" s="4" t="s">
        <v>450</v>
      </c>
      <c r="C237" s="4" t="s">
        <v>613</v>
      </c>
      <c r="D237" s="4" t="s">
        <v>495</v>
      </c>
      <c r="E237" s="4" t="s">
        <v>647</v>
      </c>
      <c r="F237" s="5">
        <v>0</v>
      </c>
      <c r="G237" s="5">
        <v>401.23</v>
      </c>
      <c r="H237" s="5">
        <f t="shared" si="3"/>
        <v>-2724.13</v>
      </c>
      <c r="I237" s="4"/>
      <c r="J237" t="str">
        <f>IF(AND($B237=Party_Statement!$B$5,$A237&gt;=Party_Statement!$B$6,$A237&lt;=Party_Statement!$D$6),SUMPRODUCT(($B$3:$B237=Party_Statement!$B$5)*($A$3:$A237&gt;=Party_Statement!$B$6)*($A$3:$A237&lt;=Party_Statement!$D$6)),"")</f>
        <v/>
      </c>
    </row>
    <row r="238" spans="1:10" x14ac:dyDescent="0.2">
      <c r="A238" s="130">
        <v>66923</v>
      </c>
      <c r="B238" s="4" t="s">
        <v>450</v>
      </c>
      <c r="C238" s="4" t="s">
        <v>613</v>
      </c>
      <c r="D238" s="4" t="s">
        <v>502</v>
      </c>
      <c r="E238" s="4" t="s">
        <v>647</v>
      </c>
      <c r="F238" s="5">
        <v>0</v>
      </c>
      <c r="G238" s="5">
        <v>432.61</v>
      </c>
      <c r="H238" s="5">
        <f t="shared" si="3"/>
        <v>-3156.7400000000002</v>
      </c>
      <c r="I238" s="4"/>
      <c r="J238" t="str">
        <f>IF(AND($B238=Party_Statement!$B$5,$A238&gt;=Party_Statement!$B$6,$A238&lt;=Party_Statement!$D$6),SUMPRODUCT(($B$3:$B238=Party_Statement!$B$5)*($A$3:$A238&gt;=Party_Statement!$B$6)*($A$3:$A238&lt;=Party_Statement!$D$6)),"")</f>
        <v/>
      </c>
    </row>
    <row r="239" spans="1:10" x14ac:dyDescent="0.2">
      <c r="A239" s="130">
        <v>66924</v>
      </c>
      <c r="B239" s="4" t="s">
        <v>450</v>
      </c>
      <c r="C239" s="4" t="s">
        <v>613</v>
      </c>
      <c r="D239" s="4" t="s">
        <v>509</v>
      </c>
      <c r="E239" s="4" t="s">
        <v>647</v>
      </c>
      <c r="F239" s="5">
        <v>0</v>
      </c>
      <c r="G239" s="5">
        <v>431.25</v>
      </c>
      <c r="H239" s="5">
        <f t="shared" si="3"/>
        <v>-3587.9900000000002</v>
      </c>
      <c r="I239" s="4"/>
      <c r="J239" t="str">
        <f>IF(AND($B239=Party_Statement!$B$5,$A239&gt;=Party_Statement!$B$6,$A239&lt;=Party_Statement!$D$6),SUMPRODUCT(($B$3:$B239=Party_Statement!$B$5)*($A$3:$A239&gt;=Party_Statement!$B$6)*($A$3:$A239&lt;=Party_Statement!$D$6)),"")</f>
        <v/>
      </c>
    </row>
    <row r="240" spans="1:10" x14ac:dyDescent="0.2">
      <c r="A240" s="130">
        <v>66925</v>
      </c>
      <c r="B240" s="4" t="s">
        <v>450</v>
      </c>
      <c r="C240" s="4" t="s">
        <v>613</v>
      </c>
      <c r="D240" s="4" t="s">
        <v>516</v>
      </c>
      <c r="E240" s="4" t="s">
        <v>647</v>
      </c>
      <c r="F240" s="5">
        <v>0</v>
      </c>
      <c r="G240" s="5">
        <v>447.84</v>
      </c>
      <c r="H240" s="5">
        <f t="shared" si="3"/>
        <v>-4035.8300000000004</v>
      </c>
      <c r="I240" s="4"/>
      <c r="J240" t="str">
        <f>IF(AND($B240=Party_Statement!$B$5,$A240&gt;=Party_Statement!$B$6,$A240&lt;=Party_Statement!$D$6),SUMPRODUCT(($B$3:$B240=Party_Statement!$B$5)*($A$3:$A240&gt;=Party_Statement!$B$6)*($A$3:$A240&lt;=Party_Statement!$D$6)),"")</f>
        <v/>
      </c>
    </row>
    <row r="241" spans="1:10" x14ac:dyDescent="0.2">
      <c r="A241" s="130">
        <v>66926</v>
      </c>
      <c r="B241" s="4" t="s">
        <v>450</v>
      </c>
      <c r="C241" s="4" t="s">
        <v>613</v>
      </c>
      <c r="D241" s="4" t="s">
        <v>523</v>
      </c>
      <c r="E241" s="4" t="s">
        <v>647</v>
      </c>
      <c r="F241" s="5">
        <v>0</v>
      </c>
      <c r="G241" s="5">
        <v>452.81</v>
      </c>
      <c r="H241" s="5">
        <f t="shared" si="3"/>
        <v>-4488.6400000000003</v>
      </c>
      <c r="I241" s="4"/>
      <c r="J241" t="str">
        <f>IF(AND($B241=Party_Statement!$B$5,$A241&gt;=Party_Statement!$B$6,$A241&lt;=Party_Statement!$D$6),SUMPRODUCT(($B$3:$B241=Party_Statement!$B$5)*($A$3:$A241&gt;=Party_Statement!$B$6)*($A$3:$A241&lt;=Party_Statement!$D$6)),"")</f>
        <v/>
      </c>
    </row>
    <row r="242" spans="1:10" x14ac:dyDescent="0.2">
      <c r="A242" s="130">
        <v>66927</v>
      </c>
      <c r="B242" s="4" t="s">
        <v>450</v>
      </c>
      <c r="C242" s="4" t="s">
        <v>613</v>
      </c>
      <c r="D242" s="4" t="s">
        <v>533</v>
      </c>
      <c r="E242" s="4" t="s">
        <v>647</v>
      </c>
      <c r="F242" s="5">
        <v>0</v>
      </c>
      <c r="G242" s="5">
        <v>452.81</v>
      </c>
      <c r="H242" s="5">
        <f t="shared" si="3"/>
        <v>-4941.4500000000007</v>
      </c>
      <c r="I242" s="4"/>
      <c r="J242" t="str">
        <f>IF(AND($B242=Party_Statement!$B$5,$A242&gt;=Party_Statement!$B$6,$A242&lt;=Party_Statement!$D$6),SUMPRODUCT(($B$3:$B242=Party_Statement!$B$5)*($A$3:$A242&gt;=Party_Statement!$B$6)*($A$3:$A242&lt;=Party_Statement!$D$6)),"")</f>
        <v/>
      </c>
    </row>
    <row r="243" spans="1:10" x14ac:dyDescent="0.2">
      <c r="A243" s="130">
        <v>66928</v>
      </c>
      <c r="B243" s="4" t="s">
        <v>450</v>
      </c>
      <c r="C243" s="4" t="s">
        <v>613</v>
      </c>
      <c r="D243" s="4" t="s">
        <v>541</v>
      </c>
      <c r="E243" s="4" t="s">
        <v>647</v>
      </c>
      <c r="F243" s="5">
        <v>0</v>
      </c>
      <c r="G243" s="5">
        <v>445.62</v>
      </c>
      <c r="H243" s="5">
        <f t="shared" si="3"/>
        <v>-5387.0700000000006</v>
      </c>
      <c r="I243" s="4"/>
      <c r="J243" t="str">
        <f>IF(AND($B243=Party_Statement!$B$5,$A243&gt;=Party_Statement!$B$6,$A243&lt;=Party_Statement!$D$6),SUMPRODUCT(($B$3:$B243=Party_Statement!$B$5)*($A$3:$A243&gt;=Party_Statement!$B$6)*($A$3:$A243&lt;=Party_Statement!$D$6)),"")</f>
        <v/>
      </c>
    </row>
    <row r="244" spans="1:10" x14ac:dyDescent="0.2">
      <c r="A244" s="130">
        <v>66929</v>
      </c>
      <c r="B244" s="4" t="s">
        <v>450</v>
      </c>
      <c r="C244" s="4" t="s">
        <v>613</v>
      </c>
      <c r="D244" s="4" t="s">
        <v>549</v>
      </c>
      <c r="E244" s="4" t="s">
        <v>647</v>
      </c>
      <c r="F244" s="5">
        <v>0</v>
      </c>
      <c r="G244" s="5">
        <v>418.46</v>
      </c>
      <c r="H244" s="5">
        <f t="shared" si="3"/>
        <v>-5805.5300000000007</v>
      </c>
      <c r="I244" s="4"/>
      <c r="J244" t="str">
        <f>IF(AND($B244=Party_Statement!$B$5,$A244&gt;=Party_Statement!$B$6,$A244&lt;=Party_Statement!$D$6),SUMPRODUCT(($B$3:$B244=Party_Statement!$B$5)*($A$3:$A244&gt;=Party_Statement!$B$6)*($A$3:$A244&lt;=Party_Statement!$D$6)),"")</f>
        <v/>
      </c>
    </row>
    <row r="245" spans="1:10" x14ac:dyDescent="0.2">
      <c r="A245" s="130">
        <v>66930</v>
      </c>
      <c r="B245" s="4" t="s">
        <v>450</v>
      </c>
      <c r="C245" s="4" t="s">
        <v>613</v>
      </c>
      <c r="D245" s="4" t="s">
        <v>557</v>
      </c>
      <c r="E245" s="4" t="s">
        <v>647</v>
      </c>
      <c r="F245" s="5">
        <v>0</v>
      </c>
      <c r="G245" s="5">
        <v>404.76</v>
      </c>
      <c r="H245" s="5">
        <f t="shared" si="3"/>
        <v>-6210.2900000000009</v>
      </c>
      <c r="I245" s="4"/>
      <c r="J245" t="str">
        <f>IF(AND($B245=Party_Statement!$B$5,$A245&gt;=Party_Statement!$B$6,$A245&lt;=Party_Statement!$D$6),SUMPRODUCT(($B$3:$B245=Party_Statement!$B$5)*($A$3:$A245&gt;=Party_Statement!$B$6)*($A$3:$A245&lt;=Party_Statement!$D$6)),"")</f>
        <v/>
      </c>
    </row>
    <row r="246" spans="1:10" x14ac:dyDescent="0.2">
      <c r="A246" s="130">
        <v>66931</v>
      </c>
      <c r="B246" s="4" t="s">
        <v>450</v>
      </c>
      <c r="C246" s="4" t="s">
        <v>613</v>
      </c>
      <c r="D246" s="4" t="s">
        <v>565</v>
      </c>
      <c r="E246" s="4" t="s">
        <v>647</v>
      </c>
      <c r="F246" s="5">
        <v>0</v>
      </c>
      <c r="G246" s="5">
        <v>433.4</v>
      </c>
      <c r="H246" s="5">
        <f t="shared" si="3"/>
        <v>-6643.6900000000005</v>
      </c>
      <c r="I246" s="4"/>
      <c r="J246" t="str">
        <f>IF(AND($B246=Party_Statement!$B$5,$A246&gt;=Party_Statement!$B$6,$A246&lt;=Party_Statement!$D$6),SUMPRODUCT(($B$3:$B246=Party_Statement!$B$5)*($A$3:$A246&gt;=Party_Statement!$B$6)*($A$3:$A246&lt;=Party_Statement!$D$6)),"")</f>
        <v/>
      </c>
    </row>
    <row r="247" spans="1:10" x14ac:dyDescent="0.2">
      <c r="A247" s="130">
        <v>66916</v>
      </c>
      <c r="B247" s="4" t="s">
        <v>633</v>
      </c>
      <c r="C247" s="4" t="s">
        <v>613</v>
      </c>
      <c r="D247" s="4" t="s">
        <v>439</v>
      </c>
      <c r="E247" s="4" t="s">
        <v>647</v>
      </c>
      <c r="F247" s="5">
        <v>0</v>
      </c>
      <c r="G247" s="5">
        <v>5125.92</v>
      </c>
      <c r="H247" s="5">
        <f t="shared" si="3"/>
        <v>-5125.92</v>
      </c>
      <c r="I247" s="4"/>
      <c r="J247" t="str">
        <f>IF(AND($B247=Party_Statement!$B$5,$A247&gt;=Party_Statement!$B$6,$A247&lt;=Party_Statement!$D$6),SUMPRODUCT(($B$3:$B247=Party_Statement!$B$5)*($A$3:$A247&gt;=Party_Statement!$B$6)*($A$3:$A247&lt;=Party_Statement!$D$6)),"")</f>
        <v/>
      </c>
    </row>
    <row r="248" spans="1:10" x14ac:dyDescent="0.2">
      <c r="A248" s="130">
        <v>66916</v>
      </c>
      <c r="B248" s="4" t="s">
        <v>633</v>
      </c>
      <c r="C248" s="4" t="s">
        <v>613</v>
      </c>
      <c r="D248" s="4" t="s">
        <v>442</v>
      </c>
      <c r="E248" s="4" t="s">
        <v>642</v>
      </c>
      <c r="F248" s="5">
        <v>0</v>
      </c>
      <c r="G248" s="5">
        <v>3019.18</v>
      </c>
      <c r="H248" s="5">
        <f t="shared" si="3"/>
        <v>-8145.1</v>
      </c>
      <c r="I248" s="4"/>
      <c r="J248" t="str">
        <f>IF(AND($B248=Party_Statement!$B$5,$A248&gt;=Party_Statement!$B$6,$A248&lt;=Party_Statement!$D$6),SUMPRODUCT(($B$3:$B248=Party_Statement!$B$5)*($A$3:$A248&gt;=Party_Statement!$B$6)*($A$3:$A248&lt;=Party_Statement!$D$6)),"")</f>
        <v/>
      </c>
    </row>
    <row r="249" spans="1:10" x14ac:dyDescent="0.2">
      <c r="A249" s="130">
        <v>66917</v>
      </c>
      <c r="B249" s="4" t="s">
        <v>633</v>
      </c>
      <c r="C249" s="4" t="s">
        <v>613</v>
      </c>
      <c r="D249" s="4" t="s">
        <v>456</v>
      </c>
      <c r="E249" s="4" t="s">
        <v>647</v>
      </c>
      <c r="F249" s="5">
        <v>0</v>
      </c>
      <c r="G249" s="5">
        <v>5743.81</v>
      </c>
      <c r="H249" s="5">
        <f t="shared" si="3"/>
        <v>-13888.91</v>
      </c>
      <c r="I249" s="4"/>
      <c r="J249" t="str">
        <f>IF(AND($B249=Party_Statement!$B$5,$A249&gt;=Party_Statement!$B$6,$A249&lt;=Party_Statement!$D$6),SUMPRODUCT(($B$3:$B249=Party_Statement!$B$5)*($A$3:$A249&gt;=Party_Statement!$B$6)*($A$3:$A249&lt;=Party_Statement!$D$6)),"")</f>
        <v/>
      </c>
    </row>
    <row r="250" spans="1:10" x14ac:dyDescent="0.2">
      <c r="A250" s="130">
        <v>66917</v>
      </c>
      <c r="B250" s="4" t="s">
        <v>633</v>
      </c>
      <c r="C250" s="4" t="s">
        <v>613</v>
      </c>
      <c r="D250" s="4" t="s">
        <v>457</v>
      </c>
      <c r="E250" s="4" t="s">
        <v>642</v>
      </c>
      <c r="F250" s="5">
        <v>0</v>
      </c>
      <c r="G250" s="5">
        <v>2824.64</v>
      </c>
      <c r="H250" s="5">
        <f t="shared" si="3"/>
        <v>-16713.55</v>
      </c>
      <c r="I250" s="4"/>
      <c r="J250" t="str">
        <f>IF(AND($B250=Party_Statement!$B$5,$A250&gt;=Party_Statement!$B$6,$A250&lt;=Party_Statement!$D$6),SUMPRODUCT(($B$3:$B250=Party_Statement!$B$5)*($A$3:$A250&gt;=Party_Statement!$B$6)*($A$3:$A250&lt;=Party_Statement!$D$6)),"")</f>
        <v/>
      </c>
    </row>
    <row r="251" spans="1:10" x14ac:dyDescent="0.2">
      <c r="A251" s="130">
        <v>66918</v>
      </c>
      <c r="B251" s="4" t="s">
        <v>633</v>
      </c>
      <c r="C251" s="4" t="s">
        <v>613</v>
      </c>
      <c r="D251" s="4" t="s">
        <v>463</v>
      </c>
      <c r="E251" s="4" t="s">
        <v>647</v>
      </c>
      <c r="F251" s="5">
        <v>0</v>
      </c>
      <c r="G251" s="5">
        <v>5578.32</v>
      </c>
      <c r="H251" s="5">
        <f t="shared" si="3"/>
        <v>-22291.87</v>
      </c>
      <c r="I251" s="4"/>
      <c r="J251" t="str">
        <f>IF(AND($B251=Party_Statement!$B$5,$A251&gt;=Party_Statement!$B$6,$A251&lt;=Party_Statement!$D$6),SUMPRODUCT(($B$3:$B251=Party_Statement!$B$5)*($A$3:$A251&gt;=Party_Statement!$B$6)*($A$3:$A251&lt;=Party_Statement!$D$6)),"")</f>
        <v/>
      </c>
    </row>
    <row r="252" spans="1:10" x14ac:dyDescent="0.2">
      <c r="A252" s="130">
        <v>66918</v>
      </c>
      <c r="B252" s="4" t="s">
        <v>633</v>
      </c>
      <c r="C252" s="4" t="s">
        <v>613</v>
      </c>
      <c r="D252" s="4" t="s">
        <v>464</v>
      </c>
      <c r="E252" s="4" t="s">
        <v>642</v>
      </c>
      <c r="F252" s="5">
        <v>0</v>
      </c>
      <c r="G252" s="5">
        <v>2984.01</v>
      </c>
      <c r="H252" s="5">
        <f t="shared" si="3"/>
        <v>-25275.879999999997</v>
      </c>
      <c r="I252" s="4"/>
      <c r="J252" t="str">
        <f>IF(AND($B252=Party_Statement!$B$5,$A252&gt;=Party_Statement!$B$6,$A252&lt;=Party_Statement!$D$6),SUMPRODUCT(($B$3:$B252=Party_Statement!$B$5)*($A$3:$A252&gt;=Party_Statement!$B$6)*($A$3:$A252&lt;=Party_Statement!$D$6)),"")</f>
        <v/>
      </c>
    </row>
    <row r="253" spans="1:10" x14ac:dyDescent="0.2">
      <c r="A253" s="130">
        <v>66919</v>
      </c>
      <c r="B253" s="4" t="s">
        <v>633</v>
      </c>
      <c r="C253" s="4" t="s">
        <v>613</v>
      </c>
      <c r="D253" s="4" t="s">
        <v>470</v>
      </c>
      <c r="E253" s="4" t="s">
        <v>647</v>
      </c>
      <c r="F253" s="5">
        <v>0</v>
      </c>
      <c r="G253" s="5">
        <v>5580.89</v>
      </c>
      <c r="H253" s="5">
        <f t="shared" si="3"/>
        <v>-30856.769999999997</v>
      </c>
      <c r="I253" s="4"/>
      <c r="J253" t="str">
        <f>IF(AND($B253=Party_Statement!$B$5,$A253&gt;=Party_Statement!$B$6,$A253&lt;=Party_Statement!$D$6),SUMPRODUCT(($B$3:$B253=Party_Statement!$B$5)*($A$3:$A253&gt;=Party_Statement!$B$6)*($A$3:$A253&lt;=Party_Statement!$D$6)),"")</f>
        <v/>
      </c>
    </row>
    <row r="254" spans="1:10" x14ac:dyDescent="0.2">
      <c r="A254" s="130">
        <v>66919</v>
      </c>
      <c r="B254" s="4" t="s">
        <v>633</v>
      </c>
      <c r="C254" s="4" t="s">
        <v>613</v>
      </c>
      <c r="D254" s="4" t="s">
        <v>471</v>
      </c>
      <c r="E254" s="4" t="s">
        <v>642</v>
      </c>
      <c r="F254" s="5">
        <v>0</v>
      </c>
      <c r="G254" s="5">
        <v>2991.74</v>
      </c>
      <c r="H254" s="5">
        <f t="shared" si="3"/>
        <v>-33848.509999999995</v>
      </c>
      <c r="I254" s="4"/>
      <c r="J254" t="str">
        <f>IF(AND($B254=Party_Statement!$B$5,$A254&gt;=Party_Statement!$B$6,$A254&lt;=Party_Statement!$D$6),SUMPRODUCT(($B$3:$B254=Party_Statement!$B$5)*($A$3:$A254&gt;=Party_Statement!$B$6)*($A$3:$A254&lt;=Party_Statement!$D$6)),"")</f>
        <v/>
      </c>
    </row>
    <row r="255" spans="1:10" x14ac:dyDescent="0.2">
      <c r="A255" s="130">
        <v>66920</v>
      </c>
      <c r="B255" s="4" t="s">
        <v>633</v>
      </c>
      <c r="C255" s="4" t="s">
        <v>613</v>
      </c>
      <c r="D255" s="4" t="s">
        <v>477</v>
      </c>
      <c r="E255" s="4" t="s">
        <v>647</v>
      </c>
      <c r="F255" s="5">
        <v>0</v>
      </c>
      <c r="G255" s="5">
        <v>5182.17</v>
      </c>
      <c r="H255" s="5">
        <f t="shared" si="3"/>
        <v>-39030.679999999993</v>
      </c>
      <c r="I255" s="4"/>
      <c r="J255" t="str">
        <f>IF(AND($B255=Party_Statement!$B$5,$A255&gt;=Party_Statement!$B$6,$A255&lt;=Party_Statement!$D$6),SUMPRODUCT(($B$3:$B255=Party_Statement!$B$5)*($A$3:$A255&gt;=Party_Statement!$B$6)*($A$3:$A255&lt;=Party_Statement!$D$6)),"")</f>
        <v/>
      </c>
    </row>
    <row r="256" spans="1:10" x14ac:dyDescent="0.2">
      <c r="A256" s="130">
        <v>66920</v>
      </c>
      <c r="B256" s="4" t="s">
        <v>633</v>
      </c>
      <c r="C256" s="4" t="s">
        <v>613</v>
      </c>
      <c r="D256" s="4" t="s">
        <v>478</v>
      </c>
      <c r="E256" s="4" t="s">
        <v>642</v>
      </c>
      <c r="F256" s="5">
        <v>0</v>
      </c>
      <c r="G256" s="5">
        <v>3128.94</v>
      </c>
      <c r="H256" s="5">
        <f t="shared" si="3"/>
        <v>-42159.619999999995</v>
      </c>
      <c r="I256" s="4"/>
      <c r="J256" t="str">
        <f>IF(AND($B256=Party_Statement!$B$5,$A256&gt;=Party_Statement!$B$6,$A256&lt;=Party_Statement!$D$6),SUMPRODUCT(($B$3:$B256=Party_Statement!$B$5)*($A$3:$A256&gt;=Party_Statement!$B$6)*($A$3:$A256&lt;=Party_Statement!$D$6)),"")</f>
        <v/>
      </c>
    </row>
    <row r="257" spans="1:10" x14ac:dyDescent="0.2">
      <c r="A257" s="130">
        <v>66921</v>
      </c>
      <c r="B257" s="4" t="s">
        <v>633</v>
      </c>
      <c r="C257" s="4" t="s">
        <v>613</v>
      </c>
      <c r="D257" s="4" t="s">
        <v>484</v>
      </c>
      <c r="E257" s="4" t="s">
        <v>647</v>
      </c>
      <c r="F257" s="5">
        <v>0</v>
      </c>
      <c r="G257" s="5">
        <v>5616.22</v>
      </c>
      <c r="H257" s="5">
        <f t="shared" si="3"/>
        <v>-47775.839999999997</v>
      </c>
      <c r="I257" s="4"/>
      <c r="J257" t="str">
        <f>IF(AND($B257=Party_Statement!$B$5,$A257&gt;=Party_Statement!$B$6,$A257&lt;=Party_Statement!$D$6),SUMPRODUCT(($B$3:$B257=Party_Statement!$B$5)*($A$3:$A257&gt;=Party_Statement!$B$6)*($A$3:$A257&lt;=Party_Statement!$D$6)),"")</f>
        <v/>
      </c>
    </row>
    <row r="258" spans="1:10" x14ac:dyDescent="0.2">
      <c r="A258" s="130">
        <v>66921</v>
      </c>
      <c r="B258" s="4" t="s">
        <v>633</v>
      </c>
      <c r="C258" s="4" t="s">
        <v>613</v>
      </c>
      <c r="D258" s="4" t="s">
        <v>485</v>
      </c>
      <c r="E258" s="4" t="s">
        <v>642</v>
      </c>
      <c r="F258" s="5">
        <v>0</v>
      </c>
      <c r="G258" s="5">
        <v>3157.82</v>
      </c>
      <c r="H258" s="5">
        <f t="shared" si="3"/>
        <v>-50933.659999999996</v>
      </c>
      <c r="I258" s="4"/>
      <c r="J258" t="str">
        <f>IF(AND($B258=Party_Statement!$B$5,$A258&gt;=Party_Statement!$B$6,$A258&lt;=Party_Statement!$D$6),SUMPRODUCT(($B$3:$B258=Party_Statement!$B$5)*($A$3:$A258&gt;=Party_Statement!$B$6)*($A$3:$A258&lt;=Party_Statement!$D$6)),"")</f>
        <v/>
      </c>
    </row>
    <row r="259" spans="1:10" x14ac:dyDescent="0.2">
      <c r="A259" s="130">
        <v>66922</v>
      </c>
      <c r="B259" s="4" t="s">
        <v>633</v>
      </c>
      <c r="C259" s="4" t="s">
        <v>613</v>
      </c>
      <c r="D259" s="4" t="s">
        <v>491</v>
      </c>
      <c r="E259" s="4" t="s">
        <v>647</v>
      </c>
      <c r="F259" s="5">
        <v>0</v>
      </c>
      <c r="G259" s="5">
        <v>5064.8599999999997</v>
      </c>
      <c r="H259" s="5">
        <f t="shared" si="3"/>
        <v>-55998.52</v>
      </c>
      <c r="I259" s="4"/>
      <c r="J259" t="str">
        <f>IF(AND($B259=Party_Statement!$B$5,$A259&gt;=Party_Statement!$B$6,$A259&lt;=Party_Statement!$D$6),SUMPRODUCT(($B$3:$B259=Party_Statement!$B$5)*($A$3:$A259&gt;=Party_Statement!$B$6)*($A$3:$A259&lt;=Party_Statement!$D$6)),"")</f>
        <v/>
      </c>
    </row>
    <row r="260" spans="1:10" x14ac:dyDescent="0.2">
      <c r="A260" s="130">
        <v>66922</v>
      </c>
      <c r="B260" s="4" t="s">
        <v>633</v>
      </c>
      <c r="C260" s="4" t="s">
        <v>613</v>
      </c>
      <c r="D260" s="4" t="s">
        <v>492</v>
      </c>
      <c r="E260" s="4" t="s">
        <v>642</v>
      </c>
      <c r="F260" s="5">
        <v>0</v>
      </c>
      <c r="G260" s="5">
        <v>2987.72</v>
      </c>
      <c r="H260" s="5">
        <f t="shared" ref="H260:H323" si="4">IF($B260="","",IF($B260=$B259,$H259,0)+$F260-$G260)</f>
        <v>-58986.239999999998</v>
      </c>
      <c r="I260" s="4"/>
      <c r="J260" t="str">
        <f>IF(AND($B260=Party_Statement!$B$5,$A260&gt;=Party_Statement!$B$6,$A260&lt;=Party_Statement!$D$6),SUMPRODUCT(($B$3:$B260=Party_Statement!$B$5)*($A$3:$A260&gt;=Party_Statement!$B$6)*($A$3:$A260&lt;=Party_Statement!$D$6)),"")</f>
        <v/>
      </c>
    </row>
    <row r="261" spans="1:10" x14ac:dyDescent="0.2">
      <c r="A261" s="130">
        <v>66923</v>
      </c>
      <c r="B261" s="4" t="s">
        <v>633</v>
      </c>
      <c r="C261" s="4" t="s">
        <v>613</v>
      </c>
      <c r="D261" s="4" t="s">
        <v>498</v>
      </c>
      <c r="E261" s="4" t="s">
        <v>647</v>
      </c>
      <c r="F261" s="5">
        <v>0</v>
      </c>
      <c r="G261" s="5">
        <v>5533.11</v>
      </c>
      <c r="H261" s="5">
        <f t="shared" si="4"/>
        <v>-64519.35</v>
      </c>
      <c r="I261" s="4"/>
      <c r="J261" t="str">
        <f>IF(AND($B261=Party_Statement!$B$5,$A261&gt;=Party_Statement!$B$6,$A261&lt;=Party_Statement!$D$6),SUMPRODUCT(($B$3:$B261=Party_Statement!$B$5)*($A$3:$A261&gt;=Party_Statement!$B$6)*($A$3:$A261&lt;=Party_Statement!$D$6)),"")</f>
        <v/>
      </c>
    </row>
    <row r="262" spans="1:10" x14ac:dyDescent="0.2">
      <c r="A262" s="130">
        <v>66923</v>
      </c>
      <c r="B262" s="4" t="s">
        <v>633</v>
      </c>
      <c r="C262" s="4" t="s">
        <v>613</v>
      </c>
      <c r="D262" s="4" t="s">
        <v>499</v>
      </c>
      <c r="E262" s="4" t="s">
        <v>642</v>
      </c>
      <c r="F262" s="5">
        <v>0</v>
      </c>
      <c r="G262" s="5">
        <v>2942.16</v>
      </c>
      <c r="H262" s="5">
        <f t="shared" si="4"/>
        <v>-67461.509999999995</v>
      </c>
      <c r="I262" s="4"/>
      <c r="J262" t="str">
        <f>IF(AND($B262=Party_Statement!$B$5,$A262&gt;=Party_Statement!$B$6,$A262&lt;=Party_Statement!$D$6),SUMPRODUCT(($B$3:$B262=Party_Statement!$B$5)*($A$3:$A262&gt;=Party_Statement!$B$6)*($A$3:$A262&lt;=Party_Statement!$D$6)),"")</f>
        <v/>
      </c>
    </row>
    <row r="263" spans="1:10" x14ac:dyDescent="0.2">
      <c r="A263" s="130">
        <v>66924</v>
      </c>
      <c r="B263" s="4" t="s">
        <v>633</v>
      </c>
      <c r="C263" s="4" t="s">
        <v>613</v>
      </c>
      <c r="D263" s="4" t="s">
        <v>505</v>
      </c>
      <c r="E263" s="4" t="s">
        <v>647</v>
      </c>
      <c r="F263" s="5">
        <v>0</v>
      </c>
      <c r="G263" s="5">
        <v>5083.95</v>
      </c>
      <c r="H263" s="5">
        <f t="shared" si="4"/>
        <v>-72545.459999999992</v>
      </c>
      <c r="I263" s="4"/>
      <c r="J263" t="str">
        <f>IF(AND($B263=Party_Statement!$B$5,$A263&gt;=Party_Statement!$B$6,$A263&lt;=Party_Statement!$D$6),SUMPRODUCT(($B$3:$B263=Party_Statement!$B$5)*($A$3:$A263&gt;=Party_Statement!$B$6)*($A$3:$A263&lt;=Party_Statement!$D$6)),"")</f>
        <v/>
      </c>
    </row>
    <row r="264" spans="1:10" x14ac:dyDescent="0.2">
      <c r="A264" s="130">
        <v>66924</v>
      </c>
      <c r="B264" s="4" t="s">
        <v>633</v>
      </c>
      <c r="C264" s="4" t="s">
        <v>613</v>
      </c>
      <c r="D264" s="4" t="s">
        <v>506</v>
      </c>
      <c r="E264" s="4" t="s">
        <v>642</v>
      </c>
      <c r="F264" s="5">
        <v>0</v>
      </c>
      <c r="G264" s="5">
        <v>3201.06</v>
      </c>
      <c r="H264" s="5">
        <f t="shared" si="4"/>
        <v>-75746.51999999999</v>
      </c>
      <c r="I264" s="4"/>
      <c r="J264" t="str">
        <f>IF(AND($B264=Party_Statement!$B$5,$A264&gt;=Party_Statement!$B$6,$A264&lt;=Party_Statement!$D$6),SUMPRODUCT(($B$3:$B264=Party_Statement!$B$5)*($A$3:$A264&gt;=Party_Statement!$B$6)*($A$3:$A264&lt;=Party_Statement!$D$6)),"")</f>
        <v/>
      </c>
    </row>
    <row r="265" spans="1:10" x14ac:dyDescent="0.2">
      <c r="A265" s="130">
        <v>66925</v>
      </c>
      <c r="B265" s="4" t="s">
        <v>633</v>
      </c>
      <c r="C265" s="4" t="s">
        <v>613</v>
      </c>
      <c r="D265" s="4" t="s">
        <v>512</v>
      </c>
      <c r="E265" s="4" t="s">
        <v>647</v>
      </c>
      <c r="F265" s="5">
        <v>0</v>
      </c>
      <c r="G265" s="5">
        <v>5350.12</v>
      </c>
      <c r="H265" s="5">
        <f t="shared" si="4"/>
        <v>-81096.639999999985</v>
      </c>
      <c r="I265" s="4"/>
      <c r="J265" t="str">
        <f>IF(AND($B265=Party_Statement!$B$5,$A265&gt;=Party_Statement!$B$6,$A265&lt;=Party_Statement!$D$6),SUMPRODUCT(($B$3:$B265=Party_Statement!$B$5)*($A$3:$A265&gt;=Party_Statement!$B$6)*($A$3:$A265&lt;=Party_Statement!$D$6)),"")</f>
        <v/>
      </c>
    </row>
    <row r="266" spans="1:10" x14ac:dyDescent="0.2">
      <c r="A266" s="130">
        <v>66925</v>
      </c>
      <c r="B266" s="4" t="s">
        <v>633</v>
      </c>
      <c r="C266" s="4" t="s">
        <v>613</v>
      </c>
      <c r="D266" s="4" t="s">
        <v>513</v>
      </c>
      <c r="E266" s="4" t="s">
        <v>642</v>
      </c>
      <c r="F266" s="5">
        <v>0</v>
      </c>
      <c r="G266" s="5">
        <v>2914.44</v>
      </c>
      <c r="H266" s="5">
        <f t="shared" si="4"/>
        <v>-84011.079999999987</v>
      </c>
      <c r="I266" s="4"/>
      <c r="J266" t="str">
        <f>IF(AND($B266=Party_Statement!$B$5,$A266&gt;=Party_Statement!$B$6,$A266&lt;=Party_Statement!$D$6),SUMPRODUCT(($B$3:$B266=Party_Statement!$B$5)*($A$3:$A266&gt;=Party_Statement!$B$6)*($A$3:$A266&lt;=Party_Statement!$D$6)),"")</f>
        <v/>
      </c>
    </row>
    <row r="267" spans="1:10" x14ac:dyDescent="0.2">
      <c r="A267" s="130">
        <v>66926</v>
      </c>
      <c r="B267" s="4" t="s">
        <v>633</v>
      </c>
      <c r="C267" s="4" t="s">
        <v>613</v>
      </c>
      <c r="D267" s="4" t="s">
        <v>519</v>
      </c>
      <c r="E267" s="4" t="s">
        <v>647</v>
      </c>
      <c r="F267" s="5">
        <v>0</v>
      </c>
      <c r="G267" s="5">
        <v>5033.17</v>
      </c>
      <c r="H267" s="5">
        <f t="shared" si="4"/>
        <v>-89044.249999999985</v>
      </c>
      <c r="I267" s="4"/>
      <c r="J267" t="str">
        <f>IF(AND($B267=Party_Statement!$B$5,$A267&gt;=Party_Statement!$B$6,$A267&lt;=Party_Statement!$D$6),SUMPRODUCT(($B$3:$B267=Party_Statement!$B$5)*($A$3:$A267&gt;=Party_Statement!$B$6)*($A$3:$A267&lt;=Party_Statement!$D$6)),"")</f>
        <v/>
      </c>
    </row>
    <row r="268" spans="1:10" x14ac:dyDescent="0.2">
      <c r="A268" s="130">
        <v>66926</v>
      </c>
      <c r="B268" s="4" t="s">
        <v>633</v>
      </c>
      <c r="C268" s="4" t="s">
        <v>613</v>
      </c>
      <c r="D268" s="4" t="s">
        <v>520</v>
      </c>
      <c r="E268" s="4" t="s">
        <v>642</v>
      </c>
      <c r="F268" s="5">
        <v>0</v>
      </c>
      <c r="G268" s="5">
        <v>2967.29</v>
      </c>
      <c r="H268" s="5">
        <f t="shared" si="4"/>
        <v>-92011.539999999979</v>
      </c>
      <c r="I268" s="4"/>
      <c r="J268" t="str">
        <f>IF(AND($B268=Party_Statement!$B$5,$A268&gt;=Party_Statement!$B$6,$A268&lt;=Party_Statement!$D$6),SUMPRODUCT(($B$3:$B268=Party_Statement!$B$5)*($A$3:$A268&gt;=Party_Statement!$B$6)*($A$3:$A268&lt;=Party_Statement!$D$6)),"")</f>
        <v/>
      </c>
    </row>
    <row r="269" spans="1:10" x14ac:dyDescent="0.2">
      <c r="A269" s="130">
        <v>66927</v>
      </c>
      <c r="B269" s="4" t="s">
        <v>633</v>
      </c>
      <c r="C269" s="4" t="s">
        <v>613</v>
      </c>
      <c r="D269" s="4" t="s">
        <v>529</v>
      </c>
      <c r="E269" s="4" t="s">
        <v>647</v>
      </c>
      <c r="F269" s="5">
        <v>0</v>
      </c>
      <c r="G269" s="5">
        <v>5086.37</v>
      </c>
      <c r="H269" s="5">
        <f t="shared" si="4"/>
        <v>-97097.909999999974</v>
      </c>
      <c r="I269" s="4"/>
      <c r="J269" t="str">
        <f>IF(AND($B269=Party_Statement!$B$5,$A269&gt;=Party_Statement!$B$6,$A269&lt;=Party_Statement!$D$6),SUMPRODUCT(($B$3:$B269=Party_Statement!$B$5)*($A$3:$A269&gt;=Party_Statement!$B$6)*($A$3:$A269&lt;=Party_Statement!$D$6)),"")</f>
        <v/>
      </c>
    </row>
    <row r="270" spans="1:10" x14ac:dyDescent="0.2">
      <c r="A270" s="130">
        <v>66927</v>
      </c>
      <c r="B270" s="4" t="s">
        <v>633</v>
      </c>
      <c r="C270" s="4" t="s">
        <v>613</v>
      </c>
      <c r="D270" s="4" t="s">
        <v>530</v>
      </c>
      <c r="E270" s="4" t="s">
        <v>642</v>
      </c>
      <c r="F270" s="5">
        <v>0</v>
      </c>
      <c r="G270" s="5">
        <v>2880.11</v>
      </c>
      <c r="H270" s="5">
        <f t="shared" si="4"/>
        <v>-99978.019999999975</v>
      </c>
      <c r="I270" s="4"/>
      <c r="J270" t="str">
        <f>IF(AND($B270=Party_Statement!$B$5,$A270&gt;=Party_Statement!$B$6,$A270&lt;=Party_Statement!$D$6),SUMPRODUCT(($B$3:$B270=Party_Statement!$B$5)*($A$3:$A270&gt;=Party_Statement!$B$6)*($A$3:$A270&lt;=Party_Statement!$D$6)),"")</f>
        <v/>
      </c>
    </row>
    <row r="271" spans="1:10" x14ac:dyDescent="0.2">
      <c r="A271" s="130">
        <v>66928</v>
      </c>
      <c r="B271" s="4" t="s">
        <v>633</v>
      </c>
      <c r="C271" s="4" t="s">
        <v>613</v>
      </c>
      <c r="D271" s="4" t="s">
        <v>537</v>
      </c>
      <c r="E271" s="4" t="s">
        <v>647</v>
      </c>
      <c r="F271" s="5">
        <v>0</v>
      </c>
      <c r="G271" s="5">
        <v>4997.55</v>
      </c>
      <c r="H271" s="5">
        <f t="shared" si="4"/>
        <v>-104975.56999999998</v>
      </c>
      <c r="I271" s="4"/>
      <c r="J271" t="str">
        <f>IF(AND($B271=Party_Statement!$B$5,$A271&gt;=Party_Statement!$B$6,$A271&lt;=Party_Statement!$D$6),SUMPRODUCT(($B$3:$B271=Party_Statement!$B$5)*($A$3:$A271&gt;=Party_Statement!$B$6)*($A$3:$A271&lt;=Party_Statement!$D$6)),"")</f>
        <v/>
      </c>
    </row>
    <row r="272" spans="1:10" x14ac:dyDescent="0.2">
      <c r="A272" s="130">
        <v>66928</v>
      </c>
      <c r="B272" s="4" t="s">
        <v>633</v>
      </c>
      <c r="C272" s="4" t="s">
        <v>613</v>
      </c>
      <c r="D272" s="4" t="s">
        <v>538</v>
      </c>
      <c r="E272" s="4" t="s">
        <v>642</v>
      </c>
      <c r="F272" s="5">
        <v>0</v>
      </c>
      <c r="G272" s="5">
        <v>2996.08</v>
      </c>
      <c r="H272" s="5">
        <f t="shared" si="4"/>
        <v>-107971.64999999998</v>
      </c>
      <c r="I272" s="4"/>
      <c r="J272" t="str">
        <f>IF(AND($B272=Party_Statement!$B$5,$A272&gt;=Party_Statement!$B$6,$A272&lt;=Party_Statement!$D$6),SUMPRODUCT(($B$3:$B272=Party_Statement!$B$5)*($A$3:$A272&gt;=Party_Statement!$B$6)*($A$3:$A272&lt;=Party_Statement!$D$6)),"")</f>
        <v/>
      </c>
    </row>
    <row r="273" spans="1:10" x14ac:dyDescent="0.2">
      <c r="A273" s="130">
        <v>66930</v>
      </c>
      <c r="B273" s="4" t="s">
        <v>633</v>
      </c>
      <c r="C273" s="4" t="s">
        <v>613</v>
      </c>
      <c r="D273" s="4" t="s">
        <v>553</v>
      </c>
      <c r="E273" s="4" t="s">
        <v>647</v>
      </c>
      <c r="F273" s="5">
        <v>0</v>
      </c>
      <c r="G273" s="5">
        <v>4735.2299999999996</v>
      </c>
      <c r="H273" s="5">
        <f t="shared" si="4"/>
        <v>-112706.87999999998</v>
      </c>
      <c r="I273" s="4"/>
      <c r="J273" t="str">
        <f>IF(AND($B273=Party_Statement!$B$5,$A273&gt;=Party_Statement!$B$6,$A273&lt;=Party_Statement!$D$6),SUMPRODUCT(($B$3:$B273=Party_Statement!$B$5)*($A$3:$A273&gt;=Party_Statement!$B$6)*($A$3:$A273&lt;=Party_Statement!$D$6)),"")</f>
        <v/>
      </c>
    </row>
    <row r="274" spans="1:10" x14ac:dyDescent="0.2">
      <c r="A274" s="130">
        <v>66930</v>
      </c>
      <c r="B274" s="4" t="s">
        <v>633</v>
      </c>
      <c r="C274" s="4" t="s">
        <v>613</v>
      </c>
      <c r="D274" s="4" t="s">
        <v>554</v>
      </c>
      <c r="E274" s="4" t="s">
        <v>642</v>
      </c>
      <c r="F274" s="5">
        <v>0</v>
      </c>
      <c r="G274" s="5">
        <v>2999.47</v>
      </c>
      <c r="H274" s="5">
        <f t="shared" si="4"/>
        <v>-115706.34999999998</v>
      </c>
      <c r="I274" s="4"/>
      <c r="J274" t="str">
        <f>IF(AND($B274=Party_Statement!$B$5,$A274&gt;=Party_Statement!$B$6,$A274&lt;=Party_Statement!$D$6),SUMPRODUCT(($B$3:$B274=Party_Statement!$B$5)*($A$3:$A274&gt;=Party_Statement!$B$6)*($A$3:$A274&lt;=Party_Statement!$D$6)),"")</f>
        <v/>
      </c>
    </row>
    <row r="275" spans="1:10" x14ac:dyDescent="0.2">
      <c r="A275" s="130">
        <v>66931</v>
      </c>
      <c r="B275" s="4" t="s">
        <v>633</v>
      </c>
      <c r="C275" s="4" t="s">
        <v>613</v>
      </c>
      <c r="D275" s="4" t="s">
        <v>561</v>
      </c>
      <c r="E275" s="4" t="s">
        <v>647</v>
      </c>
      <c r="F275" s="5">
        <v>0</v>
      </c>
      <c r="G275" s="5">
        <v>4829.5</v>
      </c>
      <c r="H275" s="5">
        <f t="shared" si="4"/>
        <v>-120535.84999999998</v>
      </c>
      <c r="I275" s="4"/>
      <c r="J275" t="str">
        <f>IF(AND($B275=Party_Statement!$B$5,$A275&gt;=Party_Statement!$B$6,$A275&lt;=Party_Statement!$D$6),SUMPRODUCT(($B$3:$B275=Party_Statement!$B$5)*($A$3:$A275&gt;=Party_Statement!$B$6)*($A$3:$A275&lt;=Party_Statement!$D$6)),"")</f>
        <v/>
      </c>
    </row>
    <row r="276" spans="1:10" x14ac:dyDescent="0.2">
      <c r="A276" s="130">
        <v>66931</v>
      </c>
      <c r="B276" s="4" t="s">
        <v>633</v>
      </c>
      <c r="C276" s="4" t="s">
        <v>613</v>
      </c>
      <c r="D276" s="4" t="s">
        <v>562</v>
      </c>
      <c r="E276" s="4" t="s">
        <v>642</v>
      </c>
      <c r="F276" s="5">
        <v>0</v>
      </c>
      <c r="G276" s="5">
        <v>3111.61</v>
      </c>
      <c r="H276" s="5">
        <f t="shared" si="4"/>
        <v>-123647.45999999998</v>
      </c>
      <c r="I276" s="4"/>
      <c r="J276" t="str">
        <f>IF(AND($B276=Party_Statement!$B$5,$A276&gt;=Party_Statement!$B$6,$A276&lt;=Party_Statement!$D$6),SUMPRODUCT(($B$3:$B276=Party_Statement!$B$5)*($A$3:$A276&gt;=Party_Statement!$B$6)*($A$3:$A276&lt;=Party_Statement!$D$6)),"")</f>
        <v/>
      </c>
    </row>
    <row r="277" spans="1:10" x14ac:dyDescent="0.2">
      <c r="A277" s="130">
        <v>66919</v>
      </c>
      <c r="B277" s="4" t="s">
        <v>628</v>
      </c>
      <c r="C277" s="4" t="s">
        <v>611</v>
      </c>
      <c r="D277" s="4" t="s">
        <v>162</v>
      </c>
      <c r="E277" s="4" t="s">
        <v>639</v>
      </c>
      <c r="F277" s="5">
        <v>510</v>
      </c>
      <c r="G277" s="5">
        <v>0</v>
      </c>
      <c r="H277" s="5">
        <f t="shared" si="4"/>
        <v>510</v>
      </c>
      <c r="I277" s="4"/>
      <c r="J277" t="str">
        <f>IF(AND($B277=Party_Statement!$B$5,$A277&gt;=Party_Statement!$B$6,$A277&lt;=Party_Statement!$D$6),SUMPRODUCT(($B$3:$B277=Party_Statement!$B$5)*($A$3:$A277&gt;=Party_Statement!$B$6)*($A$3:$A277&lt;=Party_Statement!$D$6)),"")</f>
        <v/>
      </c>
    </row>
    <row r="278" spans="1:10" x14ac:dyDescent="0.2">
      <c r="A278" s="130">
        <v>66916</v>
      </c>
      <c r="B278" s="4" t="s">
        <v>446</v>
      </c>
      <c r="C278" s="4" t="s">
        <v>613</v>
      </c>
      <c r="D278" s="4" t="s">
        <v>445</v>
      </c>
      <c r="E278" s="4" t="s">
        <v>647</v>
      </c>
      <c r="F278" s="5">
        <v>0</v>
      </c>
      <c r="G278" s="5">
        <v>2304.21</v>
      </c>
      <c r="H278" s="5">
        <f t="shared" si="4"/>
        <v>-2304.21</v>
      </c>
      <c r="I278" s="4"/>
      <c r="J278" t="str">
        <f>IF(AND($B278=Party_Statement!$B$5,$A278&gt;=Party_Statement!$B$6,$A278&lt;=Party_Statement!$D$6),SUMPRODUCT(($B$3:$B278=Party_Statement!$B$5)*($A$3:$A278&gt;=Party_Statement!$B$6)*($A$3:$A278&lt;=Party_Statement!$D$6)),"")</f>
        <v/>
      </c>
    </row>
    <row r="279" spans="1:10" x14ac:dyDescent="0.2">
      <c r="A279" s="130">
        <v>66917</v>
      </c>
      <c r="B279" s="4" t="s">
        <v>446</v>
      </c>
      <c r="C279" s="4" t="s">
        <v>613</v>
      </c>
      <c r="D279" s="4" t="s">
        <v>458</v>
      </c>
      <c r="E279" s="4" t="s">
        <v>647</v>
      </c>
      <c r="F279" s="5">
        <v>0</v>
      </c>
      <c r="G279" s="5">
        <v>2573.61</v>
      </c>
      <c r="H279" s="5">
        <f t="shared" si="4"/>
        <v>-4877.82</v>
      </c>
      <c r="I279" s="4"/>
      <c r="J279" t="str">
        <f>IF(AND($B279=Party_Statement!$B$5,$A279&gt;=Party_Statement!$B$6,$A279&lt;=Party_Statement!$D$6),SUMPRODUCT(($B$3:$B279=Party_Statement!$B$5)*($A$3:$A279&gt;=Party_Statement!$B$6)*($A$3:$A279&lt;=Party_Statement!$D$6)),"")</f>
        <v/>
      </c>
    </row>
    <row r="280" spans="1:10" x14ac:dyDescent="0.2">
      <c r="A280" s="130">
        <v>66918</v>
      </c>
      <c r="B280" s="4" t="s">
        <v>446</v>
      </c>
      <c r="C280" s="4" t="s">
        <v>613</v>
      </c>
      <c r="D280" s="4" t="s">
        <v>465</v>
      </c>
      <c r="E280" s="4" t="s">
        <v>647</v>
      </c>
      <c r="F280" s="5">
        <v>0</v>
      </c>
      <c r="G280" s="5">
        <v>2434.7600000000002</v>
      </c>
      <c r="H280" s="5">
        <f t="shared" si="4"/>
        <v>-7312.58</v>
      </c>
      <c r="I280" s="4"/>
      <c r="J280" t="str">
        <f>IF(AND($B280=Party_Statement!$B$5,$A280&gt;=Party_Statement!$B$6,$A280&lt;=Party_Statement!$D$6),SUMPRODUCT(($B$3:$B280=Party_Statement!$B$5)*($A$3:$A280&gt;=Party_Statement!$B$6)*($A$3:$A280&lt;=Party_Statement!$D$6)),"")</f>
        <v/>
      </c>
    </row>
    <row r="281" spans="1:10" x14ac:dyDescent="0.2">
      <c r="A281" s="130">
        <v>66919</v>
      </c>
      <c r="B281" s="4" t="s">
        <v>446</v>
      </c>
      <c r="C281" s="4" t="s">
        <v>613</v>
      </c>
      <c r="D281" s="4" t="s">
        <v>472</v>
      </c>
      <c r="E281" s="4" t="s">
        <v>647</v>
      </c>
      <c r="F281" s="5">
        <v>0</v>
      </c>
      <c r="G281" s="5">
        <v>1880.71</v>
      </c>
      <c r="H281" s="5">
        <f t="shared" si="4"/>
        <v>-9193.2900000000009</v>
      </c>
      <c r="I281" s="4"/>
      <c r="J281" t="str">
        <f>IF(AND($B281=Party_Statement!$B$5,$A281&gt;=Party_Statement!$B$6,$A281&lt;=Party_Statement!$D$6),SUMPRODUCT(($B$3:$B281=Party_Statement!$B$5)*($A$3:$A281&gt;=Party_Statement!$B$6)*($A$3:$A281&lt;=Party_Statement!$D$6)),"")</f>
        <v/>
      </c>
    </row>
    <row r="282" spans="1:10" x14ac:dyDescent="0.2">
      <c r="A282" s="130">
        <v>66920</v>
      </c>
      <c r="B282" s="4" t="s">
        <v>446</v>
      </c>
      <c r="C282" s="4" t="s">
        <v>613</v>
      </c>
      <c r="D282" s="4" t="s">
        <v>479</v>
      </c>
      <c r="E282" s="4" t="s">
        <v>647</v>
      </c>
      <c r="F282" s="5">
        <v>0</v>
      </c>
      <c r="G282" s="5">
        <v>2173.66</v>
      </c>
      <c r="H282" s="5">
        <f t="shared" si="4"/>
        <v>-11366.95</v>
      </c>
      <c r="I282" s="4"/>
      <c r="J282" t="str">
        <f>IF(AND($B282=Party_Statement!$B$5,$A282&gt;=Party_Statement!$B$6,$A282&lt;=Party_Statement!$D$6),SUMPRODUCT(($B$3:$B282=Party_Statement!$B$5)*($A$3:$A282&gt;=Party_Statement!$B$6)*($A$3:$A282&lt;=Party_Statement!$D$6)),"")</f>
        <v/>
      </c>
    </row>
    <row r="283" spans="1:10" x14ac:dyDescent="0.2">
      <c r="A283" s="130">
        <v>66921</v>
      </c>
      <c r="B283" s="4" t="s">
        <v>446</v>
      </c>
      <c r="C283" s="4" t="s">
        <v>613</v>
      </c>
      <c r="D283" s="4" t="s">
        <v>486</v>
      </c>
      <c r="E283" s="4" t="s">
        <v>647</v>
      </c>
      <c r="F283" s="5">
        <v>0</v>
      </c>
      <c r="G283" s="5">
        <v>1997.42</v>
      </c>
      <c r="H283" s="5">
        <f t="shared" si="4"/>
        <v>-13364.37</v>
      </c>
      <c r="I283" s="4"/>
      <c r="J283" t="str">
        <f>IF(AND($B283=Party_Statement!$B$5,$A283&gt;=Party_Statement!$B$6,$A283&lt;=Party_Statement!$D$6),SUMPRODUCT(($B$3:$B283=Party_Statement!$B$5)*($A$3:$A283&gt;=Party_Statement!$B$6)*($A$3:$A283&lt;=Party_Statement!$D$6)),"")</f>
        <v/>
      </c>
    </row>
    <row r="284" spans="1:10" x14ac:dyDescent="0.2">
      <c r="A284" s="130">
        <v>66922</v>
      </c>
      <c r="B284" s="4" t="s">
        <v>446</v>
      </c>
      <c r="C284" s="4" t="s">
        <v>613</v>
      </c>
      <c r="D284" s="4" t="s">
        <v>493</v>
      </c>
      <c r="E284" s="4" t="s">
        <v>647</v>
      </c>
      <c r="F284" s="5">
        <v>0</v>
      </c>
      <c r="G284" s="5">
        <v>1754.99</v>
      </c>
      <c r="H284" s="5">
        <f t="shared" si="4"/>
        <v>-15119.36</v>
      </c>
      <c r="I284" s="4"/>
      <c r="J284" t="str">
        <f>IF(AND($B284=Party_Statement!$B$5,$A284&gt;=Party_Statement!$B$6,$A284&lt;=Party_Statement!$D$6),SUMPRODUCT(($B$3:$B284=Party_Statement!$B$5)*($A$3:$A284&gt;=Party_Statement!$B$6)*($A$3:$A284&lt;=Party_Statement!$D$6)),"")</f>
        <v/>
      </c>
    </row>
    <row r="285" spans="1:10" x14ac:dyDescent="0.2">
      <c r="A285" s="130">
        <v>66923</v>
      </c>
      <c r="B285" s="4" t="s">
        <v>446</v>
      </c>
      <c r="C285" s="4" t="s">
        <v>613</v>
      </c>
      <c r="D285" s="4" t="s">
        <v>500</v>
      </c>
      <c r="E285" s="4" t="s">
        <v>647</v>
      </c>
      <c r="F285" s="5">
        <v>0</v>
      </c>
      <c r="G285" s="5">
        <v>2346.56</v>
      </c>
      <c r="H285" s="5">
        <f t="shared" si="4"/>
        <v>-17465.920000000002</v>
      </c>
      <c r="I285" s="4"/>
      <c r="J285" t="str">
        <f>IF(AND($B285=Party_Statement!$B$5,$A285&gt;=Party_Statement!$B$6,$A285&lt;=Party_Statement!$D$6),SUMPRODUCT(($B$3:$B285=Party_Statement!$B$5)*($A$3:$A285&gt;=Party_Statement!$B$6)*($A$3:$A285&lt;=Party_Statement!$D$6)),"")</f>
        <v/>
      </c>
    </row>
    <row r="286" spans="1:10" x14ac:dyDescent="0.2">
      <c r="A286" s="130">
        <v>66924</v>
      </c>
      <c r="B286" s="4" t="s">
        <v>446</v>
      </c>
      <c r="C286" s="4" t="s">
        <v>613</v>
      </c>
      <c r="D286" s="4" t="s">
        <v>507</v>
      </c>
      <c r="E286" s="4" t="s">
        <v>647</v>
      </c>
      <c r="F286" s="5">
        <v>0</v>
      </c>
      <c r="G286" s="5">
        <v>2088.8000000000002</v>
      </c>
      <c r="H286" s="5">
        <f t="shared" si="4"/>
        <v>-19554.72</v>
      </c>
      <c r="I286" s="4"/>
      <c r="J286" t="str">
        <f>IF(AND($B286=Party_Statement!$B$5,$A286&gt;=Party_Statement!$B$6,$A286&lt;=Party_Statement!$D$6),SUMPRODUCT(($B$3:$B286=Party_Statement!$B$5)*($A$3:$A286&gt;=Party_Statement!$B$6)*($A$3:$A286&lt;=Party_Statement!$D$6)),"")</f>
        <v/>
      </c>
    </row>
    <row r="287" spans="1:10" x14ac:dyDescent="0.2">
      <c r="A287" s="130">
        <v>66925</v>
      </c>
      <c r="B287" s="4" t="s">
        <v>446</v>
      </c>
      <c r="C287" s="4" t="s">
        <v>613</v>
      </c>
      <c r="D287" s="4" t="s">
        <v>514</v>
      </c>
      <c r="E287" s="4" t="s">
        <v>647</v>
      </c>
      <c r="F287" s="5">
        <v>0</v>
      </c>
      <c r="G287" s="5">
        <v>1979.7</v>
      </c>
      <c r="H287" s="5">
        <f t="shared" si="4"/>
        <v>-21534.420000000002</v>
      </c>
      <c r="I287" s="4"/>
      <c r="J287" t="str">
        <f>IF(AND($B287=Party_Statement!$B$5,$A287&gt;=Party_Statement!$B$6,$A287&lt;=Party_Statement!$D$6),SUMPRODUCT(($B$3:$B287=Party_Statement!$B$5)*($A$3:$A287&gt;=Party_Statement!$B$6)*($A$3:$A287&lt;=Party_Statement!$D$6)),"")</f>
        <v/>
      </c>
    </row>
    <row r="288" spans="1:10" x14ac:dyDescent="0.2">
      <c r="A288" s="130">
        <v>66926</v>
      </c>
      <c r="B288" s="4" t="s">
        <v>446</v>
      </c>
      <c r="C288" s="4" t="s">
        <v>613</v>
      </c>
      <c r="D288" s="4" t="s">
        <v>521</v>
      </c>
      <c r="E288" s="4" t="s">
        <v>647</v>
      </c>
      <c r="F288" s="5">
        <v>0</v>
      </c>
      <c r="G288" s="5">
        <v>1939.03</v>
      </c>
      <c r="H288" s="5">
        <f t="shared" si="4"/>
        <v>-23473.45</v>
      </c>
      <c r="I288" s="4"/>
      <c r="J288" t="str">
        <f>IF(AND($B288=Party_Statement!$B$5,$A288&gt;=Party_Statement!$B$6,$A288&lt;=Party_Statement!$D$6),SUMPRODUCT(($B$3:$B288=Party_Statement!$B$5)*($A$3:$A288&gt;=Party_Statement!$B$6)*($A$3:$A288&lt;=Party_Statement!$D$6)),"")</f>
        <v/>
      </c>
    </row>
    <row r="289" spans="1:10" x14ac:dyDescent="0.2">
      <c r="A289" s="130">
        <v>66927</v>
      </c>
      <c r="B289" s="4" t="s">
        <v>446</v>
      </c>
      <c r="C289" s="4" t="s">
        <v>613</v>
      </c>
      <c r="D289" s="4" t="s">
        <v>531</v>
      </c>
      <c r="E289" s="4" t="s">
        <v>647</v>
      </c>
      <c r="F289" s="5">
        <v>0</v>
      </c>
      <c r="G289" s="5">
        <v>1939.03</v>
      </c>
      <c r="H289" s="5">
        <f t="shared" si="4"/>
        <v>-25412.48</v>
      </c>
      <c r="I289" s="4"/>
      <c r="J289" t="str">
        <f>IF(AND($B289=Party_Statement!$B$5,$A289&gt;=Party_Statement!$B$6,$A289&lt;=Party_Statement!$D$6),SUMPRODUCT(($B$3:$B289=Party_Statement!$B$5)*($A$3:$A289&gt;=Party_Statement!$B$6)*($A$3:$A289&lt;=Party_Statement!$D$6)),"")</f>
        <v/>
      </c>
    </row>
    <row r="290" spans="1:10" x14ac:dyDescent="0.2">
      <c r="A290" s="130">
        <v>66928</v>
      </c>
      <c r="B290" s="4" t="s">
        <v>446</v>
      </c>
      <c r="C290" s="4" t="s">
        <v>613</v>
      </c>
      <c r="D290" s="4" t="s">
        <v>539</v>
      </c>
      <c r="E290" s="4" t="s">
        <v>647</v>
      </c>
      <c r="F290" s="5">
        <v>0</v>
      </c>
      <c r="G290" s="5">
        <v>1997.42</v>
      </c>
      <c r="H290" s="5">
        <f t="shared" si="4"/>
        <v>-27409.9</v>
      </c>
      <c r="I290" s="4"/>
      <c r="J290" t="str">
        <f>IF(AND($B290=Party_Statement!$B$5,$A290&gt;=Party_Statement!$B$6,$A290&lt;=Party_Statement!$D$6),SUMPRODUCT(($B$3:$B290=Party_Statement!$B$5)*($A$3:$A290&gt;=Party_Statement!$B$6)*($A$3:$A290&lt;=Party_Statement!$D$6)),"")</f>
        <v/>
      </c>
    </row>
    <row r="291" spans="1:10" x14ac:dyDescent="0.2">
      <c r="A291" s="130">
        <v>66929</v>
      </c>
      <c r="B291" s="4" t="s">
        <v>446</v>
      </c>
      <c r="C291" s="4" t="s">
        <v>613</v>
      </c>
      <c r="D291" s="4" t="s">
        <v>547</v>
      </c>
      <c r="E291" s="4" t="s">
        <v>647</v>
      </c>
      <c r="F291" s="5">
        <v>0</v>
      </c>
      <c r="G291" s="5">
        <v>2111.6799999999998</v>
      </c>
      <c r="H291" s="5">
        <f t="shared" si="4"/>
        <v>-29521.58</v>
      </c>
      <c r="I291" s="4"/>
      <c r="J291" t="str">
        <f>IF(AND($B291=Party_Statement!$B$5,$A291&gt;=Party_Statement!$B$6,$A291&lt;=Party_Statement!$D$6),SUMPRODUCT(($B$3:$B291=Party_Statement!$B$5)*($A$3:$A291&gt;=Party_Statement!$B$6)*($A$3:$A291&lt;=Party_Statement!$D$6)),"")</f>
        <v/>
      </c>
    </row>
    <row r="292" spans="1:10" x14ac:dyDescent="0.2">
      <c r="A292" s="130">
        <v>66930</v>
      </c>
      <c r="B292" s="4" t="s">
        <v>446</v>
      </c>
      <c r="C292" s="4" t="s">
        <v>613</v>
      </c>
      <c r="D292" s="4" t="s">
        <v>555</v>
      </c>
      <c r="E292" s="4" t="s">
        <v>647</v>
      </c>
      <c r="F292" s="5">
        <v>0</v>
      </c>
      <c r="G292" s="5">
        <v>2284.62</v>
      </c>
      <c r="H292" s="5">
        <f t="shared" si="4"/>
        <v>-31806.2</v>
      </c>
      <c r="I292" s="4"/>
      <c r="J292" t="str">
        <f>IF(AND($B292=Party_Statement!$B$5,$A292&gt;=Party_Statement!$B$6,$A292&lt;=Party_Statement!$D$6),SUMPRODUCT(($B$3:$B292=Party_Statement!$B$5)*($A$3:$A292&gt;=Party_Statement!$B$6)*($A$3:$A292&lt;=Party_Statement!$D$6)),"")</f>
        <v/>
      </c>
    </row>
    <row r="293" spans="1:10" x14ac:dyDescent="0.2">
      <c r="A293" s="130">
        <v>66931</v>
      </c>
      <c r="B293" s="4" t="s">
        <v>446</v>
      </c>
      <c r="C293" s="4" t="s">
        <v>613</v>
      </c>
      <c r="D293" s="4" t="s">
        <v>563</v>
      </c>
      <c r="E293" s="4" t="s">
        <v>647</v>
      </c>
      <c r="F293" s="5">
        <v>0</v>
      </c>
      <c r="G293" s="5">
        <v>2097.12</v>
      </c>
      <c r="H293" s="5">
        <f t="shared" si="4"/>
        <v>-33903.32</v>
      </c>
      <c r="I293" s="4"/>
      <c r="J293" t="str">
        <f>IF(AND($B293=Party_Statement!$B$5,$A293&gt;=Party_Statement!$B$6,$A293&lt;=Party_Statement!$D$6),SUMPRODUCT(($B$3:$B293=Party_Statement!$B$5)*($A$3:$A293&gt;=Party_Statement!$B$6)*($A$3:$A293&lt;=Party_Statement!$D$6)),"")</f>
        <v/>
      </c>
    </row>
    <row r="294" spans="1:10" x14ac:dyDescent="0.2">
      <c r="A294" s="130">
        <v>66918</v>
      </c>
      <c r="B294" s="4" t="s">
        <v>141</v>
      </c>
      <c r="C294" s="4" t="s">
        <v>611</v>
      </c>
      <c r="D294" s="4" t="s">
        <v>140</v>
      </c>
      <c r="E294" s="4" t="s">
        <v>639</v>
      </c>
      <c r="F294" s="5">
        <v>255</v>
      </c>
      <c r="G294" s="5">
        <v>0</v>
      </c>
      <c r="H294" s="5">
        <f t="shared" si="4"/>
        <v>255</v>
      </c>
      <c r="I294" s="4"/>
      <c r="J294" t="str">
        <f>IF(AND($B294=Party_Statement!$B$5,$A294&gt;=Party_Statement!$B$6,$A294&lt;=Party_Statement!$D$6),SUMPRODUCT(($B$3:$B294=Party_Statement!$B$5)*($A$3:$A294&gt;=Party_Statement!$B$6)*($A$3:$A294&lt;=Party_Statement!$D$6)),"")</f>
        <v/>
      </c>
    </row>
    <row r="295" spans="1:10" x14ac:dyDescent="0.2">
      <c r="A295" s="130">
        <v>66918</v>
      </c>
      <c r="B295" s="4" t="s">
        <v>141</v>
      </c>
      <c r="C295" s="4" t="s">
        <v>611</v>
      </c>
      <c r="D295" s="4" t="s">
        <v>140</v>
      </c>
      <c r="E295" s="4" t="s">
        <v>641</v>
      </c>
      <c r="F295" s="5">
        <v>550</v>
      </c>
      <c r="G295" s="5">
        <v>0</v>
      </c>
      <c r="H295" s="5">
        <f t="shared" si="4"/>
        <v>805</v>
      </c>
      <c r="I295" s="4"/>
      <c r="J295" t="str">
        <f>IF(AND($B295=Party_Statement!$B$5,$A295&gt;=Party_Statement!$B$6,$A295&lt;=Party_Statement!$D$6),SUMPRODUCT(($B$3:$B295=Party_Statement!$B$5)*($A$3:$A295&gt;=Party_Statement!$B$6)*($A$3:$A295&lt;=Party_Statement!$D$6)),"")</f>
        <v/>
      </c>
    </row>
    <row r="296" spans="1:10" x14ac:dyDescent="0.2">
      <c r="A296" s="130">
        <v>66924</v>
      </c>
      <c r="B296" s="4" t="s">
        <v>252</v>
      </c>
      <c r="C296" s="4" t="s">
        <v>611</v>
      </c>
      <c r="D296" s="4" t="s">
        <v>251</v>
      </c>
      <c r="E296" s="4" t="s">
        <v>639</v>
      </c>
      <c r="F296" s="5">
        <v>3400</v>
      </c>
      <c r="G296" s="5">
        <v>0</v>
      </c>
      <c r="H296" s="5">
        <f t="shared" si="4"/>
        <v>3400</v>
      </c>
      <c r="I296" s="4"/>
      <c r="J296" t="str">
        <f>IF(AND($B296=Party_Statement!$B$5,$A296&gt;=Party_Statement!$B$6,$A296&lt;=Party_Statement!$D$6),SUMPRODUCT(($B$3:$B296=Party_Statement!$B$5)*($A$3:$A296&gt;=Party_Statement!$B$6)*($A$3:$A296&lt;=Party_Statement!$D$6)),"")</f>
        <v/>
      </c>
    </row>
    <row r="297" spans="1:10" x14ac:dyDescent="0.2">
      <c r="A297" s="130">
        <v>66921</v>
      </c>
      <c r="B297" s="4" t="s">
        <v>211</v>
      </c>
      <c r="C297" s="4" t="s">
        <v>611</v>
      </c>
      <c r="D297" s="4" t="s">
        <v>210</v>
      </c>
      <c r="E297" s="4" t="s">
        <v>639</v>
      </c>
      <c r="F297" s="5">
        <v>180</v>
      </c>
      <c r="G297" s="5">
        <v>0</v>
      </c>
      <c r="H297" s="5">
        <f t="shared" si="4"/>
        <v>180</v>
      </c>
      <c r="I297" s="4"/>
      <c r="J297" t="str">
        <f>IF(AND($B297=Party_Statement!$B$5,$A297&gt;=Party_Statement!$B$6,$A297&lt;=Party_Statement!$D$6),SUMPRODUCT(($B$3:$B297=Party_Statement!$B$5)*($A$3:$A297&gt;=Party_Statement!$B$6)*($A$3:$A297&lt;=Party_Statement!$D$6)),"")</f>
        <v/>
      </c>
    </row>
    <row r="298" spans="1:10" x14ac:dyDescent="0.2">
      <c r="A298" s="130">
        <v>66922</v>
      </c>
      <c r="B298" s="4" t="s">
        <v>211</v>
      </c>
      <c r="C298" s="4" t="s">
        <v>611</v>
      </c>
      <c r="D298" s="4" t="s">
        <v>230</v>
      </c>
      <c r="E298" s="4" t="s">
        <v>639</v>
      </c>
      <c r="F298" s="5">
        <v>180</v>
      </c>
      <c r="G298" s="5">
        <v>0</v>
      </c>
      <c r="H298" s="5">
        <f t="shared" si="4"/>
        <v>360</v>
      </c>
      <c r="I298" s="4"/>
      <c r="J298" t="str">
        <f>IF(AND($B298=Party_Statement!$B$5,$A298&gt;=Party_Statement!$B$6,$A298&lt;=Party_Statement!$D$6),SUMPRODUCT(($B$3:$B298=Party_Statement!$B$5)*($A$3:$A298&gt;=Party_Statement!$B$6)*($A$3:$A298&lt;=Party_Statement!$D$6)),"")</f>
        <v/>
      </c>
    </row>
    <row r="299" spans="1:10" x14ac:dyDescent="0.2">
      <c r="A299" s="130">
        <v>66923</v>
      </c>
      <c r="B299" s="4" t="s">
        <v>211</v>
      </c>
      <c r="C299" s="4" t="s">
        <v>611</v>
      </c>
      <c r="D299" s="4" t="s">
        <v>247</v>
      </c>
      <c r="E299" s="4" t="s">
        <v>639</v>
      </c>
      <c r="F299" s="5">
        <v>180</v>
      </c>
      <c r="G299" s="5">
        <v>0</v>
      </c>
      <c r="H299" s="5">
        <f t="shared" si="4"/>
        <v>540</v>
      </c>
      <c r="I299" s="4"/>
      <c r="J299" t="str">
        <f>IF(AND($B299=Party_Statement!$B$5,$A299&gt;=Party_Statement!$B$6,$A299&lt;=Party_Statement!$D$6),SUMPRODUCT(($B$3:$B299=Party_Statement!$B$5)*($A$3:$A299&gt;=Party_Statement!$B$6)*($A$3:$A299&lt;=Party_Statement!$D$6)),"")</f>
        <v/>
      </c>
    </row>
    <row r="300" spans="1:10" x14ac:dyDescent="0.2">
      <c r="A300" s="130">
        <v>66924</v>
      </c>
      <c r="B300" s="4" t="s">
        <v>211</v>
      </c>
      <c r="C300" s="4" t="s">
        <v>611</v>
      </c>
      <c r="D300" s="4" t="s">
        <v>276</v>
      </c>
      <c r="E300" s="4" t="s">
        <v>639</v>
      </c>
      <c r="F300" s="5">
        <v>180</v>
      </c>
      <c r="G300" s="5">
        <v>0</v>
      </c>
      <c r="H300" s="5">
        <f t="shared" si="4"/>
        <v>720</v>
      </c>
      <c r="I300" s="4"/>
      <c r="J300" t="str">
        <f>IF(AND($B300=Party_Statement!$B$5,$A300&gt;=Party_Statement!$B$6,$A300&lt;=Party_Statement!$D$6),SUMPRODUCT(($B$3:$B300=Party_Statement!$B$5)*($A$3:$A300&gt;=Party_Statement!$B$6)*($A$3:$A300&lt;=Party_Statement!$D$6)),"")</f>
        <v/>
      </c>
    </row>
    <row r="301" spans="1:10" x14ac:dyDescent="0.2">
      <c r="A301" s="130">
        <v>66925</v>
      </c>
      <c r="B301" s="4" t="s">
        <v>211</v>
      </c>
      <c r="C301" s="4" t="s">
        <v>611</v>
      </c>
      <c r="D301" s="4" t="s">
        <v>296</v>
      </c>
      <c r="E301" s="4" t="s">
        <v>639</v>
      </c>
      <c r="F301" s="5">
        <v>180</v>
      </c>
      <c r="G301" s="5">
        <v>0</v>
      </c>
      <c r="H301" s="5">
        <f t="shared" si="4"/>
        <v>900</v>
      </c>
      <c r="I301" s="4"/>
      <c r="J301" t="str">
        <f>IF(AND($B301=Party_Statement!$B$5,$A301&gt;=Party_Statement!$B$6,$A301&lt;=Party_Statement!$D$6),SUMPRODUCT(($B$3:$B301=Party_Statement!$B$5)*($A$3:$A301&gt;=Party_Statement!$B$6)*($A$3:$A301&lt;=Party_Statement!$D$6)),"")</f>
        <v/>
      </c>
    </row>
    <row r="302" spans="1:10" x14ac:dyDescent="0.2">
      <c r="A302" s="130">
        <v>66927</v>
      </c>
      <c r="B302" s="4" t="s">
        <v>211</v>
      </c>
      <c r="C302" s="4" t="s">
        <v>611</v>
      </c>
      <c r="D302" s="4" t="s">
        <v>329</v>
      </c>
      <c r="E302" s="4" t="s">
        <v>639</v>
      </c>
      <c r="F302" s="5">
        <v>360</v>
      </c>
      <c r="G302" s="5">
        <v>0</v>
      </c>
      <c r="H302" s="5">
        <f t="shared" si="4"/>
        <v>1260</v>
      </c>
      <c r="I302" s="4"/>
      <c r="J302" t="str">
        <f>IF(AND($B302=Party_Statement!$B$5,$A302&gt;=Party_Statement!$B$6,$A302&lt;=Party_Statement!$D$6),SUMPRODUCT(($B$3:$B302=Party_Statement!$B$5)*($A$3:$A302&gt;=Party_Statement!$B$6)*($A$3:$A302&lt;=Party_Statement!$D$6)),"")</f>
        <v/>
      </c>
    </row>
    <row r="303" spans="1:10" x14ac:dyDescent="0.2">
      <c r="A303" s="130">
        <v>66929</v>
      </c>
      <c r="B303" s="4" t="s">
        <v>211</v>
      </c>
      <c r="C303" s="4" t="s">
        <v>611</v>
      </c>
      <c r="D303" s="4" t="s">
        <v>349</v>
      </c>
      <c r="E303" s="4" t="s">
        <v>639</v>
      </c>
      <c r="F303" s="5">
        <v>360</v>
      </c>
      <c r="G303" s="5">
        <v>0</v>
      </c>
      <c r="H303" s="5">
        <f t="shared" si="4"/>
        <v>1620</v>
      </c>
      <c r="I303" s="4"/>
      <c r="J303" t="str">
        <f>IF(AND($B303=Party_Statement!$B$5,$A303&gt;=Party_Statement!$B$6,$A303&lt;=Party_Statement!$D$6),SUMPRODUCT(($B$3:$B303=Party_Statement!$B$5)*($A$3:$A303&gt;=Party_Statement!$B$6)*($A$3:$A303&lt;=Party_Statement!$D$6)),"")</f>
        <v/>
      </c>
    </row>
    <row r="304" spans="1:10" x14ac:dyDescent="0.2">
      <c r="A304" s="130">
        <v>66931</v>
      </c>
      <c r="B304" s="4" t="s">
        <v>211</v>
      </c>
      <c r="C304" s="4" t="s">
        <v>611</v>
      </c>
      <c r="D304" s="4" t="s">
        <v>399</v>
      </c>
      <c r="E304" s="4" t="s">
        <v>639</v>
      </c>
      <c r="F304" s="5">
        <v>180</v>
      </c>
      <c r="G304" s="5">
        <v>0</v>
      </c>
      <c r="H304" s="5">
        <f t="shared" si="4"/>
        <v>1800</v>
      </c>
      <c r="I304" s="4"/>
      <c r="J304" t="str">
        <f>IF(AND($B304=Party_Statement!$B$5,$A304&gt;=Party_Statement!$B$6,$A304&lt;=Party_Statement!$D$6),SUMPRODUCT(($B$3:$B304=Party_Statement!$B$5)*($A$3:$A304&gt;=Party_Statement!$B$6)*($A$3:$A304&lt;=Party_Statement!$D$6)),"")</f>
        <v/>
      </c>
    </row>
    <row r="305" spans="1:10" x14ac:dyDescent="0.2">
      <c r="A305" s="130">
        <v>66916</v>
      </c>
      <c r="B305" s="4" t="s">
        <v>89</v>
      </c>
      <c r="C305" s="4" t="s">
        <v>611</v>
      </c>
      <c r="D305" s="4" t="s">
        <v>88</v>
      </c>
      <c r="E305" s="4" t="s">
        <v>639</v>
      </c>
      <c r="F305" s="5">
        <v>2850</v>
      </c>
      <c r="G305" s="5">
        <v>0</v>
      </c>
      <c r="H305" s="5">
        <f t="shared" si="4"/>
        <v>2850</v>
      </c>
      <c r="I305" s="4"/>
      <c r="J305" t="str">
        <f>IF(AND($B305=Party_Statement!$B$5,$A305&gt;=Party_Statement!$B$6,$A305&lt;=Party_Statement!$D$6),SUMPRODUCT(($B$3:$B305=Party_Statement!$B$5)*($A$3:$A305&gt;=Party_Statement!$B$6)*($A$3:$A305&lt;=Party_Statement!$D$6)),"")</f>
        <v/>
      </c>
    </row>
    <row r="306" spans="1:10" x14ac:dyDescent="0.2">
      <c r="A306" s="130">
        <v>66917</v>
      </c>
      <c r="B306" s="4" t="s">
        <v>89</v>
      </c>
      <c r="C306" s="4" t="s">
        <v>611</v>
      </c>
      <c r="D306" s="4" t="s">
        <v>119</v>
      </c>
      <c r="E306" s="4" t="s">
        <v>639</v>
      </c>
      <c r="F306" s="5">
        <v>1900</v>
      </c>
      <c r="G306" s="5">
        <v>0</v>
      </c>
      <c r="H306" s="5">
        <f t="shared" si="4"/>
        <v>4750</v>
      </c>
      <c r="I306" s="4"/>
      <c r="J306" t="str">
        <f>IF(AND($B306=Party_Statement!$B$5,$A306&gt;=Party_Statement!$B$6,$A306&lt;=Party_Statement!$D$6),SUMPRODUCT(($B$3:$B306=Party_Statement!$B$5)*($A$3:$A306&gt;=Party_Statement!$B$6)*($A$3:$A306&lt;=Party_Statement!$D$6)),"")</f>
        <v/>
      </c>
    </row>
    <row r="307" spans="1:10" x14ac:dyDescent="0.2">
      <c r="A307" s="130">
        <v>66917</v>
      </c>
      <c r="B307" s="4" t="s">
        <v>89</v>
      </c>
      <c r="C307" s="4" t="s">
        <v>611</v>
      </c>
      <c r="D307" s="4" t="s">
        <v>119</v>
      </c>
      <c r="E307" s="4" t="s">
        <v>639</v>
      </c>
      <c r="F307" s="5">
        <v>595</v>
      </c>
      <c r="G307" s="5">
        <v>0</v>
      </c>
      <c r="H307" s="5">
        <f t="shared" si="4"/>
        <v>5345</v>
      </c>
      <c r="I307" s="4"/>
      <c r="J307" t="str">
        <f>IF(AND($B307=Party_Statement!$B$5,$A307&gt;=Party_Statement!$B$6,$A307&lt;=Party_Statement!$D$6),SUMPRODUCT(($B$3:$B307=Party_Statement!$B$5)*($A$3:$A307&gt;=Party_Statement!$B$6)*($A$3:$A307&lt;=Party_Statement!$D$6)),"")</f>
        <v/>
      </c>
    </row>
    <row r="308" spans="1:10" x14ac:dyDescent="0.2">
      <c r="A308" s="130">
        <v>66918</v>
      </c>
      <c r="B308" s="4" t="s">
        <v>89</v>
      </c>
      <c r="C308" s="4" t="s">
        <v>611</v>
      </c>
      <c r="D308" s="4" t="s">
        <v>135</v>
      </c>
      <c r="E308" s="4" t="s">
        <v>639</v>
      </c>
      <c r="F308" s="5">
        <v>2470</v>
      </c>
      <c r="G308" s="5">
        <v>0</v>
      </c>
      <c r="H308" s="5">
        <f t="shared" si="4"/>
        <v>7815</v>
      </c>
      <c r="I308" s="4"/>
      <c r="J308" t="str">
        <f>IF(AND($B308=Party_Statement!$B$5,$A308&gt;=Party_Statement!$B$6,$A308&lt;=Party_Statement!$D$6),SUMPRODUCT(($B$3:$B308=Party_Statement!$B$5)*($A$3:$A308&gt;=Party_Statement!$B$6)*($A$3:$A308&lt;=Party_Statement!$D$6)),"")</f>
        <v/>
      </c>
    </row>
    <row r="309" spans="1:10" x14ac:dyDescent="0.2">
      <c r="A309" s="130">
        <v>66918</v>
      </c>
      <c r="B309" s="4" t="s">
        <v>89</v>
      </c>
      <c r="C309" s="4" t="s">
        <v>611</v>
      </c>
      <c r="D309" s="4" t="s">
        <v>135</v>
      </c>
      <c r="E309" s="4" t="s">
        <v>639</v>
      </c>
      <c r="F309" s="5">
        <v>425</v>
      </c>
      <c r="G309" s="5">
        <v>0</v>
      </c>
      <c r="H309" s="5">
        <f t="shared" si="4"/>
        <v>8240</v>
      </c>
      <c r="I309" s="4"/>
      <c r="J309" t="str">
        <f>IF(AND($B309=Party_Statement!$B$5,$A309&gt;=Party_Statement!$B$6,$A309&lt;=Party_Statement!$D$6),SUMPRODUCT(($B$3:$B309=Party_Statement!$B$5)*($A$3:$A309&gt;=Party_Statement!$B$6)*($A$3:$A309&lt;=Party_Statement!$D$6)),"")</f>
        <v/>
      </c>
    </row>
    <row r="310" spans="1:10" x14ac:dyDescent="0.2">
      <c r="A310" s="130">
        <v>66918</v>
      </c>
      <c r="B310" s="4" t="s">
        <v>89</v>
      </c>
      <c r="C310" s="4" t="s">
        <v>611</v>
      </c>
      <c r="D310" s="4" t="s">
        <v>136</v>
      </c>
      <c r="E310" s="4" t="s">
        <v>639</v>
      </c>
      <c r="F310" s="5">
        <v>2375</v>
      </c>
      <c r="G310" s="5">
        <v>0</v>
      </c>
      <c r="H310" s="5">
        <f t="shared" si="4"/>
        <v>10615</v>
      </c>
      <c r="I310" s="4"/>
      <c r="J310" t="str">
        <f>IF(AND($B310=Party_Statement!$B$5,$A310&gt;=Party_Statement!$B$6,$A310&lt;=Party_Statement!$D$6),SUMPRODUCT(($B$3:$B310=Party_Statement!$B$5)*($A$3:$A310&gt;=Party_Statement!$B$6)*($A$3:$A310&lt;=Party_Statement!$D$6)),"")</f>
        <v/>
      </c>
    </row>
    <row r="311" spans="1:10" x14ac:dyDescent="0.2">
      <c r="A311" s="130">
        <v>66918</v>
      </c>
      <c r="B311" s="4" t="s">
        <v>89</v>
      </c>
      <c r="C311" s="4" t="s">
        <v>611</v>
      </c>
      <c r="D311" s="4" t="s">
        <v>136</v>
      </c>
      <c r="E311" s="4" t="s">
        <v>639</v>
      </c>
      <c r="F311" s="5">
        <v>1020</v>
      </c>
      <c r="G311" s="5">
        <v>0</v>
      </c>
      <c r="H311" s="5">
        <f t="shared" si="4"/>
        <v>11635</v>
      </c>
      <c r="I311" s="4"/>
      <c r="J311" t="str">
        <f>IF(AND($B311=Party_Statement!$B$5,$A311&gt;=Party_Statement!$B$6,$A311&lt;=Party_Statement!$D$6),SUMPRODUCT(($B$3:$B311=Party_Statement!$B$5)*($A$3:$A311&gt;=Party_Statement!$B$6)*($A$3:$A311&lt;=Party_Statement!$D$6)),"")</f>
        <v/>
      </c>
    </row>
    <row r="312" spans="1:10" x14ac:dyDescent="0.2">
      <c r="A312" s="130">
        <v>66919</v>
      </c>
      <c r="B312" s="4" t="s">
        <v>89</v>
      </c>
      <c r="C312" s="4" t="s">
        <v>611</v>
      </c>
      <c r="D312" s="4" t="s">
        <v>158</v>
      </c>
      <c r="E312" s="4" t="s">
        <v>639</v>
      </c>
      <c r="F312" s="5">
        <v>2375</v>
      </c>
      <c r="G312" s="5">
        <v>0</v>
      </c>
      <c r="H312" s="5">
        <f t="shared" si="4"/>
        <v>14010</v>
      </c>
      <c r="I312" s="4"/>
      <c r="J312" t="str">
        <f>IF(AND($B312=Party_Statement!$B$5,$A312&gt;=Party_Statement!$B$6,$A312&lt;=Party_Statement!$D$6),SUMPRODUCT(($B$3:$B312=Party_Statement!$B$5)*($A$3:$A312&gt;=Party_Statement!$B$6)*($A$3:$A312&lt;=Party_Statement!$D$6)),"")</f>
        <v/>
      </c>
    </row>
    <row r="313" spans="1:10" x14ac:dyDescent="0.2">
      <c r="A313" s="130">
        <v>66919</v>
      </c>
      <c r="B313" s="4" t="s">
        <v>89</v>
      </c>
      <c r="C313" s="4" t="s">
        <v>611</v>
      </c>
      <c r="D313" s="4" t="s">
        <v>158</v>
      </c>
      <c r="E313" s="4" t="s">
        <v>639</v>
      </c>
      <c r="F313" s="5">
        <v>1020</v>
      </c>
      <c r="G313" s="5">
        <v>0</v>
      </c>
      <c r="H313" s="5">
        <f t="shared" si="4"/>
        <v>15030</v>
      </c>
      <c r="I313" s="4"/>
      <c r="J313" t="str">
        <f>IF(AND($B313=Party_Statement!$B$5,$A313&gt;=Party_Statement!$B$6,$A313&lt;=Party_Statement!$D$6),SUMPRODUCT(($B$3:$B313=Party_Statement!$B$5)*($A$3:$A313&gt;=Party_Statement!$B$6)*($A$3:$A313&lt;=Party_Statement!$D$6)),"")</f>
        <v/>
      </c>
    </row>
    <row r="314" spans="1:10" x14ac:dyDescent="0.2">
      <c r="A314" s="130">
        <v>66920</v>
      </c>
      <c r="B314" s="4" t="s">
        <v>89</v>
      </c>
      <c r="C314" s="4" t="s">
        <v>611</v>
      </c>
      <c r="D314" s="4" t="s">
        <v>178</v>
      </c>
      <c r="E314" s="4" t="s">
        <v>639</v>
      </c>
      <c r="F314" s="5">
        <v>2375</v>
      </c>
      <c r="G314" s="5">
        <v>0</v>
      </c>
      <c r="H314" s="5">
        <f t="shared" si="4"/>
        <v>17405</v>
      </c>
      <c r="I314" s="4"/>
      <c r="J314" t="str">
        <f>IF(AND($B314=Party_Statement!$B$5,$A314&gt;=Party_Statement!$B$6,$A314&lt;=Party_Statement!$D$6),SUMPRODUCT(($B$3:$B314=Party_Statement!$B$5)*($A$3:$A314&gt;=Party_Statement!$B$6)*($A$3:$A314&lt;=Party_Statement!$D$6)),"")</f>
        <v/>
      </c>
    </row>
    <row r="315" spans="1:10" x14ac:dyDescent="0.2">
      <c r="A315" s="130">
        <v>66920</v>
      </c>
      <c r="B315" s="4" t="s">
        <v>89</v>
      </c>
      <c r="C315" s="4" t="s">
        <v>611</v>
      </c>
      <c r="D315" s="4" t="s">
        <v>178</v>
      </c>
      <c r="E315" s="4" t="s">
        <v>639</v>
      </c>
      <c r="F315" s="5">
        <v>1020</v>
      </c>
      <c r="G315" s="5">
        <v>0</v>
      </c>
      <c r="H315" s="5">
        <f t="shared" si="4"/>
        <v>18425</v>
      </c>
      <c r="I315" s="4"/>
      <c r="J315" t="str">
        <f>IF(AND($B315=Party_Statement!$B$5,$A315&gt;=Party_Statement!$B$6,$A315&lt;=Party_Statement!$D$6),SUMPRODUCT(($B$3:$B315=Party_Statement!$B$5)*($A$3:$A315&gt;=Party_Statement!$B$6)*($A$3:$A315&lt;=Party_Statement!$D$6)),"")</f>
        <v/>
      </c>
    </row>
    <row r="316" spans="1:10" x14ac:dyDescent="0.2">
      <c r="A316" s="130">
        <v>66921</v>
      </c>
      <c r="B316" s="4" t="s">
        <v>89</v>
      </c>
      <c r="C316" s="4" t="s">
        <v>611</v>
      </c>
      <c r="D316" s="4" t="s">
        <v>198</v>
      </c>
      <c r="E316" s="4" t="s">
        <v>639</v>
      </c>
      <c r="F316" s="5">
        <v>1140</v>
      </c>
      <c r="G316" s="5">
        <v>0</v>
      </c>
      <c r="H316" s="5">
        <f t="shared" si="4"/>
        <v>19565</v>
      </c>
      <c r="I316" s="4"/>
      <c r="J316" t="str">
        <f>IF(AND($B316=Party_Statement!$B$5,$A316&gt;=Party_Statement!$B$6,$A316&lt;=Party_Statement!$D$6),SUMPRODUCT(($B$3:$B316=Party_Statement!$B$5)*($A$3:$A316&gt;=Party_Statement!$B$6)*($A$3:$A316&lt;=Party_Statement!$D$6)),"")</f>
        <v/>
      </c>
    </row>
    <row r="317" spans="1:10" x14ac:dyDescent="0.2">
      <c r="A317" s="130">
        <v>66921</v>
      </c>
      <c r="B317" s="4" t="s">
        <v>89</v>
      </c>
      <c r="C317" s="4" t="s">
        <v>611</v>
      </c>
      <c r="D317" s="4" t="s">
        <v>199</v>
      </c>
      <c r="E317" s="4" t="s">
        <v>639</v>
      </c>
      <c r="F317" s="5">
        <v>2375</v>
      </c>
      <c r="G317" s="5">
        <v>0</v>
      </c>
      <c r="H317" s="5">
        <f t="shared" si="4"/>
        <v>21940</v>
      </c>
      <c r="I317" s="4"/>
      <c r="J317" t="str">
        <f>IF(AND($B317=Party_Statement!$B$5,$A317&gt;=Party_Statement!$B$6,$A317&lt;=Party_Statement!$D$6),SUMPRODUCT(($B$3:$B317=Party_Statement!$B$5)*($A$3:$A317&gt;=Party_Statement!$B$6)*($A$3:$A317&lt;=Party_Statement!$D$6)),"")</f>
        <v/>
      </c>
    </row>
    <row r="318" spans="1:10" x14ac:dyDescent="0.2">
      <c r="A318" s="130">
        <v>66921</v>
      </c>
      <c r="B318" s="4" t="s">
        <v>89</v>
      </c>
      <c r="C318" s="4" t="s">
        <v>611</v>
      </c>
      <c r="D318" s="4" t="s">
        <v>199</v>
      </c>
      <c r="E318" s="4" t="s">
        <v>639</v>
      </c>
      <c r="F318" s="5">
        <v>1020</v>
      </c>
      <c r="G318" s="5">
        <v>0</v>
      </c>
      <c r="H318" s="5">
        <f t="shared" si="4"/>
        <v>22960</v>
      </c>
      <c r="I318" s="4"/>
      <c r="J318" t="str">
        <f>IF(AND($B318=Party_Statement!$B$5,$A318&gt;=Party_Statement!$B$6,$A318&lt;=Party_Statement!$D$6),SUMPRODUCT(($B$3:$B318=Party_Statement!$B$5)*($A$3:$A318&gt;=Party_Statement!$B$6)*($A$3:$A318&lt;=Party_Statement!$D$6)),"")</f>
        <v/>
      </c>
    </row>
    <row r="319" spans="1:10" x14ac:dyDescent="0.2">
      <c r="A319" s="130">
        <v>66922</v>
      </c>
      <c r="B319" s="4" t="s">
        <v>89</v>
      </c>
      <c r="C319" s="4" t="s">
        <v>611</v>
      </c>
      <c r="D319" s="4" t="s">
        <v>226</v>
      </c>
      <c r="E319" s="4" t="s">
        <v>639</v>
      </c>
      <c r="F319" s="5">
        <v>1900</v>
      </c>
      <c r="G319" s="5">
        <v>0</v>
      </c>
      <c r="H319" s="5">
        <f t="shared" si="4"/>
        <v>24860</v>
      </c>
      <c r="I319" s="4"/>
      <c r="J319" t="str">
        <f>IF(AND($B319=Party_Statement!$B$5,$A319&gt;=Party_Statement!$B$6,$A319&lt;=Party_Statement!$D$6),SUMPRODUCT(($B$3:$B319=Party_Statement!$B$5)*($A$3:$A319&gt;=Party_Statement!$B$6)*($A$3:$A319&lt;=Party_Statement!$D$6)),"")</f>
        <v/>
      </c>
    </row>
    <row r="320" spans="1:10" x14ac:dyDescent="0.2">
      <c r="A320" s="130">
        <v>66923</v>
      </c>
      <c r="B320" s="4" t="s">
        <v>89</v>
      </c>
      <c r="C320" s="4" t="s">
        <v>611</v>
      </c>
      <c r="D320" s="4" t="s">
        <v>243</v>
      </c>
      <c r="E320" s="4" t="s">
        <v>639</v>
      </c>
      <c r="F320" s="5">
        <v>2375</v>
      </c>
      <c r="G320" s="5">
        <v>0</v>
      </c>
      <c r="H320" s="5">
        <f t="shared" si="4"/>
        <v>27235</v>
      </c>
      <c r="I320" s="4"/>
      <c r="J320" t="str">
        <f>IF(AND($B320=Party_Statement!$B$5,$A320&gt;=Party_Statement!$B$6,$A320&lt;=Party_Statement!$D$6),SUMPRODUCT(($B$3:$B320=Party_Statement!$B$5)*($A$3:$A320&gt;=Party_Statement!$B$6)*($A$3:$A320&lt;=Party_Statement!$D$6)),"")</f>
        <v/>
      </c>
    </row>
    <row r="321" spans="1:10" x14ac:dyDescent="0.2">
      <c r="A321" s="130">
        <v>66924</v>
      </c>
      <c r="B321" s="4" t="s">
        <v>89</v>
      </c>
      <c r="C321" s="4" t="s">
        <v>611</v>
      </c>
      <c r="D321" s="4" t="s">
        <v>271</v>
      </c>
      <c r="E321" s="4" t="s">
        <v>639</v>
      </c>
      <c r="F321" s="5">
        <v>2850</v>
      </c>
      <c r="G321" s="5">
        <v>0</v>
      </c>
      <c r="H321" s="5">
        <f t="shared" si="4"/>
        <v>30085</v>
      </c>
      <c r="I321" s="4"/>
      <c r="J321" t="str">
        <f>IF(AND($B321=Party_Statement!$B$5,$A321&gt;=Party_Statement!$B$6,$A321&lt;=Party_Statement!$D$6),SUMPRODUCT(($B$3:$B321=Party_Statement!$B$5)*($A$3:$A321&gt;=Party_Statement!$B$6)*($A$3:$A321&lt;=Party_Statement!$D$6)),"")</f>
        <v/>
      </c>
    </row>
    <row r="322" spans="1:10" x14ac:dyDescent="0.2">
      <c r="A322" s="130">
        <v>66925</v>
      </c>
      <c r="B322" s="4" t="s">
        <v>89</v>
      </c>
      <c r="C322" s="4" t="s">
        <v>611</v>
      </c>
      <c r="D322" s="4" t="s">
        <v>292</v>
      </c>
      <c r="E322" s="4" t="s">
        <v>639</v>
      </c>
      <c r="F322" s="5">
        <v>1900</v>
      </c>
      <c r="G322" s="5">
        <v>0</v>
      </c>
      <c r="H322" s="5">
        <f t="shared" si="4"/>
        <v>31985</v>
      </c>
      <c r="I322" s="4"/>
      <c r="J322" t="str">
        <f>IF(AND($B322=Party_Statement!$B$5,$A322&gt;=Party_Statement!$B$6,$A322&lt;=Party_Statement!$D$6),SUMPRODUCT(($B$3:$B322=Party_Statement!$B$5)*($A$3:$A322&gt;=Party_Statement!$B$6)*($A$3:$A322&lt;=Party_Statement!$D$6)),"")</f>
        <v/>
      </c>
    </row>
    <row r="323" spans="1:10" x14ac:dyDescent="0.2">
      <c r="A323" s="130">
        <v>66925</v>
      </c>
      <c r="B323" s="4" t="s">
        <v>89</v>
      </c>
      <c r="C323" s="4" t="s">
        <v>611</v>
      </c>
      <c r="D323" s="4" t="s">
        <v>292</v>
      </c>
      <c r="E323" s="4" t="s">
        <v>639</v>
      </c>
      <c r="F323" s="5">
        <v>1020</v>
      </c>
      <c r="G323" s="5">
        <v>0</v>
      </c>
      <c r="H323" s="5">
        <f t="shared" si="4"/>
        <v>33005</v>
      </c>
      <c r="I323" s="4"/>
      <c r="J323" t="str">
        <f>IF(AND($B323=Party_Statement!$B$5,$A323&gt;=Party_Statement!$B$6,$A323&lt;=Party_Statement!$D$6),SUMPRODUCT(($B$3:$B323=Party_Statement!$B$5)*($A$3:$A323&gt;=Party_Statement!$B$6)*($A$3:$A323&lt;=Party_Statement!$D$6)),"")</f>
        <v/>
      </c>
    </row>
    <row r="324" spans="1:10" x14ac:dyDescent="0.2">
      <c r="A324" s="130">
        <v>66925</v>
      </c>
      <c r="B324" s="4" t="s">
        <v>89</v>
      </c>
      <c r="C324" s="4" t="s">
        <v>611</v>
      </c>
      <c r="D324" s="4" t="s">
        <v>292</v>
      </c>
      <c r="E324" s="4" t="s">
        <v>641</v>
      </c>
      <c r="F324" s="5">
        <v>1100</v>
      </c>
      <c r="G324" s="5">
        <v>0</v>
      </c>
      <c r="H324" s="5">
        <f t="shared" ref="H324:H387" si="5">IF($B324="","",IF($B324=$B323,$H323,0)+$F324-$G324)</f>
        <v>34105</v>
      </c>
      <c r="I324" s="4"/>
      <c r="J324" t="str">
        <f>IF(AND($B324=Party_Statement!$B$5,$A324&gt;=Party_Statement!$B$6,$A324&lt;=Party_Statement!$D$6),SUMPRODUCT(($B$3:$B324=Party_Statement!$B$5)*($A$3:$A324&gt;=Party_Statement!$B$6)*($A$3:$A324&lt;=Party_Statement!$D$6)),"")</f>
        <v/>
      </c>
    </row>
    <row r="325" spans="1:10" x14ac:dyDescent="0.2">
      <c r="A325" s="130">
        <v>66926</v>
      </c>
      <c r="B325" s="4" t="s">
        <v>89</v>
      </c>
      <c r="C325" s="4" t="s">
        <v>611</v>
      </c>
      <c r="D325" s="4" t="s">
        <v>297</v>
      </c>
      <c r="E325" s="4" t="s">
        <v>639</v>
      </c>
      <c r="F325" s="5">
        <v>1900</v>
      </c>
      <c r="G325" s="5">
        <v>0</v>
      </c>
      <c r="H325" s="5">
        <f t="shared" si="5"/>
        <v>36005</v>
      </c>
      <c r="I325" s="4"/>
      <c r="J325" t="str">
        <f>IF(AND($B325=Party_Statement!$B$5,$A325&gt;=Party_Statement!$B$6,$A325&lt;=Party_Statement!$D$6),SUMPRODUCT(($B$3:$B325=Party_Statement!$B$5)*($A$3:$A325&gt;=Party_Statement!$B$6)*($A$3:$A325&lt;=Party_Statement!$D$6)),"")</f>
        <v/>
      </c>
    </row>
    <row r="326" spans="1:10" x14ac:dyDescent="0.2">
      <c r="A326" s="130">
        <v>66927</v>
      </c>
      <c r="B326" s="4" t="s">
        <v>89</v>
      </c>
      <c r="C326" s="4" t="s">
        <v>611</v>
      </c>
      <c r="D326" s="4" t="s">
        <v>328</v>
      </c>
      <c r="E326" s="4" t="s">
        <v>639</v>
      </c>
      <c r="F326" s="5">
        <v>2850</v>
      </c>
      <c r="G326" s="5">
        <v>0</v>
      </c>
      <c r="H326" s="5">
        <f t="shared" si="5"/>
        <v>38855</v>
      </c>
      <c r="I326" s="4"/>
      <c r="J326" t="str">
        <f>IF(AND($B326=Party_Statement!$B$5,$A326&gt;=Party_Statement!$B$6,$A326&lt;=Party_Statement!$D$6),SUMPRODUCT(($B$3:$B326=Party_Statement!$B$5)*($A$3:$A326&gt;=Party_Statement!$B$6)*($A$3:$A326&lt;=Party_Statement!$D$6)),"")</f>
        <v/>
      </c>
    </row>
    <row r="327" spans="1:10" x14ac:dyDescent="0.2">
      <c r="A327" s="130">
        <v>66928</v>
      </c>
      <c r="B327" s="4" t="s">
        <v>89</v>
      </c>
      <c r="C327" s="4" t="s">
        <v>611</v>
      </c>
      <c r="D327" s="4" t="s">
        <v>338</v>
      </c>
      <c r="E327" s="4" t="s">
        <v>639</v>
      </c>
      <c r="F327" s="5">
        <v>2375</v>
      </c>
      <c r="G327" s="5">
        <v>0</v>
      </c>
      <c r="H327" s="5">
        <f t="shared" si="5"/>
        <v>41230</v>
      </c>
      <c r="I327" s="4"/>
      <c r="J327" t="str">
        <f>IF(AND($B327=Party_Statement!$B$5,$A327&gt;=Party_Statement!$B$6,$A327&lt;=Party_Statement!$D$6),SUMPRODUCT(($B$3:$B327=Party_Statement!$B$5)*($A$3:$A327&gt;=Party_Statement!$B$6)*($A$3:$A327&lt;=Party_Statement!$D$6)),"")</f>
        <v/>
      </c>
    </row>
    <row r="328" spans="1:10" x14ac:dyDescent="0.2">
      <c r="A328" s="130">
        <v>66928</v>
      </c>
      <c r="B328" s="4" t="s">
        <v>89</v>
      </c>
      <c r="C328" s="4" t="s">
        <v>611</v>
      </c>
      <c r="D328" s="4" t="s">
        <v>338</v>
      </c>
      <c r="E328" s="4" t="s">
        <v>639</v>
      </c>
      <c r="F328" s="5">
        <v>1020</v>
      </c>
      <c r="G328" s="5">
        <v>0</v>
      </c>
      <c r="H328" s="5">
        <f t="shared" si="5"/>
        <v>42250</v>
      </c>
      <c r="I328" s="4"/>
      <c r="J328" t="str">
        <f>IF(AND($B328=Party_Statement!$B$5,$A328&gt;=Party_Statement!$B$6,$A328&lt;=Party_Statement!$D$6),SUMPRODUCT(($B$3:$B328=Party_Statement!$B$5)*($A$3:$A328&gt;=Party_Statement!$B$6)*($A$3:$A328&lt;=Party_Statement!$D$6)),"")</f>
        <v/>
      </c>
    </row>
    <row r="329" spans="1:10" x14ac:dyDescent="0.2">
      <c r="A329" s="130">
        <v>66929</v>
      </c>
      <c r="B329" s="4" t="s">
        <v>89</v>
      </c>
      <c r="C329" s="4" t="s">
        <v>611</v>
      </c>
      <c r="D329" s="4" t="s">
        <v>364</v>
      </c>
      <c r="E329" s="4" t="s">
        <v>639</v>
      </c>
      <c r="F329" s="5">
        <v>1900</v>
      </c>
      <c r="G329" s="5">
        <v>0</v>
      </c>
      <c r="H329" s="5">
        <f t="shared" si="5"/>
        <v>44150</v>
      </c>
      <c r="I329" s="4"/>
      <c r="J329" t="str">
        <f>IF(AND($B329=Party_Statement!$B$5,$A329&gt;=Party_Statement!$B$6,$A329&lt;=Party_Statement!$D$6),SUMPRODUCT(($B$3:$B329=Party_Statement!$B$5)*($A$3:$A329&gt;=Party_Statement!$B$6)*($A$3:$A329&lt;=Party_Statement!$D$6)),"")</f>
        <v/>
      </c>
    </row>
    <row r="330" spans="1:10" x14ac:dyDescent="0.2">
      <c r="A330" s="130">
        <v>66929</v>
      </c>
      <c r="B330" s="4" t="s">
        <v>89</v>
      </c>
      <c r="C330" s="4" t="s">
        <v>611</v>
      </c>
      <c r="D330" s="4" t="s">
        <v>364</v>
      </c>
      <c r="E330" s="4" t="s">
        <v>639</v>
      </c>
      <c r="F330" s="5">
        <v>1020</v>
      </c>
      <c r="G330" s="5">
        <v>0</v>
      </c>
      <c r="H330" s="5">
        <f t="shared" si="5"/>
        <v>45170</v>
      </c>
      <c r="I330" s="4"/>
      <c r="J330" t="str">
        <f>IF(AND($B330=Party_Statement!$B$5,$A330&gt;=Party_Statement!$B$6,$A330&lt;=Party_Statement!$D$6),SUMPRODUCT(($B$3:$B330=Party_Statement!$B$5)*($A$3:$A330&gt;=Party_Statement!$B$6)*($A$3:$A330&lt;=Party_Statement!$D$6)),"")</f>
        <v/>
      </c>
    </row>
    <row r="331" spans="1:10" x14ac:dyDescent="0.2">
      <c r="A331" s="130">
        <v>66930</v>
      </c>
      <c r="B331" s="4" t="s">
        <v>89</v>
      </c>
      <c r="C331" s="4" t="s">
        <v>611</v>
      </c>
      <c r="D331" s="4" t="s">
        <v>376</v>
      </c>
      <c r="E331" s="4" t="s">
        <v>639</v>
      </c>
      <c r="F331" s="5">
        <v>2375</v>
      </c>
      <c r="G331" s="5">
        <v>0</v>
      </c>
      <c r="H331" s="5">
        <f t="shared" si="5"/>
        <v>47545</v>
      </c>
      <c r="I331" s="4"/>
      <c r="J331" t="str">
        <f>IF(AND($B331=Party_Statement!$B$5,$A331&gt;=Party_Statement!$B$6,$A331&lt;=Party_Statement!$D$6),SUMPRODUCT(($B$3:$B331=Party_Statement!$B$5)*($A$3:$A331&gt;=Party_Statement!$B$6)*($A$3:$A331&lt;=Party_Statement!$D$6)),"")</f>
        <v/>
      </c>
    </row>
    <row r="332" spans="1:10" x14ac:dyDescent="0.2">
      <c r="A332" s="130">
        <v>66931</v>
      </c>
      <c r="B332" s="4" t="s">
        <v>89</v>
      </c>
      <c r="C332" s="4" t="s">
        <v>611</v>
      </c>
      <c r="D332" s="4" t="s">
        <v>396</v>
      </c>
      <c r="E332" s="4" t="s">
        <v>639</v>
      </c>
      <c r="F332" s="5">
        <v>2802.5</v>
      </c>
      <c r="G332" s="5">
        <v>0</v>
      </c>
      <c r="H332" s="5">
        <f t="shared" si="5"/>
        <v>50347.5</v>
      </c>
      <c r="I332" s="4"/>
      <c r="J332" t="str">
        <f>IF(AND($B332=Party_Statement!$B$5,$A332&gt;=Party_Statement!$B$6,$A332&lt;=Party_Statement!$D$6),SUMPRODUCT(($B$3:$B332=Party_Statement!$B$5)*($A$3:$A332&gt;=Party_Statement!$B$6)*($A$3:$A332&lt;=Party_Statement!$D$6)),"")</f>
        <v/>
      </c>
    </row>
    <row r="333" spans="1:10" x14ac:dyDescent="0.2">
      <c r="A333" s="130">
        <v>66916</v>
      </c>
      <c r="B333" s="4" t="s">
        <v>66</v>
      </c>
      <c r="C333" s="4" t="s">
        <v>611</v>
      </c>
      <c r="D333" s="4" t="s">
        <v>65</v>
      </c>
      <c r="E333" s="4" t="s">
        <v>639</v>
      </c>
      <c r="F333" s="5">
        <v>2125</v>
      </c>
      <c r="G333" s="5">
        <v>0</v>
      </c>
      <c r="H333" s="5">
        <f t="shared" si="5"/>
        <v>2125</v>
      </c>
      <c r="I333" s="4"/>
      <c r="J333" t="str">
        <f>IF(AND($B333=Party_Statement!$B$5,$A333&gt;=Party_Statement!$B$6,$A333&lt;=Party_Statement!$D$6),SUMPRODUCT(($B$3:$B333=Party_Statement!$B$5)*($A$3:$A333&gt;=Party_Statement!$B$6)*($A$3:$A333&lt;=Party_Statement!$D$6)),"")</f>
        <v/>
      </c>
    </row>
    <row r="334" spans="1:10" x14ac:dyDescent="0.2">
      <c r="A334" s="130">
        <v>66917</v>
      </c>
      <c r="B334" s="4" t="s">
        <v>66</v>
      </c>
      <c r="C334" s="4" t="s">
        <v>611</v>
      </c>
      <c r="D334" s="4" t="s">
        <v>106</v>
      </c>
      <c r="E334" s="4" t="s">
        <v>639</v>
      </c>
      <c r="F334" s="5">
        <v>1700</v>
      </c>
      <c r="G334" s="5">
        <v>0</v>
      </c>
      <c r="H334" s="5">
        <f t="shared" si="5"/>
        <v>3825</v>
      </c>
      <c r="I334" s="4"/>
      <c r="J334" t="str">
        <f>IF(AND($B334=Party_Statement!$B$5,$A334&gt;=Party_Statement!$B$6,$A334&lt;=Party_Statement!$D$6),SUMPRODUCT(($B$3:$B334=Party_Statement!$B$5)*($A$3:$A334&gt;=Party_Statement!$B$6)*($A$3:$A334&lt;=Party_Statement!$D$6)),"")</f>
        <v/>
      </c>
    </row>
    <row r="335" spans="1:10" x14ac:dyDescent="0.2">
      <c r="A335" s="130">
        <v>66918</v>
      </c>
      <c r="B335" s="4" t="s">
        <v>66</v>
      </c>
      <c r="C335" s="4" t="s">
        <v>611</v>
      </c>
      <c r="D335" s="4" t="s">
        <v>134</v>
      </c>
      <c r="E335" s="4" t="s">
        <v>639</v>
      </c>
      <c r="F335" s="5">
        <v>1700</v>
      </c>
      <c r="G335" s="5">
        <v>0</v>
      </c>
      <c r="H335" s="5">
        <f t="shared" si="5"/>
        <v>5525</v>
      </c>
      <c r="I335" s="4"/>
      <c r="J335" t="str">
        <f>IF(AND($B335=Party_Statement!$B$5,$A335&gt;=Party_Statement!$B$6,$A335&lt;=Party_Statement!$D$6),SUMPRODUCT(($B$3:$B335=Party_Statement!$B$5)*($A$3:$A335&gt;=Party_Statement!$B$6)*($A$3:$A335&lt;=Party_Statement!$D$6)),"")</f>
        <v/>
      </c>
    </row>
    <row r="336" spans="1:10" x14ac:dyDescent="0.2">
      <c r="A336" s="130">
        <v>66919</v>
      </c>
      <c r="B336" s="4" t="s">
        <v>66</v>
      </c>
      <c r="C336" s="4" t="s">
        <v>611</v>
      </c>
      <c r="D336" s="4" t="s">
        <v>145</v>
      </c>
      <c r="E336" s="4" t="s">
        <v>639</v>
      </c>
      <c r="F336" s="5">
        <v>2125</v>
      </c>
      <c r="G336" s="5">
        <v>0</v>
      </c>
      <c r="H336" s="5">
        <f t="shared" si="5"/>
        <v>7650</v>
      </c>
      <c r="I336" s="4"/>
      <c r="J336" t="str">
        <f>IF(AND($B336=Party_Statement!$B$5,$A336&gt;=Party_Statement!$B$6,$A336&lt;=Party_Statement!$D$6),SUMPRODUCT(($B$3:$B336=Party_Statement!$B$5)*($A$3:$A336&gt;=Party_Statement!$B$6)*($A$3:$A336&lt;=Party_Statement!$D$6)),"")</f>
        <v/>
      </c>
    </row>
    <row r="337" spans="1:10" x14ac:dyDescent="0.2">
      <c r="A337" s="130">
        <v>66920</v>
      </c>
      <c r="B337" s="4" t="s">
        <v>66</v>
      </c>
      <c r="C337" s="4" t="s">
        <v>611</v>
      </c>
      <c r="D337" s="4" t="s">
        <v>171</v>
      </c>
      <c r="E337" s="4" t="s">
        <v>639</v>
      </c>
      <c r="F337" s="5">
        <v>1700</v>
      </c>
      <c r="G337" s="5">
        <v>0</v>
      </c>
      <c r="H337" s="5">
        <f t="shared" si="5"/>
        <v>9350</v>
      </c>
      <c r="I337" s="4"/>
      <c r="J337" t="str">
        <f>IF(AND($B337=Party_Statement!$B$5,$A337&gt;=Party_Statement!$B$6,$A337&lt;=Party_Statement!$D$6),SUMPRODUCT(($B$3:$B337=Party_Statement!$B$5)*($A$3:$A337&gt;=Party_Statement!$B$6)*($A$3:$A337&lt;=Party_Statement!$D$6)),"")</f>
        <v/>
      </c>
    </row>
    <row r="338" spans="1:10" x14ac:dyDescent="0.2">
      <c r="A338" s="130">
        <v>66921</v>
      </c>
      <c r="B338" s="4" t="s">
        <v>66</v>
      </c>
      <c r="C338" s="4" t="s">
        <v>611</v>
      </c>
      <c r="D338" s="4" t="s">
        <v>189</v>
      </c>
      <c r="E338" s="4" t="s">
        <v>639</v>
      </c>
      <c r="F338" s="5">
        <v>2975</v>
      </c>
      <c r="G338" s="5">
        <v>0</v>
      </c>
      <c r="H338" s="5">
        <f t="shared" si="5"/>
        <v>12325</v>
      </c>
      <c r="I338" s="4"/>
      <c r="J338" t="str">
        <f>IF(AND($B338=Party_Statement!$B$5,$A338&gt;=Party_Statement!$B$6,$A338&lt;=Party_Statement!$D$6),SUMPRODUCT(($B$3:$B338=Party_Statement!$B$5)*($A$3:$A338&gt;=Party_Statement!$B$6)*($A$3:$A338&lt;=Party_Statement!$D$6)),"")</f>
        <v/>
      </c>
    </row>
    <row r="339" spans="1:10" x14ac:dyDescent="0.2">
      <c r="A339" s="130">
        <v>66922</v>
      </c>
      <c r="B339" s="4" t="s">
        <v>66</v>
      </c>
      <c r="C339" s="4" t="s">
        <v>611</v>
      </c>
      <c r="D339" s="4" t="s">
        <v>224</v>
      </c>
      <c r="E339" s="4" t="s">
        <v>639</v>
      </c>
      <c r="F339" s="5">
        <v>1700</v>
      </c>
      <c r="G339" s="5">
        <v>0</v>
      </c>
      <c r="H339" s="5">
        <f t="shared" si="5"/>
        <v>14025</v>
      </c>
      <c r="I339" s="4"/>
      <c r="J339" t="str">
        <f>IF(AND($B339=Party_Statement!$B$5,$A339&gt;=Party_Statement!$B$6,$A339&lt;=Party_Statement!$D$6),SUMPRODUCT(($B$3:$B339=Party_Statement!$B$5)*($A$3:$A339&gt;=Party_Statement!$B$6)*($A$3:$A339&lt;=Party_Statement!$D$6)),"")</f>
        <v/>
      </c>
    </row>
    <row r="340" spans="1:10" x14ac:dyDescent="0.2">
      <c r="A340" s="130">
        <v>66923</v>
      </c>
      <c r="B340" s="4" t="s">
        <v>66</v>
      </c>
      <c r="C340" s="4" t="s">
        <v>611</v>
      </c>
      <c r="D340" s="4" t="s">
        <v>238</v>
      </c>
      <c r="E340" s="4" t="s">
        <v>639</v>
      </c>
      <c r="F340" s="5">
        <v>2550</v>
      </c>
      <c r="G340" s="5">
        <v>0</v>
      </c>
      <c r="H340" s="5">
        <f t="shared" si="5"/>
        <v>16575</v>
      </c>
      <c r="I340" s="4"/>
      <c r="J340" t="str">
        <f>IF(AND($B340=Party_Statement!$B$5,$A340&gt;=Party_Statement!$B$6,$A340&lt;=Party_Statement!$D$6),SUMPRODUCT(($B$3:$B340=Party_Statement!$B$5)*($A$3:$A340&gt;=Party_Statement!$B$6)*($A$3:$A340&lt;=Party_Statement!$D$6)),"")</f>
        <v/>
      </c>
    </row>
    <row r="341" spans="1:10" x14ac:dyDescent="0.2">
      <c r="A341" s="130">
        <v>66924</v>
      </c>
      <c r="B341" s="4" t="s">
        <v>66</v>
      </c>
      <c r="C341" s="4" t="s">
        <v>611</v>
      </c>
      <c r="D341" s="4" t="s">
        <v>261</v>
      </c>
      <c r="E341" s="4" t="s">
        <v>639</v>
      </c>
      <c r="F341" s="5">
        <v>1700</v>
      </c>
      <c r="G341" s="5">
        <v>0</v>
      </c>
      <c r="H341" s="5">
        <f t="shared" si="5"/>
        <v>18275</v>
      </c>
      <c r="I341" s="4"/>
      <c r="J341" t="str">
        <f>IF(AND($B341=Party_Statement!$B$5,$A341&gt;=Party_Statement!$B$6,$A341&lt;=Party_Statement!$D$6),SUMPRODUCT(($B$3:$B341=Party_Statement!$B$5)*($A$3:$A341&gt;=Party_Statement!$B$6)*($A$3:$A341&lt;=Party_Statement!$D$6)),"")</f>
        <v/>
      </c>
    </row>
    <row r="342" spans="1:10" x14ac:dyDescent="0.2">
      <c r="A342" s="130">
        <v>66925</v>
      </c>
      <c r="B342" s="4" t="s">
        <v>66</v>
      </c>
      <c r="C342" s="4" t="s">
        <v>611</v>
      </c>
      <c r="D342" s="4" t="s">
        <v>283</v>
      </c>
      <c r="E342" s="4" t="s">
        <v>639</v>
      </c>
      <c r="F342" s="5">
        <v>1700</v>
      </c>
      <c r="G342" s="5">
        <v>0</v>
      </c>
      <c r="H342" s="5">
        <f t="shared" si="5"/>
        <v>19975</v>
      </c>
      <c r="I342" s="4"/>
      <c r="J342" t="str">
        <f>IF(AND($B342=Party_Statement!$B$5,$A342&gt;=Party_Statement!$B$6,$A342&lt;=Party_Statement!$D$6),SUMPRODUCT(($B$3:$B342=Party_Statement!$B$5)*($A$3:$A342&gt;=Party_Statement!$B$6)*($A$3:$A342&lt;=Party_Statement!$D$6)),"")</f>
        <v/>
      </c>
    </row>
    <row r="343" spans="1:10" x14ac:dyDescent="0.2">
      <c r="A343" s="130">
        <v>66926</v>
      </c>
      <c r="B343" s="4" t="s">
        <v>66</v>
      </c>
      <c r="C343" s="4" t="s">
        <v>611</v>
      </c>
      <c r="D343" s="4" t="s">
        <v>303</v>
      </c>
      <c r="E343" s="4" t="s">
        <v>639</v>
      </c>
      <c r="F343" s="5">
        <v>1700</v>
      </c>
      <c r="G343" s="5">
        <v>0</v>
      </c>
      <c r="H343" s="5">
        <f t="shared" si="5"/>
        <v>21675</v>
      </c>
      <c r="I343" s="4"/>
      <c r="J343" t="str">
        <f>IF(AND($B343=Party_Statement!$B$5,$A343&gt;=Party_Statement!$B$6,$A343&lt;=Party_Statement!$D$6),SUMPRODUCT(($B$3:$B343=Party_Statement!$B$5)*($A$3:$A343&gt;=Party_Statement!$B$6)*($A$3:$A343&lt;=Party_Statement!$D$6)),"")</f>
        <v/>
      </c>
    </row>
    <row r="344" spans="1:10" x14ac:dyDescent="0.2">
      <c r="A344" s="130">
        <v>66927</v>
      </c>
      <c r="B344" s="4" t="s">
        <v>66</v>
      </c>
      <c r="C344" s="4" t="s">
        <v>611</v>
      </c>
      <c r="D344" s="4" t="s">
        <v>317</v>
      </c>
      <c r="E344" s="4" t="s">
        <v>639</v>
      </c>
      <c r="F344" s="5">
        <v>1700</v>
      </c>
      <c r="G344" s="5">
        <v>0</v>
      </c>
      <c r="H344" s="5">
        <f t="shared" si="5"/>
        <v>23375</v>
      </c>
      <c r="I344" s="4"/>
      <c r="J344" t="str">
        <f>IF(AND($B344=Party_Statement!$B$5,$A344&gt;=Party_Statement!$B$6,$A344&lt;=Party_Statement!$D$6),SUMPRODUCT(($B$3:$B344=Party_Statement!$B$5)*($A$3:$A344&gt;=Party_Statement!$B$6)*($A$3:$A344&lt;=Party_Statement!$D$6)),"")</f>
        <v/>
      </c>
    </row>
    <row r="345" spans="1:10" x14ac:dyDescent="0.2">
      <c r="A345" s="130">
        <v>66928</v>
      </c>
      <c r="B345" s="4" t="s">
        <v>66</v>
      </c>
      <c r="C345" s="4" t="s">
        <v>611</v>
      </c>
      <c r="D345" s="4" t="s">
        <v>339</v>
      </c>
      <c r="E345" s="4" t="s">
        <v>639</v>
      </c>
      <c r="F345" s="5">
        <v>2975</v>
      </c>
      <c r="G345" s="5">
        <v>0</v>
      </c>
      <c r="H345" s="5">
        <f t="shared" si="5"/>
        <v>26350</v>
      </c>
      <c r="I345" s="4"/>
      <c r="J345" t="str">
        <f>IF(AND($B345=Party_Statement!$B$5,$A345&gt;=Party_Statement!$B$6,$A345&lt;=Party_Statement!$D$6),SUMPRODUCT(($B$3:$B345=Party_Statement!$B$5)*($A$3:$A345&gt;=Party_Statement!$B$6)*($A$3:$A345&lt;=Party_Statement!$D$6)),"")</f>
        <v/>
      </c>
    </row>
    <row r="346" spans="1:10" x14ac:dyDescent="0.2">
      <c r="A346" s="130">
        <v>66929</v>
      </c>
      <c r="B346" s="4" t="s">
        <v>66</v>
      </c>
      <c r="C346" s="4" t="s">
        <v>611</v>
      </c>
      <c r="D346" s="4" t="s">
        <v>358</v>
      </c>
      <c r="E346" s="4" t="s">
        <v>639</v>
      </c>
      <c r="F346" s="5">
        <v>1700</v>
      </c>
      <c r="G346" s="5">
        <v>0</v>
      </c>
      <c r="H346" s="5">
        <f t="shared" si="5"/>
        <v>28050</v>
      </c>
      <c r="I346" s="4"/>
      <c r="J346" t="str">
        <f>IF(AND($B346=Party_Statement!$B$5,$A346&gt;=Party_Statement!$B$6,$A346&lt;=Party_Statement!$D$6),SUMPRODUCT(($B$3:$B346=Party_Statement!$B$5)*($A$3:$A346&gt;=Party_Statement!$B$6)*($A$3:$A346&lt;=Party_Statement!$D$6)),"")</f>
        <v/>
      </c>
    </row>
    <row r="347" spans="1:10" x14ac:dyDescent="0.2">
      <c r="A347" s="130">
        <v>66930</v>
      </c>
      <c r="B347" s="4" t="s">
        <v>66</v>
      </c>
      <c r="C347" s="4" t="s">
        <v>611</v>
      </c>
      <c r="D347" s="4" t="s">
        <v>367</v>
      </c>
      <c r="E347" s="4" t="s">
        <v>639</v>
      </c>
      <c r="F347" s="5">
        <v>1700</v>
      </c>
      <c r="G347" s="5">
        <v>0</v>
      </c>
      <c r="H347" s="5">
        <f t="shared" si="5"/>
        <v>29750</v>
      </c>
      <c r="I347" s="4"/>
      <c r="J347" t="str">
        <f>IF(AND($B347=Party_Statement!$B$5,$A347&gt;=Party_Statement!$B$6,$A347&lt;=Party_Statement!$D$6),SUMPRODUCT(($B$3:$B347=Party_Statement!$B$5)*($A$3:$A347&gt;=Party_Statement!$B$6)*($A$3:$A347&lt;=Party_Statement!$D$6)),"")</f>
        <v/>
      </c>
    </row>
    <row r="348" spans="1:10" x14ac:dyDescent="0.2">
      <c r="A348" s="130">
        <v>66931</v>
      </c>
      <c r="B348" s="4" t="s">
        <v>66</v>
      </c>
      <c r="C348" s="4" t="s">
        <v>611</v>
      </c>
      <c r="D348" s="4" t="s">
        <v>387</v>
      </c>
      <c r="E348" s="4" t="s">
        <v>639</v>
      </c>
      <c r="F348" s="5">
        <v>1700</v>
      </c>
      <c r="G348" s="5">
        <v>0</v>
      </c>
      <c r="H348" s="5">
        <f t="shared" si="5"/>
        <v>31450</v>
      </c>
      <c r="I348" s="4"/>
      <c r="J348" t="str">
        <f>IF(AND($B348=Party_Statement!$B$5,$A348&gt;=Party_Statement!$B$6,$A348&lt;=Party_Statement!$D$6),SUMPRODUCT(($B$3:$B348=Party_Statement!$B$5)*($A$3:$A348&gt;=Party_Statement!$B$6)*($A$3:$A348&lt;=Party_Statement!$D$6)),"")</f>
        <v/>
      </c>
    </row>
    <row r="349" spans="1:10" x14ac:dyDescent="0.2">
      <c r="A349" s="130">
        <v>66929</v>
      </c>
      <c r="B349" s="4" t="s">
        <v>347</v>
      </c>
      <c r="C349" s="4" t="s">
        <v>611</v>
      </c>
      <c r="D349" s="4" t="s">
        <v>346</v>
      </c>
      <c r="E349" s="4" t="s">
        <v>648</v>
      </c>
      <c r="F349" s="5">
        <v>1680</v>
      </c>
      <c r="G349" s="5">
        <v>0</v>
      </c>
      <c r="H349" s="5">
        <f t="shared" si="5"/>
        <v>1680</v>
      </c>
      <c r="I349" s="4"/>
      <c r="J349" t="str">
        <f>IF(AND($B349=Party_Statement!$B$5,$A349&gt;=Party_Statement!$B$6,$A349&lt;=Party_Statement!$D$6),SUMPRODUCT(($B$3:$B349=Party_Statement!$B$5)*($A$3:$A349&gt;=Party_Statement!$B$6)*($A$3:$A349&lt;=Party_Statement!$D$6)),"")</f>
        <v/>
      </c>
    </row>
    <row r="350" spans="1:10" x14ac:dyDescent="0.2">
      <c r="A350" s="130">
        <v>66916</v>
      </c>
      <c r="B350" s="4" t="s">
        <v>448</v>
      </c>
      <c r="C350" s="4" t="s">
        <v>613</v>
      </c>
      <c r="D350" s="4" t="s">
        <v>447</v>
      </c>
      <c r="E350" s="4" t="s">
        <v>647</v>
      </c>
      <c r="F350" s="5">
        <v>0</v>
      </c>
      <c r="G350" s="5">
        <v>607.01</v>
      </c>
      <c r="H350" s="5">
        <f t="shared" si="5"/>
        <v>-607.01</v>
      </c>
      <c r="I350" s="4"/>
      <c r="J350" t="str">
        <f>IF(AND($B350=Party_Statement!$B$5,$A350&gt;=Party_Statement!$B$6,$A350&lt;=Party_Statement!$D$6),SUMPRODUCT(($B$3:$B350=Party_Statement!$B$5)*($A$3:$A350&gt;=Party_Statement!$B$6)*($A$3:$A350&lt;=Party_Statement!$D$6)),"")</f>
        <v/>
      </c>
    </row>
    <row r="351" spans="1:10" x14ac:dyDescent="0.2">
      <c r="A351" s="130">
        <v>66917</v>
      </c>
      <c r="B351" s="4" t="s">
        <v>448</v>
      </c>
      <c r="C351" s="4" t="s">
        <v>613</v>
      </c>
      <c r="D351" s="4" t="s">
        <v>459</v>
      </c>
      <c r="E351" s="4" t="s">
        <v>647</v>
      </c>
      <c r="F351" s="5">
        <v>0</v>
      </c>
      <c r="G351" s="5">
        <v>573.75</v>
      </c>
      <c r="H351" s="5">
        <f t="shared" si="5"/>
        <v>-1180.76</v>
      </c>
      <c r="I351" s="4"/>
      <c r="J351" t="str">
        <f>IF(AND($B351=Party_Statement!$B$5,$A351&gt;=Party_Statement!$B$6,$A351&lt;=Party_Statement!$D$6),SUMPRODUCT(($B$3:$B351=Party_Statement!$B$5)*($A$3:$A351&gt;=Party_Statement!$B$6)*($A$3:$A351&lt;=Party_Statement!$D$6)),"")</f>
        <v/>
      </c>
    </row>
    <row r="352" spans="1:10" x14ac:dyDescent="0.2">
      <c r="A352" s="130">
        <v>66918</v>
      </c>
      <c r="B352" s="4" t="s">
        <v>448</v>
      </c>
      <c r="C352" s="4" t="s">
        <v>613</v>
      </c>
      <c r="D352" s="4" t="s">
        <v>466</v>
      </c>
      <c r="E352" s="4" t="s">
        <v>647</v>
      </c>
      <c r="F352" s="5">
        <v>0</v>
      </c>
      <c r="G352" s="5">
        <v>635.30999999999995</v>
      </c>
      <c r="H352" s="5">
        <f t="shared" si="5"/>
        <v>-1816.07</v>
      </c>
      <c r="I352" s="4"/>
      <c r="J352" t="str">
        <f>IF(AND($B352=Party_Statement!$B$5,$A352&gt;=Party_Statement!$B$6,$A352&lt;=Party_Statement!$D$6),SUMPRODUCT(($B$3:$B352=Party_Statement!$B$5)*($A$3:$A352&gt;=Party_Statement!$B$6)*($A$3:$A352&lt;=Party_Statement!$D$6)),"")</f>
        <v/>
      </c>
    </row>
    <row r="353" spans="1:10" x14ac:dyDescent="0.2">
      <c r="A353" s="130">
        <v>66919</v>
      </c>
      <c r="B353" s="4" t="s">
        <v>448</v>
      </c>
      <c r="C353" s="4" t="s">
        <v>613</v>
      </c>
      <c r="D353" s="4" t="s">
        <v>473</v>
      </c>
      <c r="E353" s="4" t="s">
        <v>647</v>
      </c>
      <c r="F353" s="5">
        <v>0</v>
      </c>
      <c r="G353" s="5">
        <v>646.27</v>
      </c>
      <c r="H353" s="5">
        <f t="shared" si="5"/>
        <v>-2462.34</v>
      </c>
      <c r="I353" s="4"/>
      <c r="J353" t="str">
        <f>IF(AND($B353=Party_Statement!$B$5,$A353&gt;=Party_Statement!$B$6,$A353&lt;=Party_Statement!$D$6),SUMPRODUCT(($B$3:$B353=Party_Statement!$B$5)*($A$3:$A353&gt;=Party_Statement!$B$6)*($A$3:$A353&lt;=Party_Statement!$D$6)),"")</f>
        <v/>
      </c>
    </row>
    <row r="354" spans="1:10" x14ac:dyDescent="0.2">
      <c r="A354" s="130">
        <v>66920</v>
      </c>
      <c r="B354" s="4" t="s">
        <v>448</v>
      </c>
      <c r="C354" s="4" t="s">
        <v>613</v>
      </c>
      <c r="D354" s="4" t="s">
        <v>480</v>
      </c>
      <c r="E354" s="4" t="s">
        <v>647</v>
      </c>
      <c r="F354" s="5">
        <v>0</v>
      </c>
      <c r="G354" s="5">
        <v>633.76</v>
      </c>
      <c r="H354" s="5">
        <f t="shared" si="5"/>
        <v>-3096.1000000000004</v>
      </c>
      <c r="I354" s="4"/>
      <c r="J354" t="str">
        <f>IF(AND($B354=Party_Statement!$B$5,$A354&gt;=Party_Statement!$B$6,$A354&lt;=Party_Statement!$D$6),SUMPRODUCT(($B$3:$B354=Party_Statement!$B$5)*($A$3:$A354&gt;=Party_Statement!$B$6)*($A$3:$A354&lt;=Party_Statement!$D$6)),"")</f>
        <v/>
      </c>
    </row>
    <row r="355" spans="1:10" x14ac:dyDescent="0.2">
      <c r="A355" s="130">
        <v>66921</v>
      </c>
      <c r="B355" s="4" t="s">
        <v>448</v>
      </c>
      <c r="C355" s="4" t="s">
        <v>613</v>
      </c>
      <c r="D355" s="4" t="s">
        <v>487</v>
      </c>
      <c r="E355" s="4" t="s">
        <v>647</v>
      </c>
      <c r="F355" s="5">
        <v>0</v>
      </c>
      <c r="G355" s="5">
        <v>564.72</v>
      </c>
      <c r="H355" s="5">
        <f t="shared" si="5"/>
        <v>-3660.8200000000006</v>
      </c>
      <c r="I355" s="4"/>
      <c r="J355" t="str">
        <f>IF(AND($B355=Party_Statement!$B$5,$A355&gt;=Party_Statement!$B$6,$A355&lt;=Party_Statement!$D$6),SUMPRODUCT(($B$3:$B355=Party_Statement!$B$5)*($A$3:$A355&gt;=Party_Statement!$B$6)*($A$3:$A355&lt;=Party_Statement!$D$6)),"")</f>
        <v/>
      </c>
    </row>
    <row r="356" spans="1:10" x14ac:dyDescent="0.2">
      <c r="A356" s="130">
        <v>66922</v>
      </c>
      <c r="B356" s="4" t="s">
        <v>448</v>
      </c>
      <c r="C356" s="4" t="s">
        <v>613</v>
      </c>
      <c r="D356" s="4" t="s">
        <v>494</v>
      </c>
      <c r="E356" s="4" t="s">
        <v>647</v>
      </c>
      <c r="F356" s="5">
        <v>0</v>
      </c>
      <c r="G356" s="5">
        <v>588.41</v>
      </c>
      <c r="H356" s="5">
        <f t="shared" si="5"/>
        <v>-4249.2300000000005</v>
      </c>
      <c r="I356" s="4"/>
      <c r="J356" t="str">
        <f>IF(AND($B356=Party_Statement!$B$5,$A356&gt;=Party_Statement!$B$6,$A356&lt;=Party_Statement!$D$6),SUMPRODUCT(($B$3:$B356=Party_Statement!$B$5)*($A$3:$A356&gt;=Party_Statement!$B$6)*($A$3:$A356&lt;=Party_Statement!$D$6)),"")</f>
        <v/>
      </c>
    </row>
    <row r="357" spans="1:10" x14ac:dyDescent="0.2">
      <c r="A357" s="130">
        <v>66923</v>
      </c>
      <c r="B357" s="4" t="s">
        <v>448</v>
      </c>
      <c r="C357" s="4" t="s">
        <v>613</v>
      </c>
      <c r="D357" s="4" t="s">
        <v>501</v>
      </c>
      <c r="E357" s="4" t="s">
        <v>647</v>
      </c>
      <c r="F357" s="5">
        <v>0</v>
      </c>
      <c r="G357" s="5">
        <v>606.24</v>
      </c>
      <c r="H357" s="5">
        <f t="shared" si="5"/>
        <v>-4855.47</v>
      </c>
      <c r="I357" s="4"/>
      <c r="J357" t="str">
        <f>IF(AND($B357=Party_Statement!$B$5,$A357&gt;=Party_Statement!$B$6,$A357&lt;=Party_Statement!$D$6),SUMPRODUCT(($B$3:$B357=Party_Statement!$B$5)*($A$3:$A357&gt;=Party_Statement!$B$6)*($A$3:$A357&lt;=Party_Statement!$D$6)),"")</f>
        <v/>
      </c>
    </row>
    <row r="358" spans="1:10" x14ac:dyDescent="0.2">
      <c r="A358" s="130">
        <v>66924</v>
      </c>
      <c r="B358" s="4" t="s">
        <v>448</v>
      </c>
      <c r="C358" s="4" t="s">
        <v>613</v>
      </c>
      <c r="D358" s="4" t="s">
        <v>508</v>
      </c>
      <c r="E358" s="4" t="s">
        <v>647</v>
      </c>
      <c r="F358" s="5">
        <v>0</v>
      </c>
      <c r="G358" s="5">
        <v>598.67999999999995</v>
      </c>
      <c r="H358" s="5">
        <f t="shared" si="5"/>
        <v>-5454.1500000000005</v>
      </c>
      <c r="I358" s="4"/>
      <c r="J358" t="str">
        <f>IF(AND($B358=Party_Statement!$B$5,$A358&gt;=Party_Statement!$B$6,$A358&lt;=Party_Statement!$D$6),SUMPRODUCT(($B$3:$B358=Party_Statement!$B$5)*($A$3:$A358&gt;=Party_Statement!$B$6)*($A$3:$A358&lt;=Party_Statement!$D$6)),"")</f>
        <v/>
      </c>
    </row>
    <row r="359" spans="1:10" x14ac:dyDescent="0.2">
      <c r="A359" s="130">
        <v>66925</v>
      </c>
      <c r="B359" s="4" t="s">
        <v>448</v>
      </c>
      <c r="C359" s="4" t="s">
        <v>613</v>
      </c>
      <c r="D359" s="4" t="s">
        <v>515</v>
      </c>
      <c r="E359" s="4" t="s">
        <v>647</v>
      </c>
      <c r="F359" s="5">
        <v>0</v>
      </c>
      <c r="G359" s="5">
        <v>563.97</v>
      </c>
      <c r="H359" s="5">
        <f t="shared" si="5"/>
        <v>-6018.1200000000008</v>
      </c>
      <c r="I359" s="4"/>
      <c r="J359" t="str">
        <f>IF(AND($B359=Party_Statement!$B$5,$A359&gt;=Party_Statement!$B$6,$A359&lt;=Party_Statement!$D$6),SUMPRODUCT(($B$3:$B359=Party_Statement!$B$5)*($A$3:$A359&gt;=Party_Statement!$B$6)*($A$3:$A359&lt;=Party_Statement!$D$6)),"")</f>
        <v/>
      </c>
    </row>
    <row r="360" spans="1:10" x14ac:dyDescent="0.2">
      <c r="A360" s="130">
        <v>66926</v>
      </c>
      <c r="B360" s="4" t="s">
        <v>448</v>
      </c>
      <c r="C360" s="4" t="s">
        <v>613</v>
      </c>
      <c r="D360" s="4" t="s">
        <v>522</v>
      </c>
      <c r="E360" s="4" t="s">
        <v>647</v>
      </c>
      <c r="F360" s="5">
        <v>0</v>
      </c>
      <c r="G360" s="5">
        <v>495.98</v>
      </c>
      <c r="H360" s="5">
        <f t="shared" si="5"/>
        <v>-6514.1</v>
      </c>
      <c r="I360" s="4"/>
      <c r="J360" t="str">
        <f>IF(AND($B360=Party_Statement!$B$5,$A360&gt;=Party_Statement!$B$6,$A360&lt;=Party_Statement!$D$6),SUMPRODUCT(($B$3:$B360=Party_Statement!$B$5)*($A$3:$A360&gt;=Party_Statement!$B$6)*($A$3:$A360&lt;=Party_Statement!$D$6)),"")</f>
        <v/>
      </c>
    </row>
    <row r="361" spans="1:10" x14ac:dyDescent="0.2">
      <c r="A361" s="130">
        <v>66927</v>
      </c>
      <c r="B361" s="4" t="s">
        <v>448</v>
      </c>
      <c r="C361" s="4" t="s">
        <v>613</v>
      </c>
      <c r="D361" s="4" t="s">
        <v>532</v>
      </c>
      <c r="E361" s="4" t="s">
        <v>647</v>
      </c>
      <c r="F361" s="5">
        <v>0</v>
      </c>
      <c r="G361" s="5">
        <v>620.27</v>
      </c>
      <c r="H361" s="5">
        <f t="shared" si="5"/>
        <v>-7134.3700000000008</v>
      </c>
      <c r="I361" s="4"/>
      <c r="J361" t="str">
        <f>IF(AND($B361=Party_Statement!$B$5,$A361&gt;=Party_Statement!$B$6,$A361&lt;=Party_Statement!$D$6),SUMPRODUCT(($B$3:$B361=Party_Statement!$B$5)*($A$3:$A361&gt;=Party_Statement!$B$6)*($A$3:$A361&lt;=Party_Statement!$D$6)),"")</f>
        <v/>
      </c>
    </row>
    <row r="362" spans="1:10" x14ac:dyDescent="0.2">
      <c r="A362" s="130">
        <v>66928</v>
      </c>
      <c r="B362" s="4" t="s">
        <v>448</v>
      </c>
      <c r="C362" s="4" t="s">
        <v>613</v>
      </c>
      <c r="D362" s="4" t="s">
        <v>540</v>
      </c>
      <c r="E362" s="4" t="s">
        <v>647</v>
      </c>
      <c r="F362" s="5">
        <v>0</v>
      </c>
      <c r="G362" s="5">
        <v>571.54</v>
      </c>
      <c r="H362" s="5">
        <f t="shared" si="5"/>
        <v>-7705.9100000000008</v>
      </c>
      <c r="I362" s="4"/>
      <c r="J362" t="str">
        <f>IF(AND($B362=Party_Statement!$B$5,$A362&gt;=Party_Statement!$B$6,$A362&lt;=Party_Statement!$D$6),SUMPRODUCT(($B$3:$B362=Party_Statement!$B$5)*($A$3:$A362&gt;=Party_Statement!$B$6)*($A$3:$A362&lt;=Party_Statement!$D$6)),"")</f>
        <v/>
      </c>
    </row>
    <row r="363" spans="1:10" x14ac:dyDescent="0.2">
      <c r="A363" s="130">
        <v>66929</v>
      </c>
      <c r="B363" s="4" t="s">
        <v>448</v>
      </c>
      <c r="C363" s="4" t="s">
        <v>613</v>
      </c>
      <c r="D363" s="4" t="s">
        <v>548</v>
      </c>
      <c r="E363" s="4" t="s">
        <v>647</v>
      </c>
      <c r="F363" s="5">
        <v>0</v>
      </c>
      <c r="G363" s="5">
        <v>572.17999999999995</v>
      </c>
      <c r="H363" s="5">
        <f t="shared" si="5"/>
        <v>-8278.09</v>
      </c>
      <c r="I363" s="4"/>
      <c r="J363" t="str">
        <f>IF(AND($B363=Party_Statement!$B$5,$A363&gt;=Party_Statement!$B$6,$A363&lt;=Party_Statement!$D$6),SUMPRODUCT(($B$3:$B363=Party_Statement!$B$5)*($A$3:$A363&gt;=Party_Statement!$B$6)*($A$3:$A363&lt;=Party_Statement!$D$6)),"")</f>
        <v/>
      </c>
    </row>
    <row r="364" spans="1:10" x14ac:dyDescent="0.2">
      <c r="A364" s="130">
        <v>66930</v>
      </c>
      <c r="B364" s="4" t="s">
        <v>448</v>
      </c>
      <c r="C364" s="4" t="s">
        <v>613</v>
      </c>
      <c r="D364" s="4" t="s">
        <v>556</v>
      </c>
      <c r="E364" s="4" t="s">
        <v>647</v>
      </c>
      <c r="F364" s="5">
        <v>0</v>
      </c>
      <c r="G364" s="5">
        <v>527.76</v>
      </c>
      <c r="H364" s="5">
        <f t="shared" si="5"/>
        <v>-8805.85</v>
      </c>
      <c r="I364" s="4"/>
      <c r="J364" t="str">
        <f>IF(AND($B364=Party_Statement!$B$5,$A364&gt;=Party_Statement!$B$6,$A364&lt;=Party_Statement!$D$6),SUMPRODUCT(($B$3:$B364=Party_Statement!$B$5)*($A$3:$A364&gt;=Party_Statement!$B$6)*($A$3:$A364&lt;=Party_Statement!$D$6)),"")</f>
        <v/>
      </c>
    </row>
    <row r="365" spans="1:10" x14ac:dyDescent="0.2">
      <c r="A365" s="130">
        <v>66931</v>
      </c>
      <c r="B365" s="4" t="s">
        <v>448</v>
      </c>
      <c r="C365" s="4" t="s">
        <v>613</v>
      </c>
      <c r="D365" s="4" t="s">
        <v>564</v>
      </c>
      <c r="E365" s="4" t="s">
        <v>647</v>
      </c>
      <c r="F365" s="5">
        <v>0</v>
      </c>
      <c r="G365" s="5">
        <v>646.57000000000005</v>
      </c>
      <c r="H365" s="5">
        <f t="shared" si="5"/>
        <v>-9452.42</v>
      </c>
      <c r="I365" s="4"/>
      <c r="J365" t="str">
        <f>IF(AND($B365=Party_Statement!$B$5,$A365&gt;=Party_Statement!$B$6,$A365&lt;=Party_Statement!$D$6),SUMPRODUCT(($B$3:$B365=Party_Statement!$B$5)*($A$3:$A365&gt;=Party_Statement!$B$6)*($A$3:$A365&lt;=Party_Statement!$D$6)),"")</f>
        <v/>
      </c>
    </row>
    <row r="366" spans="1:10" x14ac:dyDescent="0.2">
      <c r="A366" s="130">
        <v>66916</v>
      </c>
      <c r="B366" s="4" t="s">
        <v>629</v>
      </c>
      <c r="C366" s="4" t="s">
        <v>611</v>
      </c>
      <c r="D366" s="4" t="s">
        <v>78</v>
      </c>
      <c r="E366" s="4" t="s">
        <v>639</v>
      </c>
      <c r="F366" s="5">
        <v>850</v>
      </c>
      <c r="G366" s="5">
        <v>0</v>
      </c>
      <c r="H366" s="5">
        <f t="shared" si="5"/>
        <v>850</v>
      </c>
      <c r="I366" s="4"/>
      <c r="J366" t="str">
        <f>IF(AND($B366=Party_Statement!$B$5,$A366&gt;=Party_Statement!$B$6,$A366&lt;=Party_Statement!$D$6),SUMPRODUCT(($B$3:$B366=Party_Statement!$B$5)*($A$3:$A366&gt;=Party_Statement!$B$6)*($A$3:$A366&lt;=Party_Statement!$D$6)),"")</f>
        <v/>
      </c>
    </row>
    <row r="367" spans="1:10" x14ac:dyDescent="0.2">
      <c r="A367" s="130">
        <v>66917</v>
      </c>
      <c r="B367" s="4" t="s">
        <v>629</v>
      </c>
      <c r="C367" s="4" t="s">
        <v>611</v>
      </c>
      <c r="D367" s="4" t="s">
        <v>103</v>
      </c>
      <c r="E367" s="4" t="s">
        <v>639</v>
      </c>
      <c r="F367" s="5">
        <v>850</v>
      </c>
      <c r="G367" s="5">
        <v>0</v>
      </c>
      <c r="H367" s="5">
        <f t="shared" si="5"/>
        <v>1700</v>
      </c>
      <c r="I367" s="4"/>
      <c r="J367" t="str">
        <f>IF(AND($B367=Party_Statement!$B$5,$A367&gt;=Party_Statement!$B$6,$A367&lt;=Party_Statement!$D$6),SUMPRODUCT(($B$3:$B367=Party_Statement!$B$5)*($A$3:$A367&gt;=Party_Statement!$B$6)*($A$3:$A367&lt;=Party_Statement!$D$6)),"")</f>
        <v/>
      </c>
    </row>
    <row r="368" spans="1:10" x14ac:dyDescent="0.2">
      <c r="A368" s="130">
        <v>66918</v>
      </c>
      <c r="B368" s="4" t="s">
        <v>629</v>
      </c>
      <c r="C368" s="4" t="s">
        <v>611</v>
      </c>
      <c r="D368" s="4" t="s">
        <v>131</v>
      </c>
      <c r="E368" s="4" t="s">
        <v>639</v>
      </c>
      <c r="F368" s="5">
        <v>850</v>
      </c>
      <c r="G368" s="5">
        <v>0</v>
      </c>
      <c r="H368" s="5">
        <f t="shared" si="5"/>
        <v>2550</v>
      </c>
      <c r="I368" s="4"/>
      <c r="J368" t="str">
        <f>IF(AND($B368=Party_Statement!$B$5,$A368&gt;=Party_Statement!$B$6,$A368&lt;=Party_Statement!$D$6),SUMPRODUCT(($B$3:$B368=Party_Statement!$B$5)*($A$3:$A368&gt;=Party_Statement!$B$6)*($A$3:$A368&lt;=Party_Statement!$D$6)),"")</f>
        <v/>
      </c>
    </row>
    <row r="369" spans="1:10" x14ac:dyDescent="0.2">
      <c r="A369" s="130">
        <v>66919</v>
      </c>
      <c r="B369" s="4" t="s">
        <v>629</v>
      </c>
      <c r="C369" s="4" t="s">
        <v>611</v>
      </c>
      <c r="D369" s="4" t="s">
        <v>150</v>
      </c>
      <c r="E369" s="4" t="s">
        <v>639</v>
      </c>
      <c r="F369" s="5">
        <v>850</v>
      </c>
      <c r="G369" s="5">
        <v>0</v>
      </c>
      <c r="H369" s="5">
        <f t="shared" si="5"/>
        <v>3400</v>
      </c>
      <c r="I369" s="4"/>
      <c r="J369" t="str">
        <f>IF(AND($B369=Party_Statement!$B$5,$A369&gt;=Party_Statement!$B$6,$A369&lt;=Party_Statement!$D$6),SUMPRODUCT(($B$3:$B369=Party_Statement!$B$5)*($A$3:$A369&gt;=Party_Statement!$B$6)*($A$3:$A369&lt;=Party_Statement!$D$6)),"")</f>
        <v/>
      </c>
    </row>
    <row r="370" spans="1:10" x14ac:dyDescent="0.2">
      <c r="A370" s="130">
        <v>66920</v>
      </c>
      <c r="B370" s="4" t="s">
        <v>629</v>
      </c>
      <c r="C370" s="4" t="s">
        <v>611</v>
      </c>
      <c r="D370" s="4" t="s">
        <v>168</v>
      </c>
      <c r="E370" s="4" t="s">
        <v>639</v>
      </c>
      <c r="F370" s="5">
        <v>850</v>
      </c>
      <c r="G370" s="5">
        <v>0</v>
      </c>
      <c r="H370" s="5">
        <f t="shared" si="5"/>
        <v>4250</v>
      </c>
      <c r="I370" s="4"/>
      <c r="J370" t="str">
        <f>IF(AND($B370=Party_Statement!$B$5,$A370&gt;=Party_Statement!$B$6,$A370&lt;=Party_Statement!$D$6),SUMPRODUCT(($B$3:$B370=Party_Statement!$B$5)*($A$3:$A370&gt;=Party_Statement!$B$6)*($A$3:$A370&lt;=Party_Statement!$D$6)),"")</f>
        <v/>
      </c>
    </row>
    <row r="371" spans="1:10" x14ac:dyDescent="0.2">
      <c r="A371" s="130">
        <v>66921</v>
      </c>
      <c r="B371" s="4" t="s">
        <v>629</v>
      </c>
      <c r="C371" s="4" t="s">
        <v>611</v>
      </c>
      <c r="D371" s="4" t="s">
        <v>186</v>
      </c>
      <c r="E371" s="4" t="s">
        <v>639</v>
      </c>
      <c r="F371" s="5">
        <v>850</v>
      </c>
      <c r="G371" s="5">
        <v>0</v>
      </c>
      <c r="H371" s="5">
        <f t="shared" si="5"/>
        <v>5100</v>
      </c>
      <c r="I371" s="4"/>
      <c r="J371" t="str">
        <f>IF(AND($B371=Party_Statement!$B$5,$A371&gt;=Party_Statement!$B$6,$A371&lt;=Party_Statement!$D$6),SUMPRODUCT(($B$3:$B371=Party_Statement!$B$5)*($A$3:$A371&gt;=Party_Statement!$B$6)*($A$3:$A371&lt;=Party_Statement!$D$6)),"")</f>
        <v/>
      </c>
    </row>
    <row r="372" spans="1:10" x14ac:dyDescent="0.2">
      <c r="A372" s="130">
        <v>66922</v>
      </c>
      <c r="B372" s="4" t="s">
        <v>629</v>
      </c>
      <c r="C372" s="4" t="s">
        <v>611</v>
      </c>
      <c r="D372" s="4" t="s">
        <v>219</v>
      </c>
      <c r="E372" s="4" t="s">
        <v>639</v>
      </c>
      <c r="F372" s="5">
        <v>850</v>
      </c>
      <c r="G372" s="5">
        <v>0</v>
      </c>
      <c r="H372" s="5">
        <f t="shared" si="5"/>
        <v>5950</v>
      </c>
      <c r="I372" s="4"/>
      <c r="J372" t="str">
        <f>IF(AND($B372=Party_Statement!$B$5,$A372&gt;=Party_Statement!$B$6,$A372&lt;=Party_Statement!$D$6),SUMPRODUCT(($B$3:$B372=Party_Statement!$B$5)*($A$3:$A372&gt;=Party_Statement!$B$6)*($A$3:$A372&lt;=Party_Statement!$D$6)),"")</f>
        <v/>
      </c>
    </row>
    <row r="373" spans="1:10" x14ac:dyDescent="0.2">
      <c r="A373" s="130">
        <v>66923</v>
      </c>
      <c r="B373" s="4" t="s">
        <v>629</v>
      </c>
      <c r="C373" s="4" t="s">
        <v>611</v>
      </c>
      <c r="D373" s="4" t="s">
        <v>235</v>
      </c>
      <c r="E373" s="4" t="s">
        <v>639</v>
      </c>
      <c r="F373" s="5">
        <v>425</v>
      </c>
      <c r="G373" s="5">
        <v>0</v>
      </c>
      <c r="H373" s="5">
        <f t="shared" si="5"/>
        <v>6375</v>
      </c>
      <c r="I373" s="4"/>
      <c r="J373" t="str">
        <f>IF(AND($B373=Party_Statement!$B$5,$A373&gt;=Party_Statement!$B$6,$A373&lt;=Party_Statement!$D$6),SUMPRODUCT(($B$3:$B373=Party_Statement!$B$5)*($A$3:$A373&gt;=Party_Statement!$B$6)*($A$3:$A373&lt;=Party_Statement!$D$6)),"")</f>
        <v/>
      </c>
    </row>
    <row r="374" spans="1:10" x14ac:dyDescent="0.2">
      <c r="A374" s="130">
        <v>66924</v>
      </c>
      <c r="B374" s="4" t="s">
        <v>629</v>
      </c>
      <c r="C374" s="4" t="s">
        <v>611</v>
      </c>
      <c r="D374" s="4" t="s">
        <v>253</v>
      </c>
      <c r="E374" s="4" t="s">
        <v>639</v>
      </c>
      <c r="F374" s="5">
        <v>680</v>
      </c>
      <c r="G374" s="5">
        <v>0</v>
      </c>
      <c r="H374" s="5">
        <f t="shared" si="5"/>
        <v>7055</v>
      </c>
      <c r="I374" s="4"/>
      <c r="J374" t="str">
        <f>IF(AND($B374=Party_Statement!$B$5,$A374&gt;=Party_Statement!$B$6,$A374&lt;=Party_Statement!$D$6),SUMPRODUCT(($B$3:$B374=Party_Statement!$B$5)*($A$3:$A374&gt;=Party_Statement!$B$6)*($A$3:$A374&lt;=Party_Statement!$D$6)),"")</f>
        <v/>
      </c>
    </row>
    <row r="375" spans="1:10" x14ac:dyDescent="0.2">
      <c r="A375" s="130">
        <v>66925</v>
      </c>
      <c r="B375" s="4" t="s">
        <v>629</v>
      </c>
      <c r="C375" s="4" t="s">
        <v>611</v>
      </c>
      <c r="D375" s="4" t="s">
        <v>280</v>
      </c>
      <c r="E375" s="4" t="s">
        <v>639</v>
      </c>
      <c r="F375" s="5">
        <v>680</v>
      </c>
      <c r="G375" s="5">
        <v>0</v>
      </c>
      <c r="H375" s="5">
        <f t="shared" si="5"/>
        <v>7735</v>
      </c>
      <c r="I375" s="4"/>
      <c r="J375" t="str">
        <f>IF(AND($B375=Party_Statement!$B$5,$A375&gt;=Party_Statement!$B$6,$A375&lt;=Party_Statement!$D$6),SUMPRODUCT(($B$3:$B375=Party_Statement!$B$5)*($A$3:$A375&gt;=Party_Statement!$B$6)*($A$3:$A375&lt;=Party_Statement!$D$6)),"")</f>
        <v/>
      </c>
    </row>
    <row r="376" spans="1:10" x14ac:dyDescent="0.2">
      <c r="A376" s="130">
        <v>66926</v>
      </c>
      <c r="B376" s="4" t="s">
        <v>629</v>
      </c>
      <c r="C376" s="4" t="s">
        <v>611</v>
      </c>
      <c r="D376" s="4" t="s">
        <v>309</v>
      </c>
      <c r="E376" s="4" t="s">
        <v>639</v>
      </c>
      <c r="F376" s="5">
        <v>680</v>
      </c>
      <c r="G376" s="5">
        <v>0</v>
      </c>
      <c r="H376" s="5">
        <f t="shared" si="5"/>
        <v>8415</v>
      </c>
      <c r="I376" s="4"/>
      <c r="J376" t="str">
        <f>IF(AND($B376=Party_Statement!$B$5,$A376&gt;=Party_Statement!$B$6,$A376&lt;=Party_Statement!$D$6),SUMPRODUCT(($B$3:$B376=Party_Statement!$B$5)*($A$3:$A376&gt;=Party_Statement!$B$6)*($A$3:$A376&lt;=Party_Statement!$D$6)),"")</f>
        <v/>
      </c>
    </row>
    <row r="377" spans="1:10" x14ac:dyDescent="0.2">
      <c r="A377" s="130">
        <v>66927</v>
      </c>
      <c r="B377" s="4" t="s">
        <v>629</v>
      </c>
      <c r="C377" s="4" t="s">
        <v>611</v>
      </c>
      <c r="D377" s="4" t="s">
        <v>323</v>
      </c>
      <c r="E377" s="4" t="s">
        <v>639</v>
      </c>
      <c r="F377" s="5">
        <v>680</v>
      </c>
      <c r="G377" s="5">
        <v>0</v>
      </c>
      <c r="H377" s="5">
        <f t="shared" si="5"/>
        <v>9095</v>
      </c>
      <c r="I377" s="4"/>
      <c r="J377" t="str">
        <f>IF(AND($B377=Party_Statement!$B$5,$A377&gt;=Party_Statement!$B$6,$A377&lt;=Party_Statement!$D$6),SUMPRODUCT(($B$3:$B377=Party_Statement!$B$5)*($A$3:$A377&gt;=Party_Statement!$B$6)*($A$3:$A377&lt;=Party_Statement!$D$6)),"")</f>
        <v/>
      </c>
    </row>
    <row r="378" spans="1:10" x14ac:dyDescent="0.2">
      <c r="A378" s="130">
        <v>66928</v>
      </c>
      <c r="B378" s="4" t="s">
        <v>629</v>
      </c>
      <c r="C378" s="4" t="s">
        <v>611</v>
      </c>
      <c r="D378" s="4" t="s">
        <v>335</v>
      </c>
      <c r="E378" s="4" t="s">
        <v>639</v>
      </c>
      <c r="F378" s="5">
        <v>680</v>
      </c>
      <c r="G378" s="5">
        <v>0</v>
      </c>
      <c r="H378" s="5">
        <f t="shared" si="5"/>
        <v>9775</v>
      </c>
      <c r="I378" s="4"/>
      <c r="J378" t="str">
        <f>IF(AND($B378=Party_Statement!$B$5,$A378&gt;=Party_Statement!$B$6,$A378&lt;=Party_Statement!$D$6),SUMPRODUCT(($B$3:$B378=Party_Statement!$B$5)*($A$3:$A378&gt;=Party_Statement!$B$6)*($A$3:$A378&lt;=Party_Statement!$D$6)),"")</f>
        <v/>
      </c>
    </row>
    <row r="379" spans="1:10" x14ac:dyDescent="0.2">
      <c r="A379" s="130">
        <v>66929</v>
      </c>
      <c r="B379" s="4" t="s">
        <v>629</v>
      </c>
      <c r="C379" s="4" t="s">
        <v>611</v>
      </c>
      <c r="D379" s="4" t="s">
        <v>355</v>
      </c>
      <c r="E379" s="4" t="s">
        <v>639</v>
      </c>
      <c r="F379" s="5">
        <v>680</v>
      </c>
      <c r="G379" s="5">
        <v>0</v>
      </c>
      <c r="H379" s="5">
        <f t="shared" si="5"/>
        <v>10455</v>
      </c>
      <c r="I379" s="4"/>
      <c r="J379" t="str">
        <f>IF(AND($B379=Party_Statement!$B$5,$A379&gt;=Party_Statement!$B$6,$A379&lt;=Party_Statement!$D$6),SUMPRODUCT(($B$3:$B379=Party_Statement!$B$5)*($A$3:$A379&gt;=Party_Statement!$B$6)*($A$3:$A379&lt;=Party_Statement!$D$6)),"")</f>
        <v/>
      </c>
    </row>
    <row r="380" spans="1:10" x14ac:dyDescent="0.2">
      <c r="A380" s="130">
        <v>66930</v>
      </c>
      <c r="B380" s="4" t="s">
        <v>629</v>
      </c>
      <c r="C380" s="4" t="s">
        <v>611</v>
      </c>
      <c r="D380" s="4" t="s">
        <v>373</v>
      </c>
      <c r="E380" s="4" t="s">
        <v>639</v>
      </c>
      <c r="F380" s="5">
        <v>680</v>
      </c>
      <c r="G380" s="5">
        <v>0</v>
      </c>
      <c r="H380" s="5">
        <f t="shared" si="5"/>
        <v>11135</v>
      </c>
      <c r="I380" s="4"/>
      <c r="J380" t="str">
        <f>IF(AND($B380=Party_Statement!$B$5,$A380&gt;=Party_Statement!$B$6,$A380&lt;=Party_Statement!$D$6),SUMPRODUCT(($B$3:$B380=Party_Statement!$B$5)*($A$3:$A380&gt;=Party_Statement!$B$6)*($A$3:$A380&lt;=Party_Statement!$D$6)),"")</f>
        <v/>
      </c>
    </row>
    <row r="381" spans="1:10" x14ac:dyDescent="0.2">
      <c r="A381" s="130">
        <v>66931</v>
      </c>
      <c r="B381" s="4" t="s">
        <v>629</v>
      </c>
      <c r="C381" s="4" t="s">
        <v>611</v>
      </c>
      <c r="D381" s="4" t="s">
        <v>384</v>
      </c>
      <c r="E381" s="4" t="s">
        <v>639</v>
      </c>
      <c r="F381" s="5">
        <v>680</v>
      </c>
      <c r="G381" s="5">
        <v>0</v>
      </c>
      <c r="H381" s="5">
        <f t="shared" si="5"/>
        <v>11815</v>
      </c>
      <c r="I381" s="4"/>
      <c r="J381" t="str">
        <f>IF(AND($B381=Party_Statement!$B$5,$A381&gt;=Party_Statement!$B$6,$A381&lt;=Party_Statement!$D$6),SUMPRODUCT(($B$3:$B381=Party_Statement!$B$5)*($A$3:$A381&gt;=Party_Statement!$B$6)*($A$3:$A381&lt;=Party_Statement!$D$6)),"")</f>
        <v/>
      </c>
    </row>
    <row r="382" spans="1:10" x14ac:dyDescent="0.2">
      <c r="A382" s="130">
        <v>66916</v>
      </c>
      <c r="B382" s="4" t="s">
        <v>455</v>
      </c>
      <c r="C382" s="4" t="s">
        <v>613</v>
      </c>
      <c r="D382" s="4" t="s">
        <v>454</v>
      </c>
      <c r="E382" s="4" t="s">
        <v>649</v>
      </c>
      <c r="F382" s="5">
        <v>0</v>
      </c>
      <c r="G382" s="5">
        <v>10080</v>
      </c>
      <c r="H382" s="5">
        <f t="shared" si="5"/>
        <v>-10080</v>
      </c>
      <c r="I382" s="4"/>
      <c r="J382" t="str">
        <f>IF(AND($B382=Party_Statement!$B$5,$A382&gt;=Party_Statement!$B$6,$A382&lt;=Party_Statement!$D$6),SUMPRODUCT(($B$3:$B382=Party_Statement!$B$5)*($A$3:$A382&gt;=Party_Statement!$B$6)*($A$3:$A382&lt;=Party_Statement!$D$6)),"")</f>
        <v/>
      </c>
    </row>
    <row r="383" spans="1:10" x14ac:dyDescent="0.2">
      <c r="A383" s="130">
        <v>66917</v>
      </c>
      <c r="B383" s="4" t="s">
        <v>455</v>
      </c>
      <c r="C383" s="4" t="s">
        <v>613</v>
      </c>
      <c r="D383" s="4" t="s">
        <v>462</v>
      </c>
      <c r="E383" s="4" t="s">
        <v>649</v>
      </c>
      <c r="F383" s="5">
        <v>0</v>
      </c>
      <c r="G383" s="5">
        <v>6720</v>
      </c>
      <c r="H383" s="5">
        <f t="shared" si="5"/>
        <v>-16800</v>
      </c>
      <c r="I383" s="4"/>
      <c r="J383" t="str">
        <f>IF(AND($B383=Party_Statement!$B$5,$A383&gt;=Party_Statement!$B$6,$A383&lt;=Party_Statement!$D$6),SUMPRODUCT(($B$3:$B383=Party_Statement!$B$5)*($A$3:$A383&gt;=Party_Statement!$B$6)*($A$3:$A383&lt;=Party_Statement!$D$6)),"")</f>
        <v/>
      </c>
    </row>
    <row r="384" spans="1:10" x14ac:dyDescent="0.2">
      <c r="A384" s="130">
        <v>66918</v>
      </c>
      <c r="B384" s="4" t="s">
        <v>455</v>
      </c>
      <c r="C384" s="4" t="s">
        <v>613</v>
      </c>
      <c r="D384" s="4" t="s">
        <v>469</v>
      </c>
      <c r="E384" s="4" t="s">
        <v>649</v>
      </c>
      <c r="F384" s="5">
        <v>0</v>
      </c>
      <c r="G384" s="5">
        <v>16800</v>
      </c>
      <c r="H384" s="5">
        <f t="shared" si="5"/>
        <v>-33600</v>
      </c>
      <c r="I384" s="4"/>
      <c r="J384" t="str">
        <f>IF(AND($B384=Party_Statement!$B$5,$A384&gt;=Party_Statement!$B$6,$A384&lt;=Party_Statement!$D$6),SUMPRODUCT(($B$3:$B384=Party_Statement!$B$5)*($A$3:$A384&gt;=Party_Statement!$B$6)*($A$3:$A384&lt;=Party_Statement!$D$6)),"")</f>
        <v/>
      </c>
    </row>
    <row r="385" spans="1:10" x14ac:dyDescent="0.2">
      <c r="A385" s="130">
        <v>66919</v>
      </c>
      <c r="B385" s="4" t="s">
        <v>455</v>
      </c>
      <c r="C385" s="4" t="s">
        <v>613</v>
      </c>
      <c r="D385" s="4" t="s">
        <v>476</v>
      </c>
      <c r="E385" s="4" t="s">
        <v>649</v>
      </c>
      <c r="F385" s="5">
        <v>0</v>
      </c>
      <c r="G385" s="5">
        <v>10080</v>
      </c>
      <c r="H385" s="5">
        <f t="shared" si="5"/>
        <v>-43680</v>
      </c>
      <c r="I385" s="4"/>
      <c r="J385" t="str">
        <f>IF(AND($B385=Party_Statement!$B$5,$A385&gt;=Party_Statement!$B$6,$A385&lt;=Party_Statement!$D$6),SUMPRODUCT(($B$3:$B385=Party_Statement!$B$5)*($A$3:$A385&gt;=Party_Statement!$B$6)*($A$3:$A385&lt;=Party_Statement!$D$6)),"")</f>
        <v/>
      </c>
    </row>
    <row r="386" spans="1:10" x14ac:dyDescent="0.2">
      <c r="A386" s="130">
        <v>66920</v>
      </c>
      <c r="B386" s="4" t="s">
        <v>455</v>
      </c>
      <c r="C386" s="4" t="s">
        <v>613</v>
      </c>
      <c r="D386" s="4" t="s">
        <v>483</v>
      </c>
      <c r="E386" s="4" t="s">
        <v>649</v>
      </c>
      <c r="F386" s="5">
        <v>0</v>
      </c>
      <c r="G386" s="5">
        <v>6720</v>
      </c>
      <c r="H386" s="5">
        <f t="shared" si="5"/>
        <v>-50400</v>
      </c>
      <c r="I386" s="4"/>
      <c r="J386" t="str">
        <f>IF(AND($B386=Party_Statement!$B$5,$A386&gt;=Party_Statement!$B$6,$A386&lt;=Party_Statement!$D$6),SUMPRODUCT(($B$3:$B386=Party_Statement!$B$5)*($A$3:$A386&gt;=Party_Statement!$B$6)*($A$3:$A386&lt;=Party_Statement!$D$6)),"")</f>
        <v/>
      </c>
    </row>
    <row r="387" spans="1:10" x14ac:dyDescent="0.2">
      <c r="A387" s="130">
        <v>66921</v>
      </c>
      <c r="B387" s="4" t="s">
        <v>455</v>
      </c>
      <c r="C387" s="4" t="s">
        <v>613</v>
      </c>
      <c r="D387" s="4" t="s">
        <v>490</v>
      </c>
      <c r="E387" s="4" t="s">
        <v>649</v>
      </c>
      <c r="F387" s="5">
        <v>0</v>
      </c>
      <c r="G387" s="5">
        <v>6720</v>
      </c>
      <c r="H387" s="5">
        <f t="shared" si="5"/>
        <v>-57120</v>
      </c>
      <c r="I387" s="4"/>
      <c r="J387" t="str">
        <f>IF(AND($B387=Party_Statement!$B$5,$A387&gt;=Party_Statement!$B$6,$A387&lt;=Party_Statement!$D$6),SUMPRODUCT(($B$3:$B387=Party_Statement!$B$5)*($A$3:$A387&gt;=Party_Statement!$B$6)*($A$3:$A387&lt;=Party_Statement!$D$6)),"")</f>
        <v/>
      </c>
    </row>
    <row r="388" spans="1:10" x14ac:dyDescent="0.2">
      <c r="A388" s="130">
        <v>66922</v>
      </c>
      <c r="B388" s="4" t="s">
        <v>455</v>
      </c>
      <c r="C388" s="4" t="s">
        <v>613</v>
      </c>
      <c r="D388" s="4" t="s">
        <v>497</v>
      </c>
      <c r="E388" s="4" t="s">
        <v>649</v>
      </c>
      <c r="F388" s="5">
        <v>0</v>
      </c>
      <c r="G388" s="5">
        <v>6720</v>
      </c>
      <c r="H388" s="5">
        <f t="shared" ref="H388:H451" si="6">IF($B388="","",IF($B388=$B387,$H387,0)+$F388-$G388)</f>
        <v>-63840</v>
      </c>
      <c r="I388" s="4"/>
      <c r="J388" t="str">
        <f>IF(AND($B388=Party_Statement!$B$5,$A388&gt;=Party_Statement!$B$6,$A388&lt;=Party_Statement!$D$6),SUMPRODUCT(($B$3:$B388=Party_Statement!$B$5)*($A$3:$A388&gt;=Party_Statement!$B$6)*($A$3:$A388&lt;=Party_Statement!$D$6)),"")</f>
        <v/>
      </c>
    </row>
    <row r="389" spans="1:10" x14ac:dyDescent="0.2">
      <c r="A389" s="130">
        <v>66923</v>
      </c>
      <c r="B389" s="4" t="s">
        <v>455</v>
      </c>
      <c r="C389" s="4" t="s">
        <v>613</v>
      </c>
      <c r="D389" s="4" t="s">
        <v>504</v>
      </c>
      <c r="E389" s="4" t="s">
        <v>649</v>
      </c>
      <c r="F389" s="5">
        <v>0</v>
      </c>
      <c r="G389" s="5">
        <v>13440</v>
      </c>
      <c r="H389" s="5">
        <f t="shared" si="6"/>
        <v>-77280</v>
      </c>
      <c r="I389" s="4"/>
      <c r="J389" t="str">
        <f>IF(AND($B389=Party_Statement!$B$5,$A389&gt;=Party_Statement!$B$6,$A389&lt;=Party_Statement!$D$6),SUMPRODUCT(($B$3:$B389=Party_Statement!$B$5)*($A$3:$A389&gt;=Party_Statement!$B$6)*($A$3:$A389&lt;=Party_Statement!$D$6)),"")</f>
        <v/>
      </c>
    </row>
    <row r="390" spans="1:10" x14ac:dyDescent="0.2">
      <c r="A390" s="130">
        <v>66924</v>
      </c>
      <c r="B390" s="4" t="s">
        <v>455</v>
      </c>
      <c r="C390" s="4" t="s">
        <v>613</v>
      </c>
      <c r="D390" s="4" t="s">
        <v>511</v>
      </c>
      <c r="E390" s="4" t="s">
        <v>649</v>
      </c>
      <c r="F390" s="5">
        <v>0</v>
      </c>
      <c r="G390" s="5">
        <v>13440</v>
      </c>
      <c r="H390" s="5">
        <f t="shared" si="6"/>
        <v>-90720</v>
      </c>
      <c r="I390" s="4"/>
      <c r="J390" t="str">
        <f>IF(AND($B390=Party_Statement!$B$5,$A390&gt;=Party_Statement!$B$6,$A390&lt;=Party_Statement!$D$6),SUMPRODUCT(($B$3:$B390=Party_Statement!$B$5)*($A$3:$A390&gt;=Party_Statement!$B$6)*($A$3:$A390&lt;=Party_Statement!$D$6)),"")</f>
        <v/>
      </c>
    </row>
    <row r="391" spans="1:10" x14ac:dyDescent="0.2">
      <c r="A391" s="130">
        <v>66925</v>
      </c>
      <c r="B391" s="4" t="s">
        <v>455</v>
      </c>
      <c r="C391" s="4" t="s">
        <v>613</v>
      </c>
      <c r="D391" s="4" t="s">
        <v>518</v>
      </c>
      <c r="E391" s="4" t="s">
        <v>649</v>
      </c>
      <c r="F391" s="5">
        <v>0</v>
      </c>
      <c r="G391" s="5">
        <v>16800</v>
      </c>
      <c r="H391" s="5">
        <f t="shared" si="6"/>
        <v>-107520</v>
      </c>
      <c r="I391" s="4"/>
      <c r="J391" t="str">
        <f>IF(AND($B391=Party_Statement!$B$5,$A391&gt;=Party_Statement!$B$6,$A391&lt;=Party_Statement!$D$6),SUMPRODUCT(($B$3:$B391=Party_Statement!$B$5)*($A$3:$A391&gt;=Party_Statement!$B$6)*($A$3:$A391&lt;=Party_Statement!$D$6)),"")</f>
        <v/>
      </c>
    </row>
    <row r="392" spans="1:10" x14ac:dyDescent="0.2">
      <c r="A392" s="130">
        <v>66927</v>
      </c>
      <c r="B392" s="4" t="s">
        <v>455</v>
      </c>
      <c r="C392" s="4" t="s">
        <v>613</v>
      </c>
      <c r="D392" s="4" t="s">
        <v>535</v>
      </c>
      <c r="E392" s="4" t="s">
        <v>649</v>
      </c>
      <c r="F392" s="5">
        <v>0</v>
      </c>
      <c r="G392" s="5">
        <v>13440</v>
      </c>
      <c r="H392" s="5">
        <f t="shared" si="6"/>
        <v>-120960</v>
      </c>
      <c r="I392" s="4"/>
      <c r="J392" t="str">
        <f>IF(AND($B392=Party_Statement!$B$5,$A392&gt;=Party_Statement!$B$6,$A392&lt;=Party_Statement!$D$6),SUMPRODUCT(($B$3:$B392=Party_Statement!$B$5)*($A$3:$A392&gt;=Party_Statement!$B$6)*($A$3:$A392&lt;=Party_Statement!$D$6)),"")</f>
        <v/>
      </c>
    </row>
    <row r="393" spans="1:10" x14ac:dyDescent="0.2">
      <c r="A393" s="130">
        <v>66928</v>
      </c>
      <c r="B393" s="4" t="s">
        <v>455</v>
      </c>
      <c r="C393" s="4" t="s">
        <v>613</v>
      </c>
      <c r="D393" s="4" t="s">
        <v>543</v>
      </c>
      <c r="E393" s="4" t="s">
        <v>649</v>
      </c>
      <c r="F393" s="5">
        <v>0</v>
      </c>
      <c r="G393" s="5">
        <v>13440</v>
      </c>
      <c r="H393" s="5">
        <f t="shared" si="6"/>
        <v>-134400</v>
      </c>
      <c r="I393" s="4"/>
      <c r="J393" t="str">
        <f>IF(AND($B393=Party_Statement!$B$5,$A393&gt;=Party_Statement!$B$6,$A393&lt;=Party_Statement!$D$6),SUMPRODUCT(($B$3:$B393=Party_Statement!$B$5)*($A$3:$A393&gt;=Party_Statement!$B$6)*($A$3:$A393&lt;=Party_Statement!$D$6)),"")</f>
        <v/>
      </c>
    </row>
    <row r="394" spans="1:10" x14ac:dyDescent="0.2">
      <c r="A394" s="130">
        <v>66916</v>
      </c>
      <c r="B394" s="4" t="s">
        <v>91</v>
      </c>
      <c r="C394" s="4" t="s">
        <v>611</v>
      </c>
      <c r="D394" s="4" t="s">
        <v>90</v>
      </c>
      <c r="E394" s="4" t="s">
        <v>639</v>
      </c>
      <c r="F394" s="5">
        <v>2100</v>
      </c>
      <c r="G394" s="5">
        <v>0</v>
      </c>
      <c r="H394" s="5">
        <f t="shared" si="6"/>
        <v>2100</v>
      </c>
      <c r="I394" s="4"/>
      <c r="J394" t="str">
        <f>IF(AND($B394=Party_Statement!$B$5,$A394&gt;=Party_Statement!$B$6,$A394&lt;=Party_Statement!$D$6),SUMPRODUCT(($B$3:$B394=Party_Statement!$B$5)*($A$3:$A394&gt;=Party_Statement!$B$6)*($A$3:$A394&lt;=Party_Statement!$D$6)),"")</f>
        <v/>
      </c>
    </row>
    <row r="395" spans="1:10" x14ac:dyDescent="0.2">
      <c r="A395" s="130">
        <v>66916</v>
      </c>
      <c r="B395" s="4" t="s">
        <v>91</v>
      </c>
      <c r="C395" s="4" t="s">
        <v>611</v>
      </c>
      <c r="D395" s="4" t="s">
        <v>90</v>
      </c>
      <c r="E395" s="4" t="s">
        <v>641</v>
      </c>
      <c r="F395" s="5">
        <v>550</v>
      </c>
      <c r="G395" s="5">
        <v>0</v>
      </c>
      <c r="H395" s="5">
        <f t="shared" si="6"/>
        <v>2650</v>
      </c>
      <c r="I395" s="4"/>
      <c r="J395" t="str">
        <f>IF(AND($B395=Party_Statement!$B$5,$A395&gt;=Party_Statement!$B$6,$A395&lt;=Party_Statement!$D$6),SUMPRODUCT(($B$3:$B395=Party_Statement!$B$5)*($A$3:$A395&gt;=Party_Statement!$B$6)*($A$3:$A395&lt;=Party_Statement!$D$6)),"")</f>
        <v/>
      </c>
    </row>
    <row r="396" spans="1:10" x14ac:dyDescent="0.2">
      <c r="A396" s="130">
        <v>66916</v>
      </c>
      <c r="B396" s="4" t="s">
        <v>91</v>
      </c>
      <c r="C396" s="4" t="s">
        <v>611</v>
      </c>
      <c r="D396" s="4" t="s">
        <v>90</v>
      </c>
      <c r="E396" s="4" t="s">
        <v>644</v>
      </c>
      <c r="F396" s="5">
        <v>800</v>
      </c>
      <c r="G396" s="5">
        <v>0</v>
      </c>
      <c r="H396" s="5">
        <f t="shared" si="6"/>
        <v>3450</v>
      </c>
      <c r="I396" s="4"/>
      <c r="J396" t="str">
        <f>IF(AND($B396=Party_Statement!$B$5,$A396&gt;=Party_Statement!$B$6,$A396&lt;=Party_Statement!$D$6),SUMPRODUCT(($B$3:$B396=Party_Statement!$B$5)*($A$3:$A396&gt;=Party_Statement!$B$6)*($A$3:$A396&lt;=Party_Statement!$D$6)),"")</f>
        <v/>
      </c>
    </row>
    <row r="397" spans="1:10" x14ac:dyDescent="0.2">
      <c r="A397" s="130">
        <v>66917</v>
      </c>
      <c r="B397" s="4" t="s">
        <v>91</v>
      </c>
      <c r="C397" s="4" t="s">
        <v>611</v>
      </c>
      <c r="D397" s="4" t="s">
        <v>120</v>
      </c>
      <c r="E397" s="4" t="s">
        <v>639</v>
      </c>
      <c r="F397" s="5">
        <v>2100</v>
      </c>
      <c r="G397" s="5">
        <v>0</v>
      </c>
      <c r="H397" s="5">
        <f t="shared" si="6"/>
        <v>5550</v>
      </c>
      <c r="I397" s="4"/>
      <c r="J397" t="str">
        <f>IF(AND($B397=Party_Statement!$B$5,$A397&gt;=Party_Statement!$B$6,$A397&lt;=Party_Statement!$D$6),SUMPRODUCT(($B$3:$B397=Party_Statement!$B$5)*($A$3:$A397&gt;=Party_Statement!$B$6)*($A$3:$A397&lt;=Party_Statement!$D$6)),"")</f>
        <v/>
      </c>
    </row>
    <row r="398" spans="1:10" x14ac:dyDescent="0.2">
      <c r="A398" s="130">
        <v>66918</v>
      </c>
      <c r="B398" s="4" t="s">
        <v>91</v>
      </c>
      <c r="C398" s="4" t="s">
        <v>611</v>
      </c>
      <c r="D398" s="4" t="s">
        <v>137</v>
      </c>
      <c r="E398" s="4" t="s">
        <v>639</v>
      </c>
      <c r="F398" s="5">
        <v>2100</v>
      </c>
      <c r="G398" s="5">
        <v>0</v>
      </c>
      <c r="H398" s="5">
        <f t="shared" si="6"/>
        <v>7650</v>
      </c>
      <c r="I398" s="4"/>
      <c r="J398" t="str">
        <f>IF(AND($B398=Party_Statement!$B$5,$A398&gt;=Party_Statement!$B$6,$A398&lt;=Party_Statement!$D$6),SUMPRODUCT(($B$3:$B398=Party_Statement!$B$5)*($A$3:$A398&gt;=Party_Statement!$B$6)*($A$3:$A398&lt;=Party_Statement!$D$6)),"")</f>
        <v/>
      </c>
    </row>
    <row r="399" spans="1:10" x14ac:dyDescent="0.2">
      <c r="A399" s="130">
        <v>66919</v>
      </c>
      <c r="B399" s="4" t="s">
        <v>91</v>
      </c>
      <c r="C399" s="4" t="s">
        <v>611</v>
      </c>
      <c r="D399" s="4" t="s">
        <v>156</v>
      </c>
      <c r="E399" s="4" t="s">
        <v>639</v>
      </c>
      <c r="F399" s="5">
        <v>2100</v>
      </c>
      <c r="G399" s="5">
        <v>0</v>
      </c>
      <c r="H399" s="5">
        <f t="shared" si="6"/>
        <v>9750</v>
      </c>
      <c r="I399" s="4"/>
      <c r="J399" t="str">
        <f>IF(AND($B399=Party_Statement!$B$5,$A399&gt;=Party_Statement!$B$6,$A399&lt;=Party_Statement!$D$6),SUMPRODUCT(($B$3:$B399=Party_Statement!$B$5)*($A$3:$A399&gt;=Party_Statement!$B$6)*($A$3:$A399&lt;=Party_Statement!$D$6)),"")</f>
        <v/>
      </c>
    </row>
    <row r="400" spans="1:10" x14ac:dyDescent="0.2">
      <c r="A400" s="130">
        <v>66920</v>
      </c>
      <c r="B400" s="4" t="s">
        <v>91</v>
      </c>
      <c r="C400" s="4" t="s">
        <v>611</v>
      </c>
      <c r="D400" s="4" t="s">
        <v>179</v>
      </c>
      <c r="E400" s="4" t="s">
        <v>639</v>
      </c>
      <c r="F400" s="5">
        <v>2100</v>
      </c>
      <c r="G400" s="5">
        <v>0</v>
      </c>
      <c r="H400" s="5">
        <f t="shared" si="6"/>
        <v>11850</v>
      </c>
      <c r="I400" s="4"/>
      <c r="J400" t="str">
        <f>IF(AND($B400=Party_Statement!$B$5,$A400&gt;=Party_Statement!$B$6,$A400&lt;=Party_Statement!$D$6),SUMPRODUCT(($B$3:$B400=Party_Statement!$B$5)*($A$3:$A400&gt;=Party_Statement!$B$6)*($A$3:$A400&lt;=Party_Statement!$D$6)),"")</f>
        <v/>
      </c>
    </row>
    <row r="401" spans="1:10" x14ac:dyDescent="0.2">
      <c r="A401" s="130">
        <v>66921</v>
      </c>
      <c r="B401" s="4" t="s">
        <v>91</v>
      </c>
      <c r="C401" s="4" t="s">
        <v>611</v>
      </c>
      <c r="D401" s="4" t="s">
        <v>200</v>
      </c>
      <c r="E401" s="4" t="s">
        <v>639</v>
      </c>
      <c r="F401" s="5">
        <v>2352</v>
      </c>
      <c r="G401" s="5">
        <v>0</v>
      </c>
      <c r="H401" s="5">
        <f t="shared" si="6"/>
        <v>14202</v>
      </c>
      <c r="I401" s="4"/>
      <c r="J401" t="str">
        <f>IF(AND($B401=Party_Statement!$B$5,$A401&gt;=Party_Statement!$B$6,$A401&lt;=Party_Statement!$D$6),SUMPRODUCT(($B$3:$B401=Party_Statement!$B$5)*($A$3:$A401&gt;=Party_Statement!$B$6)*($A$3:$A401&lt;=Party_Statement!$D$6)),"")</f>
        <v/>
      </c>
    </row>
    <row r="402" spans="1:10" x14ac:dyDescent="0.2">
      <c r="A402" s="130">
        <v>66922</v>
      </c>
      <c r="B402" s="4" t="s">
        <v>91</v>
      </c>
      <c r="C402" s="4" t="s">
        <v>611</v>
      </c>
      <c r="D402" s="4" t="s">
        <v>215</v>
      </c>
      <c r="E402" s="4" t="s">
        <v>639</v>
      </c>
      <c r="F402" s="5">
        <v>2352</v>
      </c>
      <c r="G402" s="5">
        <v>0</v>
      </c>
      <c r="H402" s="5">
        <f t="shared" si="6"/>
        <v>16554</v>
      </c>
      <c r="I402" s="4"/>
      <c r="J402" t="str">
        <f>IF(AND($B402=Party_Statement!$B$5,$A402&gt;=Party_Statement!$B$6,$A402&lt;=Party_Statement!$D$6),SUMPRODUCT(($B$3:$B402=Party_Statement!$B$5)*($A$3:$A402&gt;=Party_Statement!$B$6)*($A$3:$A402&lt;=Party_Statement!$D$6)),"")</f>
        <v/>
      </c>
    </row>
    <row r="403" spans="1:10" x14ac:dyDescent="0.2">
      <c r="A403" s="130">
        <v>66923</v>
      </c>
      <c r="B403" s="4" t="s">
        <v>91</v>
      </c>
      <c r="C403" s="4" t="s">
        <v>611</v>
      </c>
      <c r="D403" s="4" t="s">
        <v>244</v>
      </c>
      <c r="E403" s="4" t="s">
        <v>639</v>
      </c>
      <c r="F403" s="5">
        <v>2100</v>
      </c>
      <c r="G403" s="5">
        <v>0</v>
      </c>
      <c r="H403" s="5">
        <f t="shared" si="6"/>
        <v>18654</v>
      </c>
      <c r="I403" s="4"/>
      <c r="J403" t="str">
        <f>IF(AND($B403=Party_Statement!$B$5,$A403&gt;=Party_Statement!$B$6,$A403&lt;=Party_Statement!$D$6),SUMPRODUCT(($B$3:$B403=Party_Statement!$B$5)*($A$3:$A403&gt;=Party_Statement!$B$6)*($A$3:$A403&lt;=Party_Statement!$D$6)),"")</f>
        <v/>
      </c>
    </row>
    <row r="404" spans="1:10" x14ac:dyDescent="0.2">
      <c r="A404" s="130">
        <v>66924</v>
      </c>
      <c r="B404" s="4" t="s">
        <v>91</v>
      </c>
      <c r="C404" s="4" t="s">
        <v>611</v>
      </c>
      <c r="D404" s="4" t="s">
        <v>272</v>
      </c>
      <c r="E404" s="4" t="s">
        <v>639</v>
      </c>
      <c r="F404" s="5">
        <v>2100</v>
      </c>
      <c r="G404" s="5">
        <v>0</v>
      </c>
      <c r="H404" s="5">
        <f t="shared" si="6"/>
        <v>20754</v>
      </c>
      <c r="I404" s="4"/>
      <c r="J404" t="str">
        <f>IF(AND($B404=Party_Statement!$B$5,$A404&gt;=Party_Statement!$B$6,$A404&lt;=Party_Statement!$D$6),SUMPRODUCT(($B$3:$B404=Party_Statement!$B$5)*($A$3:$A404&gt;=Party_Statement!$B$6)*($A$3:$A404&lt;=Party_Statement!$D$6)),"")</f>
        <v/>
      </c>
    </row>
    <row r="405" spans="1:10" x14ac:dyDescent="0.2">
      <c r="A405" s="130">
        <v>66925</v>
      </c>
      <c r="B405" s="4" t="s">
        <v>91</v>
      </c>
      <c r="C405" s="4" t="s">
        <v>611</v>
      </c>
      <c r="D405" s="4" t="s">
        <v>293</v>
      </c>
      <c r="E405" s="4" t="s">
        <v>639</v>
      </c>
      <c r="F405" s="5">
        <v>2100</v>
      </c>
      <c r="G405" s="5">
        <v>0</v>
      </c>
      <c r="H405" s="5">
        <f t="shared" si="6"/>
        <v>22854</v>
      </c>
      <c r="I405" s="4"/>
      <c r="J405" t="str">
        <f>IF(AND($B405=Party_Statement!$B$5,$A405&gt;=Party_Statement!$B$6,$A405&lt;=Party_Statement!$D$6),SUMPRODUCT(($B$3:$B405=Party_Statement!$B$5)*($A$3:$A405&gt;=Party_Statement!$B$6)*($A$3:$A405&lt;=Party_Statement!$D$6)),"")</f>
        <v/>
      </c>
    </row>
    <row r="406" spans="1:10" x14ac:dyDescent="0.2">
      <c r="A406" s="130">
        <v>66926</v>
      </c>
      <c r="B406" s="4" t="s">
        <v>91</v>
      </c>
      <c r="C406" s="4" t="s">
        <v>611</v>
      </c>
      <c r="D406" s="4" t="s">
        <v>298</v>
      </c>
      <c r="E406" s="4" t="s">
        <v>639</v>
      </c>
      <c r="F406" s="5">
        <v>2352</v>
      </c>
      <c r="G406" s="5">
        <v>0</v>
      </c>
      <c r="H406" s="5">
        <f t="shared" si="6"/>
        <v>25206</v>
      </c>
      <c r="I406" s="4"/>
      <c r="J406" t="str">
        <f>IF(AND($B406=Party_Statement!$B$5,$A406&gt;=Party_Statement!$B$6,$A406&lt;=Party_Statement!$D$6),SUMPRODUCT(($B$3:$B406=Party_Statement!$B$5)*($A$3:$A406&gt;=Party_Statement!$B$6)*($A$3:$A406&lt;=Party_Statement!$D$6)),"")</f>
        <v/>
      </c>
    </row>
    <row r="407" spans="1:10" x14ac:dyDescent="0.2">
      <c r="A407" s="130">
        <v>66928</v>
      </c>
      <c r="B407" s="4" t="s">
        <v>91</v>
      </c>
      <c r="C407" s="4" t="s">
        <v>611</v>
      </c>
      <c r="D407" s="4" t="s">
        <v>343</v>
      </c>
      <c r="E407" s="4" t="s">
        <v>639</v>
      </c>
      <c r="F407" s="5">
        <v>1680</v>
      </c>
      <c r="G407" s="5">
        <v>0</v>
      </c>
      <c r="H407" s="5">
        <f t="shared" si="6"/>
        <v>26886</v>
      </c>
      <c r="I407" s="4"/>
      <c r="J407" t="str">
        <f>IF(AND($B407=Party_Statement!$B$5,$A407&gt;=Party_Statement!$B$6,$A407&lt;=Party_Statement!$D$6),SUMPRODUCT(($B$3:$B407=Party_Statement!$B$5)*($A$3:$A407&gt;=Party_Statement!$B$6)*($A$3:$A407&lt;=Party_Statement!$D$6)),"")</f>
        <v/>
      </c>
    </row>
    <row r="408" spans="1:10" x14ac:dyDescent="0.2">
      <c r="A408" s="130">
        <v>66929</v>
      </c>
      <c r="B408" s="4" t="s">
        <v>91</v>
      </c>
      <c r="C408" s="4" t="s">
        <v>611</v>
      </c>
      <c r="D408" s="4" t="s">
        <v>361</v>
      </c>
      <c r="E408" s="4" t="s">
        <v>639</v>
      </c>
      <c r="F408" s="5">
        <v>2184</v>
      </c>
      <c r="G408" s="5">
        <v>0</v>
      </c>
      <c r="H408" s="5">
        <f t="shared" si="6"/>
        <v>29070</v>
      </c>
      <c r="I408" s="4"/>
      <c r="J408" t="str">
        <f>IF(AND($B408=Party_Statement!$B$5,$A408&gt;=Party_Statement!$B$6,$A408&lt;=Party_Statement!$D$6),SUMPRODUCT(($B$3:$B408=Party_Statement!$B$5)*($A$3:$A408&gt;=Party_Statement!$B$6)*($A$3:$A408&lt;=Party_Statement!$D$6)),"")</f>
        <v/>
      </c>
    </row>
    <row r="409" spans="1:10" x14ac:dyDescent="0.2">
      <c r="A409" s="130">
        <v>66930</v>
      </c>
      <c r="B409" s="4" t="s">
        <v>91</v>
      </c>
      <c r="C409" s="4" t="s">
        <v>611</v>
      </c>
      <c r="D409" s="4" t="s">
        <v>378</v>
      </c>
      <c r="E409" s="4" t="s">
        <v>639</v>
      </c>
      <c r="F409" s="5">
        <v>2100</v>
      </c>
      <c r="G409" s="5">
        <v>0</v>
      </c>
      <c r="H409" s="5">
        <f t="shared" si="6"/>
        <v>31170</v>
      </c>
      <c r="I409" s="4"/>
      <c r="J409" t="str">
        <f>IF(AND($B409=Party_Statement!$B$5,$A409&gt;=Party_Statement!$B$6,$A409&lt;=Party_Statement!$D$6),SUMPRODUCT(($B$3:$B409=Party_Statement!$B$5)*($A$3:$A409&gt;=Party_Statement!$B$6)*($A$3:$A409&lt;=Party_Statement!$D$6)),"")</f>
        <v/>
      </c>
    </row>
    <row r="410" spans="1:10" x14ac:dyDescent="0.2">
      <c r="A410" s="130">
        <v>66931</v>
      </c>
      <c r="B410" s="4" t="s">
        <v>91</v>
      </c>
      <c r="C410" s="4" t="s">
        <v>611</v>
      </c>
      <c r="D410" s="4" t="s">
        <v>397</v>
      </c>
      <c r="E410" s="4" t="s">
        <v>639</v>
      </c>
      <c r="F410" s="5">
        <v>2016</v>
      </c>
      <c r="G410" s="5">
        <v>0</v>
      </c>
      <c r="H410" s="5">
        <f t="shared" si="6"/>
        <v>33186</v>
      </c>
      <c r="I410" s="4"/>
      <c r="J410" t="str">
        <f>IF(AND($B410=Party_Statement!$B$5,$A410&gt;=Party_Statement!$B$6,$A410&lt;=Party_Statement!$D$6),SUMPRODUCT(($B$3:$B410=Party_Statement!$B$5)*($A$3:$A410&gt;=Party_Statement!$B$6)*($A$3:$A410&lt;=Party_Statement!$D$6)),"")</f>
        <v/>
      </c>
    </row>
    <row r="411" spans="1:10" x14ac:dyDescent="0.2">
      <c r="A411" s="130">
        <v>66916</v>
      </c>
      <c r="B411" s="4" t="s">
        <v>630</v>
      </c>
      <c r="C411" s="4" t="s">
        <v>611</v>
      </c>
      <c r="D411" s="4" t="s">
        <v>63</v>
      </c>
      <c r="E411" s="4" t="s">
        <v>639</v>
      </c>
      <c r="F411" s="5">
        <v>1275</v>
      </c>
      <c r="G411" s="5">
        <v>0</v>
      </c>
      <c r="H411" s="5">
        <f t="shared" si="6"/>
        <v>1275</v>
      </c>
      <c r="I411" s="4"/>
      <c r="J411" t="str">
        <f>IF(AND($B411=Party_Statement!$B$5,$A411&gt;=Party_Statement!$B$6,$A411&lt;=Party_Statement!$D$6),SUMPRODUCT(($B$3:$B411=Party_Statement!$B$5)*($A$3:$A411&gt;=Party_Statement!$B$6)*($A$3:$A411&lt;=Party_Statement!$D$6)),"")</f>
        <v/>
      </c>
    </row>
    <row r="412" spans="1:10" x14ac:dyDescent="0.2">
      <c r="A412" s="130">
        <v>66917</v>
      </c>
      <c r="B412" s="4" t="s">
        <v>630</v>
      </c>
      <c r="C412" s="4" t="s">
        <v>611</v>
      </c>
      <c r="D412" s="4" t="s">
        <v>101</v>
      </c>
      <c r="E412" s="4" t="s">
        <v>639</v>
      </c>
      <c r="F412" s="5">
        <v>2125</v>
      </c>
      <c r="G412" s="5">
        <v>0</v>
      </c>
      <c r="H412" s="5">
        <f t="shared" si="6"/>
        <v>3400</v>
      </c>
      <c r="I412" s="4"/>
      <c r="J412" t="str">
        <f>IF(AND($B412=Party_Statement!$B$5,$A412&gt;=Party_Statement!$B$6,$A412&lt;=Party_Statement!$D$6),SUMPRODUCT(($B$3:$B412=Party_Statement!$B$5)*($A$3:$A412&gt;=Party_Statement!$B$6)*($A$3:$A412&lt;=Party_Statement!$D$6)),"")</f>
        <v/>
      </c>
    </row>
    <row r="413" spans="1:10" x14ac:dyDescent="0.2">
      <c r="A413" s="130">
        <v>66918</v>
      </c>
      <c r="B413" s="4" t="s">
        <v>630</v>
      </c>
      <c r="C413" s="4" t="s">
        <v>611</v>
      </c>
      <c r="D413" s="4" t="s">
        <v>129</v>
      </c>
      <c r="E413" s="4" t="s">
        <v>639</v>
      </c>
      <c r="F413" s="5">
        <v>2550</v>
      </c>
      <c r="G413" s="5">
        <v>0</v>
      </c>
      <c r="H413" s="5">
        <f t="shared" si="6"/>
        <v>5950</v>
      </c>
      <c r="I413" s="4"/>
      <c r="J413" t="str">
        <f>IF(AND($B413=Party_Statement!$B$5,$A413&gt;=Party_Statement!$B$6,$A413&lt;=Party_Statement!$D$6),SUMPRODUCT(($B$3:$B413=Party_Statement!$B$5)*($A$3:$A413&gt;=Party_Statement!$B$6)*($A$3:$A413&lt;=Party_Statement!$D$6)),"")</f>
        <v/>
      </c>
    </row>
    <row r="414" spans="1:10" x14ac:dyDescent="0.2">
      <c r="A414" s="130">
        <v>66919</v>
      </c>
      <c r="B414" s="4" t="s">
        <v>630</v>
      </c>
      <c r="C414" s="4" t="s">
        <v>611</v>
      </c>
      <c r="D414" s="4" t="s">
        <v>143</v>
      </c>
      <c r="E414" s="4" t="s">
        <v>639</v>
      </c>
      <c r="F414" s="5">
        <v>2125</v>
      </c>
      <c r="G414" s="5">
        <v>0</v>
      </c>
      <c r="H414" s="5">
        <f t="shared" si="6"/>
        <v>8075</v>
      </c>
      <c r="I414" s="4"/>
      <c r="J414" t="str">
        <f>IF(AND($B414=Party_Statement!$B$5,$A414&gt;=Party_Statement!$B$6,$A414&lt;=Party_Statement!$D$6),SUMPRODUCT(($B$3:$B414=Party_Statement!$B$5)*($A$3:$A414&gt;=Party_Statement!$B$6)*($A$3:$A414&lt;=Party_Statement!$D$6)),"")</f>
        <v/>
      </c>
    </row>
    <row r="415" spans="1:10" x14ac:dyDescent="0.2">
      <c r="A415" s="130">
        <v>66920</v>
      </c>
      <c r="B415" s="4" t="s">
        <v>630</v>
      </c>
      <c r="C415" s="4" t="s">
        <v>611</v>
      </c>
      <c r="D415" s="4" t="s">
        <v>166</v>
      </c>
      <c r="E415" s="4" t="s">
        <v>639</v>
      </c>
      <c r="F415" s="5">
        <v>2550</v>
      </c>
      <c r="G415" s="5">
        <v>0</v>
      </c>
      <c r="H415" s="5">
        <f t="shared" si="6"/>
        <v>10625</v>
      </c>
      <c r="I415" s="4"/>
      <c r="J415" t="str">
        <f>IF(AND($B415=Party_Statement!$B$5,$A415&gt;=Party_Statement!$B$6,$A415&lt;=Party_Statement!$D$6),SUMPRODUCT(($B$3:$B415=Party_Statement!$B$5)*($A$3:$A415&gt;=Party_Statement!$B$6)*($A$3:$A415&lt;=Party_Statement!$D$6)),"")</f>
        <v/>
      </c>
    </row>
    <row r="416" spans="1:10" x14ac:dyDescent="0.2">
      <c r="A416" s="130">
        <v>66921</v>
      </c>
      <c r="B416" s="4" t="s">
        <v>630</v>
      </c>
      <c r="C416" s="4" t="s">
        <v>611</v>
      </c>
      <c r="D416" s="4" t="s">
        <v>184</v>
      </c>
      <c r="E416" s="4" t="s">
        <v>639</v>
      </c>
      <c r="F416" s="5">
        <v>2550</v>
      </c>
      <c r="G416" s="5">
        <v>0</v>
      </c>
      <c r="H416" s="5">
        <f t="shared" si="6"/>
        <v>13175</v>
      </c>
      <c r="I416" s="4"/>
      <c r="J416" t="str">
        <f>IF(AND($B416=Party_Statement!$B$5,$A416&gt;=Party_Statement!$B$6,$A416&lt;=Party_Statement!$D$6),SUMPRODUCT(($B$3:$B416=Party_Statement!$B$5)*($A$3:$A416&gt;=Party_Statement!$B$6)*($A$3:$A416&lt;=Party_Statement!$D$6)),"")</f>
        <v/>
      </c>
    </row>
    <row r="417" spans="1:10" x14ac:dyDescent="0.2">
      <c r="A417" s="130">
        <v>66922</v>
      </c>
      <c r="B417" s="4" t="s">
        <v>630</v>
      </c>
      <c r="C417" s="4" t="s">
        <v>611</v>
      </c>
      <c r="D417" s="4" t="s">
        <v>213</v>
      </c>
      <c r="E417" s="4" t="s">
        <v>639</v>
      </c>
      <c r="F417" s="5">
        <v>3400</v>
      </c>
      <c r="G417" s="5">
        <v>0</v>
      </c>
      <c r="H417" s="5">
        <f t="shared" si="6"/>
        <v>16575</v>
      </c>
      <c r="I417" s="4"/>
      <c r="J417" t="str">
        <f>IF(AND($B417=Party_Statement!$B$5,$A417&gt;=Party_Statement!$B$6,$A417&lt;=Party_Statement!$D$6),SUMPRODUCT(($B$3:$B417=Party_Statement!$B$5)*($A$3:$A417&gt;=Party_Statement!$B$6)*($A$3:$A417&lt;=Party_Statement!$D$6)),"")</f>
        <v/>
      </c>
    </row>
    <row r="418" spans="1:10" x14ac:dyDescent="0.2">
      <c r="A418" s="130">
        <v>66923</v>
      </c>
      <c r="B418" s="4" t="s">
        <v>630</v>
      </c>
      <c r="C418" s="4" t="s">
        <v>611</v>
      </c>
      <c r="D418" s="4" t="s">
        <v>232</v>
      </c>
      <c r="E418" s="4" t="s">
        <v>639</v>
      </c>
      <c r="F418" s="5">
        <v>2550</v>
      </c>
      <c r="G418" s="5">
        <v>0</v>
      </c>
      <c r="H418" s="5">
        <f t="shared" si="6"/>
        <v>19125</v>
      </c>
      <c r="I418" s="4"/>
      <c r="J418" t="str">
        <f>IF(AND($B418=Party_Statement!$B$5,$A418&gt;=Party_Statement!$B$6,$A418&lt;=Party_Statement!$D$6),SUMPRODUCT(($B$3:$B418=Party_Statement!$B$5)*($A$3:$A418&gt;=Party_Statement!$B$6)*($A$3:$A418&lt;=Party_Statement!$D$6)),"")</f>
        <v/>
      </c>
    </row>
    <row r="419" spans="1:10" x14ac:dyDescent="0.2">
      <c r="A419" s="130">
        <v>66924</v>
      </c>
      <c r="B419" s="4" t="s">
        <v>630</v>
      </c>
      <c r="C419" s="4" t="s">
        <v>611</v>
      </c>
      <c r="D419" s="4" t="s">
        <v>250</v>
      </c>
      <c r="E419" s="4" t="s">
        <v>639</v>
      </c>
      <c r="F419" s="5">
        <v>1275</v>
      </c>
      <c r="G419" s="5">
        <v>0</v>
      </c>
      <c r="H419" s="5">
        <f t="shared" si="6"/>
        <v>20400</v>
      </c>
      <c r="I419" s="4"/>
      <c r="J419" t="str">
        <f>IF(AND($B419=Party_Statement!$B$5,$A419&gt;=Party_Statement!$B$6,$A419&lt;=Party_Statement!$D$6),SUMPRODUCT(($B$3:$B419=Party_Statement!$B$5)*($A$3:$A419&gt;=Party_Statement!$B$6)*($A$3:$A419&lt;=Party_Statement!$D$6)),"")</f>
        <v/>
      </c>
    </row>
    <row r="420" spans="1:10" x14ac:dyDescent="0.2">
      <c r="A420" s="130">
        <v>66925</v>
      </c>
      <c r="B420" s="4" t="s">
        <v>630</v>
      </c>
      <c r="C420" s="4" t="s">
        <v>611</v>
      </c>
      <c r="D420" s="4" t="s">
        <v>278</v>
      </c>
      <c r="E420" s="4" t="s">
        <v>639</v>
      </c>
      <c r="F420" s="5">
        <v>2550</v>
      </c>
      <c r="G420" s="5">
        <v>0</v>
      </c>
      <c r="H420" s="5">
        <f t="shared" si="6"/>
        <v>22950</v>
      </c>
      <c r="I420" s="4"/>
      <c r="J420" t="str">
        <f>IF(AND($B420=Party_Statement!$B$5,$A420&gt;=Party_Statement!$B$6,$A420&lt;=Party_Statement!$D$6),SUMPRODUCT(($B$3:$B420=Party_Statement!$B$5)*($A$3:$A420&gt;=Party_Statement!$B$6)*($A$3:$A420&lt;=Party_Statement!$D$6)),"")</f>
        <v/>
      </c>
    </row>
    <row r="421" spans="1:10" x14ac:dyDescent="0.2">
      <c r="A421" s="130">
        <v>66926</v>
      </c>
      <c r="B421" s="4" t="s">
        <v>630</v>
      </c>
      <c r="C421" s="4" t="s">
        <v>611</v>
      </c>
      <c r="D421" s="4" t="s">
        <v>302</v>
      </c>
      <c r="E421" s="4" t="s">
        <v>639</v>
      </c>
      <c r="F421" s="5">
        <v>2550</v>
      </c>
      <c r="G421" s="5">
        <v>0</v>
      </c>
      <c r="H421" s="5">
        <f t="shared" si="6"/>
        <v>25500</v>
      </c>
      <c r="I421" s="4"/>
      <c r="J421" t="str">
        <f>IF(AND($B421=Party_Statement!$B$5,$A421&gt;=Party_Statement!$B$6,$A421&lt;=Party_Statement!$D$6),SUMPRODUCT(($B$3:$B421=Party_Statement!$B$5)*($A$3:$A421&gt;=Party_Statement!$B$6)*($A$3:$A421&lt;=Party_Statement!$D$6)),"")</f>
        <v/>
      </c>
    </row>
    <row r="422" spans="1:10" x14ac:dyDescent="0.2">
      <c r="A422" s="130">
        <v>66927</v>
      </c>
      <c r="B422" s="4" t="s">
        <v>630</v>
      </c>
      <c r="C422" s="4" t="s">
        <v>611</v>
      </c>
      <c r="D422" s="4" t="s">
        <v>316</v>
      </c>
      <c r="E422" s="4" t="s">
        <v>639</v>
      </c>
      <c r="F422" s="5">
        <v>2975</v>
      </c>
      <c r="G422" s="5">
        <v>0</v>
      </c>
      <c r="H422" s="5">
        <f t="shared" si="6"/>
        <v>28475</v>
      </c>
      <c r="I422" s="4"/>
      <c r="J422" t="str">
        <f>IF(AND($B422=Party_Statement!$B$5,$A422&gt;=Party_Statement!$B$6,$A422&lt;=Party_Statement!$D$6),SUMPRODUCT(($B$3:$B422=Party_Statement!$B$5)*($A$3:$A422&gt;=Party_Statement!$B$6)*($A$3:$A422&lt;=Party_Statement!$D$6)),"")</f>
        <v/>
      </c>
    </row>
    <row r="423" spans="1:10" x14ac:dyDescent="0.2">
      <c r="A423" s="130">
        <v>66928</v>
      </c>
      <c r="B423" s="4" t="s">
        <v>630</v>
      </c>
      <c r="C423" s="4" t="s">
        <v>611</v>
      </c>
      <c r="D423" s="4" t="s">
        <v>333</v>
      </c>
      <c r="E423" s="4" t="s">
        <v>639</v>
      </c>
      <c r="F423" s="5">
        <v>2975</v>
      </c>
      <c r="G423" s="5">
        <v>0</v>
      </c>
      <c r="H423" s="5">
        <f t="shared" si="6"/>
        <v>31450</v>
      </c>
      <c r="I423" s="4"/>
      <c r="J423" t="str">
        <f>IF(AND($B423=Party_Statement!$B$5,$A423&gt;=Party_Statement!$B$6,$A423&lt;=Party_Statement!$D$6),SUMPRODUCT(($B$3:$B423=Party_Statement!$B$5)*($A$3:$A423&gt;=Party_Statement!$B$6)*($A$3:$A423&lt;=Party_Statement!$D$6)),"")</f>
        <v/>
      </c>
    </row>
    <row r="424" spans="1:10" x14ac:dyDescent="0.2">
      <c r="A424" s="130">
        <v>66929</v>
      </c>
      <c r="B424" s="4" t="s">
        <v>630</v>
      </c>
      <c r="C424" s="4" t="s">
        <v>611</v>
      </c>
      <c r="D424" s="4" t="s">
        <v>353</v>
      </c>
      <c r="E424" s="4" t="s">
        <v>639</v>
      </c>
      <c r="F424" s="5">
        <v>2550</v>
      </c>
      <c r="G424" s="5">
        <v>0</v>
      </c>
      <c r="H424" s="5">
        <f t="shared" si="6"/>
        <v>34000</v>
      </c>
      <c r="I424" s="4"/>
      <c r="J424" t="str">
        <f>IF(AND($B424=Party_Statement!$B$5,$A424&gt;=Party_Statement!$B$6,$A424&lt;=Party_Statement!$D$6),SUMPRODUCT(($B$3:$B424=Party_Statement!$B$5)*($A$3:$A424&gt;=Party_Statement!$B$6)*($A$3:$A424&lt;=Party_Statement!$D$6)),"")</f>
        <v/>
      </c>
    </row>
    <row r="425" spans="1:10" x14ac:dyDescent="0.2">
      <c r="A425" s="130">
        <v>66930</v>
      </c>
      <c r="B425" s="4" t="s">
        <v>630</v>
      </c>
      <c r="C425" s="4" t="s">
        <v>611</v>
      </c>
      <c r="D425" s="4" t="s">
        <v>366</v>
      </c>
      <c r="E425" s="4" t="s">
        <v>639</v>
      </c>
      <c r="F425" s="5">
        <v>2975</v>
      </c>
      <c r="G425" s="5">
        <v>0</v>
      </c>
      <c r="H425" s="5">
        <f t="shared" si="6"/>
        <v>36975</v>
      </c>
      <c r="I425" s="4"/>
      <c r="J425" t="str">
        <f>IF(AND($B425=Party_Statement!$B$5,$A425&gt;=Party_Statement!$B$6,$A425&lt;=Party_Statement!$D$6),SUMPRODUCT(($B$3:$B425=Party_Statement!$B$5)*($A$3:$A425&gt;=Party_Statement!$B$6)*($A$3:$A425&lt;=Party_Statement!$D$6)),"")</f>
        <v/>
      </c>
    </row>
    <row r="426" spans="1:10" x14ac:dyDescent="0.2">
      <c r="A426" s="130">
        <v>66931</v>
      </c>
      <c r="B426" s="4" t="s">
        <v>630</v>
      </c>
      <c r="C426" s="4" t="s">
        <v>611</v>
      </c>
      <c r="D426" s="4" t="s">
        <v>382</v>
      </c>
      <c r="E426" s="4" t="s">
        <v>639</v>
      </c>
      <c r="F426" s="5">
        <v>2975</v>
      </c>
      <c r="G426" s="5">
        <v>0</v>
      </c>
      <c r="H426" s="5">
        <f t="shared" si="6"/>
        <v>39950</v>
      </c>
      <c r="I426" s="4"/>
      <c r="J426" t="str">
        <f>IF(AND($B426=Party_Statement!$B$5,$A426&gt;=Party_Statement!$B$6,$A426&lt;=Party_Statement!$D$6),SUMPRODUCT(($B$3:$B426=Party_Statement!$B$5)*($A$3:$A426&gt;=Party_Statement!$B$6)*($A$3:$A426&lt;=Party_Statement!$D$6)),"")</f>
        <v/>
      </c>
    </row>
    <row r="427" spans="1:10" x14ac:dyDescent="0.2">
      <c r="A427" s="130">
        <v>66916</v>
      </c>
      <c r="B427" s="4" t="s">
        <v>59</v>
      </c>
      <c r="C427" s="4" t="s">
        <v>611</v>
      </c>
      <c r="D427" s="4" t="s">
        <v>58</v>
      </c>
      <c r="E427" s="4" t="s">
        <v>639</v>
      </c>
      <c r="F427" s="5">
        <v>5100</v>
      </c>
      <c r="G427" s="5">
        <v>0</v>
      </c>
      <c r="H427" s="5">
        <f t="shared" si="6"/>
        <v>5100</v>
      </c>
      <c r="I427" s="4"/>
      <c r="J427" t="str">
        <f>IF(AND($B427=Party_Statement!$B$5,$A427&gt;=Party_Statement!$B$6,$A427&lt;=Party_Statement!$D$6),SUMPRODUCT(($B$3:$B427=Party_Statement!$B$5)*($A$3:$A427&gt;=Party_Statement!$B$6)*($A$3:$A427&lt;=Party_Statement!$D$6)),"")</f>
        <v/>
      </c>
    </row>
    <row r="428" spans="1:10" x14ac:dyDescent="0.2">
      <c r="A428" s="130">
        <v>66917</v>
      </c>
      <c r="B428" s="4" t="s">
        <v>59</v>
      </c>
      <c r="C428" s="4" t="s">
        <v>611</v>
      </c>
      <c r="D428" s="4" t="s">
        <v>100</v>
      </c>
      <c r="E428" s="4" t="s">
        <v>639</v>
      </c>
      <c r="F428" s="5">
        <v>5100</v>
      </c>
      <c r="G428" s="5">
        <v>0</v>
      </c>
      <c r="H428" s="5">
        <f t="shared" si="6"/>
        <v>10200</v>
      </c>
      <c r="I428" s="4"/>
      <c r="J428" t="str">
        <f>IF(AND($B428=Party_Statement!$B$5,$A428&gt;=Party_Statement!$B$6,$A428&lt;=Party_Statement!$D$6),SUMPRODUCT(($B$3:$B428=Party_Statement!$B$5)*($A$3:$A428&gt;=Party_Statement!$B$6)*($A$3:$A428&lt;=Party_Statement!$D$6)),"")</f>
        <v/>
      </c>
    </row>
    <row r="429" spans="1:10" x14ac:dyDescent="0.2">
      <c r="A429" s="130">
        <v>66919</v>
      </c>
      <c r="B429" s="4" t="s">
        <v>59</v>
      </c>
      <c r="C429" s="4" t="s">
        <v>611</v>
      </c>
      <c r="D429" s="4" t="s">
        <v>142</v>
      </c>
      <c r="E429" s="4" t="s">
        <v>639</v>
      </c>
      <c r="F429" s="5">
        <v>4250</v>
      </c>
      <c r="G429" s="5">
        <v>0</v>
      </c>
      <c r="H429" s="5">
        <f t="shared" si="6"/>
        <v>14450</v>
      </c>
      <c r="I429" s="4"/>
      <c r="J429" t="str">
        <f>IF(AND($B429=Party_Statement!$B$5,$A429&gt;=Party_Statement!$B$6,$A429&lt;=Party_Statement!$D$6),SUMPRODUCT(($B$3:$B429=Party_Statement!$B$5)*($A$3:$A429&gt;=Party_Statement!$B$6)*($A$3:$A429&lt;=Party_Statement!$D$6)),"")</f>
        <v/>
      </c>
    </row>
    <row r="430" spans="1:10" x14ac:dyDescent="0.2">
      <c r="A430" s="130">
        <v>66920</v>
      </c>
      <c r="B430" s="4" t="s">
        <v>59</v>
      </c>
      <c r="C430" s="4" t="s">
        <v>611</v>
      </c>
      <c r="D430" s="4" t="s">
        <v>165</v>
      </c>
      <c r="E430" s="4" t="s">
        <v>639</v>
      </c>
      <c r="F430" s="5">
        <v>5100</v>
      </c>
      <c r="G430" s="5">
        <v>0</v>
      </c>
      <c r="H430" s="5">
        <f t="shared" si="6"/>
        <v>19550</v>
      </c>
      <c r="I430" s="4"/>
      <c r="J430" t="str">
        <f>IF(AND($B430=Party_Statement!$B$5,$A430&gt;=Party_Statement!$B$6,$A430&lt;=Party_Statement!$D$6),SUMPRODUCT(($B$3:$B430=Party_Statement!$B$5)*($A$3:$A430&gt;=Party_Statement!$B$6)*($A$3:$A430&lt;=Party_Statement!$D$6)),"")</f>
        <v/>
      </c>
    </row>
    <row r="431" spans="1:10" x14ac:dyDescent="0.2">
      <c r="A431" s="130">
        <v>66921</v>
      </c>
      <c r="B431" s="4" t="s">
        <v>59</v>
      </c>
      <c r="C431" s="4" t="s">
        <v>611</v>
      </c>
      <c r="D431" s="4" t="s">
        <v>183</v>
      </c>
      <c r="E431" s="4" t="s">
        <v>639</v>
      </c>
      <c r="F431" s="5">
        <v>5100</v>
      </c>
      <c r="G431" s="5">
        <v>0</v>
      </c>
      <c r="H431" s="5">
        <f t="shared" si="6"/>
        <v>24650</v>
      </c>
      <c r="I431" s="4"/>
      <c r="J431" t="str">
        <f>IF(AND($B431=Party_Statement!$B$5,$A431&gt;=Party_Statement!$B$6,$A431&lt;=Party_Statement!$D$6),SUMPRODUCT(($B$3:$B431=Party_Statement!$B$5)*($A$3:$A431&gt;=Party_Statement!$B$6)*($A$3:$A431&lt;=Party_Statement!$D$6)),"")</f>
        <v/>
      </c>
    </row>
    <row r="432" spans="1:10" x14ac:dyDescent="0.2">
      <c r="A432" s="130">
        <v>66922</v>
      </c>
      <c r="B432" s="4" t="s">
        <v>59</v>
      </c>
      <c r="C432" s="4" t="s">
        <v>611</v>
      </c>
      <c r="D432" s="4" t="s">
        <v>212</v>
      </c>
      <c r="E432" s="4" t="s">
        <v>639</v>
      </c>
      <c r="F432" s="5">
        <v>5100</v>
      </c>
      <c r="G432" s="5">
        <v>0</v>
      </c>
      <c r="H432" s="5">
        <f t="shared" si="6"/>
        <v>29750</v>
      </c>
      <c r="I432" s="4"/>
      <c r="J432" t="str">
        <f>IF(AND($B432=Party_Statement!$B$5,$A432&gt;=Party_Statement!$B$6,$A432&lt;=Party_Statement!$D$6),SUMPRODUCT(($B$3:$B432=Party_Statement!$B$5)*($A$3:$A432&gt;=Party_Statement!$B$6)*($A$3:$A432&lt;=Party_Statement!$D$6)),"")</f>
        <v/>
      </c>
    </row>
    <row r="433" spans="1:10" x14ac:dyDescent="0.2">
      <c r="A433" s="130">
        <v>66922</v>
      </c>
      <c r="B433" s="4" t="s">
        <v>59</v>
      </c>
      <c r="C433" s="4" t="s">
        <v>611</v>
      </c>
      <c r="D433" s="4" t="s">
        <v>212</v>
      </c>
      <c r="E433" s="4" t="s">
        <v>639</v>
      </c>
      <c r="F433" s="5">
        <v>80</v>
      </c>
      <c r="G433" s="5">
        <v>0</v>
      </c>
      <c r="H433" s="5">
        <f t="shared" si="6"/>
        <v>29830</v>
      </c>
      <c r="I433" s="4"/>
      <c r="J433" t="str">
        <f>IF(AND($B433=Party_Statement!$B$5,$A433&gt;=Party_Statement!$B$6,$A433&lt;=Party_Statement!$D$6),SUMPRODUCT(($B$3:$B433=Party_Statement!$B$5)*($A$3:$A433&gt;=Party_Statement!$B$6)*($A$3:$A433&lt;=Party_Statement!$D$6)),"")</f>
        <v/>
      </c>
    </row>
    <row r="434" spans="1:10" x14ac:dyDescent="0.2">
      <c r="A434" s="130">
        <v>66923</v>
      </c>
      <c r="B434" s="4" t="s">
        <v>59</v>
      </c>
      <c r="C434" s="4" t="s">
        <v>611</v>
      </c>
      <c r="D434" s="4" t="s">
        <v>231</v>
      </c>
      <c r="E434" s="4" t="s">
        <v>639</v>
      </c>
      <c r="F434" s="5">
        <v>5100</v>
      </c>
      <c r="G434" s="5">
        <v>0</v>
      </c>
      <c r="H434" s="5">
        <f t="shared" si="6"/>
        <v>34930</v>
      </c>
      <c r="I434" s="4"/>
      <c r="J434" t="str">
        <f>IF(AND($B434=Party_Statement!$B$5,$A434&gt;=Party_Statement!$B$6,$A434&lt;=Party_Statement!$D$6),SUMPRODUCT(($B$3:$B434=Party_Statement!$B$5)*($A$3:$A434&gt;=Party_Statement!$B$6)*($A$3:$A434&lt;=Party_Statement!$D$6)),"")</f>
        <v/>
      </c>
    </row>
    <row r="435" spans="1:10" x14ac:dyDescent="0.2">
      <c r="A435" s="130">
        <v>66923</v>
      </c>
      <c r="B435" s="4" t="s">
        <v>59</v>
      </c>
      <c r="C435" s="4" t="s">
        <v>611</v>
      </c>
      <c r="D435" s="4" t="s">
        <v>231</v>
      </c>
      <c r="E435" s="4" t="s">
        <v>640</v>
      </c>
      <c r="F435" s="5">
        <v>80</v>
      </c>
      <c r="G435" s="5">
        <v>0</v>
      </c>
      <c r="H435" s="5">
        <f t="shared" si="6"/>
        <v>35010</v>
      </c>
      <c r="I435" s="4"/>
      <c r="J435" t="str">
        <f>IF(AND($B435=Party_Statement!$B$5,$A435&gt;=Party_Statement!$B$6,$A435&lt;=Party_Statement!$D$6),SUMPRODUCT(($B$3:$B435=Party_Statement!$B$5)*($A$3:$A435&gt;=Party_Statement!$B$6)*($A$3:$A435&lt;=Party_Statement!$D$6)),"")</f>
        <v/>
      </c>
    </row>
    <row r="436" spans="1:10" x14ac:dyDescent="0.2">
      <c r="A436" s="130">
        <v>66924</v>
      </c>
      <c r="B436" s="4" t="s">
        <v>59</v>
      </c>
      <c r="C436" s="4" t="s">
        <v>611</v>
      </c>
      <c r="D436" s="4" t="s">
        <v>249</v>
      </c>
      <c r="E436" s="4" t="s">
        <v>639</v>
      </c>
      <c r="F436" s="5">
        <v>5100</v>
      </c>
      <c r="G436" s="5">
        <v>0</v>
      </c>
      <c r="H436" s="5">
        <f t="shared" si="6"/>
        <v>40110</v>
      </c>
      <c r="I436" s="4"/>
      <c r="J436" t="str">
        <f>IF(AND($B436=Party_Statement!$B$5,$A436&gt;=Party_Statement!$B$6,$A436&lt;=Party_Statement!$D$6),SUMPRODUCT(($B$3:$B436=Party_Statement!$B$5)*($A$3:$A436&gt;=Party_Statement!$B$6)*($A$3:$A436&lt;=Party_Statement!$D$6)),"")</f>
        <v/>
      </c>
    </row>
    <row r="437" spans="1:10" x14ac:dyDescent="0.2">
      <c r="A437" s="130">
        <v>66924</v>
      </c>
      <c r="B437" s="4" t="s">
        <v>59</v>
      </c>
      <c r="C437" s="4" t="s">
        <v>611</v>
      </c>
      <c r="D437" s="4" t="s">
        <v>249</v>
      </c>
      <c r="E437" s="4" t="s">
        <v>640</v>
      </c>
      <c r="F437" s="5">
        <v>80</v>
      </c>
      <c r="G437" s="5">
        <v>0</v>
      </c>
      <c r="H437" s="5">
        <f t="shared" si="6"/>
        <v>40190</v>
      </c>
      <c r="I437" s="4"/>
      <c r="J437" t="str">
        <f>IF(AND($B437=Party_Statement!$B$5,$A437&gt;=Party_Statement!$B$6,$A437&lt;=Party_Statement!$D$6),SUMPRODUCT(($B$3:$B437=Party_Statement!$B$5)*($A$3:$A437&gt;=Party_Statement!$B$6)*($A$3:$A437&lt;=Party_Statement!$D$6)),"")</f>
        <v/>
      </c>
    </row>
    <row r="438" spans="1:10" x14ac:dyDescent="0.2">
      <c r="A438" s="130">
        <v>66925</v>
      </c>
      <c r="B438" s="4" t="s">
        <v>59</v>
      </c>
      <c r="C438" s="4" t="s">
        <v>611</v>
      </c>
      <c r="D438" s="4" t="s">
        <v>277</v>
      </c>
      <c r="E438" s="4" t="s">
        <v>639</v>
      </c>
      <c r="F438" s="5">
        <v>5100</v>
      </c>
      <c r="G438" s="5">
        <v>0</v>
      </c>
      <c r="H438" s="5">
        <f t="shared" si="6"/>
        <v>45290</v>
      </c>
      <c r="I438" s="4"/>
      <c r="J438" t="str">
        <f>IF(AND($B438=Party_Statement!$B$5,$A438&gt;=Party_Statement!$B$6,$A438&lt;=Party_Statement!$D$6),SUMPRODUCT(($B$3:$B438=Party_Statement!$B$5)*($A$3:$A438&gt;=Party_Statement!$B$6)*($A$3:$A438&lt;=Party_Statement!$D$6)),"")</f>
        <v/>
      </c>
    </row>
    <row r="439" spans="1:10" x14ac:dyDescent="0.2">
      <c r="A439" s="130">
        <v>66925</v>
      </c>
      <c r="B439" s="4" t="s">
        <v>59</v>
      </c>
      <c r="C439" s="4" t="s">
        <v>611</v>
      </c>
      <c r="D439" s="4" t="s">
        <v>277</v>
      </c>
      <c r="E439" s="4" t="s">
        <v>640</v>
      </c>
      <c r="F439" s="5">
        <v>80</v>
      </c>
      <c r="G439" s="5">
        <v>0</v>
      </c>
      <c r="H439" s="5">
        <f t="shared" si="6"/>
        <v>45370</v>
      </c>
      <c r="I439" s="4"/>
      <c r="J439" t="str">
        <f>IF(AND($B439=Party_Statement!$B$5,$A439&gt;=Party_Statement!$B$6,$A439&lt;=Party_Statement!$D$6),SUMPRODUCT(($B$3:$B439=Party_Statement!$B$5)*($A$3:$A439&gt;=Party_Statement!$B$6)*($A$3:$A439&lt;=Party_Statement!$D$6)),"")</f>
        <v/>
      </c>
    </row>
    <row r="440" spans="1:10" x14ac:dyDescent="0.2">
      <c r="A440" s="130">
        <v>66926</v>
      </c>
      <c r="B440" s="4" t="s">
        <v>59</v>
      </c>
      <c r="C440" s="4" t="s">
        <v>611</v>
      </c>
      <c r="D440" s="4" t="s">
        <v>301</v>
      </c>
      <c r="E440" s="4" t="s">
        <v>639</v>
      </c>
      <c r="F440" s="5">
        <v>5100</v>
      </c>
      <c r="G440" s="5">
        <v>0</v>
      </c>
      <c r="H440" s="5">
        <f t="shared" si="6"/>
        <v>50470</v>
      </c>
      <c r="I440" s="4"/>
      <c r="J440" t="str">
        <f>IF(AND($B440=Party_Statement!$B$5,$A440&gt;=Party_Statement!$B$6,$A440&lt;=Party_Statement!$D$6),SUMPRODUCT(($B$3:$B440=Party_Statement!$B$5)*($A$3:$A440&gt;=Party_Statement!$B$6)*($A$3:$A440&lt;=Party_Statement!$D$6)),"")</f>
        <v/>
      </c>
    </row>
    <row r="441" spans="1:10" x14ac:dyDescent="0.2">
      <c r="A441" s="130">
        <v>66926</v>
      </c>
      <c r="B441" s="4" t="s">
        <v>59</v>
      </c>
      <c r="C441" s="4" t="s">
        <v>611</v>
      </c>
      <c r="D441" s="4" t="s">
        <v>301</v>
      </c>
      <c r="E441" s="4" t="s">
        <v>640</v>
      </c>
      <c r="F441" s="5">
        <v>80</v>
      </c>
      <c r="G441" s="5">
        <v>0</v>
      </c>
      <c r="H441" s="5">
        <f t="shared" si="6"/>
        <v>50550</v>
      </c>
      <c r="I441" s="4"/>
      <c r="J441" t="str">
        <f>IF(AND($B441=Party_Statement!$B$5,$A441&gt;=Party_Statement!$B$6,$A441&lt;=Party_Statement!$D$6),SUMPRODUCT(($B$3:$B441=Party_Statement!$B$5)*($A$3:$A441&gt;=Party_Statement!$B$6)*($A$3:$A441&lt;=Party_Statement!$D$6)),"")</f>
        <v/>
      </c>
    </row>
    <row r="442" spans="1:10" x14ac:dyDescent="0.2">
      <c r="A442" s="130">
        <v>66927</v>
      </c>
      <c r="B442" s="4" t="s">
        <v>59</v>
      </c>
      <c r="C442" s="4" t="s">
        <v>611</v>
      </c>
      <c r="D442" s="4" t="s">
        <v>315</v>
      </c>
      <c r="E442" s="4" t="s">
        <v>639</v>
      </c>
      <c r="F442" s="5">
        <v>5100</v>
      </c>
      <c r="G442" s="5">
        <v>0</v>
      </c>
      <c r="H442" s="5">
        <f t="shared" si="6"/>
        <v>55650</v>
      </c>
      <c r="I442" s="4"/>
      <c r="J442" t="str">
        <f>IF(AND($B442=Party_Statement!$B$5,$A442&gt;=Party_Statement!$B$6,$A442&lt;=Party_Statement!$D$6),SUMPRODUCT(($B$3:$B442=Party_Statement!$B$5)*($A$3:$A442&gt;=Party_Statement!$B$6)*($A$3:$A442&lt;=Party_Statement!$D$6)),"")</f>
        <v/>
      </c>
    </row>
    <row r="443" spans="1:10" x14ac:dyDescent="0.2">
      <c r="A443" s="130">
        <v>66929</v>
      </c>
      <c r="B443" s="4" t="s">
        <v>59</v>
      </c>
      <c r="C443" s="4" t="s">
        <v>611</v>
      </c>
      <c r="D443" s="4" t="s">
        <v>352</v>
      </c>
      <c r="E443" s="4" t="s">
        <v>639</v>
      </c>
      <c r="F443" s="5">
        <v>5100</v>
      </c>
      <c r="G443" s="5">
        <v>0</v>
      </c>
      <c r="H443" s="5">
        <f t="shared" si="6"/>
        <v>60750</v>
      </c>
      <c r="I443" s="4"/>
      <c r="J443" t="str">
        <f>IF(AND($B443=Party_Statement!$B$5,$A443&gt;=Party_Statement!$B$6,$A443&lt;=Party_Statement!$D$6),SUMPRODUCT(($B$3:$B443=Party_Statement!$B$5)*($A$3:$A443&gt;=Party_Statement!$B$6)*($A$3:$A443&lt;=Party_Statement!$D$6)),"")</f>
        <v/>
      </c>
    </row>
    <row r="444" spans="1:10" x14ac:dyDescent="0.2">
      <c r="A444" s="130">
        <v>66929</v>
      </c>
      <c r="B444" s="4" t="s">
        <v>59</v>
      </c>
      <c r="C444" s="4" t="s">
        <v>611</v>
      </c>
      <c r="D444" s="4" t="s">
        <v>352</v>
      </c>
      <c r="E444" s="4" t="s">
        <v>640</v>
      </c>
      <c r="F444" s="5">
        <v>80</v>
      </c>
      <c r="G444" s="5">
        <v>0</v>
      </c>
      <c r="H444" s="5">
        <f t="shared" si="6"/>
        <v>60830</v>
      </c>
      <c r="I444" s="4"/>
      <c r="J444" t="str">
        <f>IF(AND($B444=Party_Statement!$B$5,$A444&gt;=Party_Statement!$B$6,$A444&lt;=Party_Statement!$D$6),SUMPRODUCT(($B$3:$B444=Party_Statement!$B$5)*($A$3:$A444&gt;=Party_Statement!$B$6)*($A$3:$A444&lt;=Party_Statement!$D$6)),"")</f>
        <v/>
      </c>
    </row>
    <row r="445" spans="1:10" x14ac:dyDescent="0.2">
      <c r="A445" s="130">
        <v>66930</v>
      </c>
      <c r="B445" s="4" t="s">
        <v>59</v>
      </c>
      <c r="C445" s="4" t="s">
        <v>611</v>
      </c>
      <c r="D445" s="4" t="s">
        <v>365</v>
      </c>
      <c r="E445" s="4" t="s">
        <v>639</v>
      </c>
      <c r="F445" s="5">
        <v>5100</v>
      </c>
      <c r="G445" s="5">
        <v>0</v>
      </c>
      <c r="H445" s="5">
        <f t="shared" si="6"/>
        <v>65930</v>
      </c>
      <c r="I445" s="4"/>
      <c r="J445" t="str">
        <f>IF(AND($B445=Party_Statement!$B$5,$A445&gt;=Party_Statement!$B$6,$A445&lt;=Party_Statement!$D$6),SUMPRODUCT(($B$3:$B445=Party_Statement!$B$5)*($A$3:$A445&gt;=Party_Statement!$B$6)*($A$3:$A445&lt;=Party_Statement!$D$6)),"")</f>
        <v/>
      </c>
    </row>
    <row r="446" spans="1:10" x14ac:dyDescent="0.2">
      <c r="A446" s="130">
        <v>66930</v>
      </c>
      <c r="B446" s="4" t="s">
        <v>59</v>
      </c>
      <c r="C446" s="4" t="s">
        <v>611</v>
      </c>
      <c r="D446" s="4" t="s">
        <v>365</v>
      </c>
      <c r="E446" s="4" t="s">
        <v>640</v>
      </c>
      <c r="F446" s="5">
        <v>80</v>
      </c>
      <c r="G446" s="5">
        <v>0</v>
      </c>
      <c r="H446" s="5">
        <f t="shared" si="6"/>
        <v>66010</v>
      </c>
      <c r="I446" s="4"/>
      <c r="J446" t="str">
        <f>IF(AND($B446=Party_Statement!$B$5,$A446&gt;=Party_Statement!$B$6,$A446&lt;=Party_Statement!$D$6),SUMPRODUCT(($B$3:$B446=Party_Statement!$B$5)*($A$3:$A446&gt;=Party_Statement!$B$6)*($A$3:$A446&lt;=Party_Statement!$D$6)),"")</f>
        <v/>
      </c>
    </row>
    <row r="447" spans="1:10" x14ac:dyDescent="0.2">
      <c r="A447" s="130">
        <v>66931</v>
      </c>
      <c r="B447" s="4" t="s">
        <v>59</v>
      </c>
      <c r="C447" s="4" t="s">
        <v>611</v>
      </c>
      <c r="D447" s="4" t="s">
        <v>381</v>
      </c>
      <c r="E447" s="4" t="s">
        <v>639</v>
      </c>
      <c r="F447" s="5">
        <v>5100</v>
      </c>
      <c r="G447" s="5">
        <v>0</v>
      </c>
      <c r="H447" s="5">
        <f t="shared" si="6"/>
        <v>71110</v>
      </c>
      <c r="I447" s="4"/>
      <c r="J447" t="str">
        <f>IF(AND($B447=Party_Statement!$B$5,$A447&gt;=Party_Statement!$B$6,$A447&lt;=Party_Statement!$D$6),SUMPRODUCT(($B$3:$B447=Party_Statement!$B$5)*($A$3:$A447&gt;=Party_Statement!$B$6)*($A$3:$A447&lt;=Party_Statement!$D$6)),"")</f>
        <v/>
      </c>
    </row>
    <row r="448" spans="1:10" x14ac:dyDescent="0.2">
      <c r="A448" s="130">
        <v>66931</v>
      </c>
      <c r="B448" s="4" t="s">
        <v>59</v>
      </c>
      <c r="C448" s="4" t="s">
        <v>611</v>
      </c>
      <c r="D448" s="4" t="s">
        <v>381</v>
      </c>
      <c r="E448" s="4" t="s">
        <v>640</v>
      </c>
      <c r="F448" s="5">
        <v>80</v>
      </c>
      <c r="G448" s="5">
        <v>0</v>
      </c>
      <c r="H448" s="5">
        <f t="shared" si="6"/>
        <v>71190</v>
      </c>
      <c r="I448" s="4"/>
      <c r="J448" t="str">
        <f>IF(AND($B448=Party_Statement!$B$5,$A448&gt;=Party_Statement!$B$6,$A448&lt;=Party_Statement!$D$6),SUMPRODUCT(($B$3:$B448=Party_Statement!$B$5)*($A$3:$A448&gt;=Party_Statement!$B$6)*($A$3:$A448&lt;=Party_Statement!$D$6)),"")</f>
        <v/>
      </c>
    </row>
    <row r="449" spans="1:10" x14ac:dyDescent="0.2">
      <c r="A449" s="130">
        <v>66921</v>
      </c>
      <c r="B449" s="4" t="s">
        <v>206</v>
      </c>
      <c r="C449" s="4" t="s">
        <v>611</v>
      </c>
      <c r="D449" s="4" t="s">
        <v>205</v>
      </c>
      <c r="E449" s="4" t="s">
        <v>641</v>
      </c>
      <c r="F449" s="5">
        <v>11000</v>
      </c>
      <c r="G449" s="5">
        <v>0</v>
      </c>
      <c r="H449" s="5">
        <f t="shared" si="6"/>
        <v>11000</v>
      </c>
      <c r="I449" s="4"/>
      <c r="J449" t="str">
        <f>IF(AND($B449=Party_Statement!$B$5,$A449&gt;=Party_Statement!$B$6,$A449&lt;=Party_Statement!$D$6),SUMPRODUCT(($B$3:$B449=Party_Statement!$B$5)*($A$3:$A449&gt;=Party_Statement!$B$6)*($A$3:$A449&lt;=Party_Statement!$D$6)),"")</f>
        <v/>
      </c>
    </row>
    <row r="450" spans="1:10" x14ac:dyDescent="0.2">
      <c r="A450" s="130">
        <v>66924</v>
      </c>
      <c r="B450" s="4" t="s">
        <v>270</v>
      </c>
      <c r="C450" s="4" t="s">
        <v>611</v>
      </c>
      <c r="D450" s="4" t="s">
        <v>269</v>
      </c>
      <c r="E450" s="4" t="s">
        <v>639</v>
      </c>
      <c r="F450" s="5">
        <v>4500</v>
      </c>
      <c r="G450" s="5">
        <v>0</v>
      </c>
      <c r="H450" s="5">
        <f t="shared" si="6"/>
        <v>4500</v>
      </c>
      <c r="I450" s="4"/>
      <c r="J450" t="str">
        <f>IF(AND($B450=Party_Statement!$B$5,$A450&gt;=Party_Statement!$B$6,$A450&lt;=Party_Statement!$D$6),SUMPRODUCT(($B$3:$B450=Party_Statement!$B$5)*($A$3:$A450&gt;=Party_Statement!$B$6)*($A$3:$A450&lt;=Party_Statement!$D$6)),"")</f>
        <v/>
      </c>
    </row>
    <row r="451" spans="1:10" x14ac:dyDescent="0.2">
      <c r="A451" s="130">
        <v>66924</v>
      </c>
      <c r="B451" s="4" t="s">
        <v>270</v>
      </c>
      <c r="C451" s="4" t="s">
        <v>611</v>
      </c>
      <c r="D451" s="4" t="s">
        <v>269</v>
      </c>
      <c r="E451" s="4" t="s">
        <v>641</v>
      </c>
      <c r="F451" s="5">
        <v>2300</v>
      </c>
      <c r="G451" s="5">
        <v>0</v>
      </c>
      <c r="H451" s="5">
        <f t="shared" si="6"/>
        <v>6800</v>
      </c>
      <c r="I451" s="4"/>
      <c r="J451" t="str">
        <f>IF(AND($B451=Party_Statement!$B$5,$A451&gt;=Party_Statement!$B$6,$A451&lt;=Party_Statement!$D$6),SUMPRODUCT(($B$3:$B451=Party_Statement!$B$5)*($A$3:$A451&gt;=Party_Statement!$B$6)*($A$3:$A451&lt;=Party_Statement!$D$6)),"")</f>
        <v/>
      </c>
    </row>
    <row r="452" spans="1:10" x14ac:dyDescent="0.2">
      <c r="A452" s="130">
        <v>66924</v>
      </c>
      <c r="B452" s="4" t="s">
        <v>270</v>
      </c>
      <c r="C452" s="4" t="s">
        <v>611</v>
      </c>
      <c r="D452" s="4" t="s">
        <v>269</v>
      </c>
      <c r="E452" s="4" t="s">
        <v>645</v>
      </c>
      <c r="F452" s="5">
        <v>6400</v>
      </c>
      <c r="G452" s="5">
        <v>0</v>
      </c>
      <c r="H452" s="5">
        <f t="shared" ref="H452:H502" si="7">IF($B452="","",IF($B452=$B451,$H451,0)+$F452-$G452)</f>
        <v>13200</v>
      </c>
      <c r="I452" s="4"/>
      <c r="J452" t="str">
        <f>IF(AND($B452=Party_Statement!$B$5,$A452&gt;=Party_Statement!$B$6,$A452&lt;=Party_Statement!$D$6),SUMPRODUCT(($B$3:$B452=Party_Statement!$B$5)*($A$3:$A452&gt;=Party_Statement!$B$6)*($A$3:$A452&lt;=Party_Statement!$D$6)),"")</f>
        <v/>
      </c>
    </row>
    <row r="453" spans="1:10" x14ac:dyDescent="0.2">
      <c r="A453" s="130">
        <v>66916</v>
      </c>
      <c r="B453" s="4" t="s">
        <v>631</v>
      </c>
      <c r="C453" s="4" t="s">
        <v>611</v>
      </c>
      <c r="D453" s="4" t="s">
        <v>76</v>
      </c>
      <c r="E453" s="4" t="s">
        <v>639</v>
      </c>
      <c r="F453" s="5">
        <v>1700</v>
      </c>
      <c r="G453" s="5">
        <v>0</v>
      </c>
      <c r="H453" s="5">
        <f t="shared" si="7"/>
        <v>1700</v>
      </c>
      <c r="I453" s="4"/>
      <c r="J453" t="str">
        <f>IF(AND($B453=Party_Statement!$B$5,$A453&gt;=Party_Statement!$B$6,$A453&lt;=Party_Statement!$D$6),SUMPRODUCT(($B$3:$B453=Party_Statement!$B$5)*($A$3:$A453&gt;=Party_Statement!$B$6)*($A$3:$A453&lt;=Party_Statement!$D$6)),"")</f>
        <v/>
      </c>
    </row>
    <row r="454" spans="1:10" x14ac:dyDescent="0.2">
      <c r="A454" s="130">
        <v>66917</v>
      </c>
      <c r="B454" s="4" t="s">
        <v>631</v>
      </c>
      <c r="C454" s="4" t="s">
        <v>611</v>
      </c>
      <c r="D454" s="4" t="s">
        <v>110</v>
      </c>
      <c r="E454" s="4" t="s">
        <v>639</v>
      </c>
      <c r="F454" s="5">
        <v>1275</v>
      </c>
      <c r="G454" s="5">
        <v>0</v>
      </c>
      <c r="H454" s="5">
        <f t="shared" si="7"/>
        <v>2975</v>
      </c>
      <c r="I454" s="4"/>
      <c r="J454" t="str">
        <f>IF(AND($B454=Party_Statement!$B$5,$A454&gt;=Party_Statement!$B$6,$A454&lt;=Party_Statement!$D$6),SUMPRODUCT(($B$3:$B454=Party_Statement!$B$5)*($A$3:$A454&gt;=Party_Statement!$B$6)*($A$3:$A454&lt;=Party_Statement!$D$6)),"")</f>
        <v/>
      </c>
    </row>
    <row r="455" spans="1:10" x14ac:dyDescent="0.2">
      <c r="A455" s="130">
        <v>66918</v>
      </c>
      <c r="B455" s="4" t="s">
        <v>631</v>
      </c>
      <c r="C455" s="4" t="s">
        <v>611</v>
      </c>
      <c r="D455" s="4" t="s">
        <v>124</v>
      </c>
      <c r="E455" s="4" t="s">
        <v>639</v>
      </c>
      <c r="F455" s="5">
        <v>1700</v>
      </c>
      <c r="G455" s="5">
        <v>0</v>
      </c>
      <c r="H455" s="5">
        <f t="shared" si="7"/>
        <v>4675</v>
      </c>
      <c r="I455" s="4"/>
      <c r="J455" t="str">
        <f>IF(AND($B455=Party_Statement!$B$5,$A455&gt;=Party_Statement!$B$6,$A455&lt;=Party_Statement!$D$6),SUMPRODUCT(($B$3:$B455=Party_Statement!$B$5)*($A$3:$A455&gt;=Party_Statement!$B$6)*($A$3:$A455&lt;=Party_Statement!$D$6)),"")</f>
        <v/>
      </c>
    </row>
    <row r="456" spans="1:10" x14ac:dyDescent="0.2">
      <c r="A456" s="130">
        <v>66919</v>
      </c>
      <c r="B456" s="4" t="s">
        <v>631</v>
      </c>
      <c r="C456" s="4" t="s">
        <v>611</v>
      </c>
      <c r="D456" s="4" t="s">
        <v>151</v>
      </c>
      <c r="E456" s="4" t="s">
        <v>639</v>
      </c>
      <c r="F456" s="5">
        <v>1275</v>
      </c>
      <c r="G456" s="5">
        <v>0</v>
      </c>
      <c r="H456" s="5">
        <f t="shared" si="7"/>
        <v>5950</v>
      </c>
      <c r="I456" s="4"/>
      <c r="J456" t="str">
        <f>IF(AND($B456=Party_Statement!$B$5,$A456&gt;=Party_Statement!$B$6,$A456&lt;=Party_Statement!$D$6),SUMPRODUCT(($B$3:$B456=Party_Statement!$B$5)*($A$3:$A456&gt;=Party_Statement!$B$6)*($A$3:$A456&lt;=Party_Statement!$D$6)),"")</f>
        <v/>
      </c>
    </row>
    <row r="457" spans="1:10" x14ac:dyDescent="0.2">
      <c r="A457" s="130">
        <v>66920</v>
      </c>
      <c r="B457" s="4" t="s">
        <v>631</v>
      </c>
      <c r="C457" s="4" t="s">
        <v>611</v>
      </c>
      <c r="D457" s="4" t="s">
        <v>176</v>
      </c>
      <c r="E457" s="4" t="s">
        <v>639</v>
      </c>
      <c r="F457" s="5">
        <v>1020</v>
      </c>
      <c r="G457" s="5">
        <v>0</v>
      </c>
      <c r="H457" s="5">
        <f t="shared" si="7"/>
        <v>6970</v>
      </c>
      <c r="I457" s="4"/>
      <c r="J457" t="str">
        <f>IF(AND($B457=Party_Statement!$B$5,$A457&gt;=Party_Statement!$B$6,$A457&lt;=Party_Statement!$D$6),SUMPRODUCT(($B$3:$B457=Party_Statement!$B$5)*($A$3:$A457&gt;=Party_Statement!$B$6)*($A$3:$A457&lt;=Party_Statement!$D$6)),"")</f>
        <v/>
      </c>
    </row>
    <row r="458" spans="1:10" x14ac:dyDescent="0.2">
      <c r="A458" s="130">
        <v>66921</v>
      </c>
      <c r="B458" s="4" t="s">
        <v>631</v>
      </c>
      <c r="C458" s="4" t="s">
        <v>611</v>
      </c>
      <c r="D458" s="4" t="s">
        <v>195</v>
      </c>
      <c r="E458" s="4" t="s">
        <v>639</v>
      </c>
      <c r="F458" s="5">
        <v>1700</v>
      </c>
      <c r="G458" s="5">
        <v>0</v>
      </c>
      <c r="H458" s="5">
        <f t="shared" si="7"/>
        <v>8670</v>
      </c>
      <c r="I458" s="4"/>
      <c r="J458" t="str">
        <f>IF(AND($B458=Party_Statement!$B$5,$A458&gt;=Party_Statement!$B$6,$A458&lt;=Party_Statement!$D$6),SUMPRODUCT(($B$3:$B458=Party_Statement!$B$5)*($A$3:$A458&gt;=Party_Statement!$B$6)*($A$3:$A458&lt;=Party_Statement!$D$6)),"")</f>
        <v/>
      </c>
    </row>
    <row r="459" spans="1:10" x14ac:dyDescent="0.2">
      <c r="A459" s="130">
        <v>66922</v>
      </c>
      <c r="B459" s="4" t="s">
        <v>631</v>
      </c>
      <c r="C459" s="4" t="s">
        <v>611</v>
      </c>
      <c r="D459" s="4" t="s">
        <v>223</v>
      </c>
      <c r="E459" s="4" t="s">
        <v>639</v>
      </c>
      <c r="F459" s="5">
        <v>510</v>
      </c>
      <c r="G459" s="5">
        <v>0</v>
      </c>
      <c r="H459" s="5">
        <f t="shared" si="7"/>
        <v>9180</v>
      </c>
      <c r="I459" s="4"/>
      <c r="J459" t="str">
        <f>IF(AND($B459=Party_Statement!$B$5,$A459&gt;=Party_Statement!$B$6,$A459&lt;=Party_Statement!$D$6),SUMPRODUCT(($B$3:$B459=Party_Statement!$B$5)*($A$3:$A459&gt;=Party_Statement!$B$6)*($A$3:$A459&lt;=Party_Statement!$D$6)),"")</f>
        <v/>
      </c>
    </row>
    <row r="460" spans="1:10" x14ac:dyDescent="0.2">
      <c r="A460" s="130">
        <v>66923</v>
      </c>
      <c r="B460" s="4" t="s">
        <v>631</v>
      </c>
      <c r="C460" s="4" t="s">
        <v>611</v>
      </c>
      <c r="D460" s="4" t="s">
        <v>234</v>
      </c>
      <c r="E460" s="4" t="s">
        <v>639</v>
      </c>
      <c r="F460" s="5">
        <v>1275</v>
      </c>
      <c r="G460" s="5">
        <v>0</v>
      </c>
      <c r="H460" s="5">
        <f t="shared" si="7"/>
        <v>10455</v>
      </c>
      <c r="I460" s="4"/>
      <c r="J460" t="str">
        <f>IF(AND($B460=Party_Statement!$B$5,$A460&gt;=Party_Statement!$B$6,$A460&lt;=Party_Statement!$D$6),SUMPRODUCT(($B$3:$B460=Party_Statement!$B$5)*($A$3:$A460&gt;=Party_Statement!$B$6)*($A$3:$A460&lt;=Party_Statement!$D$6)),"")</f>
        <v/>
      </c>
    </row>
    <row r="461" spans="1:10" x14ac:dyDescent="0.2">
      <c r="A461" s="130">
        <v>66924</v>
      </c>
      <c r="B461" s="4" t="s">
        <v>631</v>
      </c>
      <c r="C461" s="4" t="s">
        <v>611</v>
      </c>
      <c r="D461" s="4" t="s">
        <v>259</v>
      </c>
      <c r="E461" s="4" t="s">
        <v>639</v>
      </c>
      <c r="F461" s="5">
        <v>1020</v>
      </c>
      <c r="G461" s="5">
        <v>0</v>
      </c>
      <c r="H461" s="5">
        <f t="shared" si="7"/>
        <v>11475</v>
      </c>
      <c r="I461" s="4"/>
      <c r="J461" t="str">
        <f>IF(AND($B461=Party_Statement!$B$5,$A461&gt;=Party_Statement!$B$6,$A461&lt;=Party_Statement!$D$6),SUMPRODUCT(($B$3:$B461=Party_Statement!$B$5)*($A$3:$A461&gt;=Party_Statement!$B$6)*($A$3:$A461&lt;=Party_Statement!$D$6)),"")</f>
        <v/>
      </c>
    </row>
    <row r="462" spans="1:10" x14ac:dyDescent="0.2">
      <c r="A462" s="130">
        <v>66925</v>
      </c>
      <c r="B462" s="4" t="s">
        <v>631</v>
      </c>
      <c r="C462" s="4" t="s">
        <v>611</v>
      </c>
      <c r="D462" s="4" t="s">
        <v>287</v>
      </c>
      <c r="E462" s="4" t="s">
        <v>639</v>
      </c>
      <c r="F462" s="5">
        <v>1020</v>
      </c>
      <c r="G462" s="5">
        <v>0</v>
      </c>
      <c r="H462" s="5">
        <f t="shared" si="7"/>
        <v>12495</v>
      </c>
      <c r="I462" s="4"/>
      <c r="J462" t="str">
        <f>IF(AND($B462=Party_Statement!$B$5,$A462&gt;=Party_Statement!$B$6,$A462&lt;=Party_Statement!$D$6),SUMPRODUCT(($B$3:$B462=Party_Statement!$B$5)*($A$3:$A462&gt;=Party_Statement!$B$6)*($A$3:$A462&lt;=Party_Statement!$D$6)),"")</f>
        <v/>
      </c>
    </row>
    <row r="463" spans="1:10" x14ac:dyDescent="0.2">
      <c r="A463" s="130">
        <v>66926</v>
      </c>
      <c r="B463" s="4" t="s">
        <v>631</v>
      </c>
      <c r="C463" s="4" t="s">
        <v>611</v>
      </c>
      <c r="D463" s="4" t="s">
        <v>311</v>
      </c>
      <c r="E463" s="4" t="s">
        <v>639</v>
      </c>
      <c r="F463" s="5">
        <v>1445</v>
      </c>
      <c r="G463" s="5">
        <v>0</v>
      </c>
      <c r="H463" s="5">
        <f t="shared" si="7"/>
        <v>13940</v>
      </c>
      <c r="I463" s="4"/>
      <c r="J463" t="str">
        <f>IF(AND($B463=Party_Statement!$B$5,$A463&gt;=Party_Statement!$B$6,$A463&lt;=Party_Statement!$D$6),SUMPRODUCT(($B$3:$B463=Party_Statement!$B$5)*($A$3:$A463&gt;=Party_Statement!$B$6)*($A$3:$A463&lt;=Party_Statement!$D$6)),"")</f>
        <v/>
      </c>
    </row>
    <row r="464" spans="1:10" x14ac:dyDescent="0.2">
      <c r="A464" s="130">
        <v>66927</v>
      </c>
      <c r="B464" s="4" t="s">
        <v>631</v>
      </c>
      <c r="C464" s="4" t="s">
        <v>611</v>
      </c>
      <c r="D464" s="4" t="s">
        <v>325</v>
      </c>
      <c r="E464" s="4" t="s">
        <v>639</v>
      </c>
      <c r="F464" s="5">
        <v>1275</v>
      </c>
      <c r="G464" s="5">
        <v>0</v>
      </c>
      <c r="H464" s="5">
        <f t="shared" si="7"/>
        <v>15215</v>
      </c>
      <c r="I464" s="4"/>
      <c r="J464" t="str">
        <f>IF(AND($B464=Party_Statement!$B$5,$A464&gt;=Party_Statement!$B$6,$A464&lt;=Party_Statement!$D$6),SUMPRODUCT(($B$3:$B464=Party_Statement!$B$5)*($A$3:$A464&gt;=Party_Statement!$B$6)*($A$3:$A464&lt;=Party_Statement!$D$6)),"")</f>
        <v/>
      </c>
    </row>
    <row r="465" spans="1:10" x14ac:dyDescent="0.2">
      <c r="A465" s="130">
        <v>66929</v>
      </c>
      <c r="B465" s="4" t="s">
        <v>631</v>
      </c>
      <c r="C465" s="4" t="s">
        <v>611</v>
      </c>
      <c r="D465" s="4" t="s">
        <v>354</v>
      </c>
      <c r="E465" s="4" t="s">
        <v>639</v>
      </c>
      <c r="F465" s="5">
        <v>1020</v>
      </c>
      <c r="G465" s="5">
        <v>0</v>
      </c>
      <c r="H465" s="5">
        <f t="shared" si="7"/>
        <v>16235</v>
      </c>
      <c r="I465" s="4"/>
      <c r="J465" t="str">
        <f>IF(AND($B465=Party_Statement!$B$5,$A465&gt;=Party_Statement!$B$6,$A465&lt;=Party_Statement!$D$6),SUMPRODUCT(($B$3:$B465=Party_Statement!$B$5)*($A$3:$A465&gt;=Party_Statement!$B$6)*($A$3:$A465&lt;=Party_Statement!$D$6)),"")</f>
        <v/>
      </c>
    </row>
    <row r="466" spans="1:10" x14ac:dyDescent="0.2">
      <c r="A466" s="130">
        <v>66930</v>
      </c>
      <c r="B466" s="4" t="s">
        <v>631</v>
      </c>
      <c r="C466" s="4" t="s">
        <v>611</v>
      </c>
      <c r="D466" s="4" t="s">
        <v>374</v>
      </c>
      <c r="E466" s="4" t="s">
        <v>639</v>
      </c>
      <c r="F466" s="5">
        <v>1275</v>
      </c>
      <c r="G466" s="5">
        <v>0</v>
      </c>
      <c r="H466" s="5">
        <f t="shared" si="7"/>
        <v>17510</v>
      </c>
      <c r="I466" s="4"/>
      <c r="J466" t="str">
        <f>IF(AND($B466=Party_Statement!$B$5,$A466&gt;=Party_Statement!$B$6,$A466&lt;=Party_Statement!$D$6),SUMPRODUCT(($B$3:$B466=Party_Statement!$B$5)*($A$3:$A466&gt;=Party_Statement!$B$6)*($A$3:$A466&lt;=Party_Statement!$D$6)),"")</f>
        <v/>
      </c>
    </row>
    <row r="467" spans="1:10" x14ac:dyDescent="0.2">
      <c r="A467" s="130">
        <v>66931</v>
      </c>
      <c r="B467" s="4" t="s">
        <v>631</v>
      </c>
      <c r="C467" s="4" t="s">
        <v>611</v>
      </c>
      <c r="D467" s="4" t="s">
        <v>391</v>
      </c>
      <c r="E467" s="4" t="s">
        <v>639</v>
      </c>
      <c r="F467" s="5">
        <v>1275</v>
      </c>
      <c r="G467" s="5">
        <v>0</v>
      </c>
      <c r="H467" s="5">
        <f>IF($B467="","",IF($B467=$B466,$H466,0)+$F467-$G467)</f>
        <v>18785</v>
      </c>
      <c r="I467" s="4"/>
      <c r="J467" t="str">
        <f>IF(AND($B467=Party_Statement!$B$5,$A467&gt;=Party_Statement!$B$6,$A467&lt;=Party_Statement!$D$6),SUMPRODUCT(($B$3:$B467=Party_Statement!$B$5)*($A$3:$A467&gt;=Party_Statement!$B$6)*($A$3:$A467&lt;=Party_Statement!$D$6)),"")</f>
        <v/>
      </c>
    </row>
    <row r="468" spans="1:10" x14ac:dyDescent="0.2">
      <c r="A468" s="130">
        <v>66915</v>
      </c>
      <c r="B468" s="4" t="s">
        <v>440</v>
      </c>
      <c r="C468" s="4" t="s">
        <v>613</v>
      </c>
      <c r="D468" s="4" t="s">
        <v>860</v>
      </c>
      <c r="E468" s="4" t="s">
        <v>60</v>
      </c>
      <c r="F468" s="5"/>
      <c r="G468" s="5">
        <v>16520</v>
      </c>
      <c r="H468" s="5">
        <f t="shared" si="7"/>
        <v>-16520</v>
      </c>
      <c r="I468" s="4"/>
      <c r="J468" t="str">
        <f>IF(AND($B468=Party_Statement!$B$5,$A468&gt;=Party_Statement!$B$6,$A468&lt;=Party_Statement!$D$6),SUMPRODUCT(($B$3:$B468=Party_Statement!$B$5)*($A$3:$A468&gt;=Party_Statement!$B$6)*($A$3:$A468&lt;=Party_Statement!$D$6)),"")</f>
        <v/>
      </c>
    </row>
    <row r="469" spans="1:10" x14ac:dyDescent="0.2">
      <c r="A469" s="130">
        <v>66915</v>
      </c>
      <c r="B469" s="4" t="s">
        <v>440</v>
      </c>
      <c r="C469" s="4" t="s">
        <v>613</v>
      </c>
      <c r="D469" s="4" t="s">
        <v>860</v>
      </c>
      <c r="E469" s="4" t="s">
        <v>93</v>
      </c>
      <c r="F469" s="5"/>
      <c r="G469" s="5">
        <v>4550</v>
      </c>
      <c r="H469" s="5">
        <f t="shared" si="7"/>
        <v>-21070</v>
      </c>
      <c r="I469" s="4"/>
    </row>
    <row r="470" spans="1:10" x14ac:dyDescent="0.2">
      <c r="A470" s="130">
        <v>66915</v>
      </c>
      <c r="B470" s="4" t="s">
        <v>440</v>
      </c>
      <c r="C470" s="4" t="s">
        <v>613</v>
      </c>
      <c r="D470" s="4" t="s">
        <v>860</v>
      </c>
      <c r="E470" s="4" t="s">
        <v>92</v>
      </c>
      <c r="F470" s="5"/>
      <c r="G470" s="5">
        <v>17100</v>
      </c>
      <c r="H470" s="5">
        <f t="shared" si="7"/>
        <v>-38170</v>
      </c>
      <c r="I470" s="4"/>
    </row>
    <row r="471" spans="1:10" x14ac:dyDescent="0.2">
      <c r="A471" s="130">
        <v>66915</v>
      </c>
      <c r="B471" s="4" t="s">
        <v>440</v>
      </c>
      <c r="C471" s="4" t="s">
        <v>613</v>
      </c>
      <c r="D471" s="4" t="s">
        <v>860</v>
      </c>
      <c r="E471" s="4" t="s">
        <v>760</v>
      </c>
      <c r="F471" s="5"/>
      <c r="G471" s="5">
        <v>720</v>
      </c>
      <c r="H471" s="5">
        <f t="shared" si="7"/>
        <v>-38890</v>
      </c>
      <c r="I471" s="4"/>
    </row>
    <row r="472" spans="1:10" x14ac:dyDescent="0.2">
      <c r="A472" s="130">
        <v>66915</v>
      </c>
      <c r="B472" s="4" t="s">
        <v>440</v>
      </c>
      <c r="C472" s="4" t="s">
        <v>613</v>
      </c>
      <c r="D472" s="4" t="s">
        <v>860</v>
      </c>
      <c r="E472" s="4" t="s">
        <v>861</v>
      </c>
      <c r="F472" s="5"/>
      <c r="G472" s="5">
        <v>66150</v>
      </c>
      <c r="H472" s="5">
        <f t="shared" si="7"/>
        <v>-105040</v>
      </c>
      <c r="I472" s="4"/>
    </row>
    <row r="473" spans="1:10" x14ac:dyDescent="0.2">
      <c r="A473" s="130">
        <v>66915</v>
      </c>
      <c r="B473" s="4" t="s">
        <v>440</v>
      </c>
      <c r="C473" s="4" t="s">
        <v>613</v>
      </c>
      <c r="D473" s="4" t="s">
        <v>863</v>
      </c>
      <c r="E473" s="4" t="s">
        <v>862</v>
      </c>
      <c r="F473" s="5"/>
      <c r="G473" s="5">
        <v>1645</v>
      </c>
      <c r="H473" s="5">
        <f t="shared" si="7"/>
        <v>-106685</v>
      </c>
      <c r="I473" s="4"/>
    </row>
    <row r="474" spans="1:10" x14ac:dyDescent="0.2">
      <c r="A474" s="130"/>
      <c r="B474" s="4"/>
      <c r="C474" s="4"/>
      <c r="D474" s="4"/>
      <c r="E474" s="4"/>
      <c r="F474" s="5"/>
      <c r="G474" s="5"/>
      <c r="H474" s="5" t="str">
        <f t="shared" si="7"/>
        <v/>
      </c>
      <c r="I474" s="4"/>
    </row>
    <row r="475" spans="1:10" x14ac:dyDescent="0.2">
      <c r="A475" s="130"/>
      <c r="B475" s="4"/>
      <c r="C475" s="4"/>
      <c r="D475" s="4"/>
      <c r="E475" s="4"/>
      <c r="F475" s="5"/>
      <c r="G475" s="5"/>
      <c r="H475" s="5" t="str">
        <f t="shared" si="7"/>
        <v/>
      </c>
      <c r="I475" s="4"/>
    </row>
    <row r="476" spans="1:10" x14ac:dyDescent="0.2">
      <c r="A476" s="130"/>
      <c r="B476" s="4"/>
      <c r="C476" s="4"/>
      <c r="D476" s="4"/>
      <c r="E476" s="4"/>
      <c r="F476" s="5"/>
      <c r="G476" s="5"/>
      <c r="H476" s="5" t="str">
        <f t="shared" si="7"/>
        <v/>
      </c>
      <c r="I476" s="4"/>
    </row>
    <row r="477" spans="1:10" x14ac:dyDescent="0.2">
      <c r="A477" s="130"/>
      <c r="B477" s="4"/>
      <c r="C477" s="4"/>
      <c r="D477" s="4"/>
      <c r="E477" s="4"/>
      <c r="F477" s="5"/>
      <c r="G477" s="5"/>
      <c r="H477" s="5" t="str">
        <f t="shared" si="7"/>
        <v/>
      </c>
      <c r="I477" s="4"/>
    </row>
    <row r="478" spans="1:10" x14ac:dyDescent="0.2">
      <c r="A478" s="130"/>
      <c r="B478" s="4"/>
      <c r="C478" s="4"/>
      <c r="D478" s="4"/>
      <c r="E478" s="4"/>
      <c r="F478" s="5"/>
      <c r="G478" s="5"/>
      <c r="H478" s="5" t="str">
        <f t="shared" si="7"/>
        <v/>
      </c>
      <c r="I478" s="4"/>
    </row>
    <row r="479" spans="1:10" x14ac:dyDescent="0.2">
      <c r="A479" s="130"/>
      <c r="B479" s="4"/>
      <c r="C479" s="4"/>
      <c r="D479" s="4"/>
      <c r="E479" s="4"/>
      <c r="F479" s="5"/>
      <c r="G479" s="5"/>
      <c r="H479" s="5" t="str">
        <f t="shared" si="7"/>
        <v/>
      </c>
      <c r="I479" s="4"/>
    </row>
    <row r="480" spans="1:10" x14ac:dyDescent="0.2">
      <c r="A480" s="130"/>
      <c r="B480" s="4"/>
      <c r="C480" s="4"/>
      <c r="D480" s="4"/>
      <c r="E480" s="4"/>
      <c r="F480" s="5"/>
      <c r="G480" s="5"/>
      <c r="H480" s="5" t="str">
        <f t="shared" si="7"/>
        <v/>
      </c>
      <c r="I480" s="4"/>
    </row>
    <row r="481" spans="1:9" x14ac:dyDescent="0.2">
      <c r="A481" s="130"/>
      <c r="B481" s="4"/>
      <c r="C481" s="4"/>
      <c r="D481" s="4"/>
      <c r="E481" s="4"/>
      <c r="F481" s="5"/>
      <c r="G481" s="5"/>
      <c r="H481" s="5" t="str">
        <f t="shared" si="7"/>
        <v/>
      </c>
      <c r="I481" s="4"/>
    </row>
    <row r="482" spans="1:9" x14ac:dyDescent="0.2">
      <c r="A482" s="130"/>
      <c r="B482" s="4"/>
      <c r="C482" s="4"/>
      <c r="D482" s="4"/>
      <c r="E482" s="4"/>
      <c r="F482" s="5"/>
      <c r="G482" s="5"/>
      <c r="H482" s="5" t="str">
        <f t="shared" si="7"/>
        <v/>
      </c>
      <c r="I482" s="4"/>
    </row>
    <row r="483" spans="1:9" x14ac:dyDescent="0.2">
      <c r="A483" s="130"/>
      <c r="B483" s="4"/>
      <c r="C483" s="4"/>
      <c r="D483" s="4"/>
      <c r="E483" s="4"/>
      <c r="F483" s="5"/>
      <c r="G483" s="5"/>
      <c r="H483" s="5" t="str">
        <f t="shared" si="7"/>
        <v/>
      </c>
      <c r="I483" s="4"/>
    </row>
    <row r="484" spans="1:9" x14ac:dyDescent="0.2">
      <c r="A484" s="130"/>
      <c r="B484" s="4"/>
      <c r="C484" s="4"/>
      <c r="D484" s="4"/>
      <c r="E484" s="4"/>
      <c r="F484" s="5"/>
      <c r="G484" s="5"/>
      <c r="H484" s="5" t="str">
        <f t="shared" si="7"/>
        <v/>
      </c>
      <c r="I484" s="4"/>
    </row>
    <row r="485" spans="1:9" x14ac:dyDescent="0.2">
      <c r="A485" s="130"/>
      <c r="B485" s="4"/>
      <c r="C485" s="4"/>
      <c r="D485" s="4"/>
      <c r="E485" s="4"/>
      <c r="F485" s="5"/>
      <c r="G485" s="5"/>
      <c r="H485" s="5" t="str">
        <f t="shared" si="7"/>
        <v/>
      </c>
      <c r="I485" s="4"/>
    </row>
    <row r="486" spans="1:9" x14ac:dyDescent="0.2">
      <c r="A486" s="130"/>
      <c r="B486" s="4"/>
      <c r="C486" s="4"/>
      <c r="D486" s="4"/>
      <c r="E486" s="4"/>
      <c r="F486" s="5"/>
      <c r="G486" s="5"/>
      <c r="H486" s="5" t="str">
        <f t="shared" si="7"/>
        <v/>
      </c>
      <c r="I486" s="4"/>
    </row>
    <row r="487" spans="1:9" x14ac:dyDescent="0.2">
      <c r="A487" s="130"/>
      <c r="B487" s="4"/>
      <c r="C487" s="4"/>
      <c r="D487" s="4"/>
      <c r="E487" s="4"/>
      <c r="F487" s="5"/>
      <c r="G487" s="5"/>
      <c r="H487" s="5" t="str">
        <f t="shared" si="7"/>
        <v/>
      </c>
      <c r="I487" s="4"/>
    </row>
    <row r="488" spans="1:9" x14ac:dyDescent="0.2">
      <c r="A488" s="130"/>
      <c r="B488" s="4"/>
      <c r="C488" s="4"/>
      <c r="D488" s="4"/>
      <c r="E488" s="4"/>
      <c r="F488" s="5"/>
      <c r="G488" s="5"/>
      <c r="H488" s="5" t="str">
        <f t="shared" si="7"/>
        <v/>
      </c>
      <c r="I488" s="4"/>
    </row>
    <row r="489" spans="1:9" x14ac:dyDescent="0.2">
      <c r="A489" s="130"/>
      <c r="B489" s="4"/>
      <c r="C489" s="4"/>
      <c r="D489" s="4"/>
      <c r="E489" s="4"/>
      <c r="F489" s="5"/>
      <c r="G489" s="5"/>
      <c r="H489" s="5" t="str">
        <f t="shared" si="7"/>
        <v/>
      </c>
      <c r="I489" s="4"/>
    </row>
    <row r="490" spans="1:9" x14ac:dyDescent="0.2">
      <c r="A490" s="130"/>
      <c r="B490" s="4"/>
      <c r="C490" s="4"/>
      <c r="D490" s="4"/>
      <c r="E490" s="4"/>
      <c r="F490" s="5"/>
      <c r="G490" s="5"/>
      <c r="H490" s="5" t="str">
        <f t="shared" si="7"/>
        <v/>
      </c>
      <c r="I490" s="4"/>
    </row>
    <row r="491" spans="1:9" x14ac:dyDescent="0.2">
      <c r="A491" s="130"/>
      <c r="B491" s="4"/>
      <c r="C491" s="4"/>
      <c r="D491" s="4"/>
      <c r="E491" s="4"/>
      <c r="F491" s="5"/>
      <c r="G491" s="5"/>
      <c r="H491" s="5" t="str">
        <f t="shared" si="7"/>
        <v/>
      </c>
      <c r="I491" s="4"/>
    </row>
    <row r="492" spans="1:9" x14ac:dyDescent="0.2">
      <c r="A492" s="130"/>
      <c r="B492" s="4"/>
      <c r="C492" s="4"/>
      <c r="D492" s="4"/>
      <c r="E492" s="4"/>
      <c r="F492" s="5"/>
      <c r="G492" s="5"/>
      <c r="H492" s="5" t="str">
        <f t="shared" si="7"/>
        <v/>
      </c>
      <c r="I492" s="4"/>
    </row>
    <row r="493" spans="1:9" x14ac:dyDescent="0.2">
      <c r="A493" s="130"/>
      <c r="B493" s="4"/>
      <c r="C493" s="4"/>
      <c r="D493" s="4"/>
      <c r="E493" s="4"/>
      <c r="F493" s="5"/>
      <c r="G493" s="5"/>
      <c r="H493" s="5" t="str">
        <f t="shared" si="7"/>
        <v/>
      </c>
      <c r="I493" s="4"/>
    </row>
    <row r="494" spans="1:9" x14ac:dyDescent="0.2">
      <c r="A494" s="130"/>
      <c r="B494" s="4"/>
      <c r="C494" s="4"/>
      <c r="D494" s="4"/>
      <c r="E494" s="4"/>
      <c r="F494" s="5"/>
      <c r="G494" s="5"/>
      <c r="H494" s="5" t="str">
        <f t="shared" si="7"/>
        <v/>
      </c>
      <c r="I494" s="4"/>
    </row>
    <row r="495" spans="1:9" x14ac:dyDescent="0.2">
      <c r="A495" s="130"/>
      <c r="B495" s="4"/>
      <c r="C495" s="4"/>
      <c r="D495" s="4"/>
      <c r="E495" s="4"/>
      <c r="F495" s="5"/>
      <c r="G495" s="5"/>
      <c r="H495" s="5" t="str">
        <f t="shared" si="7"/>
        <v/>
      </c>
      <c r="I495" s="4"/>
    </row>
    <row r="496" spans="1:9" x14ac:dyDescent="0.2">
      <c r="A496" s="130"/>
      <c r="B496" s="4"/>
      <c r="C496" s="4"/>
      <c r="D496" s="4"/>
      <c r="E496" s="4"/>
      <c r="F496" s="5"/>
      <c r="G496" s="5"/>
      <c r="H496" s="5" t="str">
        <f t="shared" si="7"/>
        <v/>
      </c>
      <c r="I496" s="4"/>
    </row>
    <row r="497" spans="1:9" x14ac:dyDescent="0.2">
      <c r="A497" s="130"/>
      <c r="B497" s="4"/>
      <c r="C497" s="4"/>
      <c r="D497" s="4"/>
      <c r="E497" s="4"/>
      <c r="F497" s="5"/>
      <c r="G497" s="5"/>
      <c r="H497" s="5" t="str">
        <f t="shared" si="7"/>
        <v/>
      </c>
      <c r="I497" s="4"/>
    </row>
    <row r="498" spans="1:9" x14ac:dyDescent="0.2">
      <c r="A498" s="130"/>
      <c r="B498" s="4"/>
      <c r="C498" s="4"/>
      <c r="D498" s="4"/>
      <c r="E498" s="4"/>
      <c r="F498" s="5"/>
      <c r="G498" s="5"/>
      <c r="H498" s="5" t="str">
        <f t="shared" si="7"/>
        <v/>
      </c>
      <c r="I498" s="4"/>
    </row>
    <row r="499" spans="1:9" x14ac:dyDescent="0.2">
      <c r="A499" s="130"/>
      <c r="B499" s="4"/>
      <c r="C499" s="4"/>
      <c r="D499" s="4"/>
      <c r="E499" s="4"/>
      <c r="F499" s="5"/>
      <c r="G499" s="5"/>
      <c r="H499" s="5" t="str">
        <f t="shared" si="7"/>
        <v/>
      </c>
      <c r="I499" s="4"/>
    </row>
    <row r="500" spans="1:9" x14ac:dyDescent="0.2">
      <c r="A500" s="130"/>
      <c r="B500" s="4"/>
      <c r="C500" s="4"/>
      <c r="D500" s="4"/>
      <c r="E500" s="4"/>
      <c r="F500" s="5"/>
      <c r="G500" s="5"/>
      <c r="H500" s="5" t="str">
        <f t="shared" si="7"/>
        <v/>
      </c>
      <c r="I500" s="4"/>
    </row>
    <row r="501" spans="1:9" x14ac:dyDescent="0.2">
      <c r="A501" s="130"/>
      <c r="B501" s="4"/>
      <c r="C501" s="4"/>
      <c r="D501" s="4"/>
      <c r="E501" s="4"/>
      <c r="F501" s="5"/>
      <c r="G501" s="5"/>
      <c r="H501" s="5" t="str">
        <f t="shared" si="7"/>
        <v/>
      </c>
      <c r="I501" s="4"/>
    </row>
    <row r="502" spans="1:9" x14ac:dyDescent="0.2">
      <c r="A502" s="130"/>
      <c r="B502" s="4"/>
      <c r="C502" s="4"/>
      <c r="D502" s="4"/>
      <c r="E502" s="4"/>
      <c r="F502" s="5"/>
      <c r="G502" s="5"/>
      <c r="H502" s="5" t="str">
        <f t="shared" si="7"/>
        <v/>
      </c>
      <c r="I502" s="4"/>
    </row>
    <row r="503" spans="1:9" ht="24" customHeight="1" x14ac:dyDescent="0.2">
      <c r="A503" s="38"/>
      <c r="B503" s="39"/>
      <c r="C503" s="38"/>
      <c r="D503" s="38"/>
      <c r="E503" s="38"/>
      <c r="F503" s="40"/>
      <c r="G503" s="40"/>
      <c r="H503" s="38"/>
      <c r="I503" s="38"/>
    </row>
  </sheetData>
  <mergeCells count="1">
    <mergeCell ref="A1:I1"/>
  </mergeCells>
  <conditionalFormatting sqref="A468:B473">
    <cfRule type="expression" dxfId="6" priority="3">
      <formula>AND($A468&lt;&gt;"",MOD(ROW(),2)=0)</formula>
    </cfRule>
  </conditionalFormatting>
  <conditionalFormatting sqref="A3:I502">
    <cfRule type="expression" dxfId="5" priority="5">
      <formula>AND($A3&lt;&gt;"",MOD(ROW(),2)=0)</formula>
    </cfRule>
  </conditionalFormatting>
  <conditionalFormatting sqref="D468:E473">
    <cfRule type="expression" dxfId="4" priority="1">
      <formula>AND($A468&lt;&gt;"",MOD(ROW(),2)=0)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Settings!$G$16:$G$23</xm:f>
          </x14:formula1>
          <xm:sqref>C3:C502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6B75"/>
    <pageSetUpPr fitToPage="1"/>
  </sheetPr>
  <dimension ref="A1:N80"/>
  <sheetViews>
    <sheetView showGridLines="0" workbookViewId="0">
      <selection activeCell="D6" sqref="D6"/>
    </sheetView>
  </sheetViews>
  <sheetFormatPr baseColWidth="10" defaultColWidth="8.83203125" defaultRowHeight="15" x14ac:dyDescent="0.2"/>
  <cols>
    <col min="1" max="2" width="14" customWidth="1"/>
    <col min="3" max="3" width="16" customWidth="1"/>
    <col min="4" max="4" width="26" customWidth="1"/>
    <col min="5" max="6" width="14" customWidth="1"/>
    <col min="7" max="7" width="16" customWidth="1"/>
    <col min="13" max="14" width="13" hidden="1" customWidth="1"/>
  </cols>
  <sheetData>
    <row r="1" spans="1:14" x14ac:dyDescent="0.2">
      <c r="A1" s="166" t="str">
        <f>BizName</f>
        <v>[Your Dairy Plant Name]</v>
      </c>
      <c r="B1" s="153"/>
      <c r="C1" s="153"/>
      <c r="D1" s="153"/>
      <c r="E1" s="153"/>
      <c r="F1" s="153"/>
      <c r="G1" s="153"/>
    </row>
    <row r="2" spans="1:14" x14ac:dyDescent="0.2">
      <c r="A2" s="168" t="str">
        <f>"Phone: "&amp;Settings!B9&amp;"  |  PAN/VAT: "&amp;Settings!B11</f>
        <v>Phone: [Email Address]  |  PAN/VAT: [Registration No]</v>
      </c>
      <c r="B2" s="153"/>
      <c r="C2" s="153"/>
      <c r="D2" s="153"/>
      <c r="E2" s="153"/>
      <c r="F2" s="153"/>
      <c r="G2" s="153"/>
    </row>
    <row r="3" spans="1:14" ht="26" customHeight="1" x14ac:dyDescent="0.2">
      <c r="A3" s="167" t="s">
        <v>650</v>
      </c>
      <c r="B3" s="153"/>
      <c r="C3" s="153"/>
      <c r="D3" s="153"/>
      <c r="E3" s="153"/>
      <c r="F3" s="153"/>
      <c r="G3" s="153"/>
      <c r="M3" t="s">
        <v>651</v>
      </c>
      <c r="N3" t="s">
        <v>652</v>
      </c>
    </row>
    <row r="4" spans="1:14" x14ac:dyDescent="0.2">
      <c r="M4" t="s">
        <v>653</v>
      </c>
      <c r="N4" t="s">
        <v>654</v>
      </c>
    </row>
    <row r="5" spans="1:14" ht="34" customHeight="1" x14ac:dyDescent="0.2">
      <c r="A5" s="1" t="s">
        <v>655</v>
      </c>
      <c r="B5" s="42" t="s">
        <v>95</v>
      </c>
      <c r="E5" s="43" t="s">
        <v>656</v>
      </c>
      <c r="F5" s="44">
        <f>SUMIFS(Party_Ledger!$F:$F,Party_Ledger!$B:$B,$B$5,Party_Ledger!$A:$A,"&lt;"&amp;$B$6)-SUMIFS(Party_Ledger!$G:$G,Party_Ledger!$B:$B,$B$5,Party_Ledger!$A:$A,"&lt;"&amp;$B$6)</f>
        <v>0</v>
      </c>
      <c r="M5" t="s">
        <v>657</v>
      </c>
      <c r="N5" t="s">
        <v>658</v>
      </c>
    </row>
    <row r="6" spans="1:14" x14ac:dyDescent="0.2">
      <c r="A6" s="45" t="s">
        <v>22</v>
      </c>
      <c r="B6" s="138">
        <v>66916</v>
      </c>
      <c r="C6" s="45" t="s">
        <v>23</v>
      </c>
      <c r="D6" s="138">
        <v>66931</v>
      </c>
      <c r="E6" s="43" t="s">
        <v>659</v>
      </c>
      <c r="F6" s="44">
        <f>SUMIFS(Party_Ledger!$F:$F,Party_Ledger!$B:$B,$B$5,Party_Ledger!$A:$A,"&gt;="&amp;$B$6,Party_Ledger!$A:$A,"&lt;="&amp;$D$6)</f>
        <v>10370</v>
      </c>
      <c r="M6" t="s">
        <v>660</v>
      </c>
      <c r="N6" t="s">
        <v>661</v>
      </c>
    </row>
    <row r="7" spans="1:14" x14ac:dyDescent="0.2">
      <c r="A7" s="8" t="str">
        <f>"Period: "&amp;TEXT($B$6,"dd-mmm-yyyy")&amp;"  to  "&amp;TEXT($D$6,"dd-mmm-yyyy")</f>
        <v>Period: 16-Mar-2083  to  31-Mar-2083</v>
      </c>
      <c r="E7" s="43" t="s">
        <v>662</v>
      </c>
      <c r="F7" s="44">
        <f>SUMIFS(Party_Ledger!$G:$G,Party_Ledger!$B:$B,$B$5,Party_Ledger!$A:$A,"&gt;="&amp;$B$6,Party_Ledger!$A:$A,"&lt;="&amp;$D$6)</f>
        <v>0</v>
      </c>
      <c r="M7" t="s">
        <v>663</v>
      </c>
      <c r="N7" t="s">
        <v>664</v>
      </c>
    </row>
    <row r="8" spans="1:14" x14ac:dyDescent="0.2">
      <c r="E8" s="46" t="s">
        <v>665</v>
      </c>
      <c r="F8" s="47">
        <f>F5+F6-F7</f>
        <v>10370</v>
      </c>
      <c r="M8" t="s">
        <v>666</v>
      </c>
      <c r="N8" t="s">
        <v>667</v>
      </c>
    </row>
    <row r="9" spans="1:14" x14ac:dyDescent="0.2">
      <c r="E9" s="43" t="s">
        <v>668</v>
      </c>
      <c r="F9" s="48" t="str">
        <f>IF(ROUND(F8,0)=0,"Settled",IF(F8&gt;0,"Receivable","Payable/Advance"))</f>
        <v>Receivable</v>
      </c>
      <c r="M9" t="s">
        <v>669</v>
      </c>
      <c r="N9" t="s">
        <v>670</v>
      </c>
    </row>
    <row r="10" spans="1:14" x14ac:dyDescent="0.2">
      <c r="M10" t="s">
        <v>671</v>
      </c>
      <c r="N10" t="s">
        <v>672</v>
      </c>
    </row>
    <row r="11" spans="1:14" ht="28" customHeight="1" x14ac:dyDescent="0.2">
      <c r="A11" s="3" t="s">
        <v>11</v>
      </c>
      <c r="B11" s="3" t="s">
        <v>635</v>
      </c>
      <c r="C11" s="3" t="s">
        <v>605</v>
      </c>
      <c r="D11" s="3" t="s">
        <v>636</v>
      </c>
      <c r="E11" s="3" t="s">
        <v>637</v>
      </c>
      <c r="F11" s="3" t="s">
        <v>61</v>
      </c>
      <c r="G11" s="3" t="s">
        <v>606</v>
      </c>
      <c r="M11" t="s">
        <v>673</v>
      </c>
    </row>
    <row r="12" spans="1:14" x14ac:dyDescent="0.2">
      <c r="A12" s="49"/>
      <c r="B12" s="49"/>
      <c r="C12" s="49"/>
      <c r="D12" s="50" t="s">
        <v>674</v>
      </c>
      <c r="E12" s="49"/>
      <c r="F12" s="49"/>
      <c r="G12" s="51">
        <f>F5</f>
        <v>0</v>
      </c>
      <c r="M12" t="s">
        <v>675</v>
      </c>
    </row>
    <row r="13" spans="1:14" x14ac:dyDescent="0.2">
      <c r="A13" s="139">
        <f>IFERROR(INDEX(Party_Ledger!$A$3:$A$467,MATCH(1,Party_Ledger!$J$3:$J$467,0)),"")</f>
        <v>66916</v>
      </c>
      <c r="B13" s="76" t="str">
        <f>IFERROR(INDEX(Party_Ledger!$C$3:$C$467,MATCH(1,Party_Ledger!$J$3:$J$467,0)),"")</f>
        <v>Sale</v>
      </c>
      <c r="C13" s="76" t="str">
        <f>IFERROR(INDEX(Party_Ledger!$D$3:$D$467,MATCH(1,Party_Ledger!$J$3:$J$467,0)),"")</f>
        <v>BILL-6016</v>
      </c>
      <c r="D13" s="77" t="str">
        <f>IFERROR(INDEX(Party_Ledger!$E$3:$E$467,MATCH(1,Party_Ledger!$J$3:$J$467,0)),"")</f>
        <v>Mix Milk sale</v>
      </c>
      <c r="E13" s="78">
        <f>IFERROR(INDEX(Party_Ledger!$F$3:$F$467,MATCH(1,Party_Ledger!$J$3:$J$467,0)),"")</f>
        <v>595</v>
      </c>
      <c r="F13" s="78">
        <f>IFERROR(INDEX(Party_Ledger!$G$3:$G$467,MATCH(1,Party_Ledger!$J$3:$J$467,0)),"")</f>
        <v>0</v>
      </c>
      <c r="G13" s="78">
        <f t="shared" ref="G13:G44" si="0">IF($A13="","",N($G12)+N($E13)-N($F13))</f>
        <v>595</v>
      </c>
      <c r="M13" t="s">
        <v>676</v>
      </c>
    </row>
    <row r="14" spans="1:14" x14ac:dyDescent="0.2">
      <c r="A14" s="139">
        <f>IFERROR(INDEX(Party_Ledger!$A$3:$A$467,MATCH(2,Party_Ledger!$J$3:$J$467,0)),"")</f>
        <v>66917</v>
      </c>
      <c r="B14" s="76" t="str">
        <f>IFERROR(INDEX(Party_Ledger!$C$3:$C$467,MATCH(2,Party_Ledger!$J$3:$J$467,0)),"")</f>
        <v>Sale</v>
      </c>
      <c r="C14" s="76" t="str">
        <f>IFERROR(INDEX(Party_Ledger!$D$3:$D$467,MATCH(2,Party_Ledger!$J$3:$J$467,0)),"")</f>
        <v>BILL-6037</v>
      </c>
      <c r="D14" s="77" t="str">
        <f>IFERROR(INDEX(Party_Ledger!$E$3:$E$467,MATCH(2,Party_Ledger!$J$3:$J$467,0)),"")</f>
        <v>Mix Milk sale</v>
      </c>
      <c r="E14" s="78">
        <f>IFERROR(INDEX(Party_Ledger!$F$3:$F$467,MATCH(2,Party_Ledger!$J$3:$J$467,0)),"")</f>
        <v>680</v>
      </c>
      <c r="F14" s="78">
        <f>IFERROR(INDEX(Party_Ledger!$G$3:$G$467,MATCH(2,Party_Ledger!$J$3:$J$467,0)),"")</f>
        <v>0</v>
      </c>
      <c r="G14" s="78">
        <f t="shared" si="0"/>
        <v>1275</v>
      </c>
      <c r="M14" t="s">
        <v>677</v>
      </c>
    </row>
    <row r="15" spans="1:14" x14ac:dyDescent="0.2">
      <c r="A15" s="139">
        <f>IFERROR(INDEX(Party_Ledger!$A$3:$A$467,MATCH(3,Party_Ledger!$J$3:$J$467,0)),"")</f>
        <v>66918</v>
      </c>
      <c r="B15" s="76" t="str">
        <f>IFERROR(INDEX(Party_Ledger!$C$3:$C$467,MATCH(3,Party_Ledger!$J$3:$J$467,0)),"")</f>
        <v>Sale</v>
      </c>
      <c r="C15" s="76" t="str">
        <f>IFERROR(INDEX(Party_Ledger!$D$3:$D$467,MATCH(3,Party_Ledger!$J$3:$J$467,0)),"")</f>
        <v>BILL-6054</v>
      </c>
      <c r="D15" s="77" t="str">
        <f>IFERROR(INDEX(Party_Ledger!$E$3:$E$467,MATCH(3,Party_Ledger!$J$3:$J$467,0)),"")</f>
        <v>Mix Milk sale</v>
      </c>
      <c r="E15" s="78">
        <f>IFERROR(INDEX(Party_Ledger!$F$3:$F$467,MATCH(3,Party_Ledger!$J$3:$J$467,0)),"")</f>
        <v>680</v>
      </c>
      <c r="F15" s="78">
        <f>IFERROR(INDEX(Party_Ledger!$G$3:$G$467,MATCH(3,Party_Ledger!$J$3:$J$467,0)),"")</f>
        <v>0</v>
      </c>
      <c r="G15" s="78">
        <f t="shared" si="0"/>
        <v>1955</v>
      </c>
      <c r="M15" t="s">
        <v>678</v>
      </c>
    </row>
    <row r="16" spans="1:14" x14ac:dyDescent="0.2">
      <c r="A16" s="139">
        <f>IFERROR(INDEX(Party_Ledger!$A$3:$A$467,MATCH(4,Party_Ledger!$J$3:$J$467,0)),"")</f>
        <v>66919</v>
      </c>
      <c r="B16" s="76" t="str">
        <f>IFERROR(INDEX(Party_Ledger!$C$3:$C$467,MATCH(4,Party_Ledger!$J$3:$J$467,0)),"")</f>
        <v>Sale</v>
      </c>
      <c r="C16" s="76" t="str">
        <f>IFERROR(INDEX(Party_Ledger!$D$3:$D$467,MATCH(4,Party_Ledger!$J$3:$J$467,0)),"")</f>
        <v>BILL-6071</v>
      </c>
      <c r="D16" s="77" t="str">
        <f>IFERROR(INDEX(Party_Ledger!$E$3:$E$467,MATCH(4,Party_Ledger!$J$3:$J$467,0)),"")</f>
        <v>Mix Milk sale</v>
      </c>
      <c r="E16" s="78">
        <f>IFERROR(INDEX(Party_Ledger!$F$3:$F$467,MATCH(4,Party_Ledger!$J$3:$J$467,0)),"")</f>
        <v>680</v>
      </c>
      <c r="F16" s="78">
        <f>IFERROR(INDEX(Party_Ledger!$G$3:$G$467,MATCH(4,Party_Ledger!$J$3:$J$467,0)),"")</f>
        <v>0</v>
      </c>
      <c r="G16" s="78">
        <f t="shared" si="0"/>
        <v>2635</v>
      </c>
      <c r="M16" t="s">
        <v>679</v>
      </c>
    </row>
    <row r="17" spans="1:13" x14ac:dyDescent="0.2">
      <c r="A17" s="139">
        <f>IFERROR(INDEX(Party_Ledger!$A$3:$A$467,MATCH(5,Party_Ledger!$J$3:$J$467,0)),"")</f>
        <v>66920</v>
      </c>
      <c r="B17" s="76" t="str">
        <f>IFERROR(INDEX(Party_Ledger!$C$3:$C$467,MATCH(5,Party_Ledger!$J$3:$J$467,0)),"")</f>
        <v>Sale</v>
      </c>
      <c r="C17" s="76" t="str">
        <f>IFERROR(INDEX(Party_Ledger!$D$3:$D$467,MATCH(5,Party_Ledger!$J$3:$J$467,0)),"")</f>
        <v>BILL-6092</v>
      </c>
      <c r="D17" s="77" t="str">
        <f>IFERROR(INDEX(Party_Ledger!$E$3:$E$467,MATCH(5,Party_Ledger!$J$3:$J$467,0)),"")</f>
        <v>Mix Milk sale</v>
      </c>
      <c r="E17" s="78">
        <f>IFERROR(INDEX(Party_Ledger!$F$3:$F$467,MATCH(5,Party_Ledger!$J$3:$J$467,0)),"")</f>
        <v>680</v>
      </c>
      <c r="F17" s="78">
        <f>IFERROR(INDEX(Party_Ledger!$G$3:$G$467,MATCH(5,Party_Ledger!$J$3:$J$467,0)),"")</f>
        <v>0</v>
      </c>
      <c r="G17" s="78">
        <f t="shared" si="0"/>
        <v>3315</v>
      </c>
      <c r="M17" t="s">
        <v>680</v>
      </c>
    </row>
    <row r="18" spans="1:13" x14ac:dyDescent="0.2">
      <c r="A18" s="139">
        <f>IFERROR(INDEX(Party_Ledger!$A$3:$A$467,MATCH(6,Party_Ledger!$J$3:$J$467,0)),"")</f>
        <v>66921</v>
      </c>
      <c r="B18" s="76" t="str">
        <f>IFERROR(INDEX(Party_Ledger!$C$3:$C$467,MATCH(6,Party_Ledger!$J$3:$J$467,0)),"")</f>
        <v>Sale</v>
      </c>
      <c r="C18" s="76" t="str">
        <f>IFERROR(INDEX(Party_Ledger!$D$3:$D$467,MATCH(6,Party_Ledger!$J$3:$J$467,0)),"")</f>
        <v>BILL-6112</v>
      </c>
      <c r="D18" s="77" t="str">
        <f>IFERROR(INDEX(Party_Ledger!$E$3:$E$467,MATCH(6,Party_Ledger!$J$3:$J$467,0)),"")</f>
        <v>Mix Milk sale</v>
      </c>
      <c r="E18" s="78">
        <f>IFERROR(INDEX(Party_Ledger!$F$3:$F$467,MATCH(6,Party_Ledger!$J$3:$J$467,0)),"")</f>
        <v>680</v>
      </c>
      <c r="F18" s="78">
        <f>IFERROR(INDEX(Party_Ledger!$G$3:$G$467,MATCH(6,Party_Ledger!$J$3:$J$467,0)),"")</f>
        <v>0</v>
      </c>
      <c r="G18" s="78">
        <f t="shared" si="0"/>
        <v>3995</v>
      </c>
      <c r="M18" t="s">
        <v>681</v>
      </c>
    </row>
    <row r="19" spans="1:13" x14ac:dyDescent="0.2">
      <c r="A19" s="139">
        <f>IFERROR(INDEX(Party_Ledger!$A$3:$A$467,MATCH(7,Party_Ledger!$J$3:$J$467,0)),"")</f>
        <v>66922</v>
      </c>
      <c r="B19" s="76" t="str">
        <f>IFERROR(INDEX(Party_Ledger!$C$3:$C$467,MATCH(7,Party_Ledger!$J$3:$J$467,0)),"")</f>
        <v>Sale</v>
      </c>
      <c r="C19" s="76" t="str">
        <f>IFERROR(INDEX(Party_Ledger!$D$3:$D$467,MATCH(7,Party_Ledger!$J$3:$J$467,0)),"")</f>
        <v>BILL-6134</v>
      </c>
      <c r="D19" s="77" t="str">
        <f>IFERROR(INDEX(Party_Ledger!$E$3:$E$467,MATCH(7,Party_Ledger!$J$3:$J$467,0)),"")</f>
        <v>Mix Milk sale</v>
      </c>
      <c r="E19" s="78">
        <f>IFERROR(INDEX(Party_Ledger!$F$3:$F$467,MATCH(7,Party_Ledger!$J$3:$J$467,0)),"")</f>
        <v>680</v>
      </c>
      <c r="F19" s="78">
        <f>IFERROR(INDEX(Party_Ledger!$G$3:$G$467,MATCH(7,Party_Ledger!$J$3:$J$467,0)),"")</f>
        <v>0</v>
      </c>
      <c r="G19" s="78">
        <f t="shared" si="0"/>
        <v>4675</v>
      </c>
      <c r="M19" t="s">
        <v>682</v>
      </c>
    </row>
    <row r="20" spans="1:13" x14ac:dyDescent="0.2">
      <c r="A20" s="139">
        <f>IFERROR(INDEX(Party_Ledger!$A$3:$A$467,MATCH(8,Party_Ledger!$J$3:$J$467,0)),"")</f>
        <v>66923</v>
      </c>
      <c r="B20" s="76" t="str">
        <f>IFERROR(INDEX(Party_Ledger!$C$3:$C$467,MATCH(8,Party_Ledger!$J$3:$J$467,0)),"")</f>
        <v>Sale</v>
      </c>
      <c r="C20" s="76" t="str">
        <f>IFERROR(INDEX(Party_Ledger!$D$3:$D$467,MATCH(8,Party_Ledger!$J$3:$J$467,0)),"")</f>
        <v>BILL-6152</v>
      </c>
      <c r="D20" s="77" t="str">
        <f>IFERROR(INDEX(Party_Ledger!$E$3:$E$467,MATCH(8,Party_Ledger!$J$3:$J$467,0)),"")</f>
        <v>Mix Milk sale</v>
      </c>
      <c r="E20" s="78">
        <f>IFERROR(INDEX(Party_Ledger!$F$3:$F$467,MATCH(8,Party_Ledger!$J$3:$J$467,0)),"")</f>
        <v>680</v>
      </c>
      <c r="F20" s="78">
        <f>IFERROR(INDEX(Party_Ledger!$G$3:$G$467,MATCH(8,Party_Ledger!$J$3:$J$467,0)),"")</f>
        <v>0</v>
      </c>
      <c r="G20" s="78">
        <f t="shared" si="0"/>
        <v>5355</v>
      </c>
      <c r="M20" t="s">
        <v>683</v>
      </c>
    </row>
    <row r="21" spans="1:13" x14ac:dyDescent="0.2">
      <c r="A21" s="139">
        <f>IFERROR(INDEX(Party_Ledger!$A$3:$A$467,MATCH(9,Party_Ledger!$J$3:$J$467,0)),"")</f>
        <v>66924</v>
      </c>
      <c r="B21" s="76" t="str">
        <f>IFERROR(INDEX(Party_Ledger!$C$3:$C$467,MATCH(9,Party_Ledger!$J$3:$J$467,0)),"")</f>
        <v>Sale</v>
      </c>
      <c r="C21" s="76" t="str">
        <f>IFERROR(INDEX(Party_Ledger!$D$3:$D$467,MATCH(9,Party_Ledger!$J$3:$J$467,0)),"")</f>
        <v>BILL-6176</v>
      </c>
      <c r="D21" s="77" t="str">
        <f>IFERROR(INDEX(Party_Ledger!$E$3:$E$467,MATCH(9,Party_Ledger!$J$3:$J$467,0)),"")</f>
        <v>Mix Milk sale</v>
      </c>
      <c r="E21" s="78">
        <f>IFERROR(INDEX(Party_Ledger!$F$3:$F$467,MATCH(9,Party_Ledger!$J$3:$J$467,0)),"")</f>
        <v>680</v>
      </c>
      <c r="F21" s="78">
        <f>IFERROR(INDEX(Party_Ledger!$G$3:$G$467,MATCH(9,Party_Ledger!$J$3:$J$467,0)),"")</f>
        <v>0</v>
      </c>
      <c r="G21" s="78">
        <f t="shared" si="0"/>
        <v>6035</v>
      </c>
      <c r="M21" t="s">
        <v>684</v>
      </c>
    </row>
    <row r="22" spans="1:13" x14ac:dyDescent="0.2">
      <c r="A22" s="139">
        <f>IFERROR(INDEX(Party_Ledger!$A$3:$A$467,MATCH(10,Party_Ledger!$J$3:$J$467,0)),"")</f>
        <v>66925</v>
      </c>
      <c r="B22" s="76" t="str">
        <f>IFERROR(INDEX(Party_Ledger!$C$3:$C$467,MATCH(10,Party_Ledger!$J$3:$J$467,0)),"")</f>
        <v>Sale</v>
      </c>
      <c r="C22" s="76" t="str">
        <f>IFERROR(INDEX(Party_Ledger!$D$3:$D$467,MATCH(10,Party_Ledger!$J$3:$J$467,0)),"")</f>
        <v>BILL-6196</v>
      </c>
      <c r="D22" s="77" t="str">
        <f>IFERROR(INDEX(Party_Ledger!$E$3:$E$467,MATCH(10,Party_Ledger!$J$3:$J$467,0)),"")</f>
        <v>Mix Milk sale</v>
      </c>
      <c r="E22" s="78">
        <f>IFERROR(INDEX(Party_Ledger!$F$3:$F$467,MATCH(10,Party_Ledger!$J$3:$J$467,0)),"")</f>
        <v>680</v>
      </c>
      <c r="F22" s="78">
        <f>IFERROR(INDEX(Party_Ledger!$G$3:$G$467,MATCH(10,Party_Ledger!$J$3:$J$467,0)),"")</f>
        <v>0</v>
      </c>
      <c r="G22" s="78">
        <f t="shared" si="0"/>
        <v>6715</v>
      </c>
    </row>
    <row r="23" spans="1:13" x14ac:dyDescent="0.2">
      <c r="A23" s="139">
        <f>IFERROR(INDEX(Party_Ledger!$A$3:$A$467,MATCH(11,Party_Ledger!$J$3:$J$467,0)),"")</f>
        <v>66926</v>
      </c>
      <c r="B23" s="76" t="str">
        <f>IFERROR(INDEX(Party_Ledger!$C$3:$C$467,MATCH(11,Party_Ledger!$J$3:$J$467,0)),"")</f>
        <v>Sale</v>
      </c>
      <c r="C23" s="76" t="str">
        <f>IFERROR(INDEX(Party_Ledger!$D$3:$D$467,MATCH(11,Party_Ledger!$J$3:$J$467,0)),"")</f>
        <v>BILL-6199</v>
      </c>
      <c r="D23" s="77" t="str">
        <f>IFERROR(INDEX(Party_Ledger!$E$3:$E$467,MATCH(11,Party_Ledger!$J$3:$J$467,0)),"")</f>
        <v>Mix Milk sale</v>
      </c>
      <c r="E23" s="78">
        <f>IFERROR(INDEX(Party_Ledger!$F$3:$F$467,MATCH(11,Party_Ledger!$J$3:$J$467,0)),"")</f>
        <v>680</v>
      </c>
      <c r="F23" s="78">
        <f>IFERROR(INDEX(Party_Ledger!$G$3:$G$467,MATCH(11,Party_Ledger!$J$3:$J$467,0)),"")</f>
        <v>0</v>
      </c>
      <c r="G23" s="78">
        <f t="shared" si="0"/>
        <v>7395</v>
      </c>
    </row>
    <row r="24" spans="1:13" x14ac:dyDescent="0.2">
      <c r="A24" s="139">
        <f>IFERROR(INDEX(Party_Ledger!$A$3:$A$467,MATCH(12,Party_Ledger!$J$3:$J$467,0)),"")</f>
        <v>66927</v>
      </c>
      <c r="B24" s="76" t="str">
        <f>IFERROR(INDEX(Party_Ledger!$C$3:$C$467,MATCH(12,Party_Ledger!$J$3:$J$467,0)),"")</f>
        <v>Sale</v>
      </c>
      <c r="C24" s="76" t="str">
        <f>IFERROR(INDEX(Party_Ledger!$D$3:$D$467,MATCH(12,Party_Ledger!$J$3:$J$467,0)),"")</f>
        <v>BILL-6360</v>
      </c>
      <c r="D24" s="77" t="str">
        <f>IFERROR(INDEX(Party_Ledger!$E$3:$E$467,MATCH(12,Party_Ledger!$J$3:$J$467,0)),"")</f>
        <v>Mix Milk sale</v>
      </c>
      <c r="E24" s="78">
        <f>IFERROR(INDEX(Party_Ledger!$F$3:$F$467,MATCH(12,Party_Ledger!$J$3:$J$467,0)),"")</f>
        <v>680</v>
      </c>
      <c r="F24" s="78">
        <f>IFERROR(INDEX(Party_Ledger!$G$3:$G$467,MATCH(12,Party_Ledger!$J$3:$J$467,0)),"")</f>
        <v>0</v>
      </c>
      <c r="G24" s="78">
        <f t="shared" si="0"/>
        <v>8075</v>
      </c>
    </row>
    <row r="25" spans="1:13" x14ac:dyDescent="0.2">
      <c r="A25" s="139">
        <f>IFERROR(INDEX(Party_Ledger!$A$3:$A$467,MATCH(13,Party_Ledger!$J$3:$J$467,0)),"")</f>
        <v>66928</v>
      </c>
      <c r="B25" s="76" t="str">
        <f>IFERROR(INDEX(Party_Ledger!$C$3:$C$467,MATCH(13,Party_Ledger!$J$3:$J$467,0)),"")</f>
        <v>Sale</v>
      </c>
      <c r="C25" s="76" t="str">
        <f>IFERROR(INDEX(Party_Ledger!$D$3:$D$467,MATCH(13,Party_Ledger!$J$3:$J$467,0)),"")</f>
        <v>BILL-6245</v>
      </c>
      <c r="D25" s="77" t="str">
        <f>IFERROR(INDEX(Party_Ledger!$E$3:$E$467,MATCH(13,Party_Ledger!$J$3:$J$467,0)),"")</f>
        <v>Mix Milk sale</v>
      </c>
      <c r="E25" s="78">
        <f>IFERROR(INDEX(Party_Ledger!$F$3:$F$467,MATCH(13,Party_Ledger!$J$3:$J$467,0)),"")</f>
        <v>680</v>
      </c>
      <c r="F25" s="78">
        <f>IFERROR(INDEX(Party_Ledger!$G$3:$G$467,MATCH(13,Party_Ledger!$J$3:$J$467,0)),"")</f>
        <v>0</v>
      </c>
      <c r="G25" s="78">
        <f t="shared" si="0"/>
        <v>8755</v>
      </c>
    </row>
    <row r="26" spans="1:13" x14ac:dyDescent="0.2">
      <c r="A26" s="139">
        <f>IFERROR(INDEX(Party_Ledger!$A$3:$A$467,MATCH(14,Party_Ledger!$J$3:$J$467,0)),"")</f>
        <v>66929</v>
      </c>
      <c r="B26" s="76" t="str">
        <f>IFERROR(INDEX(Party_Ledger!$C$3:$C$467,MATCH(14,Party_Ledger!$J$3:$J$467,0)),"")</f>
        <v>Sale</v>
      </c>
      <c r="C26" s="76" t="str">
        <f>IFERROR(INDEX(Party_Ledger!$D$3:$D$467,MATCH(14,Party_Ledger!$J$3:$J$467,0)),"")</f>
        <v>BILL-6249</v>
      </c>
      <c r="D26" s="77" t="str">
        <f>IFERROR(INDEX(Party_Ledger!$E$3:$E$467,MATCH(14,Party_Ledger!$J$3:$J$467,0)),"")</f>
        <v>Mix Milk sale</v>
      </c>
      <c r="E26" s="78">
        <f>IFERROR(INDEX(Party_Ledger!$F$3:$F$467,MATCH(14,Party_Ledger!$J$3:$J$467,0)),"")</f>
        <v>510</v>
      </c>
      <c r="F26" s="78">
        <f>IFERROR(INDEX(Party_Ledger!$G$3:$G$467,MATCH(14,Party_Ledger!$J$3:$J$467,0)),"")</f>
        <v>0</v>
      </c>
      <c r="G26" s="78">
        <f t="shared" si="0"/>
        <v>9265</v>
      </c>
    </row>
    <row r="27" spans="1:13" x14ac:dyDescent="0.2">
      <c r="A27" s="139">
        <f>IFERROR(INDEX(Party_Ledger!$A$3:$A$467,MATCH(15,Party_Ledger!$J$3:$J$467,0)),"")</f>
        <v>66930</v>
      </c>
      <c r="B27" s="76" t="str">
        <f>IFERROR(INDEX(Party_Ledger!$C$3:$C$467,MATCH(15,Party_Ledger!$J$3:$J$467,0)),"")</f>
        <v>Sale</v>
      </c>
      <c r="C27" s="76" t="str">
        <f>IFERROR(INDEX(Party_Ledger!$D$3:$D$467,MATCH(15,Party_Ledger!$J$3:$J$467,0)),"")</f>
        <v>BILL-6278</v>
      </c>
      <c r="D27" s="77" t="str">
        <f>IFERROR(INDEX(Party_Ledger!$E$3:$E$467,MATCH(15,Party_Ledger!$J$3:$J$467,0)),"")</f>
        <v>Mix Milk sale</v>
      </c>
      <c r="E27" s="78">
        <f>IFERROR(INDEX(Party_Ledger!$F$3:$F$467,MATCH(15,Party_Ledger!$J$3:$J$467,0)),"")</f>
        <v>595</v>
      </c>
      <c r="F27" s="78">
        <f>IFERROR(INDEX(Party_Ledger!$G$3:$G$467,MATCH(15,Party_Ledger!$J$3:$J$467,0)),"")</f>
        <v>0</v>
      </c>
      <c r="G27" s="78">
        <f t="shared" si="0"/>
        <v>9860</v>
      </c>
    </row>
    <row r="28" spans="1:13" x14ac:dyDescent="0.2">
      <c r="A28" s="139">
        <f>IFERROR(INDEX(Party_Ledger!$A$3:$A$467,MATCH(16,Party_Ledger!$J$3:$J$467,0)),"")</f>
        <v>66931</v>
      </c>
      <c r="B28" s="76" t="str">
        <f>IFERROR(INDEX(Party_Ledger!$C$3:$C$467,MATCH(16,Party_Ledger!$J$3:$J$467,0)),"")</f>
        <v>Sale</v>
      </c>
      <c r="C28" s="76" t="str">
        <f>IFERROR(INDEX(Party_Ledger!$D$3:$D$467,MATCH(16,Party_Ledger!$J$3:$J$467,0)),"")</f>
        <v>BILL-6297</v>
      </c>
      <c r="D28" s="77" t="str">
        <f>IFERROR(INDEX(Party_Ledger!$E$3:$E$467,MATCH(16,Party_Ledger!$J$3:$J$467,0)),"")</f>
        <v>Mix Milk sale</v>
      </c>
      <c r="E28" s="78">
        <f>IFERROR(INDEX(Party_Ledger!$F$3:$F$467,MATCH(16,Party_Ledger!$J$3:$J$467,0)),"")</f>
        <v>510</v>
      </c>
      <c r="F28" s="78">
        <f>IFERROR(INDEX(Party_Ledger!$G$3:$G$467,MATCH(16,Party_Ledger!$J$3:$J$467,0)),"")</f>
        <v>0</v>
      </c>
      <c r="G28" s="78">
        <f t="shared" si="0"/>
        <v>10370</v>
      </c>
    </row>
    <row r="29" spans="1:13" x14ac:dyDescent="0.2">
      <c r="A29" s="139" t="str">
        <f>IFERROR(INDEX(Party_Ledger!$A$3:$A$467,MATCH(17,Party_Ledger!$J$3:$J$467,0)),"")</f>
        <v/>
      </c>
      <c r="B29" s="76" t="str">
        <f>IFERROR(INDEX(Party_Ledger!$C$3:$C$467,MATCH(17,Party_Ledger!$J$3:$J$467,0)),"")</f>
        <v/>
      </c>
      <c r="C29" s="76" t="str">
        <f>IFERROR(INDEX(Party_Ledger!$D$3:$D$467,MATCH(17,Party_Ledger!$J$3:$J$467,0)),"")</f>
        <v/>
      </c>
      <c r="D29" s="77" t="str">
        <f>IFERROR(INDEX(Party_Ledger!$E$3:$E$467,MATCH(17,Party_Ledger!$J$3:$J$467,0)),"")</f>
        <v/>
      </c>
      <c r="E29" s="78" t="str">
        <f>IFERROR(INDEX(Party_Ledger!$F$3:$F$467,MATCH(17,Party_Ledger!$J$3:$J$467,0)),"")</f>
        <v/>
      </c>
      <c r="F29" s="78" t="str">
        <f>IFERROR(INDEX(Party_Ledger!$G$3:$G$467,MATCH(17,Party_Ledger!$J$3:$J$467,0)),"")</f>
        <v/>
      </c>
      <c r="G29" s="78" t="str">
        <f t="shared" si="0"/>
        <v/>
      </c>
    </row>
    <row r="30" spans="1:13" x14ac:dyDescent="0.2">
      <c r="A30" s="139" t="str">
        <f>IFERROR(INDEX(Party_Ledger!$A$3:$A$467,MATCH(18,Party_Ledger!$J$3:$J$467,0)),"")</f>
        <v/>
      </c>
      <c r="B30" s="76" t="str">
        <f>IFERROR(INDEX(Party_Ledger!$C$3:$C$467,MATCH(18,Party_Ledger!$J$3:$J$467,0)),"")</f>
        <v/>
      </c>
      <c r="C30" s="76" t="str">
        <f>IFERROR(INDEX(Party_Ledger!$D$3:$D$467,MATCH(18,Party_Ledger!$J$3:$J$467,0)),"")</f>
        <v/>
      </c>
      <c r="D30" s="77" t="str">
        <f>IFERROR(INDEX(Party_Ledger!$E$3:$E$467,MATCH(18,Party_Ledger!$J$3:$J$467,0)),"")</f>
        <v/>
      </c>
      <c r="E30" s="78" t="str">
        <f>IFERROR(INDEX(Party_Ledger!$F$3:$F$467,MATCH(18,Party_Ledger!$J$3:$J$467,0)),"")</f>
        <v/>
      </c>
      <c r="F30" s="78" t="str">
        <f>IFERROR(INDEX(Party_Ledger!$G$3:$G$467,MATCH(18,Party_Ledger!$J$3:$J$467,0)),"")</f>
        <v/>
      </c>
      <c r="G30" s="78" t="str">
        <f t="shared" si="0"/>
        <v/>
      </c>
    </row>
    <row r="31" spans="1:13" x14ac:dyDescent="0.2">
      <c r="A31" s="139" t="str">
        <f>IFERROR(INDEX(Party_Ledger!$A$3:$A$467,MATCH(19,Party_Ledger!$J$3:$J$467,0)),"")</f>
        <v/>
      </c>
      <c r="B31" s="76" t="str">
        <f>IFERROR(INDEX(Party_Ledger!$C$3:$C$467,MATCH(19,Party_Ledger!$J$3:$J$467,0)),"")</f>
        <v/>
      </c>
      <c r="C31" s="76" t="str">
        <f>IFERROR(INDEX(Party_Ledger!$D$3:$D$467,MATCH(19,Party_Ledger!$J$3:$J$467,0)),"")</f>
        <v/>
      </c>
      <c r="D31" s="77" t="str">
        <f>IFERROR(INDEX(Party_Ledger!$E$3:$E$467,MATCH(19,Party_Ledger!$J$3:$J$467,0)),"")</f>
        <v/>
      </c>
      <c r="E31" s="78" t="str">
        <f>IFERROR(INDEX(Party_Ledger!$F$3:$F$467,MATCH(19,Party_Ledger!$J$3:$J$467,0)),"")</f>
        <v/>
      </c>
      <c r="F31" s="78" t="str">
        <f>IFERROR(INDEX(Party_Ledger!$G$3:$G$467,MATCH(19,Party_Ledger!$J$3:$J$467,0)),"")</f>
        <v/>
      </c>
      <c r="G31" s="78" t="str">
        <f t="shared" si="0"/>
        <v/>
      </c>
    </row>
    <row r="32" spans="1:13" x14ac:dyDescent="0.2">
      <c r="A32" s="139" t="str">
        <f>IFERROR(INDEX(Party_Ledger!$A$3:$A$467,MATCH(20,Party_Ledger!$J$3:$J$467,0)),"")</f>
        <v/>
      </c>
      <c r="B32" s="76" t="str">
        <f>IFERROR(INDEX(Party_Ledger!$C$3:$C$467,MATCH(20,Party_Ledger!$J$3:$J$467,0)),"")</f>
        <v/>
      </c>
      <c r="C32" s="76" t="str">
        <f>IFERROR(INDEX(Party_Ledger!$D$3:$D$467,MATCH(20,Party_Ledger!$J$3:$J$467,0)),"")</f>
        <v/>
      </c>
      <c r="D32" s="77" t="str">
        <f>IFERROR(INDEX(Party_Ledger!$E$3:$E$467,MATCH(20,Party_Ledger!$J$3:$J$467,0)),"")</f>
        <v/>
      </c>
      <c r="E32" s="78" t="str">
        <f>IFERROR(INDEX(Party_Ledger!$F$3:$F$467,MATCH(20,Party_Ledger!$J$3:$J$467,0)),"")</f>
        <v/>
      </c>
      <c r="F32" s="78" t="str">
        <f>IFERROR(INDEX(Party_Ledger!$G$3:$G$467,MATCH(20,Party_Ledger!$J$3:$J$467,0)),"")</f>
        <v/>
      </c>
      <c r="G32" s="78" t="str">
        <f t="shared" si="0"/>
        <v/>
      </c>
    </row>
    <row r="33" spans="1:7" x14ac:dyDescent="0.2">
      <c r="A33" s="139" t="str">
        <f>IFERROR(INDEX(Party_Ledger!$A$3:$A$467,MATCH(21,Party_Ledger!$J$3:$J$467,0)),"")</f>
        <v/>
      </c>
      <c r="B33" s="76" t="str">
        <f>IFERROR(INDEX(Party_Ledger!$C$3:$C$467,MATCH(21,Party_Ledger!$J$3:$J$467,0)),"")</f>
        <v/>
      </c>
      <c r="C33" s="76" t="str">
        <f>IFERROR(INDEX(Party_Ledger!$D$3:$D$467,MATCH(21,Party_Ledger!$J$3:$J$467,0)),"")</f>
        <v/>
      </c>
      <c r="D33" s="77" t="str">
        <f>IFERROR(INDEX(Party_Ledger!$E$3:$E$467,MATCH(21,Party_Ledger!$J$3:$J$467,0)),"")</f>
        <v/>
      </c>
      <c r="E33" s="78" t="str">
        <f>IFERROR(INDEX(Party_Ledger!$F$3:$F$467,MATCH(21,Party_Ledger!$J$3:$J$467,0)),"")</f>
        <v/>
      </c>
      <c r="F33" s="78" t="str">
        <f>IFERROR(INDEX(Party_Ledger!$G$3:$G$467,MATCH(21,Party_Ledger!$J$3:$J$467,0)),"")</f>
        <v/>
      </c>
      <c r="G33" s="78" t="str">
        <f t="shared" si="0"/>
        <v/>
      </c>
    </row>
    <row r="34" spans="1:7" x14ac:dyDescent="0.2">
      <c r="A34" s="139" t="str">
        <f>IFERROR(INDEX(Party_Ledger!$A$3:$A$467,MATCH(22,Party_Ledger!$J$3:$J$467,0)),"")</f>
        <v/>
      </c>
      <c r="B34" s="76" t="str">
        <f>IFERROR(INDEX(Party_Ledger!$C$3:$C$467,MATCH(22,Party_Ledger!$J$3:$J$467,0)),"")</f>
        <v/>
      </c>
      <c r="C34" s="76" t="str">
        <f>IFERROR(INDEX(Party_Ledger!$D$3:$D$467,MATCH(22,Party_Ledger!$J$3:$J$467,0)),"")</f>
        <v/>
      </c>
      <c r="D34" s="77" t="str">
        <f>IFERROR(INDEX(Party_Ledger!$E$3:$E$467,MATCH(22,Party_Ledger!$J$3:$J$467,0)),"")</f>
        <v/>
      </c>
      <c r="E34" s="78" t="str">
        <f>IFERROR(INDEX(Party_Ledger!$F$3:$F$467,MATCH(22,Party_Ledger!$J$3:$J$467,0)),"")</f>
        <v/>
      </c>
      <c r="F34" s="78" t="str">
        <f>IFERROR(INDEX(Party_Ledger!$G$3:$G$467,MATCH(22,Party_Ledger!$J$3:$J$467,0)),"")</f>
        <v/>
      </c>
      <c r="G34" s="78" t="str">
        <f t="shared" si="0"/>
        <v/>
      </c>
    </row>
    <row r="35" spans="1:7" x14ac:dyDescent="0.2">
      <c r="A35" s="139" t="str">
        <f>IFERROR(INDEX(Party_Ledger!$A$3:$A$467,MATCH(23,Party_Ledger!$J$3:$J$467,0)),"")</f>
        <v/>
      </c>
      <c r="B35" s="76" t="str">
        <f>IFERROR(INDEX(Party_Ledger!$C$3:$C$467,MATCH(23,Party_Ledger!$J$3:$J$467,0)),"")</f>
        <v/>
      </c>
      <c r="C35" s="76" t="str">
        <f>IFERROR(INDEX(Party_Ledger!$D$3:$D$467,MATCH(23,Party_Ledger!$J$3:$J$467,0)),"")</f>
        <v/>
      </c>
      <c r="D35" s="77" t="str">
        <f>IFERROR(INDEX(Party_Ledger!$E$3:$E$467,MATCH(23,Party_Ledger!$J$3:$J$467,0)),"")</f>
        <v/>
      </c>
      <c r="E35" s="78" t="str">
        <f>IFERROR(INDEX(Party_Ledger!$F$3:$F$467,MATCH(23,Party_Ledger!$J$3:$J$467,0)),"")</f>
        <v/>
      </c>
      <c r="F35" s="78" t="str">
        <f>IFERROR(INDEX(Party_Ledger!$G$3:$G$467,MATCH(23,Party_Ledger!$J$3:$J$467,0)),"")</f>
        <v/>
      </c>
      <c r="G35" s="78" t="str">
        <f t="shared" si="0"/>
        <v/>
      </c>
    </row>
    <row r="36" spans="1:7" x14ac:dyDescent="0.2">
      <c r="A36" s="139" t="str">
        <f>IFERROR(INDEX(Party_Ledger!$A$3:$A$467,MATCH(24,Party_Ledger!$J$3:$J$467,0)),"")</f>
        <v/>
      </c>
      <c r="B36" s="76" t="str">
        <f>IFERROR(INDEX(Party_Ledger!$C$3:$C$467,MATCH(24,Party_Ledger!$J$3:$J$467,0)),"")</f>
        <v/>
      </c>
      <c r="C36" s="76" t="str">
        <f>IFERROR(INDEX(Party_Ledger!$D$3:$D$467,MATCH(24,Party_Ledger!$J$3:$J$467,0)),"")</f>
        <v/>
      </c>
      <c r="D36" s="77" t="str">
        <f>IFERROR(INDEX(Party_Ledger!$E$3:$E$467,MATCH(24,Party_Ledger!$J$3:$J$467,0)),"")</f>
        <v/>
      </c>
      <c r="E36" s="78" t="str">
        <f>IFERROR(INDEX(Party_Ledger!$F$3:$F$467,MATCH(24,Party_Ledger!$J$3:$J$467,0)),"")</f>
        <v/>
      </c>
      <c r="F36" s="78" t="str">
        <f>IFERROR(INDEX(Party_Ledger!$G$3:$G$467,MATCH(24,Party_Ledger!$J$3:$J$467,0)),"")</f>
        <v/>
      </c>
      <c r="G36" s="78" t="str">
        <f t="shared" si="0"/>
        <v/>
      </c>
    </row>
    <row r="37" spans="1:7" x14ac:dyDescent="0.2">
      <c r="A37" s="139" t="str">
        <f>IFERROR(INDEX(Party_Ledger!$A$3:$A$467,MATCH(25,Party_Ledger!$J$3:$J$467,0)),"")</f>
        <v/>
      </c>
      <c r="B37" s="76" t="str">
        <f>IFERROR(INDEX(Party_Ledger!$C$3:$C$467,MATCH(25,Party_Ledger!$J$3:$J$467,0)),"")</f>
        <v/>
      </c>
      <c r="C37" s="76" t="str">
        <f>IFERROR(INDEX(Party_Ledger!$D$3:$D$467,MATCH(25,Party_Ledger!$J$3:$J$467,0)),"")</f>
        <v/>
      </c>
      <c r="D37" s="77" t="str">
        <f>IFERROR(INDEX(Party_Ledger!$E$3:$E$467,MATCH(25,Party_Ledger!$J$3:$J$467,0)),"")</f>
        <v/>
      </c>
      <c r="E37" s="78" t="str">
        <f>IFERROR(INDEX(Party_Ledger!$F$3:$F$467,MATCH(25,Party_Ledger!$J$3:$J$467,0)),"")</f>
        <v/>
      </c>
      <c r="F37" s="78" t="str">
        <f>IFERROR(INDEX(Party_Ledger!$G$3:$G$467,MATCH(25,Party_Ledger!$J$3:$J$467,0)),"")</f>
        <v/>
      </c>
      <c r="G37" s="78" t="str">
        <f t="shared" si="0"/>
        <v/>
      </c>
    </row>
    <row r="38" spans="1:7" x14ac:dyDescent="0.2">
      <c r="A38" s="139" t="str">
        <f>IFERROR(INDEX(Party_Ledger!$A$3:$A$467,MATCH(26,Party_Ledger!$J$3:$J$467,0)),"")</f>
        <v/>
      </c>
      <c r="B38" s="76" t="str">
        <f>IFERROR(INDEX(Party_Ledger!$C$3:$C$467,MATCH(26,Party_Ledger!$J$3:$J$467,0)),"")</f>
        <v/>
      </c>
      <c r="C38" s="76" t="str">
        <f>IFERROR(INDEX(Party_Ledger!$D$3:$D$467,MATCH(26,Party_Ledger!$J$3:$J$467,0)),"")</f>
        <v/>
      </c>
      <c r="D38" s="77" t="str">
        <f>IFERROR(INDEX(Party_Ledger!$E$3:$E$467,MATCH(26,Party_Ledger!$J$3:$J$467,0)),"")</f>
        <v/>
      </c>
      <c r="E38" s="78" t="str">
        <f>IFERROR(INDEX(Party_Ledger!$F$3:$F$467,MATCH(26,Party_Ledger!$J$3:$J$467,0)),"")</f>
        <v/>
      </c>
      <c r="F38" s="78" t="str">
        <f>IFERROR(INDEX(Party_Ledger!$G$3:$G$467,MATCH(26,Party_Ledger!$J$3:$J$467,0)),"")</f>
        <v/>
      </c>
      <c r="G38" s="78" t="str">
        <f t="shared" si="0"/>
        <v/>
      </c>
    </row>
    <row r="39" spans="1:7" x14ac:dyDescent="0.2">
      <c r="A39" s="139" t="str">
        <f>IFERROR(INDEX(Party_Ledger!$A$3:$A$467,MATCH(27,Party_Ledger!$J$3:$J$467,0)),"")</f>
        <v/>
      </c>
      <c r="B39" s="76" t="str">
        <f>IFERROR(INDEX(Party_Ledger!$C$3:$C$467,MATCH(27,Party_Ledger!$J$3:$J$467,0)),"")</f>
        <v/>
      </c>
      <c r="C39" s="76" t="str">
        <f>IFERROR(INDEX(Party_Ledger!$D$3:$D$467,MATCH(27,Party_Ledger!$J$3:$J$467,0)),"")</f>
        <v/>
      </c>
      <c r="D39" s="77" t="str">
        <f>IFERROR(INDEX(Party_Ledger!$E$3:$E$467,MATCH(27,Party_Ledger!$J$3:$J$467,0)),"")</f>
        <v/>
      </c>
      <c r="E39" s="78" t="str">
        <f>IFERROR(INDEX(Party_Ledger!$F$3:$F$467,MATCH(27,Party_Ledger!$J$3:$J$467,0)),"")</f>
        <v/>
      </c>
      <c r="F39" s="78" t="str">
        <f>IFERROR(INDEX(Party_Ledger!$G$3:$G$467,MATCH(27,Party_Ledger!$J$3:$J$467,0)),"")</f>
        <v/>
      </c>
      <c r="G39" s="78" t="str">
        <f t="shared" si="0"/>
        <v/>
      </c>
    </row>
    <row r="40" spans="1:7" x14ac:dyDescent="0.2">
      <c r="A40" s="139" t="str">
        <f>IFERROR(INDEX(Party_Ledger!$A$3:$A$467,MATCH(28,Party_Ledger!$J$3:$J$467,0)),"")</f>
        <v/>
      </c>
      <c r="B40" s="76" t="str">
        <f>IFERROR(INDEX(Party_Ledger!$C$3:$C$467,MATCH(28,Party_Ledger!$J$3:$J$467,0)),"")</f>
        <v/>
      </c>
      <c r="C40" s="76" t="str">
        <f>IFERROR(INDEX(Party_Ledger!$D$3:$D$467,MATCH(28,Party_Ledger!$J$3:$J$467,0)),"")</f>
        <v/>
      </c>
      <c r="D40" s="77" t="str">
        <f>IFERROR(INDEX(Party_Ledger!$E$3:$E$467,MATCH(28,Party_Ledger!$J$3:$J$467,0)),"")</f>
        <v/>
      </c>
      <c r="E40" s="78" t="str">
        <f>IFERROR(INDEX(Party_Ledger!$F$3:$F$467,MATCH(28,Party_Ledger!$J$3:$J$467,0)),"")</f>
        <v/>
      </c>
      <c r="F40" s="78" t="str">
        <f>IFERROR(INDEX(Party_Ledger!$G$3:$G$467,MATCH(28,Party_Ledger!$J$3:$J$467,0)),"")</f>
        <v/>
      </c>
      <c r="G40" s="78" t="str">
        <f t="shared" si="0"/>
        <v/>
      </c>
    </row>
    <row r="41" spans="1:7" x14ac:dyDescent="0.2">
      <c r="A41" s="139" t="str">
        <f>IFERROR(INDEX(Party_Ledger!$A$3:$A$467,MATCH(29,Party_Ledger!$J$3:$J$467,0)),"")</f>
        <v/>
      </c>
      <c r="B41" s="76" t="str">
        <f>IFERROR(INDEX(Party_Ledger!$C$3:$C$467,MATCH(29,Party_Ledger!$J$3:$J$467,0)),"")</f>
        <v/>
      </c>
      <c r="C41" s="76" t="str">
        <f>IFERROR(INDEX(Party_Ledger!$D$3:$D$467,MATCH(29,Party_Ledger!$J$3:$J$467,0)),"")</f>
        <v/>
      </c>
      <c r="D41" s="77" t="str">
        <f>IFERROR(INDEX(Party_Ledger!$E$3:$E$467,MATCH(29,Party_Ledger!$J$3:$J$467,0)),"")</f>
        <v/>
      </c>
      <c r="E41" s="78" t="str">
        <f>IFERROR(INDEX(Party_Ledger!$F$3:$F$467,MATCH(29,Party_Ledger!$J$3:$J$467,0)),"")</f>
        <v/>
      </c>
      <c r="F41" s="78" t="str">
        <f>IFERROR(INDEX(Party_Ledger!$G$3:$G$467,MATCH(29,Party_Ledger!$J$3:$J$467,0)),"")</f>
        <v/>
      </c>
      <c r="G41" s="78" t="str">
        <f t="shared" si="0"/>
        <v/>
      </c>
    </row>
    <row r="42" spans="1:7" x14ac:dyDescent="0.2">
      <c r="A42" s="139" t="str">
        <f>IFERROR(INDEX(Party_Ledger!$A$3:$A$467,MATCH(30,Party_Ledger!$J$3:$J$467,0)),"")</f>
        <v/>
      </c>
      <c r="B42" s="76" t="str">
        <f>IFERROR(INDEX(Party_Ledger!$C$3:$C$467,MATCH(30,Party_Ledger!$J$3:$J$467,0)),"")</f>
        <v/>
      </c>
      <c r="C42" s="76" t="str">
        <f>IFERROR(INDEX(Party_Ledger!$D$3:$D$467,MATCH(30,Party_Ledger!$J$3:$J$467,0)),"")</f>
        <v/>
      </c>
      <c r="D42" s="77" t="str">
        <f>IFERROR(INDEX(Party_Ledger!$E$3:$E$467,MATCH(30,Party_Ledger!$J$3:$J$467,0)),"")</f>
        <v/>
      </c>
      <c r="E42" s="78" t="str">
        <f>IFERROR(INDEX(Party_Ledger!$F$3:$F$467,MATCH(30,Party_Ledger!$J$3:$J$467,0)),"")</f>
        <v/>
      </c>
      <c r="F42" s="78" t="str">
        <f>IFERROR(INDEX(Party_Ledger!$G$3:$G$467,MATCH(30,Party_Ledger!$J$3:$J$467,0)),"")</f>
        <v/>
      </c>
      <c r="G42" s="78" t="str">
        <f t="shared" si="0"/>
        <v/>
      </c>
    </row>
    <row r="43" spans="1:7" x14ac:dyDescent="0.2">
      <c r="A43" s="139" t="str">
        <f>IFERROR(INDEX(Party_Ledger!$A$3:$A$467,MATCH(31,Party_Ledger!$J$3:$J$467,0)),"")</f>
        <v/>
      </c>
      <c r="B43" s="76" t="str">
        <f>IFERROR(INDEX(Party_Ledger!$C$3:$C$467,MATCH(31,Party_Ledger!$J$3:$J$467,0)),"")</f>
        <v/>
      </c>
      <c r="C43" s="76" t="str">
        <f>IFERROR(INDEX(Party_Ledger!$D$3:$D$467,MATCH(31,Party_Ledger!$J$3:$J$467,0)),"")</f>
        <v/>
      </c>
      <c r="D43" s="77" t="str">
        <f>IFERROR(INDEX(Party_Ledger!$E$3:$E$467,MATCH(31,Party_Ledger!$J$3:$J$467,0)),"")</f>
        <v/>
      </c>
      <c r="E43" s="78" t="str">
        <f>IFERROR(INDEX(Party_Ledger!$F$3:$F$467,MATCH(31,Party_Ledger!$J$3:$J$467,0)),"")</f>
        <v/>
      </c>
      <c r="F43" s="78" t="str">
        <f>IFERROR(INDEX(Party_Ledger!$G$3:$G$467,MATCH(31,Party_Ledger!$J$3:$J$467,0)),"")</f>
        <v/>
      </c>
      <c r="G43" s="78" t="str">
        <f t="shared" si="0"/>
        <v/>
      </c>
    </row>
    <row r="44" spans="1:7" x14ac:dyDescent="0.2">
      <c r="A44" s="139" t="str">
        <f>IFERROR(INDEX(Party_Ledger!$A$3:$A$467,MATCH(32,Party_Ledger!$J$3:$J$467,0)),"")</f>
        <v/>
      </c>
      <c r="B44" s="76" t="str">
        <f>IFERROR(INDEX(Party_Ledger!$C$3:$C$467,MATCH(32,Party_Ledger!$J$3:$J$467,0)),"")</f>
        <v/>
      </c>
      <c r="C44" s="76" t="str">
        <f>IFERROR(INDEX(Party_Ledger!$D$3:$D$467,MATCH(32,Party_Ledger!$J$3:$J$467,0)),"")</f>
        <v/>
      </c>
      <c r="D44" s="77" t="str">
        <f>IFERROR(INDEX(Party_Ledger!$E$3:$E$467,MATCH(32,Party_Ledger!$J$3:$J$467,0)),"")</f>
        <v/>
      </c>
      <c r="E44" s="78" t="str">
        <f>IFERROR(INDEX(Party_Ledger!$F$3:$F$467,MATCH(32,Party_Ledger!$J$3:$J$467,0)),"")</f>
        <v/>
      </c>
      <c r="F44" s="78" t="str">
        <f>IFERROR(INDEX(Party_Ledger!$G$3:$G$467,MATCH(32,Party_Ledger!$J$3:$J$467,0)),"")</f>
        <v/>
      </c>
      <c r="G44" s="78" t="str">
        <f t="shared" si="0"/>
        <v/>
      </c>
    </row>
    <row r="45" spans="1:7" x14ac:dyDescent="0.2">
      <c r="A45" s="139" t="str">
        <f>IFERROR(INDEX(Party_Ledger!$A$3:$A$467,MATCH(33,Party_Ledger!$J$3:$J$467,0)),"")</f>
        <v/>
      </c>
      <c r="B45" s="76" t="str">
        <f>IFERROR(INDEX(Party_Ledger!$C$3:$C$467,MATCH(33,Party_Ledger!$J$3:$J$467,0)),"")</f>
        <v/>
      </c>
      <c r="C45" s="76" t="str">
        <f>IFERROR(INDEX(Party_Ledger!$D$3:$D$467,MATCH(33,Party_Ledger!$J$3:$J$467,0)),"")</f>
        <v/>
      </c>
      <c r="D45" s="77" t="str">
        <f>IFERROR(INDEX(Party_Ledger!$E$3:$E$467,MATCH(33,Party_Ledger!$J$3:$J$467,0)),"")</f>
        <v/>
      </c>
      <c r="E45" s="78" t="str">
        <f>IFERROR(INDEX(Party_Ledger!$F$3:$F$467,MATCH(33,Party_Ledger!$J$3:$J$467,0)),"")</f>
        <v/>
      </c>
      <c r="F45" s="78" t="str">
        <f>IFERROR(INDEX(Party_Ledger!$G$3:$G$467,MATCH(33,Party_Ledger!$J$3:$J$467,0)),"")</f>
        <v/>
      </c>
      <c r="G45" s="78" t="str">
        <f t="shared" ref="G45:G72" si="1">IF($A45="","",N($G44)+N($E45)-N($F45))</f>
        <v/>
      </c>
    </row>
    <row r="46" spans="1:7" x14ac:dyDescent="0.2">
      <c r="A46" s="139" t="str">
        <f>IFERROR(INDEX(Party_Ledger!$A$3:$A$467,MATCH(34,Party_Ledger!$J$3:$J$467,0)),"")</f>
        <v/>
      </c>
      <c r="B46" s="76" t="str">
        <f>IFERROR(INDEX(Party_Ledger!$C$3:$C$467,MATCH(34,Party_Ledger!$J$3:$J$467,0)),"")</f>
        <v/>
      </c>
      <c r="C46" s="76" t="str">
        <f>IFERROR(INDEX(Party_Ledger!$D$3:$D$467,MATCH(34,Party_Ledger!$J$3:$J$467,0)),"")</f>
        <v/>
      </c>
      <c r="D46" s="77" t="str">
        <f>IFERROR(INDEX(Party_Ledger!$E$3:$E$467,MATCH(34,Party_Ledger!$J$3:$J$467,0)),"")</f>
        <v/>
      </c>
      <c r="E46" s="78" t="str">
        <f>IFERROR(INDEX(Party_Ledger!$F$3:$F$467,MATCH(34,Party_Ledger!$J$3:$J$467,0)),"")</f>
        <v/>
      </c>
      <c r="F46" s="78" t="str">
        <f>IFERROR(INDEX(Party_Ledger!$G$3:$G$467,MATCH(34,Party_Ledger!$J$3:$J$467,0)),"")</f>
        <v/>
      </c>
      <c r="G46" s="78" t="str">
        <f t="shared" si="1"/>
        <v/>
      </c>
    </row>
    <row r="47" spans="1:7" x14ac:dyDescent="0.2">
      <c r="A47" s="139" t="str">
        <f>IFERROR(INDEX(Party_Ledger!$A$3:$A$467,MATCH(35,Party_Ledger!$J$3:$J$467,0)),"")</f>
        <v/>
      </c>
      <c r="B47" s="76" t="str">
        <f>IFERROR(INDEX(Party_Ledger!$C$3:$C$467,MATCH(35,Party_Ledger!$J$3:$J$467,0)),"")</f>
        <v/>
      </c>
      <c r="C47" s="76" t="str">
        <f>IFERROR(INDEX(Party_Ledger!$D$3:$D$467,MATCH(35,Party_Ledger!$J$3:$J$467,0)),"")</f>
        <v/>
      </c>
      <c r="D47" s="77" t="str">
        <f>IFERROR(INDEX(Party_Ledger!$E$3:$E$467,MATCH(35,Party_Ledger!$J$3:$J$467,0)),"")</f>
        <v/>
      </c>
      <c r="E47" s="78" t="str">
        <f>IFERROR(INDEX(Party_Ledger!$F$3:$F$467,MATCH(35,Party_Ledger!$J$3:$J$467,0)),"")</f>
        <v/>
      </c>
      <c r="F47" s="78" t="str">
        <f>IFERROR(INDEX(Party_Ledger!$G$3:$G$467,MATCH(35,Party_Ledger!$J$3:$J$467,0)),"")</f>
        <v/>
      </c>
      <c r="G47" s="78" t="str">
        <f t="shared" si="1"/>
        <v/>
      </c>
    </row>
    <row r="48" spans="1:7" x14ac:dyDescent="0.2">
      <c r="A48" s="139" t="str">
        <f>IFERROR(INDEX(Party_Ledger!$A$3:$A$467,MATCH(36,Party_Ledger!$J$3:$J$467,0)),"")</f>
        <v/>
      </c>
      <c r="B48" s="76" t="str">
        <f>IFERROR(INDEX(Party_Ledger!$C$3:$C$467,MATCH(36,Party_Ledger!$J$3:$J$467,0)),"")</f>
        <v/>
      </c>
      <c r="C48" s="76" t="str">
        <f>IFERROR(INDEX(Party_Ledger!$D$3:$D$467,MATCH(36,Party_Ledger!$J$3:$J$467,0)),"")</f>
        <v/>
      </c>
      <c r="D48" s="77" t="str">
        <f>IFERROR(INDEX(Party_Ledger!$E$3:$E$467,MATCH(36,Party_Ledger!$J$3:$J$467,0)),"")</f>
        <v/>
      </c>
      <c r="E48" s="78" t="str">
        <f>IFERROR(INDEX(Party_Ledger!$F$3:$F$467,MATCH(36,Party_Ledger!$J$3:$J$467,0)),"")</f>
        <v/>
      </c>
      <c r="F48" s="78" t="str">
        <f>IFERROR(INDEX(Party_Ledger!$G$3:$G$467,MATCH(36,Party_Ledger!$J$3:$J$467,0)),"")</f>
        <v/>
      </c>
      <c r="G48" s="78" t="str">
        <f t="shared" si="1"/>
        <v/>
      </c>
    </row>
    <row r="49" spans="1:7" x14ac:dyDescent="0.2">
      <c r="A49" s="139" t="str">
        <f>IFERROR(INDEX(Party_Ledger!$A$3:$A$467,MATCH(37,Party_Ledger!$J$3:$J$467,0)),"")</f>
        <v/>
      </c>
      <c r="B49" s="76" t="str">
        <f>IFERROR(INDEX(Party_Ledger!$C$3:$C$467,MATCH(37,Party_Ledger!$J$3:$J$467,0)),"")</f>
        <v/>
      </c>
      <c r="C49" s="76" t="str">
        <f>IFERROR(INDEX(Party_Ledger!$D$3:$D$467,MATCH(37,Party_Ledger!$J$3:$J$467,0)),"")</f>
        <v/>
      </c>
      <c r="D49" s="77" t="str">
        <f>IFERROR(INDEX(Party_Ledger!$E$3:$E$467,MATCH(37,Party_Ledger!$J$3:$J$467,0)),"")</f>
        <v/>
      </c>
      <c r="E49" s="78" t="str">
        <f>IFERROR(INDEX(Party_Ledger!$F$3:$F$467,MATCH(37,Party_Ledger!$J$3:$J$467,0)),"")</f>
        <v/>
      </c>
      <c r="F49" s="78" t="str">
        <f>IFERROR(INDEX(Party_Ledger!$G$3:$G$467,MATCH(37,Party_Ledger!$J$3:$J$467,0)),"")</f>
        <v/>
      </c>
      <c r="G49" s="78" t="str">
        <f t="shared" si="1"/>
        <v/>
      </c>
    </row>
    <row r="50" spans="1:7" x14ac:dyDescent="0.2">
      <c r="A50" s="139" t="str">
        <f>IFERROR(INDEX(Party_Ledger!$A$3:$A$467,MATCH(38,Party_Ledger!$J$3:$J$467,0)),"")</f>
        <v/>
      </c>
      <c r="B50" s="76" t="str">
        <f>IFERROR(INDEX(Party_Ledger!$C$3:$C$467,MATCH(38,Party_Ledger!$J$3:$J$467,0)),"")</f>
        <v/>
      </c>
      <c r="C50" s="76" t="str">
        <f>IFERROR(INDEX(Party_Ledger!$D$3:$D$467,MATCH(38,Party_Ledger!$J$3:$J$467,0)),"")</f>
        <v/>
      </c>
      <c r="D50" s="77" t="str">
        <f>IFERROR(INDEX(Party_Ledger!$E$3:$E$467,MATCH(38,Party_Ledger!$J$3:$J$467,0)),"")</f>
        <v/>
      </c>
      <c r="E50" s="78" t="str">
        <f>IFERROR(INDEX(Party_Ledger!$F$3:$F$467,MATCH(38,Party_Ledger!$J$3:$J$467,0)),"")</f>
        <v/>
      </c>
      <c r="F50" s="78" t="str">
        <f>IFERROR(INDEX(Party_Ledger!$G$3:$G$467,MATCH(38,Party_Ledger!$J$3:$J$467,0)),"")</f>
        <v/>
      </c>
      <c r="G50" s="78" t="str">
        <f t="shared" si="1"/>
        <v/>
      </c>
    </row>
    <row r="51" spans="1:7" x14ac:dyDescent="0.2">
      <c r="A51" s="139" t="str">
        <f>IFERROR(INDEX(Party_Ledger!$A$3:$A$467,MATCH(39,Party_Ledger!$J$3:$J$467,0)),"")</f>
        <v/>
      </c>
      <c r="B51" s="76" t="str">
        <f>IFERROR(INDEX(Party_Ledger!$C$3:$C$467,MATCH(39,Party_Ledger!$J$3:$J$467,0)),"")</f>
        <v/>
      </c>
      <c r="C51" s="76" t="str">
        <f>IFERROR(INDEX(Party_Ledger!$D$3:$D$467,MATCH(39,Party_Ledger!$J$3:$J$467,0)),"")</f>
        <v/>
      </c>
      <c r="D51" s="77" t="str">
        <f>IFERROR(INDEX(Party_Ledger!$E$3:$E$467,MATCH(39,Party_Ledger!$J$3:$J$467,0)),"")</f>
        <v/>
      </c>
      <c r="E51" s="78" t="str">
        <f>IFERROR(INDEX(Party_Ledger!$F$3:$F$467,MATCH(39,Party_Ledger!$J$3:$J$467,0)),"")</f>
        <v/>
      </c>
      <c r="F51" s="78" t="str">
        <f>IFERROR(INDEX(Party_Ledger!$G$3:$G$467,MATCH(39,Party_Ledger!$J$3:$J$467,0)),"")</f>
        <v/>
      </c>
      <c r="G51" s="78" t="str">
        <f t="shared" si="1"/>
        <v/>
      </c>
    </row>
    <row r="52" spans="1:7" x14ac:dyDescent="0.2">
      <c r="A52" s="139" t="str">
        <f>IFERROR(INDEX(Party_Ledger!$A$3:$A$467,MATCH(40,Party_Ledger!$J$3:$J$467,0)),"")</f>
        <v/>
      </c>
      <c r="B52" s="76" t="str">
        <f>IFERROR(INDEX(Party_Ledger!$C$3:$C$467,MATCH(40,Party_Ledger!$J$3:$J$467,0)),"")</f>
        <v/>
      </c>
      <c r="C52" s="76" t="str">
        <f>IFERROR(INDEX(Party_Ledger!$D$3:$D$467,MATCH(40,Party_Ledger!$J$3:$J$467,0)),"")</f>
        <v/>
      </c>
      <c r="D52" s="77" t="str">
        <f>IFERROR(INDEX(Party_Ledger!$E$3:$E$467,MATCH(40,Party_Ledger!$J$3:$J$467,0)),"")</f>
        <v/>
      </c>
      <c r="E52" s="78" t="str">
        <f>IFERROR(INDEX(Party_Ledger!$F$3:$F$467,MATCH(40,Party_Ledger!$J$3:$J$467,0)),"")</f>
        <v/>
      </c>
      <c r="F52" s="78" t="str">
        <f>IFERROR(INDEX(Party_Ledger!$G$3:$G$467,MATCH(40,Party_Ledger!$J$3:$J$467,0)),"")</f>
        <v/>
      </c>
      <c r="G52" s="78" t="str">
        <f t="shared" si="1"/>
        <v/>
      </c>
    </row>
    <row r="53" spans="1:7" x14ac:dyDescent="0.2">
      <c r="A53" s="140" t="str">
        <f>IFERROR(INDEX(Party_Ledger!$A$3:$A$467,MATCH(41,Party_Ledger!$J$3:$J$467,0)),"")</f>
        <v/>
      </c>
      <c r="B53" s="79" t="str">
        <f>IFERROR(INDEX(Party_Ledger!$C$3:$C$467,MATCH(41,Party_Ledger!$J$3:$J$467,0)),"")</f>
        <v/>
      </c>
      <c r="C53" s="79" t="str">
        <f>IFERROR(INDEX(Party_Ledger!$D$3:$D$467,MATCH(41,Party_Ledger!$J$3:$J$467,0)),"")</f>
        <v/>
      </c>
      <c r="D53" s="80" t="str">
        <f>IFERROR(INDEX(Party_Ledger!$E$3:$E$467,MATCH(41,Party_Ledger!$J$3:$J$467,0)),"")</f>
        <v/>
      </c>
      <c r="E53" s="81" t="str">
        <f>IFERROR(INDEX(Party_Ledger!$F$3:$F$467,MATCH(41,Party_Ledger!$J$3:$J$467,0)),"")</f>
        <v/>
      </c>
      <c r="F53" s="81" t="str">
        <f>IFERROR(INDEX(Party_Ledger!$G$3:$G$467,MATCH(41,Party_Ledger!$J$3:$J$467,0)),"")</f>
        <v/>
      </c>
      <c r="G53" s="81" t="str">
        <f t="shared" si="1"/>
        <v/>
      </c>
    </row>
    <row r="54" spans="1:7" x14ac:dyDescent="0.2">
      <c r="A54" s="139" t="str">
        <f>IFERROR(INDEX(Party_Ledger!$A$3:$A$467,MATCH(42,Party_Ledger!$J$3:$J$467,0)),"")</f>
        <v/>
      </c>
      <c r="B54" s="76" t="str">
        <f>IFERROR(INDEX(Party_Ledger!$C$3:$C$467,MATCH(42,Party_Ledger!$J$3:$J$467,0)),"")</f>
        <v/>
      </c>
      <c r="C54" s="76" t="str">
        <f>IFERROR(INDEX(Party_Ledger!$D$3:$D$467,MATCH(42,Party_Ledger!$J$3:$J$467,0)),"")</f>
        <v/>
      </c>
      <c r="D54" s="77" t="str">
        <f>IFERROR(INDEX(Party_Ledger!$E$3:$E$467,MATCH(42,Party_Ledger!$J$3:$J$467,0)),"")</f>
        <v/>
      </c>
      <c r="E54" s="78" t="str">
        <f>IFERROR(INDEX(Party_Ledger!$F$3:$F$467,MATCH(42,Party_Ledger!$J$3:$J$467,0)),"")</f>
        <v/>
      </c>
      <c r="F54" s="78" t="str">
        <f>IFERROR(INDEX(Party_Ledger!$G$3:$G$467,MATCH(42,Party_Ledger!$J$3:$J$467,0)),"")</f>
        <v/>
      </c>
      <c r="G54" s="78" t="str">
        <f t="shared" si="1"/>
        <v/>
      </c>
    </row>
    <row r="55" spans="1:7" x14ac:dyDescent="0.2">
      <c r="A55" s="139" t="str">
        <f>IFERROR(INDEX(Party_Ledger!$A$3:$A$467,MATCH(43,Party_Ledger!$J$3:$J$467,0)),"")</f>
        <v/>
      </c>
      <c r="B55" s="76" t="str">
        <f>IFERROR(INDEX(Party_Ledger!$C$3:$C$467,MATCH(43,Party_Ledger!$J$3:$J$467,0)),"")</f>
        <v/>
      </c>
      <c r="C55" s="76" t="str">
        <f>IFERROR(INDEX(Party_Ledger!$D$3:$D$467,MATCH(43,Party_Ledger!$J$3:$J$467,0)),"")</f>
        <v/>
      </c>
      <c r="D55" s="77" t="str">
        <f>IFERROR(INDEX(Party_Ledger!$E$3:$E$467,MATCH(43,Party_Ledger!$J$3:$J$467,0)),"")</f>
        <v/>
      </c>
      <c r="E55" s="78" t="str">
        <f>IFERROR(INDEX(Party_Ledger!$F$3:$F$467,MATCH(43,Party_Ledger!$J$3:$J$467,0)),"")</f>
        <v/>
      </c>
      <c r="F55" s="78" t="str">
        <f>IFERROR(INDEX(Party_Ledger!$G$3:$G$467,MATCH(43,Party_Ledger!$J$3:$J$467,0)),"")</f>
        <v/>
      </c>
      <c r="G55" s="78" t="str">
        <f t="shared" si="1"/>
        <v/>
      </c>
    </row>
    <row r="56" spans="1:7" x14ac:dyDescent="0.2">
      <c r="A56" s="139" t="str">
        <f>IFERROR(INDEX(Party_Ledger!$A$3:$A$467,MATCH(44,Party_Ledger!$J$3:$J$467,0)),"")</f>
        <v/>
      </c>
      <c r="B56" s="76" t="str">
        <f>IFERROR(INDEX(Party_Ledger!$C$3:$C$467,MATCH(44,Party_Ledger!$J$3:$J$467,0)),"")</f>
        <v/>
      </c>
      <c r="C56" s="76" t="str">
        <f>IFERROR(INDEX(Party_Ledger!$D$3:$D$467,MATCH(44,Party_Ledger!$J$3:$J$467,0)),"")</f>
        <v/>
      </c>
      <c r="D56" s="77" t="str">
        <f>IFERROR(INDEX(Party_Ledger!$E$3:$E$467,MATCH(44,Party_Ledger!$J$3:$J$467,0)),"")</f>
        <v/>
      </c>
      <c r="E56" s="78" t="str">
        <f>IFERROR(INDEX(Party_Ledger!$F$3:$F$467,MATCH(44,Party_Ledger!$J$3:$J$467,0)),"")</f>
        <v/>
      </c>
      <c r="F56" s="78" t="str">
        <f>IFERROR(INDEX(Party_Ledger!$G$3:$G$467,MATCH(44,Party_Ledger!$J$3:$J$467,0)),"")</f>
        <v/>
      </c>
      <c r="G56" s="78" t="str">
        <f t="shared" si="1"/>
        <v/>
      </c>
    </row>
    <row r="57" spans="1:7" x14ac:dyDescent="0.2">
      <c r="A57" s="139" t="str">
        <f>IFERROR(INDEX(Party_Ledger!$A$3:$A$467,MATCH(45,Party_Ledger!$J$3:$J$467,0)),"")</f>
        <v/>
      </c>
      <c r="B57" s="76" t="str">
        <f>IFERROR(INDEX(Party_Ledger!$C$3:$C$467,MATCH(45,Party_Ledger!$J$3:$J$467,0)),"")</f>
        <v/>
      </c>
      <c r="C57" s="76" t="str">
        <f>IFERROR(INDEX(Party_Ledger!$D$3:$D$467,MATCH(45,Party_Ledger!$J$3:$J$467,0)),"")</f>
        <v/>
      </c>
      <c r="D57" s="77" t="str">
        <f>IFERROR(INDEX(Party_Ledger!$E$3:$E$467,MATCH(45,Party_Ledger!$J$3:$J$467,0)),"")</f>
        <v/>
      </c>
      <c r="E57" s="78" t="str">
        <f>IFERROR(INDEX(Party_Ledger!$F$3:$F$467,MATCH(45,Party_Ledger!$J$3:$J$467,0)),"")</f>
        <v/>
      </c>
      <c r="F57" s="78" t="str">
        <f>IFERROR(INDEX(Party_Ledger!$G$3:$G$467,MATCH(45,Party_Ledger!$J$3:$J$467,0)),"")</f>
        <v/>
      </c>
      <c r="G57" s="78" t="str">
        <f t="shared" si="1"/>
        <v/>
      </c>
    </row>
    <row r="58" spans="1:7" x14ac:dyDescent="0.2">
      <c r="A58" s="139" t="str">
        <f>IFERROR(INDEX(Party_Ledger!$A$3:$A$467,MATCH(46,Party_Ledger!$J$3:$J$467,0)),"")</f>
        <v/>
      </c>
      <c r="B58" s="76" t="str">
        <f>IFERROR(INDEX(Party_Ledger!$C$3:$C$467,MATCH(46,Party_Ledger!$J$3:$J$467,0)),"")</f>
        <v/>
      </c>
      <c r="C58" s="76" t="str">
        <f>IFERROR(INDEX(Party_Ledger!$D$3:$D$467,MATCH(46,Party_Ledger!$J$3:$J$467,0)),"")</f>
        <v/>
      </c>
      <c r="D58" s="77" t="str">
        <f>IFERROR(INDEX(Party_Ledger!$E$3:$E$467,MATCH(46,Party_Ledger!$J$3:$J$467,0)),"")</f>
        <v/>
      </c>
      <c r="E58" s="78" t="str">
        <f>IFERROR(INDEX(Party_Ledger!$F$3:$F$467,MATCH(46,Party_Ledger!$J$3:$J$467,0)),"")</f>
        <v/>
      </c>
      <c r="F58" s="78" t="str">
        <f>IFERROR(INDEX(Party_Ledger!$G$3:$G$467,MATCH(46,Party_Ledger!$J$3:$J$467,0)),"")</f>
        <v/>
      </c>
      <c r="G58" s="78" t="str">
        <f t="shared" si="1"/>
        <v/>
      </c>
    </row>
    <row r="59" spans="1:7" x14ac:dyDescent="0.2">
      <c r="A59" s="139" t="str">
        <f>IFERROR(INDEX(Party_Ledger!$A$3:$A$467,MATCH(47,Party_Ledger!$J$3:$J$467,0)),"")</f>
        <v/>
      </c>
      <c r="B59" s="76" t="str">
        <f>IFERROR(INDEX(Party_Ledger!$C$3:$C$467,MATCH(47,Party_Ledger!$J$3:$J$467,0)),"")</f>
        <v/>
      </c>
      <c r="C59" s="76" t="str">
        <f>IFERROR(INDEX(Party_Ledger!$D$3:$D$467,MATCH(47,Party_Ledger!$J$3:$J$467,0)),"")</f>
        <v/>
      </c>
      <c r="D59" s="77" t="str">
        <f>IFERROR(INDEX(Party_Ledger!$E$3:$E$467,MATCH(47,Party_Ledger!$J$3:$J$467,0)),"")</f>
        <v/>
      </c>
      <c r="E59" s="78" t="str">
        <f>IFERROR(INDEX(Party_Ledger!$F$3:$F$467,MATCH(47,Party_Ledger!$J$3:$J$467,0)),"")</f>
        <v/>
      </c>
      <c r="F59" s="78" t="str">
        <f>IFERROR(INDEX(Party_Ledger!$G$3:$G$467,MATCH(47,Party_Ledger!$J$3:$J$467,0)),"")</f>
        <v/>
      </c>
      <c r="G59" s="78" t="str">
        <f t="shared" si="1"/>
        <v/>
      </c>
    </row>
    <row r="60" spans="1:7" x14ac:dyDescent="0.2">
      <c r="A60" s="139" t="str">
        <f>IFERROR(INDEX(Party_Ledger!$A$3:$A$467,MATCH(48,Party_Ledger!$J$3:$J$467,0)),"")</f>
        <v/>
      </c>
      <c r="B60" s="76" t="str">
        <f>IFERROR(INDEX(Party_Ledger!$C$3:$C$467,MATCH(48,Party_Ledger!$J$3:$J$467,0)),"")</f>
        <v/>
      </c>
      <c r="C60" s="76" t="str">
        <f>IFERROR(INDEX(Party_Ledger!$D$3:$D$467,MATCH(48,Party_Ledger!$J$3:$J$467,0)),"")</f>
        <v/>
      </c>
      <c r="D60" s="77" t="str">
        <f>IFERROR(INDEX(Party_Ledger!$E$3:$E$467,MATCH(48,Party_Ledger!$J$3:$J$467,0)),"")</f>
        <v/>
      </c>
      <c r="E60" s="78" t="str">
        <f>IFERROR(INDEX(Party_Ledger!$F$3:$F$467,MATCH(48,Party_Ledger!$J$3:$J$467,0)),"")</f>
        <v/>
      </c>
      <c r="F60" s="78" t="str">
        <f>IFERROR(INDEX(Party_Ledger!$G$3:$G$467,MATCH(48,Party_Ledger!$J$3:$J$467,0)),"")</f>
        <v/>
      </c>
      <c r="G60" s="78" t="str">
        <f t="shared" si="1"/>
        <v/>
      </c>
    </row>
    <row r="61" spans="1:7" x14ac:dyDescent="0.2">
      <c r="A61" s="139" t="str">
        <f>IFERROR(INDEX(Party_Ledger!$A$3:$A$467,MATCH(49,Party_Ledger!$J$3:$J$467,0)),"")</f>
        <v/>
      </c>
      <c r="B61" s="76" t="str">
        <f>IFERROR(INDEX(Party_Ledger!$C$3:$C$467,MATCH(49,Party_Ledger!$J$3:$J$467,0)),"")</f>
        <v/>
      </c>
      <c r="C61" s="76" t="str">
        <f>IFERROR(INDEX(Party_Ledger!$D$3:$D$467,MATCH(49,Party_Ledger!$J$3:$J$467,0)),"")</f>
        <v/>
      </c>
      <c r="D61" s="77" t="str">
        <f>IFERROR(INDEX(Party_Ledger!$E$3:$E$467,MATCH(49,Party_Ledger!$J$3:$J$467,0)),"")</f>
        <v/>
      </c>
      <c r="E61" s="78" t="str">
        <f>IFERROR(INDEX(Party_Ledger!$F$3:$F$467,MATCH(49,Party_Ledger!$J$3:$J$467,0)),"")</f>
        <v/>
      </c>
      <c r="F61" s="78" t="str">
        <f>IFERROR(INDEX(Party_Ledger!$G$3:$G$467,MATCH(49,Party_Ledger!$J$3:$J$467,0)),"")</f>
        <v/>
      </c>
      <c r="G61" s="78" t="str">
        <f t="shared" si="1"/>
        <v/>
      </c>
    </row>
    <row r="62" spans="1:7" x14ac:dyDescent="0.2">
      <c r="A62" s="139" t="str">
        <f>IFERROR(INDEX(Party_Ledger!$A$3:$A$467,MATCH(50,Party_Ledger!$J$3:$J$467,0)),"")</f>
        <v/>
      </c>
      <c r="B62" s="76" t="str">
        <f>IFERROR(INDEX(Party_Ledger!$C$3:$C$467,MATCH(50,Party_Ledger!$J$3:$J$467,0)),"")</f>
        <v/>
      </c>
      <c r="C62" s="76" t="str">
        <f>IFERROR(INDEX(Party_Ledger!$D$3:$D$467,MATCH(50,Party_Ledger!$J$3:$J$467,0)),"")</f>
        <v/>
      </c>
      <c r="D62" s="77" t="str">
        <f>IFERROR(INDEX(Party_Ledger!$E$3:$E$467,MATCH(50,Party_Ledger!$J$3:$J$467,0)),"")</f>
        <v/>
      </c>
      <c r="E62" s="78" t="str">
        <f>IFERROR(INDEX(Party_Ledger!$F$3:$F$467,MATCH(50,Party_Ledger!$J$3:$J$467,0)),"")</f>
        <v/>
      </c>
      <c r="F62" s="78" t="str">
        <f>IFERROR(INDEX(Party_Ledger!$G$3:$G$467,MATCH(50,Party_Ledger!$J$3:$J$467,0)),"")</f>
        <v/>
      </c>
      <c r="G62" s="78" t="str">
        <f t="shared" si="1"/>
        <v/>
      </c>
    </row>
    <row r="63" spans="1:7" x14ac:dyDescent="0.2">
      <c r="A63" s="139" t="str">
        <f>IFERROR(INDEX(Party_Ledger!$A$3:$A$467,MATCH(51,Party_Ledger!$J$3:$J$467,0)),"")</f>
        <v/>
      </c>
      <c r="B63" s="76" t="str">
        <f>IFERROR(INDEX(Party_Ledger!$C$3:$C$467,MATCH(51,Party_Ledger!$J$3:$J$467,0)),"")</f>
        <v/>
      </c>
      <c r="C63" s="76" t="str">
        <f>IFERROR(INDEX(Party_Ledger!$D$3:$D$467,MATCH(51,Party_Ledger!$J$3:$J$467,0)),"")</f>
        <v/>
      </c>
      <c r="D63" s="77" t="str">
        <f>IFERROR(INDEX(Party_Ledger!$E$3:$E$467,MATCH(51,Party_Ledger!$J$3:$J$467,0)),"")</f>
        <v/>
      </c>
      <c r="E63" s="78" t="str">
        <f>IFERROR(INDEX(Party_Ledger!$F$3:$F$467,MATCH(51,Party_Ledger!$J$3:$J$467,0)),"")</f>
        <v/>
      </c>
      <c r="F63" s="78" t="str">
        <f>IFERROR(INDEX(Party_Ledger!$G$3:$G$467,MATCH(51,Party_Ledger!$J$3:$J$467,0)),"")</f>
        <v/>
      </c>
      <c r="G63" s="78" t="str">
        <f t="shared" si="1"/>
        <v/>
      </c>
    </row>
    <row r="64" spans="1:7" x14ac:dyDescent="0.2">
      <c r="A64" s="139" t="str">
        <f>IFERROR(INDEX(Party_Ledger!$A$3:$A$467,MATCH(52,Party_Ledger!$J$3:$J$467,0)),"")</f>
        <v/>
      </c>
      <c r="B64" s="76" t="str">
        <f>IFERROR(INDEX(Party_Ledger!$C$3:$C$467,MATCH(52,Party_Ledger!$J$3:$J$467,0)),"")</f>
        <v/>
      </c>
      <c r="C64" s="76" t="str">
        <f>IFERROR(INDEX(Party_Ledger!$D$3:$D$467,MATCH(52,Party_Ledger!$J$3:$J$467,0)),"")</f>
        <v/>
      </c>
      <c r="D64" s="77" t="str">
        <f>IFERROR(INDEX(Party_Ledger!$E$3:$E$467,MATCH(52,Party_Ledger!$J$3:$J$467,0)),"")</f>
        <v/>
      </c>
      <c r="E64" s="78" t="str">
        <f>IFERROR(INDEX(Party_Ledger!$F$3:$F$467,MATCH(52,Party_Ledger!$J$3:$J$467,0)),"")</f>
        <v/>
      </c>
      <c r="F64" s="78" t="str">
        <f>IFERROR(INDEX(Party_Ledger!$G$3:$G$467,MATCH(52,Party_Ledger!$J$3:$J$467,0)),"")</f>
        <v/>
      </c>
      <c r="G64" s="78" t="str">
        <f t="shared" si="1"/>
        <v/>
      </c>
    </row>
    <row r="65" spans="1:7" x14ac:dyDescent="0.2">
      <c r="A65" s="139" t="str">
        <f>IFERROR(INDEX(Party_Ledger!$A$3:$A$467,MATCH(53,Party_Ledger!$J$3:$J$467,0)),"")</f>
        <v/>
      </c>
      <c r="B65" s="76" t="str">
        <f>IFERROR(INDEX(Party_Ledger!$C$3:$C$467,MATCH(53,Party_Ledger!$J$3:$J$467,0)),"")</f>
        <v/>
      </c>
      <c r="C65" s="76" t="str">
        <f>IFERROR(INDEX(Party_Ledger!$D$3:$D$467,MATCH(53,Party_Ledger!$J$3:$J$467,0)),"")</f>
        <v/>
      </c>
      <c r="D65" s="77" t="str">
        <f>IFERROR(INDEX(Party_Ledger!$E$3:$E$467,MATCH(53,Party_Ledger!$J$3:$J$467,0)),"")</f>
        <v/>
      </c>
      <c r="E65" s="78" t="str">
        <f>IFERROR(INDEX(Party_Ledger!$F$3:$F$467,MATCH(53,Party_Ledger!$J$3:$J$467,0)),"")</f>
        <v/>
      </c>
      <c r="F65" s="78" t="str">
        <f>IFERROR(INDEX(Party_Ledger!$G$3:$G$467,MATCH(53,Party_Ledger!$J$3:$J$467,0)),"")</f>
        <v/>
      </c>
      <c r="G65" s="78" t="str">
        <f t="shared" si="1"/>
        <v/>
      </c>
    </row>
    <row r="66" spans="1:7" x14ac:dyDescent="0.2">
      <c r="A66" s="139" t="str">
        <f>IFERROR(INDEX(Party_Ledger!$A$3:$A$467,MATCH(54,Party_Ledger!$J$3:$J$467,0)),"")</f>
        <v/>
      </c>
      <c r="B66" s="76" t="str">
        <f>IFERROR(INDEX(Party_Ledger!$C$3:$C$467,MATCH(54,Party_Ledger!$J$3:$J$467,0)),"")</f>
        <v/>
      </c>
      <c r="C66" s="76" t="str">
        <f>IFERROR(INDEX(Party_Ledger!$D$3:$D$467,MATCH(54,Party_Ledger!$J$3:$J$467,0)),"")</f>
        <v/>
      </c>
      <c r="D66" s="77" t="str">
        <f>IFERROR(INDEX(Party_Ledger!$E$3:$E$467,MATCH(54,Party_Ledger!$J$3:$J$467,0)),"")</f>
        <v/>
      </c>
      <c r="E66" s="78" t="str">
        <f>IFERROR(INDEX(Party_Ledger!$F$3:$F$467,MATCH(54,Party_Ledger!$J$3:$J$467,0)),"")</f>
        <v/>
      </c>
      <c r="F66" s="78" t="str">
        <f>IFERROR(INDEX(Party_Ledger!$G$3:$G$467,MATCH(54,Party_Ledger!$J$3:$J$467,0)),"")</f>
        <v/>
      </c>
      <c r="G66" s="78" t="str">
        <f t="shared" si="1"/>
        <v/>
      </c>
    </row>
    <row r="67" spans="1:7" x14ac:dyDescent="0.2">
      <c r="A67" s="139" t="str">
        <f>IFERROR(INDEX(Party_Ledger!$A$3:$A$467,MATCH(55,Party_Ledger!$J$3:$J$467,0)),"")</f>
        <v/>
      </c>
      <c r="B67" s="76" t="str">
        <f>IFERROR(INDEX(Party_Ledger!$C$3:$C$467,MATCH(55,Party_Ledger!$J$3:$J$467,0)),"")</f>
        <v/>
      </c>
      <c r="C67" s="76" t="str">
        <f>IFERROR(INDEX(Party_Ledger!$D$3:$D$467,MATCH(55,Party_Ledger!$J$3:$J$467,0)),"")</f>
        <v/>
      </c>
      <c r="D67" s="77" t="str">
        <f>IFERROR(INDEX(Party_Ledger!$E$3:$E$467,MATCH(55,Party_Ledger!$J$3:$J$467,0)),"")</f>
        <v/>
      </c>
      <c r="E67" s="78" t="str">
        <f>IFERROR(INDEX(Party_Ledger!$F$3:$F$467,MATCH(55,Party_Ledger!$J$3:$J$467,0)),"")</f>
        <v/>
      </c>
      <c r="F67" s="78" t="str">
        <f>IFERROR(INDEX(Party_Ledger!$G$3:$G$467,MATCH(55,Party_Ledger!$J$3:$J$467,0)),"")</f>
        <v/>
      </c>
      <c r="G67" s="78" t="str">
        <f t="shared" si="1"/>
        <v/>
      </c>
    </row>
    <row r="68" spans="1:7" x14ac:dyDescent="0.2">
      <c r="A68" s="139" t="str">
        <f>IFERROR(INDEX(Party_Ledger!$A$3:$A$467,MATCH(56,Party_Ledger!$J$3:$J$467,0)),"")</f>
        <v/>
      </c>
      <c r="B68" s="76" t="str">
        <f>IFERROR(INDEX(Party_Ledger!$C$3:$C$467,MATCH(56,Party_Ledger!$J$3:$J$467,0)),"")</f>
        <v/>
      </c>
      <c r="C68" s="76" t="str">
        <f>IFERROR(INDEX(Party_Ledger!$D$3:$D$467,MATCH(56,Party_Ledger!$J$3:$J$467,0)),"")</f>
        <v/>
      </c>
      <c r="D68" s="77" t="str">
        <f>IFERROR(INDEX(Party_Ledger!$E$3:$E$467,MATCH(56,Party_Ledger!$J$3:$J$467,0)),"")</f>
        <v/>
      </c>
      <c r="E68" s="78" t="str">
        <f>IFERROR(INDEX(Party_Ledger!$F$3:$F$467,MATCH(56,Party_Ledger!$J$3:$J$467,0)),"")</f>
        <v/>
      </c>
      <c r="F68" s="78" t="str">
        <f>IFERROR(INDEX(Party_Ledger!$G$3:$G$467,MATCH(56,Party_Ledger!$J$3:$J$467,0)),"")</f>
        <v/>
      </c>
      <c r="G68" s="78" t="str">
        <f t="shared" si="1"/>
        <v/>
      </c>
    </row>
    <row r="69" spans="1:7" x14ac:dyDescent="0.2">
      <c r="A69" s="139" t="str">
        <f>IFERROR(INDEX(Party_Ledger!$A$3:$A$467,MATCH(57,Party_Ledger!$J$3:$J$467,0)),"")</f>
        <v/>
      </c>
      <c r="B69" s="76" t="str">
        <f>IFERROR(INDEX(Party_Ledger!$C$3:$C$467,MATCH(57,Party_Ledger!$J$3:$J$467,0)),"")</f>
        <v/>
      </c>
      <c r="C69" s="76" t="str">
        <f>IFERROR(INDEX(Party_Ledger!$D$3:$D$467,MATCH(57,Party_Ledger!$J$3:$J$467,0)),"")</f>
        <v/>
      </c>
      <c r="D69" s="77" t="str">
        <f>IFERROR(INDEX(Party_Ledger!$E$3:$E$467,MATCH(57,Party_Ledger!$J$3:$J$467,0)),"")</f>
        <v/>
      </c>
      <c r="E69" s="78" t="str">
        <f>IFERROR(INDEX(Party_Ledger!$F$3:$F$467,MATCH(57,Party_Ledger!$J$3:$J$467,0)),"")</f>
        <v/>
      </c>
      <c r="F69" s="78" t="str">
        <f>IFERROR(INDEX(Party_Ledger!$G$3:$G$467,MATCH(57,Party_Ledger!$J$3:$J$467,0)),"")</f>
        <v/>
      </c>
      <c r="G69" s="78" t="str">
        <f t="shared" si="1"/>
        <v/>
      </c>
    </row>
    <row r="70" spans="1:7" x14ac:dyDescent="0.2">
      <c r="A70" s="139" t="str">
        <f>IFERROR(INDEX(Party_Ledger!$A$3:$A$467,MATCH(58,Party_Ledger!$J$3:$J$467,0)),"")</f>
        <v/>
      </c>
      <c r="B70" s="76" t="str">
        <f>IFERROR(INDEX(Party_Ledger!$C$3:$C$467,MATCH(58,Party_Ledger!$J$3:$J$467,0)),"")</f>
        <v/>
      </c>
      <c r="C70" s="76" t="str">
        <f>IFERROR(INDEX(Party_Ledger!$D$3:$D$467,MATCH(58,Party_Ledger!$J$3:$J$467,0)),"")</f>
        <v/>
      </c>
      <c r="D70" s="77" t="str">
        <f>IFERROR(INDEX(Party_Ledger!$E$3:$E$467,MATCH(58,Party_Ledger!$J$3:$J$467,0)),"")</f>
        <v/>
      </c>
      <c r="E70" s="78" t="str">
        <f>IFERROR(INDEX(Party_Ledger!$F$3:$F$467,MATCH(58,Party_Ledger!$J$3:$J$467,0)),"")</f>
        <v/>
      </c>
      <c r="F70" s="78" t="str">
        <f>IFERROR(INDEX(Party_Ledger!$G$3:$G$467,MATCH(58,Party_Ledger!$J$3:$J$467,0)),"")</f>
        <v/>
      </c>
      <c r="G70" s="78" t="str">
        <f t="shared" si="1"/>
        <v/>
      </c>
    </row>
    <row r="71" spans="1:7" x14ac:dyDescent="0.2">
      <c r="A71" s="139" t="str">
        <f>IFERROR(INDEX(Party_Ledger!$A$3:$A$467,MATCH(59,Party_Ledger!$J$3:$J$467,0)),"")</f>
        <v/>
      </c>
      <c r="B71" s="76" t="str">
        <f>IFERROR(INDEX(Party_Ledger!$C$3:$C$467,MATCH(59,Party_Ledger!$J$3:$J$467,0)),"")</f>
        <v/>
      </c>
      <c r="C71" s="76" t="str">
        <f>IFERROR(INDEX(Party_Ledger!$D$3:$D$467,MATCH(59,Party_Ledger!$J$3:$J$467,0)),"")</f>
        <v/>
      </c>
      <c r="D71" s="77" t="str">
        <f>IFERROR(INDEX(Party_Ledger!$E$3:$E$467,MATCH(59,Party_Ledger!$J$3:$J$467,0)),"")</f>
        <v/>
      </c>
      <c r="E71" s="78" t="str">
        <f>IFERROR(INDEX(Party_Ledger!$F$3:$F$467,MATCH(59,Party_Ledger!$J$3:$J$467,0)),"")</f>
        <v/>
      </c>
      <c r="F71" s="78" t="str">
        <f>IFERROR(INDEX(Party_Ledger!$G$3:$G$467,MATCH(59,Party_Ledger!$J$3:$J$467,0)),"")</f>
        <v/>
      </c>
      <c r="G71" s="78" t="str">
        <f t="shared" si="1"/>
        <v/>
      </c>
    </row>
    <row r="72" spans="1:7" x14ac:dyDescent="0.2">
      <c r="A72" s="139" t="str">
        <f>IFERROR(INDEX(Party_Ledger!$A$3:$A$467,MATCH(60,Party_Ledger!$J$3:$J$467,0)),"")</f>
        <v/>
      </c>
      <c r="B72" s="76" t="str">
        <f>IFERROR(INDEX(Party_Ledger!$C$3:$C$467,MATCH(60,Party_Ledger!$J$3:$J$467,0)),"")</f>
        <v/>
      </c>
      <c r="C72" s="76" t="str">
        <f>IFERROR(INDEX(Party_Ledger!$D$3:$D$467,MATCH(60,Party_Ledger!$J$3:$J$467,0)),"")</f>
        <v/>
      </c>
      <c r="D72" s="77" t="str">
        <f>IFERROR(INDEX(Party_Ledger!$E$3:$E$467,MATCH(60,Party_Ledger!$J$3:$J$467,0)),"")</f>
        <v/>
      </c>
      <c r="E72" s="78" t="str">
        <f>IFERROR(INDEX(Party_Ledger!$F$3:$F$467,MATCH(60,Party_Ledger!$J$3:$J$467,0)),"")</f>
        <v/>
      </c>
      <c r="F72" s="78" t="str">
        <f>IFERROR(INDEX(Party_Ledger!$G$3:$G$467,MATCH(60,Party_Ledger!$J$3:$J$467,0)),"")</f>
        <v/>
      </c>
      <c r="G72" s="78" t="str">
        <f t="shared" si="1"/>
        <v/>
      </c>
    </row>
    <row r="80" spans="1:7" x14ac:dyDescent="0.2">
      <c r="A80" s="169" t="s">
        <v>685</v>
      </c>
      <c r="B80" s="153"/>
      <c r="C80" s="170"/>
      <c r="D80" s="171"/>
      <c r="E80" s="171"/>
      <c r="F80" s="171"/>
      <c r="G80" s="172"/>
    </row>
  </sheetData>
  <mergeCells count="5">
    <mergeCell ref="A1:G1"/>
    <mergeCell ref="A3:G3"/>
    <mergeCell ref="A2:G2"/>
    <mergeCell ref="A80:B80"/>
    <mergeCell ref="C80:G80"/>
  </mergeCells>
  <printOptions horizontalCentered="1"/>
  <pageMargins left="0.75" right="0.75" top="1" bottom="1" header="0.5" footer="0.5"/>
  <pageSetup scale="73" fitToHeight="0" orientation="portrait"/>
  <headerFooter>
    <oddHeader>&amp;C&amp;"Calibri,Bold"&amp;12 &amp;K1F3864[Your Dairy Plant Name]</oddHeader>
    <oddFooter>&amp;LPrinted &amp;D&amp;RPage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A00-000000000000}">
          <x14:formula1>
            <xm:f>Party_Master!$A$3:$A$502</xm:f>
          </x14:formula1>
          <xm:sqref>B5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06000"/>
    <pageSetUpPr fitToPage="1"/>
  </sheetPr>
  <dimension ref="A1:J42"/>
  <sheetViews>
    <sheetView showGridLines="0" workbookViewId="0">
      <pane ySplit="2" topLeftCell="A3" activePane="bottomLeft" state="frozen"/>
      <selection pane="bottomLeft" activeCell="E17" sqref="E17"/>
    </sheetView>
  </sheetViews>
  <sheetFormatPr baseColWidth="10" defaultColWidth="8.83203125" defaultRowHeight="15" x14ac:dyDescent="0.2"/>
  <cols>
    <col min="1" max="1" width="20" customWidth="1"/>
    <col min="8" max="8" width="11.5" bestFit="1" customWidth="1"/>
    <col min="9" max="9" width="13.6640625" bestFit="1" customWidth="1"/>
  </cols>
  <sheetData>
    <row r="1" spans="1:10" ht="32" customHeight="1" x14ac:dyDescent="0.2">
      <c r="A1" s="155" t="s">
        <v>686</v>
      </c>
      <c r="B1" s="153"/>
      <c r="C1" s="153"/>
      <c r="D1" s="153"/>
      <c r="E1" s="153"/>
      <c r="F1" s="153"/>
      <c r="G1" s="153"/>
      <c r="H1" s="153"/>
      <c r="I1" s="153"/>
      <c r="J1" s="153"/>
    </row>
    <row r="2" spans="1:10" ht="28" customHeight="1" x14ac:dyDescent="0.2">
      <c r="A2" s="3" t="s">
        <v>687</v>
      </c>
      <c r="B2" s="3" t="s">
        <v>688</v>
      </c>
      <c r="C2" s="3" t="s">
        <v>689</v>
      </c>
      <c r="D2" s="3" t="s">
        <v>690</v>
      </c>
      <c r="E2" s="3" t="s">
        <v>691</v>
      </c>
      <c r="F2" s="3" t="s">
        <v>692</v>
      </c>
      <c r="G2" s="3" t="s">
        <v>693</v>
      </c>
      <c r="H2" s="3" t="s">
        <v>694</v>
      </c>
      <c r="I2" s="3" t="s">
        <v>20</v>
      </c>
      <c r="J2" s="3" t="s">
        <v>15</v>
      </c>
    </row>
    <row r="3" spans="1:10" x14ac:dyDescent="0.2">
      <c r="A3" s="4" t="s">
        <v>60</v>
      </c>
      <c r="B3" s="4" t="s">
        <v>695</v>
      </c>
      <c r="C3" s="36">
        <v>0</v>
      </c>
      <c r="D3" s="36">
        <f>IF($A3="","",SUMIF(Purchase_Entry!$D:$D,$A3,Purchase_Entry!$K:$K))</f>
        <v>2036</v>
      </c>
      <c r="E3" s="36">
        <f>IF($A3="","",SUMIF(Sales_Entry!$D:$D,$A3,Sales_Entry!$E:$E))</f>
        <v>9830.65</v>
      </c>
      <c r="F3" s="36">
        <f t="shared" ref="F3:F41" si="0">IF($A3="","",$C3+$D3-$E3)</f>
        <v>-7794.65</v>
      </c>
      <c r="G3" s="4">
        <v>10</v>
      </c>
      <c r="H3" s="5">
        <v>86.35</v>
      </c>
      <c r="I3" s="5">
        <f t="shared" ref="I3:I41" si="1">IF($A3="","",$F3*$H3)</f>
        <v>-673068.02749999997</v>
      </c>
      <c r="J3" s="4" t="str">
        <f t="shared" ref="J3:J41" si="2">IF($A3="","",IF($F3&lt;=$G3,"⚠ Reorder","In Stock"))</f>
        <v>⚠ Reorder</v>
      </c>
    </row>
    <row r="4" spans="1:10" x14ac:dyDescent="0.2">
      <c r="A4" s="4" t="s">
        <v>69</v>
      </c>
      <c r="B4" s="4" t="s">
        <v>695</v>
      </c>
      <c r="C4" s="36">
        <v>0</v>
      </c>
      <c r="D4" s="36">
        <f>IF($A4="","",SUMIF(Purchase_Entry!$D:$D,$A4,Purchase_Entry!$K:$K))</f>
        <v>2078.3000000000006</v>
      </c>
      <c r="E4" s="36">
        <f>IF($A4="","",SUMIF(Sales_Entry!$D:$D,$A4,Sales_Entry!$E:$E))</f>
        <v>71</v>
      </c>
      <c r="F4" s="36">
        <f t="shared" si="0"/>
        <v>2007.3000000000006</v>
      </c>
      <c r="G4" s="4">
        <v>10</v>
      </c>
      <c r="H4" s="5">
        <v>80.290000000000006</v>
      </c>
      <c r="I4" s="5">
        <f t="shared" si="1"/>
        <v>161166.11700000006</v>
      </c>
      <c r="J4" s="4" t="str">
        <f t="shared" si="2"/>
        <v>In Stock</v>
      </c>
    </row>
    <row r="5" spans="1:10" x14ac:dyDescent="0.2">
      <c r="A5" s="4" t="s">
        <v>444</v>
      </c>
      <c r="B5" s="4" t="s">
        <v>695</v>
      </c>
      <c r="C5" s="36">
        <v>0</v>
      </c>
      <c r="D5" s="36">
        <f>IF($A5="","",SUMIF(Purchase_Entry!$D:$D,$A5,Purchase_Entry!$K:$K))</f>
        <v>3388.1000000000004</v>
      </c>
      <c r="E5" s="36">
        <f>IF($A5="","",SUMIF(Sales_Entry!$D:$D,$A5,Sales_Entry!$E:$E))</f>
        <v>0</v>
      </c>
      <c r="F5" s="36">
        <f>IF($A5="","",$C5+$D5-$E5)</f>
        <v>3388.1000000000004</v>
      </c>
      <c r="G5" s="4">
        <v>10</v>
      </c>
      <c r="H5" s="5">
        <v>0</v>
      </c>
      <c r="I5" s="5">
        <f>IF($A5="","",$F5*$H5)</f>
        <v>0</v>
      </c>
      <c r="J5" s="4" t="str">
        <f>IF($A5="","",IF($F5&lt;=$G5,"⚠ Reorder","In Stock"))</f>
        <v>In Stock</v>
      </c>
    </row>
    <row r="6" spans="1:10" x14ac:dyDescent="0.2">
      <c r="A6" s="4" t="s">
        <v>92</v>
      </c>
      <c r="B6" s="4" t="s">
        <v>696</v>
      </c>
      <c r="C6" s="36">
        <v>0</v>
      </c>
      <c r="D6" s="36">
        <f>IF($A6="","",SUMIF(Purchase_Entry!$D:$D,$A6,Purchase_Entry!$K:$K))</f>
        <v>18</v>
      </c>
      <c r="E6" s="36">
        <f>IF($A6="","",SUMIF(Sales_Entry!$D:$D,$A6,Sales_Entry!$E:$E))</f>
        <v>51</v>
      </c>
      <c r="F6" s="36">
        <f t="shared" si="0"/>
        <v>-33</v>
      </c>
      <c r="G6" s="4">
        <v>10</v>
      </c>
      <c r="H6" s="5">
        <v>1104.17</v>
      </c>
      <c r="I6" s="5">
        <f t="shared" si="1"/>
        <v>-36437.61</v>
      </c>
      <c r="J6" s="4" t="str">
        <f t="shared" si="2"/>
        <v>⚠ Reorder</v>
      </c>
    </row>
    <row r="7" spans="1:10" x14ac:dyDescent="0.2">
      <c r="A7" s="4" t="s">
        <v>93</v>
      </c>
      <c r="B7" s="4" t="s">
        <v>696</v>
      </c>
      <c r="C7" s="36">
        <v>0</v>
      </c>
      <c r="D7" s="36">
        <f>IF($A7="","",SUMIF(Purchase_Entry!$D:$D,$A7,Purchase_Entry!$K:$K))</f>
        <v>6.5</v>
      </c>
      <c r="E7" s="36">
        <f>IF($A7="","",SUMIF(Sales_Entry!$D:$D,$A7,Sales_Entry!$E:$E))</f>
        <v>26.5</v>
      </c>
      <c r="F7" s="36">
        <f t="shared" si="0"/>
        <v>-20</v>
      </c>
      <c r="G7" s="4">
        <v>10</v>
      </c>
      <c r="H7" s="5">
        <v>792.5</v>
      </c>
      <c r="I7" s="5">
        <f t="shared" si="1"/>
        <v>-15850</v>
      </c>
      <c r="J7" s="4" t="str">
        <f t="shared" si="2"/>
        <v>⚠ Reorder</v>
      </c>
    </row>
    <row r="8" spans="1:10" x14ac:dyDescent="0.2">
      <c r="A8" s="4" t="s">
        <v>161</v>
      </c>
      <c r="B8" s="4" t="s">
        <v>696</v>
      </c>
      <c r="C8" s="36">
        <v>0</v>
      </c>
      <c r="D8" s="36">
        <f>IF($A8="","",SUMIF(Purchase_Entry!$D:$D,$A8,Purchase_Entry!$K:$K))</f>
        <v>1</v>
      </c>
      <c r="E8" s="36">
        <f>IF($A8="","",SUMIF(Sales_Entry!$D:$D,$A8,Sales_Entry!$E:$E))</f>
        <v>19.75</v>
      </c>
      <c r="F8" s="36">
        <f t="shared" si="0"/>
        <v>-18.75</v>
      </c>
      <c r="G8" s="4">
        <v>10</v>
      </c>
      <c r="H8" s="5">
        <v>800</v>
      </c>
      <c r="I8" s="5">
        <f t="shared" si="1"/>
        <v>-15000</v>
      </c>
      <c r="J8" s="4" t="str">
        <f t="shared" si="2"/>
        <v>⚠ Reorder</v>
      </c>
    </row>
    <row r="9" spans="1:10" x14ac:dyDescent="0.2">
      <c r="A9" s="4" t="s">
        <v>348</v>
      </c>
      <c r="B9" s="4" t="s">
        <v>696</v>
      </c>
      <c r="C9" s="36">
        <v>0</v>
      </c>
      <c r="D9" s="36">
        <f>IF($A9="","",SUMIF(Purchase_Entry!$D:$D,$A9,Purchase_Entry!$K:$K))</f>
        <v>35</v>
      </c>
      <c r="E9" s="36">
        <f>IF($A9="","",SUMIF(Sales_Entry!$D:$D,$A9,Sales_Entry!$E:$E))</f>
        <v>35</v>
      </c>
      <c r="F9" s="36">
        <f t="shared" si="0"/>
        <v>0</v>
      </c>
      <c r="G9" s="4">
        <v>10</v>
      </c>
      <c r="H9" s="5">
        <v>48</v>
      </c>
      <c r="I9" s="5">
        <f t="shared" si="1"/>
        <v>0</v>
      </c>
      <c r="J9" s="4" t="str">
        <f t="shared" si="2"/>
        <v>⚠ Reorder</v>
      </c>
    </row>
    <row r="10" spans="1:10" x14ac:dyDescent="0.2">
      <c r="A10" s="4" t="s">
        <v>861</v>
      </c>
      <c r="B10" s="4" t="s">
        <v>696</v>
      </c>
      <c r="C10" s="36">
        <v>0</v>
      </c>
      <c r="D10" s="36">
        <f>IF($A10="","",SUMIF(Purchase_Entry!$D:$D,$A10,Purchase_Entry!$K:$K))</f>
        <v>135</v>
      </c>
      <c r="E10" s="36">
        <f>IF($A10="","",SUMIF(Sales_Entry!$D:$D,$A10,Sales_Entry!$E:$E))</f>
        <v>0</v>
      </c>
      <c r="F10" s="36">
        <f t="shared" si="0"/>
        <v>135</v>
      </c>
      <c r="G10" s="4">
        <v>20</v>
      </c>
      <c r="H10" s="5"/>
      <c r="I10" s="5">
        <f t="shared" si="1"/>
        <v>0</v>
      </c>
      <c r="J10" s="4" t="str">
        <f t="shared" si="2"/>
        <v>In Stock</v>
      </c>
    </row>
    <row r="11" spans="1:10" x14ac:dyDescent="0.2">
      <c r="A11" s="4"/>
      <c r="B11" s="4"/>
      <c r="C11" s="36"/>
      <c r="D11" s="36" t="str">
        <f>IF($A11="","",SUMIF(Purchase_Entry!$D:$D,$A11,Purchase_Entry!$K:$K))</f>
        <v/>
      </c>
      <c r="E11" s="36" t="str">
        <f>IF($A11="","",SUMIF(Sales_Entry!$D:$D,$A11,Sales_Entry!$E:$E))</f>
        <v/>
      </c>
      <c r="F11" s="36" t="str">
        <f t="shared" si="0"/>
        <v/>
      </c>
      <c r="G11" s="4"/>
      <c r="H11" s="5"/>
      <c r="I11" s="5" t="str">
        <f t="shared" si="1"/>
        <v/>
      </c>
      <c r="J11" s="4" t="str">
        <f t="shared" si="2"/>
        <v/>
      </c>
    </row>
    <row r="12" spans="1:10" x14ac:dyDescent="0.2">
      <c r="A12" s="4"/>
      <c r="B12" s="4"/>
      <c r="C12" s="36"/>
      <c r="D12" s="36" t="str">
        <f>IF($A12="","",SUMIF(Purchase_Entry!$D:$D,$A12,Purchase_Entry!$K:$K))</f>
        <v/>
      </c>
      <c r="E12" s="36" t="str">
        <f>IF($A12="","",SUMIF(Sales_Entry!$D:$D,$A12,Sales_Entry!$E:$E))</f>
        <v/>
      </c>
      <c r="F12" s="36" t="str">
        <f t="shared" si="0"/>
        <v/>
      </c>
      <c r="G12" s="4"/>
      <c r="H12" s="5"/>
      <c r="I12" s="5" t="str">
        <f t="shared" si="1"/>
        <v/>
      </c>
      <c r="J12" s="4" t="str">
        <f t="shared" si="2"/>
        <v/>
      </c>
    </row>
    <row r="13" spans="1:10" x14ac:dyDescent="0.2">
      <c r="A13" s="4"/>
      <c r="B13" s="4"/>
      <c r="C13" s="36"/>
      <c r="D13" s="36" t="str">
        <f>IF($A13="","",SUMIF(Purchase_Entry!$D:$D,$A13,Purchase_Entry!$K:$K))</f>
        <v/>
      </c>
      <c r="E13" s="36" t="str">
        <f>IF($A13="","",SUMIF(Sales_Entry!$D:$D,$A13,Sales_Entry!$E:$E))</f>
        <v/>
      </c>
      <c r="F13" s="36" t="str">
        <f t="shared" si="0"/>
        <v/>
      </c>
      <c r="G13" s="4"/>
      <c r="H13" s="5"/>
      <c r="I13" s="5" t="str">
        <f t="shared" si="1"/>
        <v/>
      </c>
      <c r="J13" s="4" t="str">
        <f t="shared" si="2"/>
        <v/>
      </c>
    </row>
    <row r="14" spans="1:10" x14ac:dyDescent="0.2">
      <c r="A14" s="4"/>
      <c r="B14" s="4"/>
      <c r="C14" s="36"/>
      <c r="D14" s="36" t="str">
        <f>IF($A14="","",SUMIF(Purchase_Entry!$D:$D,$A14,Purchase_Entry!$K:$K))</f>
        <v/>
      </c>
      <c r="E14" s="36" t="str">
        <f>IF($A14="","",SUMIF(Sales_Entry!$D:$D,$A14,Sales_Entry!$E:$E))</f>
        <v/>
      </c>
      <c r="F14" s="36" t="str">
        <f t="shared" si="0"/>
        <v/>
      </c>
      <c r="G14" s="4"/>
      <c r="H14" s="5"/>
      <c r="I14" s="5" t="str">
        <f t="shared" si="1"/>
        <v/>
      </c>
      <c r="J14" s="4" t="str">
        <f t="shared" si="2"/>
        <v/>
      </c>
    </row>
    <row r="15" spans="1:10" x14ac:dyDescent="0.2">
      <c r="A15" s="4"/>
      <c r="B15" s="4"/>
      <c r="C15" s="36"/>
      <c r="D15" s="36" t="str">
        <f>IF($A15="","",SUMIF(Purchase_Entry!$D:$D,$A15,Purchase_Entry!$K:$K))</f>
        <v/>
      </c>
      <c r="E15" s="36" t="str">
        <f>IF($A15="","",SUMIF(Sales_Entry!$D:$D,$A15,Sales_Entry!$E:$E))</f>
        <v/>
      </c>
      <c r="F15" s="36" t="str">
        <f t="shared" si="0"/>
        <v/>
      </c>
      <c r="G15" s="4"/>
      <c r="H15" s="5"/>
      <c r="I15" s="5" t="str">
        <f t="shared" si="1"/>
        <v/>
      </c>
      <c r="J15" s="4" t="str">
        <f t="shared" si="2"/>
        <v/>
      </c>
    </row>
    <row r="16" spans="1:10" x14ac:dyDescent="0.2">
      <c r="A16" s="4"/>
      <c r="B16" s="4"/>
      <c r="C16" s="36"/>
      <c r="D16" s="36" t="str">
        <f>IF($A16="","",SUMIF(Purchase_Entry!$D:$D,$A16,Purchase_Entry!$K:$K))</f>
        <v/>
      </c>
      <c r="E16" s="36" t="str">
        <f>IF($A16="","",SUMIF(Sales_Entry!$D:$D,$A16,Sales_Entry!$E:$E))</f>
        <v/>
      </c>
      <c r="F16" s="36" t="str">
        <f t="shared" si="0"/>
        <v/>
      </c>
      <c r="G16" s="4"/>
      <c r="H16" s="5"/>
      <c r="I16" s="5" t="str">
        <f t="shared" si="1"/>
        <v/>
      </c>
      <c r="J16" s="4" t="str">
        <f t="shared" si="2"/>
        <v/>
      </c>
    </row>
    <row r="17" spans="1:10" x14ac:dyDescent="0.2">
      <c r="A17" s="4"/>
      <c r="B17" s="4"/>
      <c r="C17" s="36"/>
      <c r="D17" s="36" t="str">
        <f>IF($A17="","",SUMIF(Purchase_Entry!$D:$D,$A17,Purchase_Entry!$K:$K))</f>
        <v/>
      </c>
      <c r="E17" s="36" t="str">
        <f>IF($A17="","",SUMIF(Sales_Entry!$D:$D,$A17,Sales_Entry!$E:$E))</f>
        <v/>
      </c>
      <c r="F17" s="36" t="str">
        <f t="shared" si="0"/>
        <v/>
      </c>
      <c r="G17" s="4"/>
      <c r="H17" s="5"/>
      <c r="I17" s="5" t="str">
        <f t="shared" si="1"/>
        <v/>
      </c>
      <c r="J17" s="4" t="str">
        <f t="shared" si="2"/>
        <v/>
      </c>
    </row>
    <row r="18" spans="1:10" x14ac:dyDescent="0.2">
      <c r="A18" s="4"/>
      <c r="B18" s="4"/>
      <c r="C18" s="36"/>
      <c r="D18" s="36" t="str">
        <f>IF($A18="","",SUMIF(Purchase_Entry!$D:$D,$A18,Purchase_Entry!$K:$K))</f>
        <v/>
      </c>
      <c r="E18" s="36" t="str">
        <f>IF($A18="","",SUMIF(Sales_Entry!$D:$D,$A18,Sales_Entry!$E:$E))</f>
        <v/>
      </c>
      <c r="F18" s="36" t="str">
        <f t="shared" si="0"/>
        <v/>
      </c>
      <c r="G18" s="4"/>
      <c r="H18" s="5"/>
      <c r="I18" s="5" t="str">
        <f t="shared" si="1"/>
        <v/>
      </c>
      <c r="J18" s="4" t="str">
        <f t="shared" si="2"/>
        <v/>
      </c>
    </row>
    <row r="19" spans="1:10" x14ac:dyDescent="0.2">
      <c r="A19" s="4"/>
      <c r="B19" s="4"/>
      <c r="C19" s="36"/>
      <c r="D19" s="36" t="str">
        <f>IF($A19="","",SUMIF(Purchase_Entry!$D:$D,$A19,Purchase_Entry!$K:$K))</f>
        <v/>
      </c>
      <c r="E19" s="36" t="str">
        <f>IF($A19="","",SUMIF(Sales_Entry!$D:$D,$A19,Sales_Entry!$E:$E))</f>
        <v/>
      </c>
      <c r="F19" s="36" t="str">
        <f t="shared" si="0"/>
        <v/>
      </c>
      <c r="G19" s="4"/>
      <c r="H19" s="5"/>
      <c r="I19" s="5" t="str">
        <f t="shared" si="1"/>
        <v/>
      </c>
      <c r="J19" s="4" t="str">
        <f t="shared" si="2"/>
        <v/>
      </c>
    </row>
    <row r="20" spans="1:10" x14ac:dyDescent="0.2">
      <c r="A20" s="4"/>
      <c r="B20" s="4"/>
      <c r="C20" s="36"/>
      <c r="D20" s="36" t="str">
        <f>IF($A20="","",SUMIF(Purchase_Entry!$D:$D,$A20,Purchase_Entry!$K:$K))</f>
        <v/>
      </c>
      <c r="E20" s="36" t="str">
        <f>IF($A20="","",SUMIF(Sales_Entry!$D:$D,$A20,Sales_Entry!$E:$E))</f>
        <v/>
      </c>
      <c r="F20" s="36" t="str">
        <f t="shared" si="0"/>
        <v/>
      </c>
      <c r="G20" s="4"/>
      <c r="H20" s="5"/>
      <c r="I20" s="5" t="str">
        <f t="shared" si="1"/>
        <v/>
      </c>
      <c r="J20" s="4" t="str">
        <f t="shared" si="2"/>
        <v/>
      </c>
    </row>
    <row r="21" spans="1:10" x14ac:dyDescent="0.2">
      <c r="A21" s="4"/>
      <c r="B21" s="4"/>
      <c r="C21" s="36"/>
      <c r="D21" s="36" t="str">
        <f>IF($A21="","",SUMIF(Purchase_Entry!$D:$D,$A21,Purchase_Entry!$K:$K))</f>
        <v/>
      </c>
      <c r="E21" s="36" t="str">
        <f>IF($A21="","",SUMIF(Sales_Entry!$D:$D,$A21,Sales_Entry!$E:$E))</f>
        <v/>
      </c>
      <c r="F21" s="36" t="str">
        <f t="shared" si="0"/>
        <v/>
      </c>
      <c r="G21" s="4"/>
      <c r="H21" s="5"/>
      <c r="I21" s="5" t="str">
        <f t="shared" si="1"/>
        <v/>
      </c>
      <c r="J21" s="4" t="str">
        <f t="shared" si="2"/>
        <v/>
      </c>
    </row>
    <row r="22" spans="1:10" x14ac:dyDescent="0.2">
      <c r="A22" s="4"/>
      <c r="B22" s="4"/>
      <c r="C22" s="36"/>
      <c r="D22" s="36" t="str">
        <f>IF($A22="","",SUMIF(Purchase_Entry!$D:$D,$A22,Purchase_Entry!$K:$K))</f>
        <v/>
      </c>
      <c r="E22" s="36" t="str">
        <f>IF($A22="","",SUMIF(Sales_Entry!$D:$D,$A22,Sales_Entry!$E:$E))</f>
        <v/>
      </c>
      <c r="F22" s="36" t="str">
        <f t="shared" si="0"/>
        <v/>
      </c>
      <c r="G22" s="4"/>
      <c r="H22" s="5"/>
      <c r="I22" s="5" t="str">
        <f t="shared" si="1"/>
        <v/>
      </c>
      <c r="J22" s="4" t="str">
        <f t="shared" si="2"/>
        <v/>
      </c>
    </row>
    <row r="23" spans="1:10" x14ac:dyDescent="0.2">
      <c r="A23" s="4"/>
      <c r="B23" s="4"/>
      <c r="C23" s="36"/>
      <c r="D23" s="36" t="str">
        <f>IF($A23="","",SUMIF(Purchase_Entry!$D:$D,$A23,Purchase_Entry!$K:$K))</f>
        <v/>
      </c>
      <c r="E23" s="36" t="str">
        <f>IF($A23="","",SUMIF(Sales_Entry!$D:$D,$A23,Sales_Entry!$E:$E))</f>
        <v/>
      </c>
      <c r="F23" s="36" t="str">
        <f t="shared" si="0"/>
        <v/>
      </c>
      <c r="G23" s="4"/>
      <c r="H23" s="5"/>
      <c r="I23" s="5" t="str">
        <f t="shared" si="1"/>
        <v/>
      </c>
      <c r="J23" s="4" t="str">
        <f t="shared" si="2"/>
        <v/>
      </c>
    </row>
    <row r="24" spans="1:10" x14ac:dyDescent="0.2">
      <c r="A24" s="4"/>
      <c r="B24" s="4"/>
      <c r="C24" s="36"/>
      <c r="D24" s="36" t="str">
        <f>IF($A24="","",SUMIF(Purchase_Entry!$D:$D,$A24,Purchase_Entry!$K:$K))</f>
        <v/>
      </c>
      <c r="E24" s="36" t="str">
        <f>IF($A24="","",SUMIF(Sales_Entry!$D:$D,$A24,Sales_Entry!$E:$E))</f>
        <v/>
      </c>
      <c r="F24" s="36" t="str">
        <f t="shared" si="0"/>
        <v/>
      </c>
      <c r="G24" s="4"/>
      <c r="H24" s="5"/>
      <c r="I24" s="5" t="str">
        <f t="shared" si="1"/>
        <v/>
      </c>
      <c r="J24" s="4" t="str">
        <f t="shared" si="2"/>
        <v/>
      </c>
    </row>
    <row r="25" spans="1:10" x14ac:dyDescent="0.2">
      <c r="A25" s="4"/>
      <c r="B25" s="4"/>
      <c r="C25" s="36"/>
      <c r="D25" s="36" t="str">
        <f>IF($A25="","",SUMIF(Purchase_Entry!$D:$D,$A25,Purchase_Entry!$K:$K))</f>
        <v/>
      </c>
      <c r="E25" s="36" t="str">
        <f>IF($A25="","",SUMIF(Sales_Entry!$D:$D,$A25,Sales_Entry!$E:$E))</f>
        <v/>
      </c>
      <c r="F25" s="36" t="str">
        <f t="shared" si="0"/>
        <v/>
      </c>
      <c r="G25" s="4"/>
      <c r="H25" s="5"/>
      <c r="I25" s="5" t="str">
        <f t="shared" si="1"/>
        <v/>
      </c>
      <c r="J25" s="4" t="str">
        <f t="shared" si="2"/>
        <v/>
      </c>
    </row>
    <row r="26" spans="1:10" x14ac:dyDescent="0.2">
      <c r="A26" s="4"/>
      <c r="B26" s="4"/>
      <c r="C26" s="36"/>
      <c r="D26" s="36" t="str">
        <f>IF($A26="","",SUMIF(Purchase_Entry!$D:$D,$A26,Purchase_Entry!$K:$K))</f>
        <v/>
      </c>
      <c r="E26" s="36" t="str">
        <f>IF($A26="","",SUMIF(Sales_Entry!$D:$D,$A26,Sales_Entry!$E:$E))</f>
        <v/>
      </c>
      <c r="F26" s="36" t="str">
        <f t="shared" si="0"/>
        <v/>
      </c>
      <c r="G26" s="4"/>
      <c r="H26" s="5"/>
      <c r="I26" s="5" t="str">
        <f t="shared" si="1"/>
        <v/>
      </c>
      <c r="J26" s="4" t="str">
        <f t="shared" si="2"/>
        <v/>
      </c>
    </row>
    <row r="27" spans="1:10" x14ac:dyDescent="0.2">
      <c r="A27" s="4"/>
      <c r="B27" s="4"/>
      <c r="C27" s="36"/>
      <c r="D27" s="36" t="str">
        <f>IF($A27="","",SUMIF(Purchase_Entry!$D:$D,$A27,Purchase_Entry!$K:$K))</f>
        <v/>
      </c>
      <c r="E27" s="36" t="str">
        <f>IF($A27="","",SUMIF(Sales_Entry!$D:$D,$A27,Sales_Entry!$E:$E))</f>
        <v/>
      </c>
      <c r="F27" s="36" t="str">
        <f t="shared" si="0"/>
        <v/>
      </c>
      <c r="G27" s="4"/>
      <c r="H27" s="5"/>
      <c r="I27" s="5" t="str">
        <f t="shared" si="1"/>
        <v/>
      </c>
      <c r="J27" s="4" t="str">
        <f t="shared" si="2"/>
        <v/>
      </c>
    </row>
    <row r="28" spans="1:10" x14ac:dyDescent="0.2">
      <c r="A28" s="4"/>
      <c r="B28" s="4"/>
      <c r="C28" s="36"/>
      <c r="D28" s="36" t="str">
        <f>IF($A28="","",SUMIF(Purchase_Entry!$D:$D,$A28,Purchase_Entry!$K:$K))</f>
        <v/>
      </c>
      <c r="E28" s="36" t="str">
        <f>IF($A28="","",SUMIF(Sales_Entry!$D:$D,$A28,Sales_Entry!$E:$E))</f>
        <v/>
      </c>
      <c r="F28" s="36" t="str">
        <f t="shared" si="0"/>
        <v/>
      </c>
      <c r="G28" s="4"/>
      <c r="H28" s="5"/>
      <c r="I28" s="5" t="str">
        <f t="shared" si="1"/>
        <v/>
      </c>
      <c r="J28" s="4" t="str">
        <f t="shared" si="2"/>
        <v/>
      </c>
    </row>
    <row r="29" spans="1:10" x14ac:dyDescent="0.2">
      <c r="A29" s="4"/>
      <c r="B29" s="4"/>
      <c r="C29" s="36"/>
      <c r="D29" s="36" t="str">
        <f>IF($A29="","",SUMIF(Purchase_Entry!$D:$D,$A29,Purchase_Entry!$K:$K))</f>
        <v/>
      </c>
      <c r="E29" s="36" t="str">
        <f>IF($A29="","",SUMIF(Sales_Entry!$D:$D,$A29,Sales_Entry!$E:$E))</f>
        <v/>
      </c>
      <c r="F29" s="36" t="str">
        <f t="shared" si="0"/>
        <v/>
      </c>
      <c r="G29" s="4"/>
      <c r="H29" s="5"/>
      <c r="I29" s="5" t="str">
        <f t="shared" si="1"/>
        <v/>
      </c>
      <c r="J29" s="4" t="str">
        <f t="shared" si="2"/>
        <v/>
      </c>
    </row>
    <row r="30" spans="1:10" x14ac:dyDescent="0.2">
      <c r="A30" s="4"/>
      <c r="B30" s="4"/>
      <c r="C30" s="36"/>
      <c r="D30" s="36" t="str">
        <f>IF($A30="","",SUMIF(Purchase_Entry!$D:$D,$A30,Purchase_Entry!$K:$K))</f>
        <v/>
      </c>
      <c r="E30" s="36" t="str">
        <f>IF($A30="","",SUMIF(Sales_Entry!$D:$D,$A30,Sales_Entry!$E:$E))</f>
        <v/>
      </c>
      <c r="F30" s="36" t="str">
        <f t="shared" si="0"/>
        <v/>
      </c>
      <c r="G30" s="4"/>
      <c r="H30" s="5"/>
      <c r="I30" s="5" t="str">
        <f t="shared" si="1"/>
        <v/>
      </c>
      <c r="J30" s="4" t="str">
        <f t="shared" si="2"/>
        <v/>
      </c>
    </row>
    <row r="31" spans="1:10" x14ac:dyDescent="0.2">
      <c r="A31" s="4"/>
      <c r="B31" s="4"/>
      <c r="C31" s="36"/>
      <c r="D31" s="36" t="str">
        <f>IF($A31="","",SUMIF(Purchase_Entry!$D:$D,$A31,Purchase_Entry!$K:$K))</f>
        <v/>
      </c>
      <c r="E31" s="36" t="str">
        <f>IF($A31="","",SUMIF(Sales_Entry!$D:$D,$A31,Sales_Entry!$E:$E))</f>
        <v/>
      </c>
      <c r="F31" s="36" t="str">
        <f t="shared" si="0"/>
        <v/>
      </c>
      <c r="G31" s="4"/>
      <c r="H31" s="5"/>
      <c r="I31" s="5" t="str">
        <f t="shared" si="1"/>
        <v/>
      </c>
      <c r="J31" s="4" t="str">
        <f t="shared" si="2"/>
        <v/>
      </c>
    </row>
    <row r="32" spans="1:10" x14ac:dyDescent="0.2">
      <c r="A32" s="4"/>
      <c r="B32" s="4"/>
      <c r="C32" s="36"/>
      <c r="D32" s="36" t="str">
        <f>IF($A32="","",SUMIF(Purchase_Entry!$D:$D,$A32,Purchase_Entry!$K:$K))</f>
        <v/>
      </c>
      <c r="E32" s="36" t="str">
        <f>IF($A32="","",SUMIF(Sales_Entry!$D:$D,$A32,Sales_Entry!$E:$E))</f>
        <v/>
      </c>
      <c r="F32" s="36" t="str">
        <f t="shared" si="0"/>
        <v/>
      </c>
      <c r="G32" s="4"/>
      <c r="H32" s="5"/>
      <c r="I32" s="5" t="str">
        <f t="shared" si="1"/>
        <v/>
      </c>
      <c r="J32" s="4" t="str">
        <f t="shared" si="2"/>
        <v/>
      </c>
    </row>
    <row r="33" spans="1:10" x14ac:dyDescent="0.2">
      <c r="A33" s="4"/>
      <c r="B33" s="4"/>
      <c r="C33" s="36"/>
      <c r="D33" s="36" t="str">
        <f>IF($A33="","",SUMIF(Purchase_Entry!$D:$D,$A33,Purchase_Entry!$K:$K))</f>
        <v/>
      </c>
      <c r="E33" s="36" t="str">
        <f>IF($A33="","",SUMIF(Sales_Entry!$D:$D,$A33,Sales_Entry!$E:$E))</f>
        <v/>
      </c>
      <c r="F33" s="36" t="str">
        <f t="shared" si="0"/>
        <v/>
      </c>
      <c r="G33" s="4"/>
      <c r="H33" s="5"/>
      <c r="I33" s="5" t="str">
        <f t="shared" si="1"/>
        <v/>
      </c>
      <c r="J33" s="4" t="str">
        <f t="shared" si="2"/>
        <v/>
      </c>
    </row>
    <row r="34" spans="1:10" x14ac:dyDescent="0.2">
      <c r="A34" s="4"/>
      <c r="B34" s="4"/>
      <c r="C34" s="36"/>
      <c r="D34" s="36" t="str">
        <f>IF($A34="","",SUMIF(Purchase_Entry!$D:$D,$A34,Purchase_Entry!$K:$K))</f>
        <v/>
      </c>
      <c r="E34" s="36" t="str">
        <f>IF($A34="","",SUMIF(Sales_Entry!$D:$D,$A34,Sales_Entry!$E:$E))</f>
        <v/>
      </c>
      <c r="F34" s="36" t="str">
        <f t="shared" si="0"/>
        <v/>
      </c>
      <c r="G34" s="4"/>
      <c r="H34" s="5"/>
      <c r="I34" s="5" t="str">
        <f t="shared" si="1"/>
        <v/>
      </c>
      <c r="J34" s="4" t="str">
        <f t="shared" si="2"/>
        <v/>
      </c>
    </row>
    <row r="35" spans="1:10" x14ac:dyDescent="0.2">
      <c r="A35" s="4"/>
      <c r="B35" s="4"/>
      <c r="C35" s="36"/>
      <c r="D35" s="36" t="str">
        <f>IF($A35="","",SUMIF(Purchase_Entry!$D:$D,$A35,Purchase_Entry!$K:$K))</f>
        <v/>
      </c>
      <c r="E35" s="36" t="str">
        <f>IF($A35="","",SUMIF(Sales_Entry!$D:$D,$A35,Sales_Entry!$E:$E))</f>
        <v/>
      </c>
      <c r="F35" s="36" t="str">
        <f t="shared" si="0"/>
        <v/>
      </c>
      <c r="G35" s="4"/>
      <c r="H35" s="5"/>
      <c r="I35" s="5" t="str">
        <f t="shared" si="1"/>
        <v/>
      </c>
      <c r="J35" s="4" t="str">
        <f t="shared" si="2"/>
        <v/>
      </c>
    </row>
    <row r="36" spans="1:10" x14ac:dyDescent="0.2">
      <c r="A36" s="4"/>
      <c r="B36" s="4"/>
      <c r="C36" s="36"/>
      <c r="D36" s="36" t="str">
        <f>IF($A36="","",SUMIF(Purchase_Entry!$D:$D,$A36,Purchase_Entry!$K:$K))</f>
        <v/>
      </c>
      <c r="E36" s="36" t="str">
        <f>IF($A36="","",SUMIF(Sales_Entry!$D:$D,$A36,Sales_Entry!$E:$E))</f>
        <v/>
      </c>
      <c r="F36" s="36" t="str">
        <f t="shared" si="0"/>
        <v/>
      </c>
      <c r="G36" s="4"/>
      <c r="H36" s="5"/>
      <c r="I36" s="5" t="str">
        <f t="shared" si="1"/>
        <v/>
      </c>
      <c r="J36" s="4" t="str">
        <f t="shared" si="2"/>
        <v/>
      </c>
    </row>
    <row r="37" spans="1:10" x14ac:dyDescent="0.2">
      <c r="A37" s="4"/>
      <c r="B37" s="4"/>
      <c r="C37" s="36"/>
      <c r="D37" s="36" t="str">
        <f>IF($A37="","",SUMIF(Purchase_Entry!$D:$D,$A37,Purchase_Entry!$K:$K))</f>
        <v/>
      </c>
      <c r="E37" s="36" t="str">
        <f>IF($A37="","",SUMIF(Sales_Entry!$D:$D,$A37,Sales_Entry!$E:$E))</f>
        <v/>
      </c>
      <c r="F37" s="36" t="str">
        <f t="shared" si="0"/>
        <v/>
      </c>
      <c r="G37" s="4"/>
      <c r="H37" s="5"/>
      <c r="I37" s="5" t="str">
        <f t="shared" si="1"/>
        <v/>
      </c>
      <c r="J37" s="4" t="str">
        <f t="shared" si="2"/>
        <v/>
      </c>
    </row>
    <row r="38" spans="1:10" x14ac:dyDescent="0.2">
      <c r="A38" s="4"/>
      <c r="B38" s="4"/>
      <c r="C38" s="36"/>
      <c r="D38" s="36" t="str">
        <f>IF($A38="","",SUMIF(Purchase_Entry!$D:$D,$A38,Purchase_Entry!$K:$K))</f>
        <v/>
      </c>
      <c r="E38" s="36" t="str">
        <f>IF($A38="","",SUMIF(Sales_Entry!$D:$D,$A38,Sales_Entry!$E:$E))</f>
        <v/>
      </c>
      <c r="F38" s="36" t="str">
        <f t="shared" si="0"/>
        <v/>
      </c>
      <c r="G38" s="4"/>
      <c r="H38" s="5"/>
      <c r="I38" s="5" t="str">
        <f t="shared" si="1"/>
        <v/>
      </c>
      <c r="J38" s="4" t="str">
        <f t="shared" si="2"/>
        <v/>
      </c>
    </row>
    <row r="39" spans="1:10" x14ac:dyDescent="0.2">
      <c r="A39" s="4"/>
      <c r="B39" s="4"/>
      <c r="C39" s="36"/>
      <c r="D39" s="36" t="str">
        <f>IF($A39="","",SUMIF(Purchase_Entry!$D:$D,$A39,Purchase_Entry!$K:$K))</f>
        <v/>
      </c>
      <c r="E39" s="36" t="str">
        <f>IF($A39="","",SUMIF(Sales_Entry!$D:$D,$A39,Sales_Entry!$E:$E))</f>
        <v/>
      </c>
      <c r="F39" s="36" t="str">
        <f t="shared" si="0"/>
        <v/>
      </c>
      <c r="G39" s="4"/>
      <c r="H39" s="5"/>
      <c r="I39" s="5" t="str">
        <f t="shared" si="1"/>
        <v/>
      </c>
      <c r="J39" s="4" t="str">
        <f t="shared" si="2"/>
        <v/>
      </c>
    </row>
    <row r="40" spans="1:10" x14ac:dyDescent="0.2">
      <c r="A40" s="4"/>
      <c r="B40" s="4"/>
      <c r="C40" s="36"/>
      <c r="D40" s="36" t="str">
        <f>IF($A40="","",SUMIF(Purchase_Entry!$D:$D,$A40,Purchase_Entry!$K:$K))</f>
        <v/>
      </c>
      <c r="E40" s="36" t="str">
        <f>IF($A40="","",SUMIF(Sales_Entry!$D:$D,$A40,Sales_Entry!$E:$E))</f>
        <v/>
      </c>
      <c r="F40" s="36" t="str">
        <f t="shared" si="0"/>
        <v/>
      </c>
      <c r="G40" s="4"/>
      <c r="H40" s="5"/>
      <c r="I40" s="5" t="str">
        <f t="shared" si="1"/>
        <v/>
      </c>
      <c r="J40" s="4" t="str">
        <f t="shared" si="2"/>
        <v/>
      </c>
    </row>
    <row r="41" spans="1:10" x14ac:dyDescent="0.2">
      <c r="A41" s="4"/>
      <c r="B41" s="4"/>
      <c r="C41" s="36"/>
      <c r="D41" s="36" t="str">
        <f>IF($A41="","",SUMIF(Purchase_Entry!$D:$D,$A41,Purchase_Entry!$K:$K))</f>
        <v/>
      </c>
      <c r="E41" s="36" t="str">
        <f>IF($A41="","",SUMIF(Sales_Entry!$D:$D,$A41,Sales_Entry!$E:$E))</f>
        <v/>
      </c>
      <c r="F41" s="36" t="str">
        <f t="shared" si="0"/>
        <v/>
      </c>
      <c r="G41" s="4"/>
      <c r="H41" s="5"/>
      <c r="I41" s="5" t="str">
        <f t="shared" si="1"/>
        <v/>
      </c>
      <c r="J41" s="4" t="str">
        <f t="shared" si="2"/>
        <v/>
      </c>
    </row>
    <row r="42" spans="1:10" ht="24" customHeight="1" x14ac:dyDescent="0.2">
      <c r="A42" s="39" t="s">
        <v>697</v>
      </c>
      <c r="B42" s="38"/>
      <c r="C42" s="38"/>
      <c r="D42" s="38"/>
      <c r="E42" s="38"/>
      <c r="F42" s="38"/>
      <c r="G42" s="38"/>
      <c r="H42" s="38"/>
      <c r="I42" s="40" t="str">
        <f ca="1">SUBTOTAL(9,I3:I501)</f>
        <v/>
      </c>
      <c r="J42" s="38"/>
    </row>
  </sheetData>
  <mergeCells count="1">
    <mergeCell ref="A1:J1"/>
  </mergeCells>
  <conditionalFormatting sqref="F3:F41">
    <cfRule type="cellIs" dxfId="3" priority="3" operator="lessThan">
      <formula>0</formula>
    </cfRule>
  </conditionalFormatting>
  <conditionalFormatting sqref="J3:J41">
    <cfRule type="cellIs" dxfId="2" priority="1" operator="equal">
      <formula>"⚠ Reorder"</formula>
    </cfRule>
    <cfRule type="cellIs" dxfId="1" priority="2" operator="equal">
      <formula>"In Stock"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Settings!$E$16:$E$24</xm:f>
          </x14:formula1>
          <xm:sqref>B3:B502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06000"/>
    <pageSetUpPr fitToPage="1"/>
  </sheetPr>
  <dimension ref="A1:H53"/>
  <sheetViews>
    <sheetView showGridLines="0" workbookViewId="0">
      <pane ySplit="8" topLeftCell="A9" activePane="bottomLeft" state="frozen"/>
      <selection pane="bottomLeft" activeCell="D5" sqref="D5"/>
    </sheetView>
  </sheetViews>
  <sheetFormatPr baseColWidth="10" defaultColWidth="8.83203125" defaultRowHeight="15" x14ac:dyDescent="0.2"/>
  <cols>
    <col min="1" max="1" width="20" customWidth="1"/>
    <col min="2" max="2" width="10.6640625" bestFit="1" customWidth="1"/>
    <col min="3" max="3" width="14" customWidth="1"/>
    <col min="4" max="4" width="12" bestFit="1" customWidth="1"/>
    <col min="5" max="5" width="12" customWidth="1"/>
    <col min="6" max="6" width="14" customWidth="1"/>
    <col min="7" max="7" width="12" customWidth="1"/>
    <col min="8" max="8" width="16" customWidth="1"/>
  </cols>
  <sheetData>
    <row r="1" spans="1:8" x14ac:dyDescent="0.2">
      <c r="A1" s="166" t="str">
        <f>BizName</f>
        <v>[Your Dairy Plant Name]</v>
      </c>
      <c r="B1" s="153"/>
      <c r="C1" s="153"/>
      <c r="D1" s="153"/>
      <c r="E1" s="153"/>
      <c r="F1" s="153"/>
      <c r="G1" s="153"/>
      <c r="H1" s="153"/>
    </row>
    <row r="2" spans="1:8" x14ac:dyDescent="0.2">
      <c r="A2" s="168" t="str">
        <f>"Phone: "&amp;Settings!B9&amp;"  |  PAN/VAT: "&amp;Settings!B11</f>
        <v>Phone: [Email Address]  |  PAN/VAT: [Registration No]</v>
      </c>
      <c r="B2" s="153"/>
      <c r="C2" s="153"/>
      <c r="D2" s="153"/>
      <c r="E2" s="153"/>
      <c r="F2" s="153"/>
      <c r="G2" s="153"/>
      <c r="H2" s="153"/>
    </row>
    <row r="3" spans="1:8" ht="26" customHeight="1" x14ac:dyDescent="0.2">
      <c r="A3" s="167" t="s">
        <v>698</v>
      </c>
      <c r="B3" s="153"/>
      <c r="C3" s="153"/>
      <c r="D3" s="153"/>
      <c r="E3" s="153"/>
      <c r="F3" s="153"/>
      <c r="G3" s="153"/>
      <c r="H3" s="153"/>
    </row>
    <row r="5" spans="1:8" ht="16" x14ac:dyDescent="0.2">
      <c r="A5" s="45" t="s">
        <v>22</v>
      </c>
      <c r="B5" s="138">
        <v>66915</v>
      </c>
      <c r="C5" s="45" t="s">
        <v>23</v>
      </c>
      <c r="D5" s="144" t="s">
        <v>864</v>
      </c>
      <c r="F5" s="54" t="s">
        <v>699</v>
      </c>
      <c r="H5" s="55">
        <f>SUM(H9:H47)</f>
        <v>0</v>
      </c>
    </row>
    <row r="6" spans="1:8" x14ac:dyDescent="0.2">
      <c r="A6" s="8" t="str">
        <f>"Period: "&amp;TEXT($B$5,"dd-mmm-yyyy")&amp;"  to  "&amp;TEXT($D$5,"dd-mmm-yyyy")</f>
        <v>Period: 15-Mar-2083  to  3/32/2083</v>
      </c>
      <c r="F6" s="54" t="s">
        <v>700</v>
      </c>
      <c r="H6" s="56">
        <f>COUNTIF(F9:F47,"&lt;="&amp;0)</f>
        <v>8</v>
      </c>
    </row>
    <row r="8" spans="1:8" ht="28" customHeight="1" x14ac:dyDescent="0.2">
      <c r="A8" s="3" t="s">
        <v>52</v>
      </c>
      <c r="B8" s="3" t="s">
        <v>688</v>
      </c>
      <c r="C8" s="3" t="s">
        <v>689</v>
      </c>
      <c r="D8" s="3" t="s">
        <v>690</v>
      </c>
      <c r="E8" s="3" t="s">
        <v>691</v>
      </c>
      <c r="F8" s="3" t="s">
        <v>701</v>
      </c>
      <c r="G8" s="3" t="s">
        <v>694</v>
      </c>
      <c r="H8" s="3" t="s">
        <v>702</v>
      </c>
    </row>
    <row r="9" spans="1:8" x14ac:dyDescent="0.2">
      <c r="A9" s="4" t="str">
        <f>IF(Stock_Master!$A$3="","",Stock_Master!$A$3)</f>
        <v>Mix Milk</v>
      </c>
      <c r="B9" s="4" t="str">
        <f>IF(Stock_Master!$A$3="","",Stock_Master!$B$3)</f>
        <v>Liter</v>
      </c>
      <c r="C9" s="36">
        <f>IF($A9="","",Stock_Master!$C$3+SUMIFS(Purchase_Entry!$K$3:$K$634,Purchase_Entry!$D$3:$D$634,$A9,Purchase_Entry!$A$3:$A$634,"&lt;"&amp;$B$5)-SUMIFS(Sales_Entry!$E$3:$E$581,Sales_Entry!$D$3:$D$581,$A9,Sales_Entry!$A$3:$A$581,"&lt;"&amp;$B$5))</f>
        <v>0</v>
      </c>
      <c r="D9" s="36">
        <f>IF($A9="","",SUMIFS(Purchase_Entry!$K$3:$K$634,Purchase_Entry!$D$3:$D$634,$A9,Purchase_Entry!$A$3:$A$634,"&gt;="&amp;$B$5,Purchase_Entry!$A$3:$A$634,"&lt;="&amp;$D$5))</f>
        <v>0</v>
      </c>
      <c r="E9" s="36">
        <f>IF($A9="","",SUMIFS(Sales_Entry!$E$3:$E$581,Sales_Entry!$D$3:$D$581,$A9,Sales_Entry!$A$3:$A$581,"&gt;="&amp;$B$5,Sales_Entry!$A$3:$A$581,"&lt;="&amp;$D$5))</f>
        <v>0</v>
      </c>
      <c r="F9" s="36">
        <f t="shared" ref="F9:F47" si="0">IF($A9="","",$C9+$D9-$E9)</f>
        <v>0</v>
      </c>
      <c r="G9" s="5">
        <f>IF($A9="","",Stock_Master!$H$3)</f>
        <v>86.35</v>
      </c>
      <c r="H9" s="5">
        <f t="shared" ref="H9:H47" si="1">IF($A9="","",$F9*$G9)</f>
        <v>0</v>
      </c>
    </row>
    <row r="10" spans="1:8" x14ac:dyDescent="0.2">
      <c r="A10" s="4" t="str">
        <f>IF(Stock_Master!$A$4="","",Stock_Master!$A$4)</f>
        <v>Cow Milk</v>
      </c>
      <c r="B10" s="4" t="str">
        <f>IF(Stock_Master!$A$4="","",Stock_Master!$B$4)</f>
        <v>Liter</v>
      </c>
      <c r="C10" s="36">
        <f>IF($A10="","",Stock_Master!$C$4+SUMIFS(Purchase_Entry!$K$3:$K$634,Purchase_Entry!$D$3:$D$634,$A10,Purchase_Entry!$A$3:$A$634,"&lt;"&amp;$B$5)-SUMIFS(Sales_Entry!$E$3:$E$581,Sales_Entry!$D$3:$D$581,$A10,Sales_Entry!$A$3:$A$581,"&lt;"&amp;$B$5))</f>
        <v>0</v>
      </c>
      <c r="D10" s="36">
        <f>IF($A10="","",SUMIFS(Purchase_Entry!$K$3:$K$634,Purchase_Entry!$D$3:$D$634,$A10,Purchase_Entry!$A$3:$A$634,"&gt;="&amp;$B$5,Purchase_Entry!$A$3:$A$634,"&lt;="&amp;$D$5))</f>
        <v>0</v>
      </c>
      <c r="E10" s="36">
        <f>IF($A10="","",SUMIFS(Sales_Entry!$E$3:$E$581,Sales_Entry!$D$3:$D$581,$A10,Sales_Entry!$A$3:$A$581,"&gt;="&amp;$B$5,Sales_Entry!$A$3:$A$581,"&lt;="&amp;$D$5))</f>
        <v>0</v>
      </c>
      <c r="F10" s="36">
        <f t="shared" si="0"/>
        <v>0</v>
      </c>
      <c r="G10" s="5">
        <f>IF($A10="","",Stock_Master!$H$4)</f>
        <v>80.290000000000006</v>
      </c>
      <c r="H10" s="5">
        <f t="shared" si="1"/>
        <v>0</v>
      </c>
    </row>
    <row r="11" spans="1:8" x14ac:dyDescent="0.2">
      <c r="A11" s="4" t="str">
        <f>IF(Stock_Master!$A$6="","",Stock_Master!$A$6)</f>
        <v>Ghee</v>
      </c>
      <c r="B11" s="4" t="str">
        <f>IF(Stock_Master!$A$6="","",Stock_Master!$B$6)</f>
        <v>Kg</v>
      </c>
      <c r="C11" s="36">
        <f>IF($A11="","",Stock_Master!$C$6+SUMIFS(Purchase_Entry!$K$3:$K$634,Purchase_Entry!$D$3:$D$634,$A11,Purchase_Entry!$A$3:$A$634,"&lt;"&amp;$B$5)-SUMIFS(Sales_Entry!$E$3:$E$581,Sales_Entry!$D$3:$D$581,$A11,Sales_Entry!$A$3:$A$581,"&lt;"&amp;$B$5))</f>
        <v>0</v>
      </c>
      <c r="D11" s="36">
        <f>IF($A11="","",SUMIFS(Purchase_Entry!$K$3:$K$634,Purchase_Entry!$D$3:$D$634,$A11,Purchase_Entry!$A$3:$A$634,"&gt;="&amp;$B$5,Purchase_Entry!$A$3:$A$634,"&lt;="&amp;$D$5))</f>
        <v>0</v>
      </c>
      <c r="E11" s="36">
        <f>IF($A11="","",SUMIFS(Sales_Entry!$E$3:$E$581,Sales_Entry!$D$3:$D$581,$A11,Sales_Entry!$A$3:$A$581,"&gt;="&amp;$B$5,Sales_Entry!$A$3:$A$581,"&lt;="&amp;$D$5))</f>
        <v>0</v>
      </c>
      <c r="F11" s="36">
        <f t="shared" si="0"/>
        <v>0</v>
      </c>
      <c r="G11" s="5">
        <f>IF($A11="","",Stock_Master!$H$6)</f>
        <v>1104.17</v>
      </c>
      <c r="H11" s="5">
        <f t="shared" si="1"/>
        <v>0</v>
      </c>
    </row>
    <row r="12" spans="1:8" x14ac:dyDescent="0.2">
      <c r="A12" s="4" t="str">
        <f>IF(Stock_Master!$A$7="","",Stock_Master!$A$7)</f>
        <v>NAUNI</v>
      </c>
      <c r="B12" s="4" t="str">
        <f>IF(Stock_Master!$A$7="","",Stock_Master!$B$7)</f>
        <v>Kg</v>
      </c>
      <c r="C12" s="36">
        <f>IF($A12="","",Stock_Master!$C$7+SUMIFS(Purchase_Entry!$K$3:$K$634,Purchase_Entry!$D$3:$D$634,$A12,Purchase_Entry!$A$3:$A$634,"&lt;"&amp;$B$5)-SUMIFS(Sales_Entry!$E$3:$E$581,Sales_Entry!$D$3:$D$581,$A12,Sales_Entry!$A$3:$A$581,"&lt;"&amp;$B$5))</f>
        <v>0</v>
      </c>
      <c r="D12" s="36">
        <f>IF($A12="","",SUMIFS(Purchase_Entry!$K$3:$K$634,Purchase_Entry!$D$3:$D$634,$A12,Purchase_Entry!$A$3:$A$634,"&gt;="&amp;$B$5,Purchase_Entry!$A$3:$A$634,"&lt;="&amp;$D$5))</f>
        <v>0</v>
      </c>
      <c r="E12" s="36">
        <f>IF($A12="","",SUMIFS(Sales_Entry!$E$3:$E$581,Sales_Entry!$D$3:$D$581,$A12,Sales_Entry!$A$3:$A$581,"&gt;="&amp;$B$5,Sales_Entry!$A$3:$A$581,"&lt;="&amp;$D$5))</f>
        <v>0</v>
      </c>
      <c r="F12" s="36">
        <f t="shared" si="0"/>
        <v>0</v>
      </c>
      <c r="G12" s="5">
        <f>IF($A12="","",Stock_Master!$H$7)</f>
        <v>792.5</v>
      </c>
      <c r="H12" s="5">
        <f t="shared" si="1"/>
        <v>0</v>
      </c>
    </row>
    <row r="13" spans="1:8" x14ac:dyDescent="0.2">
      <c r="A13" s="4" t="str">
        <f>IF(Stock_Master!$A$8="","",Stock_Master!$A$8)</f>
        <v>PANEER</v>
      </c>
      <c r="B13" s="4" t="str">
        <f>IF(Stock_Master!$A$8="","",Stock_Master!$B$8)</f>
        <v>Kg</v>
      </c>
      <c r="C13" s="36">
        <f>IF($A13="","",Stock_Master!$C$8+SUMIFS(Purchase_Entry!$K$3:$K$634,Purchase_Entry!$D$3:$D$634,$A13,Purchase_Entry!$A$3:$A$634,"&lt;"&amp;$B$5)-SUMIFS(Sales_Entry!$E$3:$E$581,Sales_Entry!$D$3:$D$581,$A13,Sales_Entry!$A$3:$A$581,"&lt;"&amp;$B$5))</f>
        <v>0</v>
      </c>
      <c r="D13" s="36">
        <f>IF($A13="","",SUMIFS(Purchase_Entry!$K$3:$K$634,Purchase_Entry!$D$3:$D$634,$A13,Purchase_Entry!$A$3:$A$634,"&gt;="&amp;$B$5,Purchase_Entry!$A$3:$A$634,"&lt;="&amp;$D$5))</f>
        <v>0</v>
      </c>
      <c r="E13" s="36">
        <f>IF($A13="","",SUMIFS(Sales_Entry!$E$3:$E$581,Sales_Entry!$D$3:$D$581,$A13,Sales_Entry!$A$3:$A$581,"&gt;="&amp;$B$5,Sales_Entry!$A$3:$A$581,"&lt;="&amp;$D$5))</f>
        <v>0</v>
      </c>
      <c r="F13" s="36">
        <f t="shared" si="0"/>
        <v>0</v>
      </c>
      <c r="G13" s="5">
        <f>IF($A13="","",Stock_Master!$H$8)</f>
        <v>800</v>
      </c>
      <c r="H13" s="5">
        <f t="shared" si="1"/>
        <v>0</v>
      </c>
    </row>
    <row r="14" spans="1:8" x14ac:dyDescent="0.2">
      <c r="A14" s="4" t="str">
        <f>IF(Stock_Master!$A$9="","",Stock_Master!$A$9)</f>
        <v>DANA</v>
      </c>
      <c r="B14" s="4" t="str">
        <f>IF(Stock_Master!$A$9="","",Stock_Master!$B$9)</f>
        <v>Kg</v>
      </c>
      <c r="C14" s="36">
        <f>IF($A14="","",Stock_Master!$C$9+SUMIFS(Purchase_Entry!$K$3:$K$634,Purchase_Entry!$D$3:$D$634,$A14,Purchase_Entry!$A$3:$A$634,"&lt;"&amp;$B$5)-SUMIFS(Sales_Entry!$E$3:$E$581,Sales_Entry!$D$3:$D$581,$A14,Sales_Entry!$A$3:$A$581,"&lt;"&amp;$B$5))</f>
        <v>0</v>
      </c>
      <c r="D14" s="36">
        <f>IF($A14="","",SUMIFS(Purchase_Entry!$K$3:$K$634,Purchase_Entry!$D$3:$D$634,$A14,Purchase_Entry!$A$3:$A$634,"&gt;="&amp;$B$5,Purchase_Entry!$A$3:$A$634,"&lt;="&amp;$D$5))</f>
        <v>0</v>
      </c>
      <c r="E14" s="36">
        <f>IF($A14="","",SUMIFS(Sales_Entry!$E$3:$E$581,Sales_Entry!$D$3:$D$581,$A14,Sales_Entry!$A$3:$A$581,"&gt;="&amp;$B$5,Sales_Entry!$A$3:$A$581,"&lt;="&amp;$D$5))</f>
        <v>0</v>
      </c>
      <c r="F14" s="36">
        <f t="shared" si="0"/>
        <v>0</v>
      </c>
      <c r="G14" s="5">
        <f>IF($A14="","",Stock_Master!$H$9)</f>
        <v>48</v>
      </c>
      <c r="H14" s="5">
        <f t="shared" si="1"/>
        <v>0</v>
      </c>
    </row>
    <row r="15" spans="1:8" x14ac:dyDescent="0.2">
      <c r="A15" s="4" t="str">
        <f>IF(Stock_Master!$A$5="","",Stock_Master!$A$5)</f>
        <v>Buffalo Milk</v>
      </c>
      <c r="B15" s="4" t="str">
        <f>IF(Stock_Master!$A$5="","",Stock_Master!$B$5)</f>
        <v>Liter</v>
      </c>
      <c r="C15" s="36">
        <f>IF($A15="","",Stock_Master!$C$5+SUMIFS(Purchase_Entry!$K$3:$K$634,Purchase_Entry!$D$3:$D$634,$A15,Purchase_Entry!$A$3:$A$634,"&lt;"&amp;$B$5)-SUMIFS(Sales_Entry!$E$3:$E$581,Sales_Entry!$D$3:$D$581,$A15,Sales_Entry!$A$3:$A$581,"&lt;"&amp;$B$5))</f>
        <v>0</v>
      </c>
      <c r="D15" s="36">
        <f>IF($A15="","",SUMIFS(Purchase_Entry!$K$3:$K$634,Purchase_Entry!$D$3:$D$634,$A15,Purchase_Entry!$A$3:$A$634,"&gt;="&amp;$B$5,Purchase_Entry!$A$3:$A$634,"&lt;="&amp;$D$5))</f>
        <v>0</v>
      </c>
      <c r="E15" s="36">
        <f>IF($A15="","",SUMIFS(Sales_Entry!$E$3:$E$581,Sales_Entry!$D$3:$D$581,$A15,Sales_Entry!$A$3:$A$581,"&gt;="&amp;$B$5,Sales_Entry!$A$3:$A$581,"&lt;="&amp;$D$5))</f>
        <v>0</v>
      </c>
      <c r="F15" s="36">
        <f t="shared" si="0"/>
        <v>0</v>
      </c>
      <c r="G15" s="5">
        <f>IF($A15="","",Stock_Master!$H$5)</f>
        <v>0</v>
      </c>
      <c r="H15" s="5">
        <f t="shared" si="1"/>
        <v>0</v>
      </c>
    </row>
    <row r="16" spans="1:8" x14ac:dyDescent="0.2">
      <c r="A16" s="4" t="str">
        <f>IF(Stock_Master!$A$10="","",Stock_Master!$A$10)</f>
        <v>Cream</v>
      </c>
      <c r="B16" s="4" t="str">
        <f>IF(Stock_Master!$A$10="","",Stock_Master!$B$10)</f>
        <v>Kg</v>
      </c>
      <c r="C16" s="36">
        <f>IF($A16="","",Stock_Master!$C$10+SUMIFS(Purchase_Entry!$K$3:$K$634,Purchase_Entry!$D$3:$D$634,$A16,Purchase_Entry!$A$3:$A$634,"&lt;"&amp;$B$5)-SUMIFS(Sales_Entry!$E$3:$E$581,Sales_Entry!$D$3:$D$581,$A16,Sales_Entry!$A$3:$A$581,"&lt;"&amp;$B$5))</f>
        <v>0</v>
      </c>
      <c r="D16" s="36">
        <f>IF($A16="","",SUMIFS(Purchase_Entry!$K$3:$K$634,Purchase_Entry!$D$3:$D$634,$A16,Purchase_Entry!$A$3:$A$634,"&gt;="&amp;$B$5,Purchase_Entry!$A$3:$A$634,"&lt;="&amp;$D$5))</f>
        <v>0</v>
      </c>
      <c r="E16" s="36">
        <f>IF($A16="","",SUMIFS(Sales_Entry!$E$3:$E$581,Sales_Entry!$D$3:$D$581,$A16,Sales_Entry!$A$3:$A$581,"&gt;="&amp;$B$5,Sales_Entry!$A$3:$A$581,"&lt;="&amp;$D$5))</f>
        <v>0</v>
      </c>
      <c r="F16" s="36">
        <f t="shared" si="0"/>
        <v>0</v>
      </c>
      <c r="G16" s="5">
        <f>IF($A16="","",Stock_Master!$H$10)</f>
        <v>0</v>
      </c>
      <c r="H16" s="5">
        <f t="shared" si="1"/>
        <v>0</v>
      </c>
    </row>
    <row r="17" spans="1:8" x14ac:dyDescent="0.2">
      <c r="A17" s="4" t="str">
        <f>IF(Stock_Master!$A$11="","",Stock_Master!$A$11)</f>
        <v/>
      </c>
      <c r="B17" s="4" t="str">
        <f>IF(Stock_Master!$A$11="","",Stock_Master!$B$11)</f>
        <v/>
      </c>
      <c r="C17" s="36" t="str">
        <f>IF($A17="","",Stock_Master!$C$11+SUMIFS(Purchase_Entry!$K$3:$K$634,Purchase_Entry!$D$3:$D$634,$A17,Purchase_Entry!$A$3:$A$634,"&lt;"&amp;$B$5)-SUMIFS(Sales_Entry!$E$3:$E$581,Sales_Entry!$D$3:$D$581,$A17,Sales_Entry!$A$3:$A$581,"&lt;"&amp;$B$5))</f>
        <v/>
      </c>
      <c r="D17" s="36" t="str">
        <f>IF($A17="","",SUMIFS(Purchase_Entry!$K$3:$K$634,Purchase_Entry!$D$3:$D$634,$A17,Purchase_Entry!$A$3:$A$634,"&gt;="&amp;$B$5,Purchase_Entry!$A$3:$A$634,"&lt;="&amp;$D$5))</f>
        <v/>
      </c>
      <c r="E17" s="36" t="str">
        <f>IF($A17="","",SUMIFS(Sales_Entry!$E$3:$E$581,Sales_Entry!$D$3:$D$581,$A17,Sales_Entry!$A$3:$A$581,"&gt;="&amp;$B$5,Sales_Entry!$A$3:$A$581,"&lt;="&amp;$D$5))</f>
        <v/>
      </c>
      <c r="F17" s="36" t="str">
        <f t="shared" si="0"/>
        <v/>
      </c>
      <c r="G17" s="5" t="str">
        <f>IF($A17="","",Stock_Master!$H$11)</f>
        <v/>
      </c>
      <c r="H17" s="5" t="str">
        <f t="shared" si="1"/>
        <v/>
      </c>
    </row>
    <row r="18" spans="1:8" x14ac:dyDescent="0.2">
      <c r="A18" s="4" t="str">
        <f>IF(Stock_Master!$A$12="","",Stock_Master!$A$12)</f>
        <v/>
      </c>
      <c r="B18" s="4" t="str">
        <f>IF(Stock_Master!$A$12="","",Stock_Master!$B$12)</f>
        <v/>
      </c>
      <c r="C18" s="36" t="str">
        <f>IF($A18="","",Stock_Master!$C$12+SUMIFS(Purchase_Entry!$K$3:$K$634,Purchase_Entry!$D$3:$D$634,$A18,Purchase_Entry!$A$3:$A$634,"&lt;"&amp;$B$5)-SUMIFS(Sales_Entry!$E$3:$E$581,Sales_Entry!$D$3:$D$581,$A18,Sales_Entry!$A$3:$A$581,"&lt;"&amp;$B$5))</f>
        <v/>
      </c>
      <c r="D18" s="36" t="str">
        <f>IF($A18="","",SUMIFS(Purchase_Entry!$K$3:$K$634,Purchase_Entry!$D$3:$D$634,$A18,Purchase_Entry!$A$3:$A$634,"&gt;="&amp;$B$5,Purchase_Entry!$A$3:$A$634,"&lt;="&amp;$D$5))</f>
        <v/>
      </c>
      <c r="E18" s="36" t="str">
        <f>IF($A18="","",SUMIFS(Sales_Entry!$E$3:$E$581,Sales_Entry!$D$3:$D$581,$A18,Sales_Entry!$A$3:$A$581,"&gt;="&amp;$B$5,Sales_Entry!$A$3:$A$581,"&lt;="&amp;$D$5))</f>
        <v/>
      </c>
      <c r="F18" s="36" t="str">
        <f t="shared" si="0"/>
        <v/>
      </c>
      <c r="G18" s="5" t="str">
        <f>IF($A18="","",Stock_Master!$H$12)</f>
        <v/>
      </c>
      <c r="H18" s="5" t="str">
        <f t="shared" si="1"/>
        <v/>
      </c>
    </row>
    <row r="19" spans="1:8" x14ac:dyDescent="0.2">
      <c r="A19" s="4" t="str">
        <f>IF(Stock_Master!$A$13="","",Stock_Master!$A$13)</f>
        <v/>
      </c>
      <c r="B19" s="4" t="str">
        <f>IF(Stock_Master!$A$13="","",Stock_Master!$B$13)</f>
        <v/>
      </c>
      <c r="C19" s="36" t="str">
        <f>IF($A19="","",Stock_Master!$C$13+SUMIFS(Purchase_Entry!$K$3:$K$634,Purchase_Entry!$D$3:$D$634,$A19,Purchase_Entry!$A$3:$A$634,"&lt;"&amp;$B$5)-SUMIFS(Sales_Entry!$E$3:$E$581,Sales_Entry!$D$3:$D$581,$A19,Sales_Entry!$A$3:$A$581,"&lt;"&amp;$B$5))</f>
        <v/>
      </c>
      <c r="D19" s="36" t="str">
        <f>IF($A19="","",SUMIFS(Purchase_Entry!$K$3:$K$634,Purchase_Entry!$D$3:$D$634,$A19,Purchase_Entry!$A$3:$A$634,"&gt;="&amp;$B$5,Purchase_Entry!$A$3:$A$634,"&lt;="&amp;$D$5))</f>
        <v/>
      </c>
      <c r="E19" s="36" t="str">
        <f>IF($A19="","",SUMIFS(Sales_Entry!$E$3:$E$581,Sales_Entry!$D$3:$D$581,$A19,Sales_Entry!$A$3:$A$581,"&gt;="&amp;$B$5,Sales_Entry!$A$3:$A$581,"&lt;="&amp;$D$5))</f>
        <v/>
      </c>
      <c r="F19" s="36" t="str">
        <f t="shared" si="0"/>
        <v/>
      </c>
      <c r="G19" s="5" t="str">
        <f>IF($A19="","",Stock_Master!$H$13)</f>
        <v/>
      </c>
      <c r="H19" s="5" t="str">
        <f t="shared" si="1"/>
        <v/>
      </c>
    </row>
    <row r="20" spans="1:8" x14ac:dyDescent="0.2">
      <c r="A20" s="4" t="str">
        <f>IF(Stock_Master!$A$14="","",Stock_Master!$A$14)</f>
        <v/>
      </c>
      <c r="B20" s="4" t="str">
        <f>IF(Stock_Master!$A$14="","",Stock_Master!$B$14)</f>
        <v/>
      </c>
      <c r="C20" s="36" t="str">
        <f>IF($A20="","",Stock_Master!$C$14+SUMIFS(Purchase_Entry!$K$3:$K$634,Purchase_Entry!$D$3:$D$634,$A20,Purchase_Entry!$A$3:$A$634,"&lt;"&amp;$B$5)-SUMIFS(Sales_Entry!$E$3:$E$581,Sales_Entry!$D$3:$D$581,$A20,Sales_Entry!$A$3:$A$581,"&lt;"&amp;$B$5))</f>
        <v/>
      </c>
      <c r="D20" s="36" t="str">
        <f>IF($A20="","",SUMIFS(Purchase_Entry!$K$3:$K$634,Purchase_Entry!$D$3:$D$634,$A20,Purchase_Entry!$A$3:$A$634,"&gt;="&amp;$B$5,Purchase_Entry!$A$3:$A$634,"&lt;="&amp;$D$5))</f>
        <v/>
      </c>
      <c r="E20" s="36" t="str">
        <f>IF($A20="","",SUMIFS(Sales_Entry!$E$3:$E$581,Sales_Entry!$D$3:$D$581,$A20,Sales_Entry!$A$3:$A$581,"&gt;="&amp;$B$5,Sales_Entry!$A$3:$A$581,"&lt;="&amp;$D$5))</f>
        <v/>
      </c>
      <c r="F20" s="36" t="str">
        <f t="shared" si="0"/>
        <v/>
      </c>
      <c r="G20" s="5" t="str">
        <f>IF($A20="","",Stock_Master!$H$14)</f>
        <v/>
      </c>
      <c r="H20" s="5" t="str">
        <f t="shared" si="1"/>
        <v/>
      </c>
    </row>
    <row r="21" spans="1:8" x14ac:dyDescent="0.2">
      <c r="A21" s="4" t="str">
        <f>IF(Stock_Master!$A$15="","",Stock_Master!$A$15)</f>
        <v/>
      </c>
      <c r="B21" s="4" t="str">
        <f>IF(Stock_Master!$A$15="","",Stock_Master!$B$15)</f>
        <v/>
      </c>
      <c r="C21" s="36" t="str">
        <f>IF($A21="","",Stock_Master!$C$15+SUMIFS(Purchase_Entry!$K$3:$K$634,Purchase_Entry!$D$3:$D$634,$A21,Purchase_Entry!$A$3:$A$634,"&lt;"&amp;$B$5)-SUMIFS(Sales_Entry!$E$3:$E$581,Sales_Entry!$D$3:$D$581,$A21,Sales_Entry!$A$3:$A$581,"&lt;"&amp;$B$5))</f>
        <v/>
      </c>
      <c r="D21" s="36" t="str">
        <f>IF($A21="","",SUMIFS(Purchase_Entry!$K$3:$K$634,Purchase_Entry!$D$3:$D$634,$A21,Purchase_Entry!$A$3:$A$634,"&gt;="&amp;$B$5,Purchase_Entry!$A$3:$A$634,"&lt;="&amp;$D$5))</f>
        <v/>
      </c>
      <c r="E21" s="36" t="str">
        <f>IF($A21="","",SUMIFS(Sales_Entry!$E$3:$E$581,Sales_Entry!$D$3:$D$581,$A21,Sales_Entry!$A$3:$A$581,"&gt;="&amp;$B$5,Sales_Entry!$A$3:$A$581,"&lt;="&amp;$D$5))</f>
        <v/>
      </c>
      <c r="F21" s="36" t="str">
        <f t="shared" si="0"/>
        <v/>
      </c>
      <c r="G21" s="5" t="str">
        <f>IF($A21="","",Stock_Master!$H$15)</f>
        <v/>
      </c>
      <c r="H21" s="5" t="str">
        <f t="shared" si="1"/>
        <v/>
      </c>
    </row>
    <row r="22" spans="1:8" x14ac:dyDescent="0.2">
      <c r="A22" s="4" t="str">
        <f>IF(Stock_Master!$A$16="","",Stock_Master!$A$16)</f>
        <v/>
      </c>
      <c r="B22" s="4" t="str">
        <f>IF(Stock_Master!$A$16="","",Stock_Master!$B$16)</f>
        <v/>
      </c>
      <c r="C22" s="36" t="str">
        <f>IF($A22="","",Stock_Master!$C$16+SUMIFS(Purchase_Entry!$K$3:$K$634,Purchase_Entry!$D$3:$D$634,$A22,Purchase_Entry!$A$3:$A$634,"&lt;"&amp;$B$5)-SUMIFS(Sales_Entry!$E$3:$E$581,Sales_Entry!$D$3:$D$581,$A22,Sales_Entry!$A$3:$A$581,"&lt;"&amp;$B$5))</f>
        <v/>
      </c>
      <c r="D22" s="36" t="str">
        <f>IF($A22="","",SUMIFS(Purchase_Entry!$K$3:$K$634,Purchase_Entry!$D$3:$D$634,$A22,Purchase_Entry!$A$3:$A$634,"&gt;="&amp;$B$5,Purchase_Entry!$A$3:$A$634,"&lt;="&amp;$D$5))</f>
        <v/>
      </c>
      <c r="E22" s="36" t="str">
        <f>IF($A22="","",SUMIFS(Sales_Entry!$E$3:$E$581,Sales_Entry!$D$3:$D$581,$A22,Sales_Entry!$A$3:$A$581,"&gt;="&amp;$B$5,Sales_Entry!$A$3:$A$581,"&lt;="&amp;$D$5))</f>
        <v/>
      </c>
      <c r="F22" s="36" t="str">
        <f t="shared" si="0"/>
        <v/>
      </c>
      <c r="G22" s="5" t="str">
        <f>IF($A22="","",Stock_Master!$H$16)</f>
        <v/>
      </c>
      <c r="H22" s="5" t="str">
        <f t="shared" si="1"/>
        <v/>
      </c>
    </row>
    <row r="23" spans="1:8" x14ac:dyDescent="0.2">
      <c r="A23" s="4" t="str">
        <f>IF(Stock_Master!$A$17="","",Stock_Master!$A$17)</f>
        <v/>
      </c>
      <c r="B23" s="4" t="str">
        <f>IF(Stock_Master!$A$17="","",Stock_Master!$B$17)</f>
        <v/>
      </c>
      <c r="C23" s="36" t="str">
        <f>IF($A23="","",Stock_Master!$C$17+SUMIFS(Purchase_Entry!$K$3:$K$634,Purchase_Entry!$D$3:$D$634,$A23,Purchase_Entry!$A$3:$A$634,"&lt;"&amp;$B$5)-SUMIFS(Sales_Entry!$E$3:$E$581,Sales_Entry!$D$3:$D$581,$A23,Sales_Entry!$A$3:$A$581,"&lt;"&amp;$B$5))</f>
        <v/>
      </c>
      <c r="D23" s="36" t="str">
        <f>IF($A23="","",SUMIFS(Purchase_Entry!$K$3:$K$634,Purchase_Entry!$D$3:$D$634,$A23,Purchase_Entry!$A$3:$A$634,"&gt;="&amp;$B$5,Purchase_Entry!$A$3:$A$634,"&lt;="&amp;$D$5))</f>
        <v/>
      </c>
      <c r="E23" s="36" t="str">
        <f>IF($A23="","",SUMIFS(Sales_Entry!$E$3:$E$581,Sales_Entry!$D$3:$D$581,$A23,Sales_Entry!$A$3:$A$581,"&gt;="&amp;$B$5,Sales_Entry!$A$3:$A$581,"&lt;="&amp;$D$5))</f>
        <v/>
      </c>
      <c r="F23" s="36" t="str">
        <f t="shared" si="0"/>
        <v/>
      </c>
      <c r="G23" s="5" t="str">
        <f>IF($A23="","",Stock_Master!$H$17)</f>
        <v/>
      </c>
      <c r="H23" s="5" t="str">
        <f t="shared" si="1"/>
        <v/>
      </c>
    </row>
    <row r="24" spans="1:8" x14ac:dyDescent="0.2">
      <c r="A24" s="4" t="str">
        <f>IF(Stock_Master!$A$18="","",Stock_Master!$A$18)</f>
        <v/>
      </c>
      <c r="B24" s="4" t="str">
        <f>IF(Stock_Master!$A$18="","",Stock_Master!$B$18)</f>
        <v/>
      </c>
      <c r="C24" s="36" t="str">
        <f>IF($A24="","",Stock_Master!$C$18+SUMIFS(Purchase_Entry!$K$3:$K$634,Purchase_Entry!$D$3:$D$634,$A24,Purchase_Entry!$A$3:$A$634,"&lt;"&amp;$B$5)-SUMIFS(Sales_Entry!$E$3:$E$581,Sales_Entry!$D$3:$D$581,$A24,Sales_Entry!$A$3:$A$581,"&lt;"&amp;$B$5))</f>
        <v/>
      </c>
      <c r="D24" s="36" t="str">
        <f>IF($A24="","",SUMIFS(Purchase_Entry!$K$3:$K$634,Purchase_Entry!$D$3:$D$634,$A24,Purchase_Entry!$A$3:$A$634,"&gt;="&amp;$B$5,Purchase_Entry!$A$3:$A$634,"&lt;="&amp;$D$5))</f>
        <v/>
      </c>
      <c r="E24" s="36" t="str">
        <f>IF($A24="","",SUMIFS(Sales_Entry!$E$3:$E$581,Sales_Entry!$D$3:$D$581,$A24,Sales_Entry!$A$3:$A$581,"&gt;="&amp;$B$5,Sales_Entry!$A$3:$A$581,"&lt;="&amp;$D$5))</f>
        <v/>
      </c>
      <c r="F24" s="36" t="str">
        <f t="shared" si="0"/>
        <v/>
      </c>
      <c r="G24" s="5" t="str">
        <f>IF($A24="","",Stock_Master!$H$18)</f>
        <v/>
      </c>
      <c r="H24" s="5" t="str">
        <f t="shared" si="1"/>
        <v/>
      </c>
    </row>
    <row r="25" spans="1:8" x14ac:dyDescent="0.2">
      <c r="A25" s="4" t="str">
        <f>IF(Stock_Master!$A$19="","",Stock_Master!$A$19)</f>
        <v/>
      </c>
      <c r="B25" s="4" t="str">
        <f>IF(Stock_Master!$A$19="","",Stock_Master!$B$19)</f>
        <v/>
      </c>
      <c r="C25" s="36" t="str">
        <f>IF($A25="","",Stock_Master!$C$19+SUMIFS(Purchase_Entry!$K$3:$K$634,Purchase_Entry!$D$3:$D$634,$A25,Purchase_Entry!$A$3:$A$634,"&lt;"&amp;$B$5)-SUMIFS(Sales_Entry!$E$3:$E$581,Sales_Entry!$D$3:$D$581,$A25,Sales_Entry!$A$3:$A$581,"&lt;"&amp;$B$5))</f>
        <v/>
      </c>
      <c r="D25" s="36" t="str">
        <f>IF($A25="","",SUMIFS(Purchase_Entry!$K$3:$K$634,Purchase_Entry!$D$3:$D$634,$A25,Purchase_Entry!$A$3:$A$634,"&gt;="&amp;$B$5,Purchase_Entry!$A$3:$A$634,"&lt;="&amp;$D$5))</f>
        <v/>
      </c>
      <c r="E25" s="36" t="str">
        <f>IF($A25="","",SUMIFS(Sales_Entry!$E$3:$E$581,Sales_Entry!$D$3:$D$581,$A25,Sales_Entry!$A$3:$A$581,"&gt;="&amp;$B$5,Sales_Entry!$A$3:$A$581,"&lt;="&amp;$D$5))</f>
        <v/>
      </c>
      <c r="F25" s="36" t="str">
        <f t="shared" si="0"/>
        <v/>
      </c>
      <c r="G25" s="5" t="str">
        <f>IF($A25="","",Stock_Master!$H$19)</f>
        <v/>
      </c>
      <c r="H25" s="5" t="str">
        <f t="shared" si="1"/>
        <v/>
      </c>
    </row>
    <row r="26" spans="1:8" x14ac:dyDescent="0.2">
      <c r="A26" s="4" t="str">
        <f>IF(Stock_Master!$A$20="","",Stock_Master!$A$20)</f>
        <v/>
      </c>
      <c r="B26" s="4" t="str">
        <f>IF(Stock_Master!$A$20="","",Stock_Master!$B$20)</f>
        <v/>
      </c>
      <c r="C26" s="36" t="str">
        <f>IF($A26="","",Stock_Master!$C$20+SUMIFS(Purchase_Entry!$K$3:$K$634,Purchase_Entry!$D$3:$D$634,$A26,Purchase_Entry!$A$3:$A$634,"&lt;"&amp;$B$5)-SUMIFS(Sales_Entry!$E$3:$E$581,Sales_Entry!$D$3:$D$581,$A26,Sales_Entry!$A$3:$A$581,"&lt;"&amp;$B$5))</f>
        <v/>
      </c>
      <c r="D26" s="36" t="str">
        <f>IF($A26="","",SUMIFS(Purchase_Entry!$K$3:$K$634,Purchase_Entry!$D$3:$D$634,$A26,Purchase_Entry!$A$3:$A$634,"&gt;="&amp;$B$5,Purchase_Entry!$A$3:$A$634,"&lt;="&amp;$D$5))</f>
        <v/>
      </c>
      <c r="E26" s="36" t="str">
        <f>IF($A26="","",SUMIFS(Sales_Entry!$E$3:$E$581,Sales_Entry!$D$3:$D$581,$A26,Sales_Entry!$A$3:$A$581,"&gt;="&amp;$B$5,Sales_Entry!$A$3:$A$581,"&lt;="&amp;$D$5))</f>
        <v/>
      </c>
      <c r="F26" s="36" t="str">
        <f t="shared" si="0"/>
        <v/>
      </c>
      <c r="G26" s="5" t="str">
        <f>IF($A26="","",Stock_Master!$H$20)</f>
        <v/>
      </c>
      <c r="H26" s="5" t="str">
        <f t="shared" si="1"/>
        <v/>
      </c>
    </row>
    <row r="27" spans="1:8" x14ac:dyDescent="0.2">
      <c r="A27" s="4" t="str">
        <f>IF(Stock_Master!$A$21="","",Stock_Master!$A$21)</f>
        <v/>
      </c>
      <c r="B27" s="4" t="str">
        <f>IF(Stock_Master!$A$21="","",Stock_Master!$B$21)</f>
        <v/>
      </c>
      <c r="C27" s="36" t="str">
        <f>IF($A27="","",Stock_Master!$C$21+SUMIFS(Purchase_Entry!$K$3:$K$634,Purchase_Entry!$D$3:$D$634,$A27,Purchase_Entry!$A$3:$A$634,"&lt;"&amp;$B$5)-SUMIFS(Sales_Entry!$E$3:$E$581,Sales_Entry!$D$3:$D$581,$A27,Sales_Entry!$A$3:$A$581,"&lt;"&amp;$B$5))</f>
        <v/>
      </c>
      <c r="D27" s="36" t="str">
        <f>IF($A27="","",SUMIFS(Purchase_Entry!$K$3:$K$634,Purchase_Entry!$D$3:$D$634,$A27,Purchase_Entry!$A$3:$A$634,"&gt;="&amp;$B$5,Purchase_Entry!$A$3:$A$634,"&lt;="&amp;$D$5))</f>
        <v/>
      </c>
      <c r="E27" s="36" t="str">
        <f>IF($A27="","",SUMIFS(Sales_Entry!$E$3:$E$581,Sales_Entry!$D$3:$D$581,$A27,Sales_Entry!$A$3:$A$581,"&gt;="&amp;$B$5,Sales_Entry!$A$3:$A$581,"&lt;="&amp;$D$5))</f>
        <v/>
      </c>
      <c r="F27" s="36" t="str">
        <f t="shared" si="0"/>
        <v/>
      </c>
      <c r="G27" s="5" t="str">
        <f>IF($A27="","",Stock_Master!$H$21)</f>
        <v/>
      </c>
      <c r="H27" s="5" t="str">
        <f t="shared" si="1"/>
        <v/>
      </c>
    </row>
    <row r="28" spans="1:8" x14ac:dyDescent="0.2">
      <c r="A28" s="4" t="str">
        <f>IF(Stock_Master!$A$22="","",Stock_Master!$A$22)</f>
        <v/>
      </c>
      <c r="B28" s="4" t="str">
        <f>IF(Stock_Master!$A$22="","",Stock_Master!$B$22)</f>
        <v/>
      </c>
      <c r="C28" s="36" t="str">
        <f>IF($A28="","",Stock_Master!$C$22+SUMIFS(Purchase_Entry!$K$3:$K$634,Purchase_Entry!$D$3:$D$634,$A28,Purchase_Entry!$A$3:$A$634,"&lt;"&amp;$B$5)-SUMIFS(Sales_Entry!$E$3:$E$581,Sales_Entry!$D$3:$D$581,$A28,Sales_Entry!$A$3:$A$581,"&lt;"&amp;$B$5))</f>
        <v/>
      </c>
      <c r="D28" s="36" t="str">
        <f>IF($A28="","",SUMIFS(Purchase_Entry!$K$3:$K$634,Purchase_Entry!$D$3:$D$634,$A28,Purchase_Entry!$A$3:$A$634,"&gt;="&amp;$B$5,Purchase_Entry!$A$3:$A$634,"&lt;="&amp;$D$5))</f>
        <v/>
      </c>
      <c r="E28" s="36" t="str">
        <f>IF($A28="","",SUMIFS(Sales_Entry!$E$3:$E$581,Sales_Entry!$D$3:$D$581,$A28,Sales_Entry!$A$3:$A$581,"&gt;="&amp;$B$5,Sales_Entry!$A$3:$A$581,"&lt;="&amp;$D$5))</f>
        <v/>
      </c>
      <c r="F28" s="36" t="str">
        <f t="shared" si="0"/>
        <v/>
      </c>
      <c r="G28" s="5" t="str">
        <f>IF($A28="","",Stock_Master!$H$22)</f>
        <v/>
      </c>
      <c r="H28" s="5" t="str">
        <f t="shared" si="1"/>
        <v/>
      </c>
    </row>
    <row r="29" spans="1:8" x14ac:dyDescent="0.2">
      <c r="A29" s="4" t="str">
        <f>IF(Stock_Master!$A$23="","",Stock_Master!$A$23)</f>
        <v/>
      </c>
      <c r="B29" s="4" t="str">
        <f>IF(Stock_Master!$A$23="","",Stock_Master!$B$23)</f>
        <v/>
      </c>
      <c r="C29" s="36" t="str">
        <f>IF($A29="","",Stock_Master!$C$23+SUMIFS(Purchase_Entry!$K$3:$K$634,Purchase_Entry!$D$3:$D$634,$A29,Purchase_Entry!$A$3:$A$634,"&lt;"&amp;$B$5)-SUMIFS(Sales_Entry!$E$3:$E$581,Sales_Entry!$D$3:$D$581,$A29,Sales_Entry!$A$3:$A$581,"&lt;"&amp;$B$5))</f>
        <v/>
      </c>
      <c r="D29" s="36" t="str">
        <f>IF($A29="","",SUMIFS(Purchase_Entry!$K$3:$K$634,Purchase_Entry!$D$3:$D$634,$A29,Purchase_Entry!$A$3:$A$634,"&gt;="&amp;$B$5,Purchase_Entry!$A$3:$A$634,"&lt;="&amp;$D$5))</f>
        <v/>
      </c>
      <c r="E29" s="36" t="str">
        <f>IF($A29="","",SUMIFS(Sales_Entry!$E$3:$E$581,Sales_Entry!$D$3:$D$581,$A29,Sales_Entry!$A$3:$A$581,"&gt;="&amp;$B$5,Sales_Entry!$A$3:$A$581,"&lt;="&amp;$D$5))</f>
        <v/>
      </c>
      <c r="F29" s="36" t="str">
        <f t="shared" si="0"/>
        <v/>
      </c>
      <c r="G29" s="5" t="str">
        <f>IF($A29="","",Stock_Master!$H$23)</f>
        <v/>
      </c>
      <c r="H29" s="5" t="str">
        <f t="shared" si="1"/>
        <v/>
      </c>
    </row>
    <row r="30" spans="1:8" x14ac:dyDescent="0.2">
      <c r="A30" s="4" t="str">
        <f>IF(Stock_Master!$A$24="","",Stock_Master!$A$24)</f>
        <v/>
      </c>
      <c r="B30" s="4" t="str">
        <f>IF(Stock_Master!$A$24="","",Stock_Master!$B$24)</f>
        <v/>
      </c>
      <c r="C30" s="36" t="str">
        <f>IF($A30="","",Stock_Master!$C$24+SUMIFS(Purchase_Entry!$K$3:$K$634,Purchase_Entry!$D$3:$D$634,$A30,Purchase_Entry!$A$3:$A$634,"&lt;"&amp;$B$5)-SUMIFS(Sales_Entry!$E$3:$E$581,Sales_Entry!$D$3:$D$581,$A30,Sales_Entry!$A$3:$A$581,"&lt;"&amp;$B$5))</f>
        <v/>
      </c>
      <c r="D30" s="36" t="str">
        <f>IF($A30="","",SUMIFS(Purchase_Entry!$K$3:$K$634,Purchase_Entry!$D$3:$D$634,$A30,Purchase_Entry!$A$3:$A$634,"&gt;="&amp;$B$5,Purchase_Entry!$A$3:$A$634,"&lt;="&amp;$D$5))</f>
        <v/>
      </c>
      <c r="E30" s="36" t="str">
        <f>IF($A30="","",SUMIFS(Sales_Entry!$E$3:$E$581,Sales_Entry!$D$3:$D$581,$A30,Sales_Entry!$A$3:$A$581,"&gt;="&amp;$B$5,Sales_Entry!$A$3:$A$581,"&lt;="&amp;$D$5))</f>
        <v/>
      </c>
      <c r="F30" s="36" t="str">
        <f t="shared" si="0"/>
        <v/>
      </c>
      <c r="G30" s="5" t="str">
        <f>IF($A30="","",Stock_Master!$H$24)</f>
        <v/>
      </c>
      <c r="H30" s="5" t="str">
        <f t="shared" si="1"/>
        <v/>
      </c>
    </row>
    <row r="31" spans="1:8" x14ac:dyDescent="0.2">
      <c r="A31" s="4" t="str">
        <f>IF(Stock_Master!$A$25="","",Stock_Master!$A$25)</f>
        <v/>
      </c>
      <c r="B31" s="4" t="str">
        <f>IF(Stock_Master!$A$25="","",Stock_Master!$B$25)</f>
        <v/>
      </c>
      <c r="C31" s="36" t="str">
        <f>IF($A31="","",Stock_Master!$C$25+SUMIFS(Purchase_Entry!$K$3:$K$634,Purchase_Entry!$D$3:$D$634,$A31,Purchase_Entry!$A$3:$A$634,"&lt;"&amp;$B$5)-SUMIFS(Sales_Entry!$E$3:$E$581,Sales_Entry!$D$3:$D$581,$A31,Sales_Entry!$A$3:$A$581,"&lt;"&amp;$B$5))</f>
        <v/>
      </c>
      <c r="D31" s="36" t="str">
        <f>IF($A31="","",SUMIFS(Purchase_Entry!$K$3:$K$634,Purchase_Entry!$D$3:$D$634,$A31,Purchase_Entry!$A$3:$A$634,"&gt;="&amp;$B$5,Purchase_Entry!$A$3:$A$634,"&lt;="&amp;$D$5))</f>
        <v/>
      </c>
      <c r="E31" s="36" t="str">
        <f>IF($A31="","",SUMIFS(Sales_Entry!$E$3:$E$581,Sales_Entry!$D$3:$D$581,$A31,Sales_Entry!$A$3:$A$581,"&gt;="&amp;$B$5,Sales_Entry!$A$3:$A$581,"&lt;="&amp;$D$5))</f>
        <v/>
      </c>
      <c r="F31" s="36" t="str">
        <f t="shared" si="0"/>
        <v/>
      </c>
      <c r="G31" s="5" t="str">
        <f>IF($A31="","",Stock_Master!$H$25)</f>
        <v/>
      </c>
      <c r="H31" s="5" t="str">
        <f t="shared" si="1"/>
        <v/>
      </c>
    </row>
    <row r="32" spans="1:8" x14ac:dyDescent="0.2">
      <c r="A32" s="4" t="str">
        <f>IF(Stock_Master!$A$26="","",Stock_Master!$A$26)</f>
        <v/>
      </c>
      <c r="B32" s="4" t="str">
        <f>IF(Stock_Master!$A$26="","",Stock_Master!$B$26)</f>
        <v/>
      </c>
      <c r="C32" s="36" t="str">
        <f>IF($A32="","",Stock_Master!$C$26+SUMIFS(Purchase_Entry!$K$3:$K$634,Purchase_Entry!$D$3:$D$634,$A32,Purchase_Entry!$A$3:$A$634,"&lt;"&amp;$B$5)-SUMIFS(Sales_Entry!$E$3:$E$581,Sales_Entry!$D$3:$D$581,$A32,Sales_Entry!$A$3:$A$581,"&lt;"&amp;$B$5))</f>
        <v/>
      </c>
      <c r="D32" s="36" t="str">
        <f>IF($A32="","",SUMIFS(Purchase_Entry!$K$3:$K$634,Purchase_Entry!$D$3:$D$634,$A32,Purchase_Entry!$A$3:$A$634,"&gt;="&amp;$B$5,Purchase_Entry!$A$3:$A$634,"&lt;="&amp;$D$5))</f>
        <v/>
      </c>
      <c r="E32" s="36" t="str">
        <f>IF($A32="","",SUMIFS(Sales_Entry!$E$3:$E$581,Sales_Entry!$D$3:$D$581,$A32,Sales_Entry!$A$3:$A$581,"&gt;="&amp;$B$5,Sales_Entry!$A$3:$A$581,"&lt;="&amp;$D$5))</f>
        <v/>
      </c>
      <c r="F32" s="36" t="str">
        <f t="shared" si="0"/>
        <v/>
      </c>
      <c r="G32" s="5" t="str">
        <f>IF($A32="","",Stock_Master!$H$26)</f>
        <v/>
      </c>
      <c r="H32" s="5" t="str">
        <f t="shared" si="1"/>
        <v/>
      </c>
    </row>
    <row r="33" spans="1:8" x14ac:dyDescent="0.2">
      <c r="A33" s="4" t="str">
        <f>IF(Stock_Master!$A$27="","",Stock_Master!$A$27)</f>
        <v/>
      </c>
      <c r="B33" s="4" t="str">
        <f>IF(Stock_Master!$A$27="","",Stock_Master!$B$27)</f>
        <v/>
      </c>
      <c r="C33" s="36" t="str">
        <f>IF($A33="","",Stock_Master!$C$27+SUMIFS(Purchase_Entry!$K$3:$K$634,Purchase_Entry!$D$3:$D$634,$A33,Purchase_Entry!$A$3:$A$634,"&lt;"&amp;$B$5)-SUMIFS(Sales_Entry!$E$3:$E$581,Sales_Entry!$D$3:$D$581,$A33,Sales_Entry!$A$3:$A$581,"&lt;"&amp;$B$5))</f>
        <v/>
      </c>
      <c r="D33" s="36" t="str">
        <f>IF($A33="","",SUMIFS(Purchase_Entry!$K$3:$K$634,Purchase_Entry!$D$3:$D$634,$A33,Purchase_Entry!$A$3:$A$634,"&gt;="&amp;$B$5,Purchase_Entry!$A$3:$A$634,"&lt;="&amp;$D$5))</f>
        <v/>
      </c>
      <c r="E33" s="36" t="str">
        <f>IF($A33="","",SUMIFS(Sales_Entry!$E$3:$E$581,Sales_Entry!$D$3:$D$581,$A33,Sales_Entry!$A$3:$A$581,"&gt;="&amp;$B$5,Sales_Entry!$A$3:$A$581,"&lt;="&amp;$D$5))</f>
        <v/>
      </c>
      <c r="F33" s="36" t="str">
        <f t="shared" si="0"/>
        <v/>
      </c>
      <c r="G33" s="5" t="str">
        <f>IF($A33="","",Stock_Master!$H$27)</f>
        <v/>
      </c>
      <c r="H33" s="5" t="str">
        <f t="shared" si="1"/>
        <v/>
      </c>
    </row>
    <row r="34" spans="1:8" x14ac:dyDescent="0.2">
      <c r="A34" s="4" t="str">
        <f>IF(Stock_Master!$A$28="","",Stock_Master!$A$28)</f>
        <v/>
      </c>
      <c r="B34" s="4" t="str">
        <f>IF(Stock_Master!$A$28="","",Stock_Master!$B$28)</f>
        <v/>
      </c>
      <c r="C34" s="36" t="str">
        <f>IF($A34="","",Stock_Master!$C$28+SUMIFS(Purchase_Entry!$K$3:$K$634,Purchase_Entry!$D$3:$D$634,$A34,Purchase_Entry!$A$3:$A$634,"&lt;"&amp;$B$5)-SUMIFS(Sales_Entry!$E$3:$E$581,Sales_Entry!$D$3:$D$581,$A34,Sales_Entry!$A$3:$A$581,"&lt;"&amp;$B$5))</f>
        <v/>
      </c>
      <c r="D34" s="36" t="str">
        <f>IF($A34="","",SUMIFS(Purchase_Entry!$K$3:$K$634,Purchase_Entry!$D$3:$D$634,$A34,Purchase_Entry!$A$3:$A$634,"&gt;="&amp;$B$5,Purchase_Entry!$A$3:$A$634,"&lt;="&amp;$D$5))</f>
        <v/>
      </c>
      <c r="E34" s="36" t="str">
        <f>IF($A34="","",SUMIFS(Sales_Entry!$E$3:$E$581,Sales_Entry!$D$3:$D$581,$A34,Sales_Entry!$A$3:$A$581,"&gt;="&amp;$B$5,Sales_Entry!$A$3:$A$581,"&lt;="&amp;$D$5))</f>
        <v/>
      </c>
      <c r="F34" s="36" t="str">
        <f t="shared" si="0"/>
        <v/>
      </c>
      <c r="G34" s="5" t="str">
        <f>IF($A34="","",Stock_Master!$H$28)</f>
        <v/>
      </c>
      <c r="H34" s="5" t="str">
        <f t="shared" si="1"/>
        <v/>
      </c>
    </row>
    <row r="35" spans="1:8" x14ac:dyDescent="0.2">
      <c r="A35" s="4" t="str">
        <f>IF(Stock_Master!$A$29="","",Stock_Master!$A$29)</f>
        <v/>
      </c>
      <c r="B35" s="4" t="str">
        <f>IF(Stock_Master!$A$29="","",Stock_Master!$B$29)</f>
        <v/>
      </c>
      <c r="C35" s="36" t="str">
        <f>IF($A35="","",Stock_Master!$C$29+SUMIFS(Purchase_Entry!$K$3:$K$634,Purchase_Entry!$D$3:$D$634,$A35,Purchase_Entry!$A$3:$A$634,"&lt;"&amp;$B$5)-SUMIFS(Sales_Entry!$E$3:$E$581,Sales_Entry!$D$3:$D$581,$A35,Sales_Entry!$A$3:$A$581,"&lt;"&amp;$B$5))</f>
        <v/>
      </c>
      <c r="D35" s="36" t="str">
        <f>IF($A35="","",SUMIFS(Purchase_Entry!$K$3:$K$634,Purchase_Entry!$D$3:$D$634,$A35,Purchase_Entry!$A$3:$A$634,"&gt;="&amp;$B$5,Purchase_Entry!$A$3:$A$634,"&lt;="&amp;$D$5))</f>
        <v/>
      </c>
      <c r="E35" s="36" t="str">
        <f>IF($A35="","",SUMIFS(Sales_Entry!$E$3:$E$581,Sales_Entry!$D$3:$D$581,$A35,Sales_Entry!$A$3:$A$581,"&gt;="&amp;$B$5,Sales_Entry!$A$3:$A$581,"&lt;="&amp;$D$5))</f>
        <v/>
      </c>
      <c r="F35" s="36" t="str">
        <f t="shared" si="0"/>
        <v/>
      </c>
      <c r="G35" s="5" t="str">
        <f>IF($A35="","",Stock_Master!$H$29)</f>
        <v/>
      </c>
      <c r="H35" s="5" t="str">
        <f t="shared" si="1"/>
        <v/>
      </c>
    </row>
    <row r="36" spans="1:8" x14ac:dyDescent="0.2">
      <c r="A36" s="4" t="str">
        <f>IF(Stock_Master!$A$30="","",Stock_Master!$A$30)</f>
        <v/>
      </c>
      <c r="B36" s="4" t="str">
        <f>IF(Stock_Master!$A$30="","",Stock_Master!$B$30)</f>
        <v/>
      </c>
      <c r="C36" s="36" t="str">
        <f>IF($A36="","",Stock_Master!$C$30+SUMIFS(Purchase_Entry!$K$3:$K$634,Purchase_Entry!$D$3:$D$634,$A36,Purchase_Entry!$A$3:$A$634,"&lt;"&amp;$B$5)-SUMIFS(Sales_Entry!$E$3:$E$581,Sales_Entry!$D$3:$D$581,$A36,Sales_Entry!$A$3:$A$581,"&lt;"&amp;$B$5))</f>
        <v/>
      </c>
      <c r="D36" s="36" t="str">
        <f>IF($A36="","",SUMIFS(Purchase_Entry!$K$3:$K$634,Purchase_Entry!$D$3:$D$634,$A36,Purchase_Entry!$A$3:$A$634,"&gt;="&amp;$B$5,Purchase_Entry!$A$3:$A$634,"&lt;="&amp;$D$5))</f>
        <v/>
      </c>
      <c r="E36" s="36" t="str">
        <f>IF($A36="","",SUMIFS(Sales_Entry!$E$3:$E$581,Sales_Entry!$D$3:$D$581,$A36,Sales_Entry!$A$3:$A$581,"&gt;="&amp;$B$5,Sales_Entry!$A$3:$A$581,"&lt;="&amp;$D$5))</f>
        <v/>
      </c>
      <c r="F36" s="36" t="str">
        <f t="shared" si="0"/>
        <v/>
      </c>
      <c r="G36" s="5" t="str">
        <f>IF($A36="","",Stock_Master!$H$30)</f>
        <v/>
      </c>
      <c r="H36" s="5" t="str">
        <f t="shared" si="1"/>
        <v/>
      </c>
    </row>
    <row r="37" spans="1:8" x14ac:dyDescent="0.2">
      <c r="A37" s="4" t="str">
        <f>IF(Stock_Master!$A$31="","",Stock_Master!$A$31)</f>
        <v/>
      </c>
      <c r="B37" s="4" t="str">
        <f>IF(Stock_Master!$A$31="","",Stock_Master!$B$31)</f>
        <v/>
      </c>
      <c r="C37" s="36" t="str">
        <f>IF($A37="","",Stock_Master!$C$31+SUMIFS(Purchase_Entry!$K$3:$K$634,Purchase_Entry!$D$3:$D$634,$A37,Purchase_Entry!$A$3:$A$634,"&lt;"&amp;$B$5)-SUMIFS(Sales_Entry!$E$3:$E$581,Sales_Entry!$D$3:$D$581,$A37,Sales_Entry!$A$3:$A$581,"&lt;"&amp;$B$5))</f>
        <v/>
      </c>
      <c r="D37" s="36" t="str">
        <f>IF($A37="","",SUMIFS(Purchase_Entry!$K$3:$K$634,Purchase_Entry!$D$3:$D$634,$A37,Purchase_Entry!$A$3:$A$634,"&gt;="&amp;$B$5,Purchase_Entry!$A$3:$A$634,"&lt;="&amp;$D$5))</f>
        <v/>
      </c>
      <c r="E37" s="36" t="str">
        <f>IF($A37="","",SUMIFS(Sales_Entry!$E$3:$E$581,Sales_Entry!$D$3:$D$581,$A37,Sales_Entry!$A$3:$A$581,"&gt;="&amp;$B$5,Sales_Entry!$A$3:$A$581,"&lt;="&amp;$D$5))</f>
        <v/>
      </c>
      <c r="F37" s="36" t="str">
        <f t="shared" si="0"/>
        <v/>
      </c>
      <c r="G37" s="5" t="str">
        <f>IF($A37="","",Stock_Master!$H$31)</f>
        <v/>
      </c>
      <c r="H37" s="5" t="str">
        <f t="shared" si="1"/>
        <v/>
      </c>
    </row>
    <row r="38" spans="1:8" x14ac:dyDescent="0.2">
      <c r="A38" s="4" t="str">
        <f>IF(Stock_Master!$A$32="","",Stock_Master!$A$32)</f>
        <v/>
      </c>
      <c r="B38" s="4" t="str">
        <f>IF(Stock_Master!$A$32="","",Stock_Master!$B$32)</f>
        <v/>
      </c>
      <c r="C38" s="36" t="str">
        <f>IF($A38="","",Stock_Master!$C$32+SUMIFS(Purchase_Entry!$K$3:$K$634,Purchase_Entry!$D$3:$D$634,$A38,Purchase_Entry!$A$3:$A$634,"&lt;"&amp;$B$5)-SUMIFS(Sales_Entry!$E$3:$E$581,Sales_Entry!$D$3:$D$581,$A38,Sales_Entry!$A$3:$A$581,"&lt;"&amp;$B$5))</f>
        <v/>
      </c>
      <c r="D38" s="36" t="str">
        <f>IF($A38="","",SUMIFS(Purchase_Entry!$K$3:$K$634,Purchase_Entry!$D$3:$D$634,$A38,Purchase_Entry!$A$3:$A$634,"&gt;="&amp;$B$5,Purchase_Entry!$A$3:$A$634,"&lt;="&amp;$D$5))</f>
        <v/>
      </c>
      <c r="E38" s="36" t="str">
        <f>IF($A38="","",SUMIFS(Sales_Entry!$E$3:$E$581,Sales_Entry!$D$3:$D$581,$A38,Sales_Entry!$A$3:$A$581,"&gt;="&amp;$B$5,Sales_Entry!$A$3:$A$581,"&lt;="&amp;$D$5))</f>
        <v/>
      </c>
      <c r="F38" s="36" t="str">
        <f t="shared" si="0"/>
        <v/>
      </c>
      <c r="G38" s="5" t="str">
        <f>IF($A38="","",Stock_Master!$H$32)</f>
        <v/>
      </c>
      <c r="H38" s="5" t="str">
        <f t="shared" si="1"/>
        <v/>
      </c>
    </row>
    <row r="39" spans="1:8" x14ac:dyDescent="0.2">
      <c r="A39" s="4" t="str">
        <f>IF(Stock_Master!$A$33="","",Stock_Master!$A$33)</f>
        <v/>
      </c>
      <c r="B39" s="4" t="str">
        <f>IF(Stock_Master!$A$33="","",Stock_Master!$B$33)</f>
        <v/>
      </c>
      <c r="C39" s="36" t="str">
        <f>IF($A39="","",Stock_Master!$C$33+SUMIFS(Purchase_Entry!$K$3:$K$634,Purchase_Entry!$D$3:$D$634,$A39,Purchase_Entry!$A$3:$A$634,"&lt;"&amp;$B$5)-SUMIFS(Sales_Entry!$E$3:$E$581,Sales_Entry!$D$3:$D$581,$A39,Sales_Entry!$A$3:$A$581,"&lt;"&amp;$B$5))</f>
        <v/>
      </c>
      <c r="D39" s="36" t="str">
        <f>IF($A39="","",SUMIFS(Purchase_Entry!$K$3:$K$634,Purchase_Entry!$D$3:$D$634,$A39,Purchase_Entry!$A$3:$A$634,"&gt;="&amp;$B$5,Purchase_Entry!$A$3:$A$634,"&lt;="&amp;$D$5))</f>
        <v/>
      </c>
      <c r="E39" s="36" t="str">
        <f>IF($A39="","",SUMIFS(Sales_Entry!$E$3:$E$581,Sales_Entry!$D$3:$D$581,$A39,Sales_Entry!$A$3:$A$581,"&gt;="&amp;$B$5,Sales_Entry!$A$3:$A$581,"&lt;="&amp;$D$5))</f>
        <v/>
      </c>
      <c r="F39" s="36" t="str">
        <f t="shared" si="0"/>
        <v/>
      </c>
      <c r="G39" s="5" t="str">
        <f>IF($A39="","",Stock_Master!$H$33)</f>
        <v/>
      </c>
      <c r="H39" s="5" t="str">
        <f t="shared" si="1"/>
        <v/>
      </c>
    </row>
    <row r="40" spans="1:8" x14ac:dyDescent="0.2">
      <c r="A40" s="4" t="str">
        <f>IF(Stock_Master!$A$34="","",Stock_Master!$A$34)</f>
        <v/>
      </c>
      <c r="B40" s="4" t="str">
        <f>IF(Stock_Master!$A$34="","",Stock_Master!$B$34)</f>
        <v/>
      </c>
      <c r="C40" s="36" t="str">
        <f>IF($A40="","",Stock_Master!$C$34+SUMIFS(Purchase_Entry!$K$3:$K$634,Purchase_Entry!$D$3:$D$634,$A40,Purchase_Entry!$A$3:$A$634,"&lt;"&amp;$B$5)-SUMIFS(Sales_Entry!$E$3:$E$581,Sales_Entry!$D$3:$D$581,$A40,Sales_Entry!$A$3:$A$581,"&lt;"&amp;$B$5))</f>
        <v/>
      </c>
      <c r="D40" s="36" t="str">
        <f>IF($A40="","",SUMIFS(Purchase_Entry!$K$3:$K$634,Purchase_Entry!$D$3:$D$634,$A40,Purchase_Entry!$A$3:$A$634,"&gt;="&amp;$B$5,Purchase_Entry!$A$3:$A$634,"&lt;="&amp;$D$5))</f>
        <v/>
      </c>
      <c r="E40" s="36" t="str">
        <f>IF($A40="","",SUMIFS(Sales_Entry!$E$3:$E$581,Sales_Entry!$D$3:$D$581,$A40,Sales_Entry!$A$3:$A$581,"&gt;="&amp;$B$5,Sales_Entry!$A$3:$A$581,"&lt;="&amp;$D$5))</f>
        <v/>
      </c>
      <c r="F40" s="36" t="str">
        <f t="shared" si="0"/>
        <v/>
      </c>
      <c r="G40" s="5" t="str">
        <f>IF($A40="","",Stock_Master!$H$34)</f>
        <v/>
      </c>
      <c r="H40" s="5" t="str">
        <f t="shared" si="1"/>
        <v/>
      </c>
    </row>
    <row r="41" spans="1:8" x14ac:dyDescent="0.2">
      <c r="A41" s="4" t="str">
        <f>IF(Stock_Master!$A$35="","",Stock_Master!$A$35)</f>
        <v/>
      </c>
      <c r="B41" s="4" t="str">
        <f>IF(Stock_Master!$A$35="","",Stock_Master!$B$35)</f>
        <v/>
      </c>
      <c r="C41" s="36" t="str">
        <f>IF($A41="","",Stock_Master!$C$35+SUMIFS(Purchase_Entry!$K$3:$K$634,Purchase_Entry!$D$3:$D$634,$A41,Purchase_Entry!$A$3:$A$634,"&lt;"&amp;$B$5)-SUMIFS(Sales_Entry!$E$3:$E$581,Sales_Entry!$D$3:$D$581,$A41,Sales_Entry!$A$3:$A$581,"&lt;"&amp;$B$5))</f>
        <v/>
      </c>
      <c r="D41" s="36" t="str">
        <f>IF($A41="","",SUMIFS(Purchase_Entry!$K$3:$K$634,Purchase_Entry!$D$3:$D$634,$A41,Purchase_Entry!$A$3:$A$634,"&gt;="&amp;$B$5,Purchase_Entry!$A$3:$A$634,"&lt;="&amp;$D$5))</f>
        <v/>
      </c>
      <c r="E41" s="36" t="str">
        <f>IF($A41="","",SUMIFS(Sales_Entry!$E$3:$E$581,Sales_Entry!$D$3:$D$581,$A41,Sales_Entry!$A$3:$A$581,"&gt;="&amp;$B$5,Sales_Entry!$A$3:$A$581,"&lt;="&amp;$D$5))</f>
        <v/>
      </c>
      <c r="F41" s="36" t="str">
        <f t="shared" si="0"/>
        <v/>
      </c>
      <c r="G41" s="5" t="str">
        <f>IF($A41="","",Stock_Master!$H$35)</f>
        <v/>
      </c>
      <c r="H41" s="5" t="str">
        <f t="shared" si="1"/>
        <v/>
      </c>
    </row>
    <row r="42" spans="1:8" x14ac:dyDescent="0.2">
      <c r="A42" s="4" t="str">
        <f>IF(Stock_Master!$A$36="","",Stock_Master!$A$36)</f>
        <v/>
      </c>
      <c r="B42" s="4" t="str">
        <f>IF(Stock_Master!$A$36="","",Stock_Master!$B$36)</f>
        <v/>
      </c>
      <c r="C42" s="36" t="str">
        <f>IF($A42="","",Stock_Master!$C$36+SUMIFS(Purchase_Entry!$K$3:$K$634,Purchase_Entry!$D$3:$D$634,$A42,Purchase_Entry!$A$3:$A$634,"&lt;"&amp;$B$5)-SUMIFS(Sales_Entry!$E$3:$E$581,Sales_Entry!$D$3:$D$581,$A42,Sales_Entry!$A$3:$A$581,"&lt;"&amp;$B$5))</f>
        <v/>
      </c>
      <c r="D42" s="36" t="str">
        <f>IF($A42="","",SUMIFS(Purchase_Entry!$K$3:$K$634,Purchase_Entry!$D$3:$D$634,$A42,Purchase_Entry!$A$3:$A$634,"&gt;="&amp;$B$5,Purchase_Entry!$A$3:$A$634,"&lt;="&amp;$D$5))</f>
        <v/>
      </c>
      <c r="E42" s="36" t="str">
        <f>IF($A42="","",SUMIFS(Sales_Entry!$E$3:$E$581,Sales_Entry!$D$3:$D$581,$A42,Sales_Entry!$A$3:$A$581,"&gt;="&amp;$B$5,Sales_Entry!$A$3:$A$581,"&lt;="&amp;$D$5))</f>
        <v/>
      </c>
      <c r="F42" s="36" t="str">
        <f t="shared" si="0"/>
        <v/>
      </c>
      <c r="G42" s="5" t="str">
        <f>IF($A42="","",Stock_Master!$H$36)</f>
        <v/>
      </c>
      <c r="H42" s="5" t="str">
        <f t="shared" si="1"/>
        <v/>
      </c>
    </row>
    <row r="43" spans="1:8" x14ac:dyDescent="0.2">
      <c r="A43" s="4" t="str">
        <f>IF(Stock_Master!$A$37="","",Stock_Master!$A$37)</f>
        <v/>
      </c>
      <c r="B43" s="4" t="str">
        <f>IF(Stock_Master!$A$37="","",Stock_Master!$B$37)</f>
        <v/>
      </c>
      <c r="C43" s="36" t="str">
        <f>IF($A43="","",Stock_Master!$C$37+SUMIFS(Purchase_Entry!$K$3:$K$634,Purchase_Entry!$D$3:$D$634,$A43,Purchase_Entry!$A$3:$A$634,"&lt;"&amp;$B$5)-SUMIFS(Sales_Entry!$E$3:$E$581,Sales_Entry!$D$3:$D$581,$A43,Sales_Entry!$A$3:$A$581,"&lt;"&amp;$B$5))</f>
        <v/>
      </c>
      <c r="D43" s="36" t="str">
        <f>IF($A43="","",SUMIFS(Purchase_Entry!$K$3:$K$634,Purchase_Entry!$D$3:$D$634,$A43,Purchase_Entry!$A$3:$A$634,"&gt;="&amp;$B$5,Purchase_Entry!$A$3:$A$634,"&lt;="&amp;$D$5))</f>
        <v/>
      </c>
      <c r="E43" s="36" t="str">
        <f>IF($A43="","",SUMIFS(Sales_Entry!$E$3:$E$581,Sales_Entry!$D$3:$D$581,$A43,Sales_Entry!$A$3:$A$581,"&gt;="&amp;$B$5,Sales_Entry!$A$3:$A$581,"&lt;="&amp;$D$5))</f>
        <v/>
      </c>
      <c r="F43" s="36" t="str">
        <f t="shared" si="0"/>
        <v/>
      </c>
      <c r="G43" s="5" t="str">
        <f>IF($A43="","",Stock_Master!$H$37)</f>
        <v/>
      </c>
      <c r="H43" s="5" t="str">
        <f t="shared" si="1"/>
        <v/>
      </c>
    </row>
    <row r="44" spans="1:8" x14ac:dyDescent="0.2">
      <c r="A44" s="4" t="str">
        <f>IF(Stock_Master!$A$38="","",Stock_Master!$A$38)</f>
        <v/>
      </c>
      <c r="B44" s="4" t="str">
        <f>IF(Stock_Master!$A$38="","",Stock_Master!$B$38)</f>
        <v/>
      </c>
      <c r="C44" s="36" t="str">
        <f>IF($A44="","",Stock_Master!$C$38+SUMIFS(Purchase_Entry!$K$3:$K$634,Purchase_Entry!$D$3:$D$634,$A44,Purchase_Entry!$A$3:$A$634,"&lt;"&amp;$B$5)-SUMIFS(Sales_Entry!$E$3:$E$581,Sales_Entry!$D$3:$D$581,$A44,Sales_Entry!$A$3:$A$581,"&lt;"&amp;$B$5))</f>
        <v/>
      </c>
      <c r="D44" s="36" t="str">
        <f>IF($A44="","",SUMIFS(Purchase_Entry!$K$3:$K$634,Purchase_Entry!$D$3:$D$634,$A44,Purchase_Entry!$A$3:$A$634,"&gt;="&amp;$B$5,Purchase_Entry!$A$3:$A$634,"&lt;="&amp;$D$5))</f>
        <v/>
      </c>
      <c r="E44" s="36" t="str">
        <f>IF($A44="","",SUMIFS(Sales_Entry!$E$3:$E$581,Sales_Entry!$D$3:$D$581,$A44,Sales_Entry!$A$3:$A$581,"&gt;="&amp;$B$5,Sales_Entry!$A$3:$A$581,"&lt;="&amp;$D$5))</f>
        <v/>
      </c>
      <c r="F44" s="36" t="str">
        <f t="shared" si="0"/>
        <v/>
      </c>
      <c r="G44" s="5" t="str">
        <f>IF($A44="","",Stock_Master!$H$38)</f>
        <v/>
      </c>
      <c r="H44" s="5" t="str">
        <f t="shared" si="1"/>
        <v/>
      </c>
    </row>
    <row r="45" spans="1:8" x14ac:dyDescent="0.2">
      <c r="A45" s="4" t="str">
        <f>IF(Stock_Master!$A$39="","",Stock_Master!$A$39)</f>
        <v/>
      </c>
      <c r="B45" s="4" t="str">
        <f>IF(Stock_Master!$A$39="","",Stock_Master!$B$39)</f>
        <v/>
      </c>
      <c r="C45" s="36" t="str">
        <f>IF($A45="","",Stock_Master!$C$39+SUMIFS(Purchase_Entry!$K$3:$K$634,Purchase_Entry!$D$3:$D$634,$A45,Purchase_Entry!$A$3:$A$634,"&lt;"&amp;$B$5)-SUMIFS(Sales_Entry!$E$3:$E$581,Sales_Entry!$D$3:$D$581,$A45,Sales_Entry!$A$3:$A$581,"&lt;"&amp;$B$5))</f>
        <v/>
      </c>
      <c r="D45" s="36" t="str">
        <f>IF($A45="","",SUMIFS(Purchase_Entry!$K$3:$K$634,Purchase_Entry!$D$3:$D$634,$A45,Purchase_Entry!$A$3:$A$634,"&gt;="&amp;$B$5,Purchase_Entry!$A$3:$A$634,"&lt;="&amp;$D$5))</f>
        <v/>
      </c>
      <c r="E45" s="36" t="str">
        <f>IF($A45="","",SUMIFS(Sales_Entry!$E$3:$E$581,Sales_Entry!$D$3:$D$581,$A45,Sales_Entry!$A$3:$A$581,"&gt;="&amp;$B$5,Sales_Entry!$A$3:$A$581,"&lt;="&amp;$D$5))</f>
        <v/>
      </c>
      <c r="F45" s="36" t="str">
        <f t="shared" si="0"/>
        <v/>
      </c>
      <c r="G45" s="5" t="str">
        <f>IF($A45="","",Stock_Master!$H$39)</f>
        <v/>
      </c>
      <c r="H45" s="5" t="str">
        <f t="shared" si="1"/>
        <v/>
      </c>
    </row>
    <row r="46" spans="1:8" x14ac:dyDescent="0.2">
      <c r="A46" s="4" t="str">
        <f>IF(Stock_Master!$A$40="","",Stock_Master!$A$40)</f>
        <v/>
      </c>
      <c r="B46" s="4" t="str">
        <f>IF(Stock_Master!$A$40="","",Stock_Master!$B$40)</f>
        <v/>
      </c>
      <c r="C46" s="36" t="str">
        <f>IF($A46="","",Stock_Master!$C$40+SUMIFS(Purchase_Entry!$K$3:$K$634,Purchase_Entry!$D$3:$D$634,$A46,Purchase_Entry!$A$3:$A$634,"&lt;"&amp;$B$5)-SUMIFS(Sales_Entry!$E$3:$E$581,Sales_Entry!$D$3:$D$581,$A46,Sales_Entry!$A$3:$A$581,"&lt;"&amp;$B$5))</f>
        <v/>
      </c>
      <c r="D46" s="36" t="str">
        <f>IF($A46="","",SUMIFS(Purchase_Entry!$K$3:$K$634,Purchase_Entry!$D$3:$D$634,$A46,Purchase_Entry!$A$3:$A$634,"&gt;="&amp;$B$5,Purchase_Entry!$A$3:$A$634,"&lt;="&amp;$D$5))</f>
        <v/>
      </c>
      <c r="E46" s="36" t="str">
        <f>IF($A46="","",SUMIFS(Sales_Entry!$E$3:$E$581,Sales_Entry!$D$3:$D$581,$A46,Sales_Entry!$A$3:$A$581,"&gt;="&amp;$B$5,Sales_Entry!$A$3:$A$581,"&lt;="&amp;$D$5))</f>
        <v/>
      </c>
      <c r="F46" s="36" t="str">
        <f t="shared" si="0"/>
        <v/>
      </c>
      <c r="G46" s="5" t="str">
        <f>IF($A46="","",Stock_Master!$H$40)</f>
        <v/>
      </c>
      <c r="H46" s="5" t="str">
        <f t="shared" si="1"/>
        <v/>
      </c>
    </row>
    <row r="47" spans="1:8" x14ac:dyDescent="0.2">
      <c r="A47" s="4" t="str">
        <f>IF(Stock_Master!$A$41="","",Stock_Master!$A$41)</f>
        <v/>
      </c>
      <c r="B47" s="4" t="str">
        <f>IF(Stock_Master!$A$41="","",Stock_Master!$B$41)</f>
        <v/>
      </c>
      <c r="C47" s="36" t="str">
        <f>IF($A47="","",Stock_Master!$C$41+SUMIFS(Purchase_Entry!$K$3:$K$634,Purchase_Entry!$D$3:$D$634,$A47,Purchase_Entry!$A$3:$A$634,"&lt;"&amp;$B$5)-SUMIFS(Sales_Entry!$E$3:$E$581,Sales_Entry!$D$3:$D$581,$A47,Sales_Entry!$A$3:$A$581,"&lt;"&amp;$B$5))</f>
        <v/>
      </c>
      <c r="D47" s="36" t="str">
        <f>IF($A47="","",SUMIFS(Purchase_Entry!$K$3:$K$634,Purchase_Entry!$D$3:$D$634,$A47,Purchase_Entry!$A$3:$A$634,"&gt;="&amp;$B$5,Purchase_Entry!$A$3:$A$634,"&lt;="&amp;$D$5))</f>
        <v/>
      </c>
      <c r="E47" s="36" t="str">
        <f>IF($A47="","",SUMIFS(Sales_Entry!$E$3:$E$581,Sales_Entry!$D$3:$D$581,$A47,Sales_Entry!$A$3:$A$581,"&gt;="&amp;$B$5,Sales_Entry!$A$3:$A$581,"&lt;="&amp;$D$5))</f>
        <v/>
      </c>
      <c r="F47" s="36" t="str">
        <f t="shared" si="0"/>
        <v/>
      </c>
      <c r="G47" s="5" t="str">
        <f>IF($A47="","",Stock_Master!$H$41)</f>
        <v/>
      </c>
      <c r="H47" s="5" t="str">
        <f t="shared" si="1"/>
        <v/>
      </c>
    </row>
    <row r="48" spans="1:8" ht="16" customHeight="1" x14ac:dyDescent="0.2">
      <c r="A48" s="38"/>
      <c r="B48" s="39" t="s">
        <v>47</v>
      </c>
      <c r="C48" s="57">
        <f>SUM(C9:C47)</f>
        <v>0</v>
      </c>
      <c r="D48" s="57">
        <f>SUM(D9:D47)</f>
        <v>0</v>
      </c>
      <c r="E48" s="57">
        <f>SUM(E9:E47)</f>
        <v>0</v>
      </c>
      <c r="F48" s="57">
        <f>SUM(F9:F47)</f>
        <v>0</v>
      </c>
      <c r="G48" s="38"/>
      <c r="H48" s="40">
        <f>SUM(H9:H47)</f>
        <v>0</v>
      </c>
    </row>
    <row r="50" spans="1:7" x14ac:dyDescent="0.2">
      <c r="A50" s="53" t="s">
        <v>703</v>
      </c>
    </row>
    <row r="51" spans="1:7" x14ac:dyDescent="0.2">
      <c r="A51" s="52" t="s">
        <v>704</v>
      </c>
    </row>
    <row r="53" spans="1:7" x14ac:dyDescent="0.2">
      <c r="G53" s="54" t="s">
        <v>705</v>
      </c>
    </row>
  </sheetData>
  <mergeCells count="3">
    <mergeCell ref="A3:H3"/>
    <mergeCell ref="A2:H2"/>
    <mergeCell ref="A1:H1"/>
  </mergeCells>
  <conditionalFormatting sqref="F9:F47">
    <cfRule type="cellIs" dxfId="0" priority="1" operator="lessThanOrEqual">
      <formula>0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F3864"/>
    <pageSetUpPr fitToPage="1"/>
  </sheetPr>
  <dimension ref="A1:F27"/>
  <sheetViews>
    <sheetView showGridLines="0" workbookViewId="0">
      <selection activeCell="B13" sqref="B13"/>
    </sheetView>
  </sheetViews>
  <sheetFormatPr baseColWidth="10" defaultColWidth="8.83203125" defaultRowHeight="15" x14ac:dyDescent="0.2"/>
  <cols>
    <col min="1" max="1" width="6" customWidth="1"/>
    <col min="2" max="2" width="28" customWidth="1"/>
    <col min="3" max="3" width="12" customWidth="1"/>
    <col min="4" max="6" width="14" customWidth="1"/>
  </cols>
  <sheetData>
    <row r="1" spans="1:6" x14ac:dyDescent="0.2">
      <c r="A1" s="166" t="str">
        <f>BizName</f>
        <v>[Your Dairy Plant Name]</v>
      </c>
      <c r="B1" s="153"/>
      <c r="C1" s="153"/>
      <c r="D1" s="153"/>
      <c r="E1" s="153"/>
      <c r="F1" s="153"/>
    </row>
    <row r="2" spans="1:6" x14ac:dyDescent="0.2">
      <c r="A2" s="168" t="str">
        <f>Settings!B6&amp;" | "&amp;Settings!B8</f>
        <v>[Address] | [Phone Number]</v>
      </c>
      <c r="B2" s="153"/>
      <c r="C2" s="153"/>
      <c r="D2" s="153"/>
      <c r="E2" s="153"/>
      <c r="F2" s="153"/>
    </row>
    <row r="3" spans="1:6" x14ac:dyDescent="0.2">
      <c r="A3" s="168" t="str">
        <f>"Phone: "&amp;Settings!B9&amp;"  |  PAN/VAT: "&amp;Settings!B11</f>
        <v>Phone: [Email Address]  |  PAN/VAT: [Registration No]</v>
      </c>
      <c r="B3" s="153"/>
      <c r="C3" s="153"/>
      <c r="D3" s="153"/>
      <c r="E3" s="153"/>
      <c r="F3" s="153"/>
    </row>
    <row r="5" spans="1:6" x14ac:dyDescent="0.2">
      <c r="A5" s="167" t="s">
        <v>706</v>
      </c>
      <c r="B5" s="153"/>
      <c r="C5" s="153"/>
      <c r="D5" s="153"/>
      <c r="E5" s="153"/>
      <c r="F5" s="153"/>
    </row>
    <row r="7" spans="1:6" x14ac:dyDescent="0.2">
      <c r="A7" s="33" t="s">
        <v>707</v>
      </c>
      <c r="D7" s="33" t="s">
        <v>708</v>
      </c>
    </row>
    <row r="8" spans="1:6" x14ac:dyDescent="0.2">
      <c r="A8" s="33" t="s">
        <v>709</v>
      </c>
      <c r="B8" s="141">
        <f ca="1">TODAY()</f>
        <v>46227</v>
      </c>
      <c r="D8" t="s">
        <v>710</v>
      </c>
    </row>
    <row r="9" spans="1:6" x14ac:dyDescent="0.2">
      <c r="D9" t="s">
        <v>711</v>
      </c>
    </row>
    <row r="10" spans="1:6" x14ac:dyDescent="0.2">
      <c r="D10" t="s">
        <v>712</v>
      </c>
    </row>
    <row r="12" spans="1:6" ht="28" customHeight="1" x14ac:dyDescent="0.2">
      <c r="A12" s="3" t="s">
        <v>713</v>
      </c>
      <c r="B12" s="3" t="s">
        <v>687</v>
      </c>
      <c r="C12" s="3" t="s">
        <v>53</v>
      </c>
      <c r="D12" s="3" t="s">
        <v>54</v>
      </c>
      <c r="E12" s="3" t="s">
        <v>17</v>
      </c>
      <c r="F12" s="3" t="s">
        <v>714</v>
      </c>
    </row>
    <row r="13" spans="1:6" ht="16" customHeight="1" x14ac:dyDescent="0.2">
      <c r="A13" s="58">
        <v>1</v>
      </c>
      <c r="B13" s="58"/>
      <c r="C13" s="58"/>
      <c r="D13" s="59"/>
      <c r="E13" s="59" t="str">
        <f t="shared" ref="E13:E20" si="0">IF($C13="","",$C13*$D13)</f>
        <v/>
      </c>
      <c r="F13" s="59" t="str">
        <f t="shared" ref="F13:F20" si="1">IF($C13="","",$E13)</f>
        <v/>
      </c>
    </row>
    <row r="14" spans="1:6" ht="16" customHeight="1" x14ac:dyDescent="0.2">
      <c r="A14" s="58">
        <v>2</v>
      </c>
      <c r="B14" s="58"/>
      <c r="C14" s="58"/>
      <c r="D14" s="59"/>
      <c r="E14" s="59" t="str">
        <f t="shared" si="0"/>
        <v/>
      </c>
      <c r="F14" s="59" t="str">
        <f t="shared" si="1"/>
        <v/>
      </c>
    </row>
    <row r="15" spans="1:6" ht="16" customHeight="1" x14ac:dyDescent="0.2">
      <c r="A15" s="58">
        <v>3</v>
      </c>
      <c r="B15" s="58"/>
      <c r="C15" s="58"/>
      <c r="D15" s="59"/>
      <c r="E15" s="59" t="str">
        <f t="shared" si="0"/>
        <v/>
      </c>
      <c r="F15" s="59" t="str">
        <f t="shared" si="1"/>
        <v/>
      </c>
    </row>
    <row r="16" spans="1:6" ht="16" customHeight="1" x14ac:dyDescent="0.2">
      <c r="A16" s="58">
        <v>4</v>
      </c>
      <c r="B16" s="58"/>
      <c r="C16" s="58"/>
      <c r="D16" s="59"/>
      <c r="E16" s="59" t="str">
        <f t="shared" si="0"/>
        <v/>
      </c>
      <c r="F16" s="59" t="str">
        <f t="shared" si="1"/>
        <v/>
      </c>
    </row>
    <row r="17" spans="1:6" ht="16" customHeight="1" x14ac:dyDescent="0.2">
      <c r="A17" s="58">
        <v>5</v>
      </c>
      <c r="B17" s="58"/>
      <c r="C17" s="58"/>
      <c r="D17" s="59"/>
      <c r="E17" s="59" t="str">
        <f t="shared" si="0"/>
        <v/>
      </c>
      <c r="F17" s="59" t="str">
        <f t="shared" si="1"/>
        <v/>
      </c>
    </row>
    <row r="18" spans="1:6" ht="16" customHeight="1" x14ac:dyDescent="0.2">
      <c r="A18" s="58">
        <v>6</v>
      </c>
      <c r="B18" s="58"/>
      <c r="C18" s="58"/>
      <c r="D18" s="59"/>
      <c r="E18" s="59" t="str">
        <f t="shared" si="0"/>
        <v/>
      </c>
      <c r="F18" s="59" t="str">
        <f t="shared" si="1"/>
        <v/>
      </c>
    </row>
    <row r="19" spans="1:6" ht="16" customHeight="1" x14ac:dyDescent="0.2">
      <c r="A19" s="58">
        <v>7</v>
      </c>
      <c r="B19" s="58"/>
      <c r="C19" s="58"/>
      <c r="D19" s="59"/>
      <c r="E19" s="59" t="str">
        <f t="shared" si="0"/>
        <v/>
      </c>
      <c r="F19" s="59" t="str">
        <f t="shared" si="1"/>
        <v/>
      </c>
    </row>
    <row r="20" spans="1:6" ht="16" customHeight="1" x14ac:dyDescent="0.2">
      <c r="A20" s="58">
        <v>8</v>
      </c>
      <c r="B20" s="58"/>
      <c r="C20" s="58"/>
      <c r="D20" s="59"/>
      <c r="E20" s="59" t="str">
        <f t="shared" si="0"/>
        <v/>
      </c>
      <c r="F20" s="59" t="str">
        <f t="shared" si="1"/>
        <v/>
      </c>
    </row>
    <row r="21" spans="1:6" ht="16" customHeight="1" x14ac:dyDescent="0.2">
      <c r="E21" s="60" t="s">
        <v>715</v>
      </c>
      <c r="F21" s="61">
        <f>SUM(F13:F20)</f>
        <v>0</v>
      </c>
    </row>
    <row r="23" spans="1:6" x14ac:dyDescent="0.2">
      <c r="A23" t="s">
        <v>716</v>
      </c>
    </row>
    <row r="25" spans="1:6" x14ac:dyDescent="0.2">
      <c r="A25" t="s">
        <v>717</v>
      </c>
    </row>
    <row r="27" spans="1:6" x14ac:dyDescent="0.2">
      <c r="E27" s="54" t="s">
        <v>705</v>
      </c>
    </row>
  </sheetData>
  <mergeCells count="4">
    <mergeCell ref="A3:F3"/>
    <mergeCell ref="A2:F2"/>
    <mergeCell ref="A1:F1"/>
    <mergeCell ref="A5:F5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08080"/>
    <pageSetUpPr fitToPage="1"/>
  </sheetPr>
  <dimension ref="A1:K60"/>
  <sheetViews>
    <sheetView showGridLines="0" workbookViewId="0">
      <selection activeCell="H29" sqref="H29"/>
    </sheetView>
  </sheetViews>
  <sheetFormatPr baseColWidth="10" defaultColWidth="8.83203125" defaultRowHeight="15" x14ac:dyDescent="0.2"/>
  <cols>
    <col min="1" max="1" width="20" customWidth="1"/>
    <col min="2" max="11" width="16" customWidth="1"/>
  </cols>
  <sheetData>
    <row r="1" spans="1:11" ht="32" customHeight="1" x14ac:dyDescent="0.2">
      <c r="A1" s="155" t="s">
        <v>718</v>
      </c>
      <c r="B1" s="153"/>
      <c r="C1" s="153"/>
      <c r="D1" s="153"/>
    </row>
    <row r="4" spans="1:11" ht="16" customHeight="1" x14ac:dyDescent="0.2">
      <c r="A4" s="1" t="s">
        <v>719</v>
      </c>
    </row>
    <row r="5" spans="1:11" x14ac:dyDescent="0.2">
      <c r="A5" s="33" t="s">
        <v>720</v>
      </c>
      <c r="B5" s="62" t="s">
        <v>721</v>
      </c>
    </row>
    <row r="6" spans="1:11" x14ac:dyDescent="0.2">
      <c r="A6" s="33" t="s">
        <v>722</v>
      </c>
      <c r="B6" s="62" t="s">
        <v>711</v>
      </c>
    </row>
    <row r="7" spans="1:11" x14ac:dyDescent="0.2">
      <c r="A7" s="33" t="s">
        <v>723</v>
      </c>
      <c r="B7" s="62" t="s">
        <v>724</v>
      </c>
    </row>
    <row r="8" spans="1:11" x14ac:dyDescent="0.2">
      <c r="A8" s="33" t="s">
        <v>725</v>
      </c>
      <c r="B8" s="62" t="s">
        <v>726</v>
      </c>
    </row>
    <row r="9" spans="1:11" x14ac:dyDescent="0.2">
      <c r="A9" s="33" t="s">
        <v>727</v>
      </c>
      <c r="B9" s="62" t="s">
        <v>728</v>
      </c>
    </row>
    <row r="10" spans="1:11" x14ac:dyDescent="0.2">
      <c r="A10" s="33" t="s">
        <v>729</v>
      </c>
      <c r="B10" s="62" t="s">
        <v>730</v>
      </c>
    </row>
    <row r="11" spans="1:11" x14ac:dyDescent="0.2">
      <c r="A11" s="33" t="s">
        <v>731</v>
      </c>
      <c r="B11" s="62" t="s">
        <v>732</v>
      </c>
    </row>
    <row r="12" spans="1:11" x14ac:dyDescent="0.2">
      <c r="A12" s="33" t="s">
        <v>733</v>
      </c>
      <c r="B12" s="62" t="s">
        <v>734</v>
      </c>
    </row>
    <row r="14" spans="1:11" ht="16" customHeight="1" x14ac:dyDescent="0.2">
      <c r="A14" s="1" t="s">
        <v>735</v>
      </c>
    </row>
    <row r="15" spans="1:11" ht="16" customHeight="1" x14ac:dyDescent="0.2">
      <c r="E15" s="3" t="s">
        <v>736</v>
      </c>
      <c r="F15" s="3" t="s">
        <v>737</v>
      </c>
      <c r="G15" s="3" t="s">
        <v>738</v>
      </c>
      <c r="H15" s="3" t="s">
        <v>739</v>
      </c>
      <c r="I15" s="3" t="s">
        <v>740</v>
      </c>
      <c r="J15" s="3" t="s">
        <v>741</v>
      </c>
      <c r="K15" s="3" t="s">
        <v>742</v>
      </c>
    </row>
    <row r="16" spans="1:11" ht="16" customHeight="1" x14ac:dyDescent="0.2">
      <c r="E16" s="63" t="s">
        <v>695</v>
      </c>
      <c r="F16" s="63" t="s">
        <v>743</v>
      </c>
      <c r="G16" s="63" t="s">
        <v>611</v>
      </c>
      <c r="H16" s="63" t="s">
        <v>528</v>
      </c>
      <c r="I16" s="63" t="s">
        <v>744</v>
      </c>
      <c r="J16" s="63" t="s">
        <v>622</v>
      </c>
      <c r="K16" s="63" t="s">
        <v>441</v>
      </c>
    </row>
    <row r="17" spans="5:11" ht="16" customHeight="1" x14ac:dyDescent="0.2">
      <c r="E17" s="63" t="s">
        <v>696</v>
      </c>
      <c r="F17" s="63" t="s">
        <v>61</v>
      </c>
      <c r="G17" s="63" t="s">
        <v>613</v>
      </c>
      <c r="H17" s="63" t="s">
        <v>69</v>
      </c>
      <c r="I17" s="63" t="s">
        <v>62</v>
      </c>
      <c r="J17" s="63" t="s">
        <v>632</v>
      </c>
      <c r="K17" s="63" t="s">
        <v>453</v>
      </c>
    </row>
    <row r="18" spans="5:11" ht="16" customHeight="1" x14ac:dyDescent="0.2">
      <c r="E18" s="63" t="s">
        <v>745</v>
      </c>
      <c r="F18" s="63" t="s">
        <v>746</v>
      </c>
      <c r="G18" s="63" t="s">
        <v>747</v>
      </c>
      <c r="H18" s="63" t="s">
        <v>444</v>
      </c>
      <c r="I18" s="63" t="s">
        <v>748</v>
      </c>
      <c r="J18" s="63" t="s">
        <v>749</v>
      </c>
    </row>
    <row r="19" spans="5:11" ht="16" customHeight="1" x14ac:dyDescent="0.2">
      <c r="E19" s="63" t="s">
        <v>750</v>
      </c>
      <c r="F19" s="63"/>
      <c r="G19" s="63" t="s">
        <v>751</v>
      </c>
      <c r="H19" s="63" t="s">
        <v>752</v>
      </c>
      <c r="I19" s="63" t="s">
        <v>753</v>
      </c>
    </row>
    <row r="20" spans="5:11" ht="16" customHeight="1" x14ac:dyDescent="0.2">
      <c r="E20" s="63" t="s">
        <v>754</v>
      </c>
      <c r="F20" s="63" t="s">
        <v>755</v>
      </c>
      <c r="G20" s="63" t="s">
        <v>609</v>
      </c>
      <c r="H20" s="63" t="s">
        <v>92</v>
      </c>
      <c r="I20" s="63" t="s">
        <v>756</v>
      </c>
    </row>
    <row r="21" spans="5:11" ht="16" customHeight="1" x14ac:dyDescent="0.2">
      <c r="E21" s="63" t="s">
        <v>757</v>
      </c>
      <c r="F21" s="63" t="s">
        <v>758</v>
      </c>
      <c r="G21" s="63" t="s">
        <v>759</v>
      </c>
      <c r="H21" s="63" t="s">
        <v>760</v>
      </c>
      <c r="I21" s="63" t="s">
        <v>761</v>
      </c>
    </row>
    <row r="22" spans="5:11" ht="16" customHeight="1" x14ac:dyDescent="0.2">
      <c r="E22" s="63" t="s">
        <v>762</v>
      </c>
      <c r="F22" s="63" t="s">
        <v>763</v>
      </c>
      <c r="G22" s="63" t="s">
        <v>764</v>
      </c>
      <c r="H22" s="63" t="s">
        <v>765</v>
      </c>
    </row>
    <row r="23" spans="5:11" ht="16" customHeight="1" x14ac:dyDescent="0.2">
      <c r="E23" s="63" t="s">
        <v>766</v>
      </c>
      <c r="G23" s="63" t="s">
        <v>767</v>
      </c>
      <c r="H23" s="63" t="s">
        <v>768</v>
      </c>
    </row>
    <row r="24" spans="5:11" ht="16" customHeight="1" x14ac:dyDescent="0.2">
      <c r="H24" s="63" t="s">
        <v>60</v>
      </c>
    </row>
    <row r="25" spans="5:11" ht="16" x14ac:dyDescent="0.2">
      <c r="H25" s="63" t="s">
        <v>93</v>
      </c>
    </row>
    <row r="57" spans="1:2" ht="16" customHeight="1" x14ac:dyDescent="0.2">
      <c r="A57" s="1" t="s">
        <v>769</v>
      </c>
    </row>
    <row r="58" spans="1:2" x14ac:dyDescent="0.2">
      <c r="A58" s="33" t="s">
        <v>770</v>
      </c>
      <c r="B58">
        <v>7.15</v>
      </c>
    </row>
    <row r="59" spans="1:2" x14ac:dyDescent="0.2">
      <c r="A59" s="33" t="s">
        <v>771</v>
      </c>
      <c r="B59">
        <v>4.55</v>
      </c>
    </row>
    <row r="60" spans="1:2" x14ac:dyDescent="0.2">
      <c r="A60" s="33" t="s">
        <v>772</v>
      </c>
      <c r="B60" t="s">
        <v>773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08080"/>
  </sheetPr>
  <dimension ref="A1:D50"/>
  <sheetViews>
    <sheetView showGridLines="0" topLeftCell="A25" workbookViewId="0">
      <selection activeCell="C35" sqref="C35"/>
    </sheetView>
  </sheetViews>
  <sheetFormatPr baseColWidth="10" defaultColWidth="8.83203125" defaultRowHeight="15" x14ac:dyDescent="0.2"/>
  <cols>
    <col min="1" max="1" width="22" customWidth="1"/>
    <col min="2" max="2" width="14" customWidth="1"/>
    <col min="3" max="3" width="42" customWidth="1"/>
    <col min="4" max="4" width="52" customWidth="1"/>
  </cols>
  <sheetData>
    <row r="1" spans="1:4" ht="24" customHeight="1" x14ac:dyDescent="0.2">
      <c r="A1" s="173" t="str">
        <f>BizName</f>
        <v>[Your Dairy Plant Name]</v>
      </c>
      <c r="B1" s="153"/>
      <c r="C1" s="153"/>
      <c r="D1" s="153"/>
    </row>
    <row r="2" spans="1:4" ht="26" customHeight="1" x14ac:dyDescent="0.2">
      <c r="A2" s="181" t="s">
        <v>774</v>
      </c>
      <c r="B2" s="153"/>
      <c r="C2" s="153"/>
      <c r="D2" s="153"/>
    </row>
    <row r="4" spans="1:4" ht="16" customHeight="1" x14ac:dyDescent="0.2">
      <c r="A4" s="179" t="s">
        <v>775</v>
      </c>
      <c r="B4" s="153"/>
      <c r="C4" s="153"/>
      <c r="D4" s="153"/>
    </row>
    <row r="5" spans="1:4" ht="30" customHeight="1" x14ac:dyDescent="0.2">
      <c r="A5" s="119"/>
      <c r="B5" s="120" t="s">
        <v>776</v>
      </c>
      <c r="C5" s="176" t="s">
        <v>777</v>
      </c>
      <c r="D5" s="153"/>
    </row>
    <row r="6" spans="1:4" ht="30" customHeight="1" x14ac:dyDescent="0.2">
      <c r="A6" s="121"/>
      <c r="B6" s="120" t="s">
        <v>778</v>
      </c>
      <c r="C6" s="176" t="s">
        <v>779</v>
      </c>
      <c r="D6" s="153"/>
    </row>
    <row r="7" spans="1:4" ht="30" customHeight="1" x14ac:dyDescent="0.2">
      <c r="A7" s="122"/>
      <c r="B7" s="120" t="s">
        <v>780</v>
      </c>
      <c r="C7" s="176" t="s">
        <v>781</v>
      </c>
      <c r="D7" s="153"/>
    </row>
    <row r="8" spans="1:4" ht="30" customHeight="1" x14ac:dyDescent="0.2">
      <c r="A8" s="123"/>
      <c r="B8" s="120" t="s">
        <v>782</v>
      </c>
      <c r="C8" s="176" t="s">
        <v>783</v>
      </c>
      <c r="D8" s="153"/>
    </row>
    <row r="10" spans="1:4" ht="16" customHeight="1" x14ac:dyDescent="0.2">
      <c r="A10" s="180" t="s">
        <v>784</v>
      </c>
      <c r="B10" s="153"/>
      <c r="C10" s="153"/>
      <c r="D10" s="153"/>
    </row>
    <row r="11" spans="1:4" ht="28" customHeight="1" x14ac:dyDescent="0.2">
      <c r="A11" s="178" t="s">
        <v>785</v>
      </c>
      <c r="B11" s="153"/>
      <c r="C11" s="153"/>
      <c r="D11" s="153"/>
    </row>
    <row r="12" spans="1:4" ht="28" customHeight="1" x14ac:dyDescent="0.2">
      <c r="A12" s="178" t="s">
        <v>786</v>
      </c>
      <c r="B12" s="153"/>
      <c r="C12" s="153"/>
      <c r="D12" s="153"/>
    </row>
    <row r="13" spans="1:4" ht="28" customHeight="1" x14ac:dyDescent="0.2">
      <c r="A13" s="178" t="s">
        <v>787</v>
      </c>
      <c r="B13" s="153"/>
      <c r="C13" s="153"/>
      <c r="D13" s="153"/>
    </row>
    <row r="14" spans="1:4" ht="28" customHeight="1" x14ac:dyDescent="0.2">
      <c r="A14" s="178" t="s">
        <v>788</v>
      </c>
      <c r="B14" s="153"/>
      <c r="C14" s="153"/>
      <c r="D14" s="153"/>
    </row>
    <row r="15" spans="1:4" ht="28" customHeight="1" x14ac:dyDescent="0.2">
      <c r="A15" s="178" t="s">
        <v>789</v>
      </c>
      <c r="B15" s="153"/>
      <c r="C15" s="153"/>
      <c r="D15" s="153"/>
    </row>
    <row r="17" spans="1:4" ht="16" customHeight="1" x14ac:dyDescent="0.2">
      <c r="A17" s="179" t="s">
        <v>790</v>
      </c>
      <c r="B17" s="153"/>
      <c r="C17" s="153"/>
      <c r="D17" s="153"/>
    </row>
    <row r="18" spans="1:4" x14ac:dyDescent="0.2">
      <c r="A18" s="124" t="s">
        <v>791</v>
      </c>
      <c r="B18" s="124" t="s">
        <v>792</v>
      </c>
      <c r="C18" s="124" t="s">
        <v>793</v>
      </c>
      <c r="D18" s="124" t="s">
        <v>794</v>
      </c>
    </row>
    <row r="19" spans="1:4" ht="34" customHeight="1" x14ac:dyDescent="0.2">
      <c r="A19" s="125" t="s">
        <v>795</v>
      </c>
      <c r="B19" s="126" t="s">
        <v>796</v>
      </c>
      <c r="C19" s="127" t="s">
        <v>797</v>
      </c>
      <c r="D19" s="127" t="s">
        <v>798</v>
      </c>
    </row>
    <row r="20" spans="1:4" ht="34" customHeight="1" x14ac:dyDescent="0.2">
      <c r="A20" s="125" t="s">
        <v>799</v>
      </c>
      <c r="B20" s="128" t="s">
        <v>800</v>
      </c>
      <c r="C20" s="127" t="s">
        <v>801</v>
      </c>
      <c r="D20" s="127" t="s">
        <v>802</v>
      </c>
    </row>
    <row r="21" spans="1:4" ht="34" customHeight="1" x14ac:dyDescent="0.2">
      <c r="A21" s="125" t="s">
        <v>803</v>
      </c>
      <c r="B21" s="128" t="s">
        <v>800</v>
      </c>
      <c r="C21" s="127" t="s">
        <v>804</v>
      </c>
      <c r="D21" s="127" t="s">
        <v>805</v>
      </c>
    </row>
    <row r="22" spans="1:4" ht="34" customHeight="1" x14ac:dyDescent="0.2">
      <c r="A22" s="125" t="s">
        <v>806</v>
      </c>
      <c r="B22" s="129" t="s">
        <v>807</v>
      </c>
      <c r="C22" s="127" t="s">
        <v>808</v>
      </c>
      <c r="D22" s="127" t="s">
        <v>809</v>
      </c>
    </row>
    <row r="23" spans="1:4" ht="34" customHeight="1" x14ac:dyDescent="0.2">
      <c r="A23" s="125" t="s">
        <v>810</v>
      </c>
      <c r="B23" s="129" t="s">
        <v>807</v>
      </c>
      <c r="C23" s="127" t="s">
        <v>811</v>
      </c>
      <c r="D23" s="127" t="s">
        <v>812</v>
      </c>
    </row>
    <row r="24" spans="1:4" ht="34" customHeight="1" x14ac:dyDescent="0.2">
      <c r="A24" s="125" t="s">
        <v>813</v>
      </c>
      <c r="B24" s="129" t="s">
        <v>807</v>
      </c>
      <c r="C24" s="127" t="s">
        <v>814</v>
      </c>
      <c r="D24" s="127" t="s">
        <v>815</v>
      </c>
    </row>
    <row r="25" spans="1:4" ht="34" customHeight="1" x14ac:dyDescent="0.2">
      <c r="A25" s="125" t="s">
        <v>816</v>
      </c>
      <c r="B25" s="129" t="s">
        <v>807</v>
      </c>
      <c r="C25" s="127" t="s">
        <v>817</v>
      </c>
      <c r="D25" s="127" t="s">
        <v>818</v>
      </c>
    </row>
    <row r="26" spans="1:4" ht="34" customHeight="1" x14ac:dyDescent="0.2">
      <c r="A26" s="125" t="s">
        <v>819</v>
      </c>
      <c r="B26" s="129" t="s">
        <v>807</v>
      </c>
      <c r="C26" s="127" t="s">
        <v>820</v>
      </c>
      <c r="D26" s="127" t="s">
        <v>821</v>
      </c>
    </row>
    <row r="27" spans="1:4" ht="34" customHeight="1" x14ac:dyDescent="0.2">
      <c r="A27" s="125" t="s">
        <v>822</v>
      </c>
      <c r="B27" s="129" t="s">
        <v>807</v>
      </c>
      <c r="C27" s="127" t="s">
        <v>823</v>
      </c>
      <c r="D27" s="127" t="s">
        <v>824</v>
      </c>
    </row>
    <row r="28" spans="1:4" ht="34" customHeight="1" x14ac:dyDescent="0.2">
      <c r="A28" s="125" t="s">
        <v>825</v>
      </c>
      <c r="B28" s="126" t="s">
        <v>796</v>
      </c>
      <c r="C28" s="127" t="s">
        <v>826</v>
      </c>
      <c r="D28" s="127" t="s">
        <v>827</v>
      </c>
    </row>
    <row r="29" spans="1:4" ht="34" customHeight="1" x14ac:dyDescent="0.2">
      <c r="A29" s="125" t="s">
        <v>828</v>
      </c>
      <c r="B29" s="128" t="s">
        <v>800</v>
      </c>
      <c r="C29" s="127" t="s">
        <v>829</v>
      </c>
      <c r="D29" s="127" t="s">
        <v>830</v>
      </c>
    </row>
    <row r="30" spans="1:4" ht="34" customHeight="1" x14ac:dyDescent="0.2">
      <c r="A30" s="125" t="s">
        <v>831</v>
      </c>
      <c r="B30" s="129" t="s">
        <v>807</v>
      </c>
      <c r="C30" s="127" t="s">
        <v>832</v>
      </c>
      <c r="D30" s="127" t="s">
        <v>833</v>
      </c>
    </row>
    <row r="31" spans="1:4" ht="34" customHeight="1" x14ac:dyDescent="0.2">
      <c r="A31" s="125" t="s">
        <v>834</v>
      </c>
      <c r="B31" s="128" t="s">
        <v>800</v>
      </c>
      <c r="C31" s="127" t="s">
        <v>835</v>
      </c>
      <c r="D31" s="127" t="s">
        <v>836</v>
      </c>
    </row>
    <row r="32" spans="1:4" ht="34" customHeight="1" x14ac:dyDescent="0.2">
      <c r="A32" s="125" t="s">
        <v>837</v>
      </c>
      <c r="B32" s="129" t="s">
        <v>807</v>
      </c>
      <c r="C32" s="127" t="s">
        <v>838</v>
      </c>
      <c r="D32" s="127" t="s">
        <v>839</v>
      </c>
    </row>
    <row r="33" spans="1:4" ht="34" customHeight="1" x14ac:dyDescent="0.2">
      <c r="A33" s="125" t="s">
        <v>840</v>
      </c>
      <c r="B33" s="129" t="s">
        <v>807</v>
      </c>
      <c r="C33" s="127" t="s">
        <v>841</v>
      </c>
      <c r="D33" s="127" t="s">
        <v>842</v>
      </c>
    </row>
    <row r="34" spans="1:4" ht="34" customHeight="1" x14ac:dyDescent="0.2">
      <c r="A34" s="125" t="s">
        <v>843</v>
      </c>
      <c r="B34" s="126" t="s">
        <v>796</v>
      </c>
      <c r="C34" s="127" t="s">
        <v>844</v>
      </c>
      <c r="D34" s="127" t="s">
        <v>845</v>
      </c>
    </row>
    <row r="36" spans="1:4" ht="16" customHeight="1" x14ac:dyDescent="0.2">
      <c r="A36" s="182" t="s">
        <v>846</v>
      </c>
      <c r="B36" s="153"/>
      <c r="C36" s="153"/>
      <c r="D36" s="153"/>
    </row>
    <row r="37" spans="1:4" ht="26" customHeight="1" x14ac:dyDescent="0.2">
      <c r="A37" s="174" t="s">
        <v>847</v>
      </c>
      <c r="B37" s="153"/>
      <c r="C37" s="153"/>
      <c r="D37" s="153"/>
    </row>
    <row r="38" spans="1:4" ht="26" customHeight="1" x14ac:dyDescent="0.2">
      <c r="A38" s="174" t="s">
        <v>848</v>
      </c>
      <c r="B38" s="153"/>
      <c r="C38" s="153"/>
      <c r="D38" s="153"/>
    </row>
    <row r="39" spans="1:4" ht="26" customHeight="1" x14ac:dyDescent="0.2">
      <c r="A39" s="174" t="s">
        <v>849</v>
      </c>
      <c r="B39" s="153"/>
      <c r="C39" s="153"/>
      <c r="D39" s="153"/>
    </row>
    <row r="40" spans="1:4" ht="26" customHeight="1" x14ac:dyDescent="0.2">
      <c r="A40" s="174" t="s">
        <v>850</v>
      </c>
      <c r="B40" s="153"/>
      <c r="C40" s="153"/>
      <c r="D40" s="153"/>
    </row>
    <row r="41" spans="1:4" ht="26" customHeight="1" x14ac:dyDescent="0.2">
      <c r="A41" s="174" t="s">
        <v>851</v>
      </c>
      <c r="B41" s="153"/>
      <c r="C41" s="153"/>
      <c r="D41" s="153"/>
    </row>
    <row r="42" spans="1:4" ht="26" customHeight="1" x14ac:dyDescent="0.2">
      <c r="A42" s="174" t="s">
        <v>852</v>
      </c>
      <c r="B42" s="153"/>
      <c r="C42" s="153"/>
      <c r="D42" s="153"/>
    </row>
    <row r="44" spans="1:4" ht="16" customHeight="1" x14ac:dyDescent="0.2">
      <c r="A44" s="177" t="s">
        <v>853</v>
      </c>
      <c r="B44" s="153"/>
      <c r="C44" s="153"/>
      <c r="D44" s="153"/>
    </row>
    <row r="45" spans="1:4" ht="24" customHeight="1" x14ac:dyDescent="0.2">
      <c r="A45" s="175" t="s">
        <v>854</v>
      </c>
      <c r="B45" s="153"/>
      <c r="C45" s="153"/>
      <c r="D45" s="153"/>
    </row>
    <row r="46" spans="1:4" ht="24" customHeight="1" x14ac:dyDescent="0.2">
      <c r="A46" s="175" t="s">
        <v>855</v>
      </c>
      <c r="B46" s="153"/>
      <c r="C46" s="153"/>
      <c r="D46" s="153"/>
    </row>
    <row r="47" spans="1:4" ht="24" customHeight="1" x14ac:dyDescent="0.2">
      <c r="A47" s="175" t="s">
        <v>856</v>
      </c>
      <c r="B47" s="153"/>
      <c r="C47" s="153"/>
      <c r="D47" s="153"/>
    </row>
    <row r="48" spans="1:4" ht="24" customHeight="1" x14ac:dyDescent="0.2">
      <c r="A48" s="175" t="s">
        <v>857</v>
      </c>
      <c r="B48" s="153"/>
      <c r="C48" s="153"/>
      <c r="D48" s="153"/>
    </row>
    <row r="49" spans="1:4" ht="24" customHeight="1" x14ac:dyDescent="0.2">
      <c r="A49" s="175" t="s">
        <v>858</v>
      </c>
      <c r="B49" s="153"/>
      <c r="C49" s="153"/>
      <c r="D49" s="153"/>
    </row>
    <row r="50" spans="1:4" ht="24" customHeight="1" x14ac:dyDescent="0.2">
      <c r="A50" s="175" t="s">
        <v>859</v>
      </c>
      <c r="B50" s="153"/>
      <c r="C50" s="153"/>
      <c r="D50" s="153"/>
    </row>
  </sheetData>
  <mergeCells count="28">
    <mergeCell ref="A50:D50"/>
    <mergeCell ref="A12:D12"/>
    <mergeCell ref="A2:D2"/>
    <mergeCell ref="A47:D47"/>
    <mergeCell ref="A42:D42"/>
    <mergeCell ref="A14:D14"/>
    <mergeCell ref="A49:D49"/>
    <mergeCell ref="A36:D36"/>
    <mergeCell ref="A45:D45"/>
    <mergeCell ref="A48:D48"/>
    <mergeCell ref="A13:D13"/>
    <mergeCell ref="A11:D11"/>
    <mergeCell ref="A1:D1"/>
    <mergeCell ref="A41:D41"/>
    <mergeCell ref="A46:D46"/>
    <mergeCell ref="C8:D8"/>
    <mergeCell ref="A37:D37"/>
    <mergeCell ref="C7:D7"/>
    <mergeCell ref="A44:D44"/>
    <mergeCell ref="A40:D40"/>
    <mergeCell ref="A39:D39"/>
    <mergeCell ref="A15:D15"/>
    <mergeCell ref="A17:D17"/>
    <mergeCell ref="C6:D6"/>
    <mergeCell ref="A4:D4"/>
    <mergeCell ref="A38:D38"/>
    <mergeCell ref="C5:D5"/>
    <mergeCell ref="A10:D10"/>
  </mergeCell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17</vt:i4>
      </vt:variant>
    </vt:vector>
  </HeadingPairs>
  <TitlesOfParts>
    <vt:vector size="33" baseType="lpstr">
      <vt:lpstr>Dashboard</vt:lpstr>
      <vt:lpstr>Profit_Loss</vt:lpstr>
      <vt:lpstr>Receivable_Payable</vt:lpstr>
      <vt:lpstr>Sales_Entry</vt:lpstr>
      <vt:lpstr>Purchase_Entry</vt:lpstr>
      <vt:lpstr>Cash_Collection</vt:lpstr>
      <vt:lpstr>Cash_Deposit</vt:lpstr>
      <vt:lpstr>Daybook</vt:lpstr>
      <vt:lpstr>Party_Master</vt:lpstr>
      <vt:lpstr>Party_Ledger</vt:lpstr>
      <vt:lpstr>Party_Statement</vt:lpstr>
      <vt:lpstr>Stock_Master</vt:lpstr>
      <vt:lpstr>Stock_Statement</vt:lpstr>
      <vt:lpstr>Printable_Invoice</vt:lpstr>
      <vt:lpstr>Settings</vt:lpstr>
      <vt:lpstr>README</vt:lpstr>
      <vt:lpstr>BizName</vt:lpstr>
      <vt:lpstr>FAT_MULT</vt:lpstr>
      <vt:lpstr>PartyTypes</vt:lpstr>
      <vt:lpstr>PayModes</vt:lpstr>
      <vt:lpstr>Cash_Deposit!Print_Area</vt:lpstr>
      <vt:lpstr>Party_Statement!Print_Area</vt:lpstr>
      <vt:lpstr>Printable_Invoice!Print_Area</vt:lpstr>
      <vt:lpstr>Profit_Loss!Print_Area</vt:lpstr>
      <vt:lpstr>README!Print_Area</vt:lpstr>
      <vt:lpstr>Receivable_Payable!Print_Area</vt:lpstr>
      <vt:lpstr>Stock_Statement!Print_Area</vt:lpstr>
      <vt:lpstr>Products</vt:lpstr>
      <vt:lpstr>RateTypes</vt:lpstr>
      <vt:lpstr>SNF_MULT</vt:lpstr>
      <vt:lpstr>Statuses</vt:lpstr>
      <vt:lpstr>TxnTypes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Sushil Gautam</cp:lastModifiedBy>
  <cp:lastPrinted>2026-07-19T12:22:41Z</cp:lastPrinted>
  <dcterms:created xsi:type="dcterms:W3CDTF">2026-07-18T06:52:46Z</dcterms:created>
  <dcterms:modified xsi:type="dcterms:W3CDTF">2026-07-24T15:44:14Z</dcterms:modified>
</cp:coreProperties>
</file>